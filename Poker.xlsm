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python_education\"/>
    </mc:Choice>
  </mc:AlternateContent>
  <bookViews>
    <workbookView xWindow="-120" yWindow="-120" windowWidth="23280" windowHeight="14880"/>
  </bookViews>
  <sheets>
    <sheet name="Bankroll_1" sheetId="4" r:id="rId1"/>
    <sheet name="Bankroll_2" sheetId="5" r:id="rId2"/>
    <sheet name="Bankroll" sheetId="2" r:id="rId3"/>
    <sheet name="BluffEconomics" sheetId="1" r:id="rId4"/>
    <sheet name="CostFunction" sheetId="3" r:id="rId5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03" i="5" l="1"/>
  <c r="I1003" i="5"/>
  <c r="H1003" i="5"/>
  <c r="I1002" i="5"/>
  <c r="J1002" i="5" s="1"/>
  <c r="H1002" i="5"/>
  <c r="J1001" i="5"/>
  <c r="I1001" i="5"/>
  <c r="H1001" i="5"/>
  <c r="I1000" i="5"/>
  <c r="J1000" i="5" s="1"/>
  <c r="H1000" i="5"/>
  <c r="J999" i="5"/>
  <c r="I999" i="5"/>
  <c r="H999" i="5"/>
  <c r="I998" i="5"/>
  <c r="J998" i="5" s="1"/>
  <c r="H998" i="5"/>
  <c r="J997" i="5"/>
  <c r="I997" i="5"/>
  <c r="H997" i="5"/>
  <c r="I996" i="5"/>
  <c r="J996" i="5" s="1"/>
  <c r="H996" i="5"/>
  <c r="J995" i="5"/>
  <c r="I995" i="5"/>
  <c r="H995" i="5"/>
  <c r="I994" i="5"/>
  <c r="J994" i="5" s="1"/>
  <c r="H994" i="5"/>
  <c r="J993" i="5"/>
  <c r="I993" i="5"/>
  <c r="H993" i="5"/>
  <c r="I992" i="5"/>
  <c r="J992" i="5" s="1"/>
  <c r="H992" i="5"/>
  <c r="J991" i="5"/>
  <c r="I991" i="5"/>
  <c r="H991" i="5"/>
  <c r="I990" i="5"/>
  <c r="J990" i="5" s="1"/>
  <c r="H990" i="5"/>
  <c r="J989" i="5"/>
  <c r="I989" i="5"/>
  <c r="H989" i="5"/>
  <c r="I988" i="5"/>
  <c r="J988" i="5" s="1"/>
  <c r="H988" i="5"/>
  <c r="J987" i="5"/>
  <c r="I987" i="5"/>
  <c r="H987" i="5"/>
  <c r="I986" i="5"/>
  <c r="J986" i="5" s="1"/>
  <c r="H986" i="5"/>
  <c r="J985" i="5"/>
  <c r="I985" i="5"/>
  <c r="H985" i="5"/>
  <c r="I984" i="5"/>
  <c r="J984" i="5" s="1"/>
  <c r="H984" i="5"/>
  <c r="J983" i="5"/>
  <c r="I983" i="5"/>
  <c r="H983" i="5"/>
  <c r="I982" i="5"/>
  <c r="J982" i="5" s="1"/>
  <c r="H982" i="5"/>
  <c r="J981" i="5"/>
  <c r="I981" i="5"/>
  <c r="H981" i="5"/>
  <c r="I980" i="5"/>
  <c r="J980" i="5" s="1"/>
  <c r="H980" i="5"/>
  <c r="J979" i="5"/>
  <c r="I979" i="5"/>
  <c r="H979" i="5"/>
  <c r="J978" i="5"/>
  <c r="I978" i="5"/>
  <c r="H978" i="5"/>
  <c r="J977" i="5"/>
  <c r="I977" i="5"/>
  <c r="H977" i="5"/>
  <c r="J976" i="5"/>
  <c r="I976" i="5"/>
  <c r="H976" i="5"/>
  <c r="J975" i="5"/>
  <c r="I975" i="5"/>
  <c r="H975" i="5"/>
  <c r="I974" i="5"/>
  <c r="J974" i="5" s="1"/>
  <c r="H974" i="5"/>
  <c r="J973" i="5"/>
  <c r="I973" i="5"/>
  <c r="H973" i="5"/>
  <c r="J972" i="5"/>
  <c r="I972" i="5"/>
  <c r="H972" i="5"/>
  <c r="J971" i="5"/>
  <c r="I971" i="5"/>
  <c r="H971" i="5"/>
  <c r="I970" i="5"/>
  <c r="J970" i="5" s="1"/>
  <c r="H970" i="5"/>
  <c r="J969" i="5"/>
  <c r="I969" i="5"/>
  <c r="H969" i="5"/>
  <c r="J968" i="5"/>
  <c r="I968" i="5"/>
  <c r="H968" i="5"/>
  <c r="J967" i="5"/>
  <c r="I967" i="5"/>
  <c r="H967" i="5"/>
  <c r="J966" i="5"/>
  <c r="I966" i="5"/>
  <c r="H966" i="5"/>
  <c r="J965" i="5"/>
  <c r="I965" i="5"/>
  <c r="H965" i="5"/>
  <c r="I964" i="5"/>
  <c r="J964" i="5" s="1"/>
  <c r="H964" i="5"/>
  <c r="J963" i="5"/>
  <c r="I963" i="5"/>
  <c r="H963" i="5"/>
  <c r="J962" i="5"/>
  <c r="I962" i="5"/>
  <c r="H962" i="5"/>
  <c r="J961" i="5"/>
  <c r="I961" i="5"/>
  <c r="H961" i="5"/>
  <c r="J960" i="5"/>
  <c r="I960" i="5"/>
  <c r="H960" i="5"/>
  <c r="J959" i="5"/>
  <c r="I959" i="5"/>
  <c r="H959" i="5"/>
  <c r="I958" i="5"/>
  <c r="J958" i="5" s="1"/>
  <c r="H958" i="5"/>
  <c r="J957" i="5"/>
  <c r="I957" i="5"/>
  <c r="H957" i="5"/>
  <c r="J956" i="5"/>
  <c r="I956" i="5"/>
  <c r="H956" i="5"/>
  <c r="J955" i="5"/>
  <c r="I955" i="5"/>
  <c r="H955" i="5"/>
  <c r="I954" i="5"/>
  <c r="J954" i="5" s="1"/>
  <c r="H954" i="5"/>
  <c r="J953" i="5"/>
  <c r="I953" i="5"/>
  <c r="H953" i="5"/>
  <c r="I952" i="5"/>
  <c r="J952" i="5" s="1"/>
  <c r="H952" i="5"/>
  <c r="J951" i="5"/>
  <c r="I951" i="5"/>
  <c r="H951" i="5"/>
  <c r="J950" i="5"/>
  <c r="I950" i="5"/>
  <c r="H950" i="5"/>
  <c r="J949" i="5"/>
  <c r="I949" i="5"/>
  <c r="H949" i="5"/>
  <c r="I948" i="5"/>
  <c r="J948" i="5" s="1"/>
  <c r="H948" i="5"/>
  <c r="J947" i="5"/>
  <c r="I947" i="5"/>
  <c r="H947" i="5"/>
  <c r="J946" i="5"/>
  <c r="I946" i="5"/>
  <c r="H946" i="5"/>
  <c r="I945" i="5"/>
  <c r="J945" i="5" s="1"/>
  <c r="H945" i="5"/>
  <c r="I944" i="5"/>
  <c r="J944" i="5" s="1"/>
  <c r="H944" i="5"/>
  <c r="I943" i="5"/>
  <c r="J943" i="5" s="1"/>
  <c r="H943" i="5"/>
  <c r="I942" i="5"/>
  <c r="J942" i="5" s="1"/>
  <c r="H942" i="5"/>
  <c r="I941" i="5"/>
  <c r="J941" i="5" s="1"/>
  <c r="H941" i="5"/>
  <c r="I940" i="5"/>
  <c r="J940" i="5" s="1"/>
  <c r="H940" i="5"/>
  <c r="I939" i="5"/>
  <c r="J939" i="5" s="1"/>
  <c r="H939" i="5"/>
  <c r="I938" i="5"/>
  <c r="J938" i="5" s="1"/>
  <c r="H938" i="5"/>
  <c r="I937" i="5"/>
  <c r="J937" i="5" s="1"/>
  <c r="H937" i="5"/>
  <c r="I936" i="5"/>
  <c r="J936" i="5" s="1"/>
  <c r="H936" i="5"/>
  <c r="I935" i="5"/>
  <c r="J935" i="5" s="1"/>
  <c r="H935" i="5"/>
  <c r="I934" i="5"/>
  <c r="J934" i="5" s="1"/>
  <c r="H934" i="5"/>
  <c r="I933" i="5"/>
  <c r="J933" i="5" s="1"/>
  <c r="H933" i="5"/>
  <c r="J932" i="5"/>
  <c r="I932" i="5"/>
  <c r="H932" i="5"/>
  <c r="J931" i="5"/>
  <c r="I931" i="5"/>
  <c r="H931" i="5"/>
  <c r="I930" i="5"/>
  <c r="J930" i="5" s="1"/>
  <c r="H930" i="5"/>
  <c r="I929" i="5"/>
  <c r="J929" i="5" s="1"/>
  <c r="H929" i="5"/>
  <c r="J928" i="5"/>
  <c r="I928" i="5"/>
  <c r="H928" i="5"/>
  <c r="I927" i="5"/>
  <c r="J927" i="5" s="1"/>
  <c r="H927" i="5"/>
  <c r="J926" i="5"/>
  <c r="I926" i="5"/>
  <c r="H926" i="5"/>
  <c r="J925" i="5"/>
  <c r="I925" i="5"/>
  <c r="H925" i="5"/>
  <c r="I924" i="5"/>
  <c r="J924" i="5" s="1"/>
  <c r="H924" i="5"/>
  <c r="I923" i="5"/>
  <c r="J923" i="5" s="1"/>
  <c r="H923" i="5"/>
  <c r="I922" i="5"/>
  <c r="J922" i="5" s="1"/>
  <c r="H922" i="5"/>
  <c r="I921" i="5"/>
  <c r="J921" i="5" s="1"/>
  <c r="H921" i="5"/>
  <c r="J920" i="5"/>
  <c r="I920" i="5"/>
  <c r="H920" i="5"/>
  <c r="I919" i="5"/>
  <c r="J919" i="5" s="1"/>
  <c r="H919" i="5"/>
  <c r="I918" i="5"/>
  <c r="J918" i="5" s="1"/>
  <c r="H918" i="5"/>
  <c r="I917" i="5"/>
  <c r="J917" i="5" s="1"/>
  <c r="H917" i="5"/>
  <c r="J916" i="5"/>
  <c r="I916" i="5"/>
  <c r="H916" i="5"/>
  <c r="I915" i="5"/>
  <c r="J915" i="5" s="1"/>
  <c r="H915" i="5"/>
  <c r="J914" i="5"/>
  <c r="I914" i="5"/>
  <c r="H914" i="5"/>
  <c r="I913" i="5"/>
  <c r="J913" i="5" s="1"/>
  <c r="H913" i="5"/>
  <c r="J912" i="5"/>
  <c r="I912" i="5"/>
  <c r="H912" i="5"/>
  <c r="I911" i="5"/>
  <c r="J911" i="5" s="1"/>
  <c r="H911" i="5"/>
  <c r="J910" i="5"/>
  <c r="I910" i="5"/>
  <c r="H910" i="5"/>
  <c r="I909" i="5"/>
  <c r="J909" i="5" s="1"/>
  <c r="H909" i="5"/>
  <c r="J908" i="5"/>
  <c r="I908" i="5"/>
  <c r="H908" i="5"/>
  <c r="I907" i="5"/>
  <c r="J907" i="5" s="1"/>
  <c r="H907" i="5"/>
  <c r="J906" i="5"/>
  <c r="I906" i="5"/>
  <c r="H906" i="5"/>
  <c r="I905" i="5"/>
  <c r="J905" i="5" s="1"/>
  <c r="H905" i="5"/>
  <c r="J904" i="5"/>
  <c r="I904" i="5"/>
  <c r="H904" i="5"/>
  <c r="I903" i="5"/>
  <c r="J903" i="5" s="1"/>
  <c r="H903" i="5"/>
  <c r="J902" i="5"/>
  <c r="I902" i="5"/>
  <c r="H902" i="5"/>
  <c r="I901" i="5"/>
  <c r="J901" i="5" s="1"/>
  <c r="H901" i="5"/>
  <c r="J900" i="5"/>
  <c r="I900" i="5"/>
  <c r="H900" i="5"/>
  <c r="I899" i="5"/>
  <c r="J899" i="5" s="1"/>
  <c r="H899" i="5"/>
  <c r="J898" i="5"/>
  <c r="I898" i="5"/>
  <c r="H898" i="5"/>
  <c r="I897" i="5"/>
  <c r="J897" i="5" s="1"/>
  <c r="H897" i="5"/>
  <c r="J896" i="5"/>
  <c r="I896" i="5"/>
  <c r="H896" i="5"/>
  <c r="I895" i="5"/>
  <c r="J895" i="5" s="1"/>
  <c r="H895" i="5"/>
  <c r="I894" i="5"/>
  <c r="J894" i="5" s="1"/>
  <c r="H894" i="5"/>
  <c r="J893" i="5"/>
  <c r="I893" i="5"/>
  <c r="H893" i="5"/>
  <c r="I892" i="5"/>
  <c r="J892" i="5" s="1"/>
  <c r="H892" i="5"/>
  <c r="I891" i="5"/>
  <c r="J891" i="5" s="1"/>
  <c r="H891" i="5"/>
  <c r="I890" i="5"/>
  <c r="J890" i="5" s="1"/>
  <c r="H890" i="5"/>
  <c r="J889" i="5"/>
  <c r="I889" i="5"/>
  <c r="H889" i="5"/>
  <c r="J888" i="5"/>
  <c r="I888" i="5"/>
  <c r="H888" i="5"/>
  <c r="J887" i="5"/>
  <c r="I887" i="5"/>
  <c r="H887" i="5"/>
  <c r="I886" i="5"/>
  <c r="J886" i="5" s="1"/>
  <c r="H886" i="5"/>
  <c r="J885" i="5"/>
  <c r="I885" i="5"/>
  <c r="H885" i="5"/>
  <c r="I884" i="5"/>
  <c r="J884" i="5" s="1"/>
  <c r="H884" i="5"/>
  <c r="I883" i="5"/>
  <c r="J883" i="5" s="1"/>
  <c r="H883" i="5"/>
  <c r="J882" i="5"/>
  <c r="I882" i="5"/>
  <c r="H882" i="5"/>
  <c r="I881" i="5"/>
  <c r="J881" i="5" s="1"/>
  <c r="H881" i="5"/>
  <c r="J880" i="5"/>
  <c r="I880" i="5"/>
  <c r="H880" i="5"/>
  <c r="J879" i="5"/>
  <c r="I879" i="5"/>
  <c r="H879" i="5"/>
  <c r="J878" i="5"/>
  <c r="I878" i="5"/>
  <c r="H878" i="5"/>
  <c r="I877" i="5"/>
  <c r="J877" i="5" s="1"/>
  <c r="H877" i="5"/>
  <c r="J876" i="5"/>
  <c r="I876" i="5"/>
  <c r="H876" i="5"/>
  <c r="I875" i="5"/>
  <c r="J875" i="5" s="1"/>
  <c r="H875" i="5"/>
  <c r="J874" i="5"/>
  <c r="I874" i="5"/>
  <c r="H874" i="5"/>
  <c r="J873" i="5"/>
  <c r="I873" i="5"/>
  <c r="H873" i="5"/>
  <c r="J872" i="5"/>
  <c r="I872" i="5"/>
  <c r="H872" i="5"/>
  <c r="I871" i="5"/>
  <c r="J871" i="5" s="1"/>
  <c r="H871" i="5"/>
  <c r="J870" i="5"/>
  <c r="I870" i="5"/>
  <c r="H870" i="5"/>
  <c r="I869" i="5"/>
  <c r="J869" i="5" s="1"/>
  <c r="H869" i="5"/>
  <c r="J868" i="5"/>
  <c r="I868" i="5"/>
  <c r="H868" i="5"/>
  <c r="I867" i="5"/>
  <c r="J867" i="5" s="1"/>
  <c r="H867" i="5"/>
  <c r="J866" i="5"/>
  <c r="I866" i="5"/>
  <c r="H866" i="5"/>
  <c r="I865" i="5"/>
  <c r="J865" i="5" s="1"/>
  <c r="H865" i="5"/>
  <c r="J864" i="5"/>
  <c r="I864" i="5"/>
  <c r="H864" i="5"/>
  <c r="J863" i="5"/>
  <c r="I863" i="5"/>
  <c r="H863" i="5"/>
  <c r="J862" i="5"/>
  <c r="I862" i="5"/>
  <c r="H862" i="5"/>
  <c r="I861" i="5"/>
  <c r="J861" i="5" s="1"/>
  <c r="H861" i="5"/>
  <c r="J860" i="5"/>
  <c r="I860" i="5"/>
  <c r="H860" i="5"/>
  <c r="I859" i="5"/>
  <c r="J859" i="5" s="1"/>
  <c r="H859" i="5"/>
  <c r="J858" i="5"/>
  <c r="I858" i="5"/>
  <c r="H858" i="5"/>
  <c r="I857" i="5"/>
  <c r="J857" i="5" s="1"/>
  <c r="H857" i="5"/>
  <c r="J856" i="5"/>
  <c r="I856" i="5"/>
  <c r="H856" i="5"/>
  <c r="I855" i="5"/>
  <c r="J855" i="5" s="1"/>
  <c r="H855" i="5"/>
  <c r="J854" i="5"/>
  <c r="I854" i="5"/>
  <c r="H854" i="5"/>
  <c r="I853" i="5"/>
  <c r="J853" i="5" s="1"/>
  <c r="H853" i="5"/>
  <c r="J852" i="5"/>
  <c r="I852" i="5"/>
  <c r="H852" i="5"/>
  <c r="J851" i="5"/>
  <c r="I851" i="5"/>
  <c r="H851" i="5"/>
  <c r="J850" i="5"/>
  <c r="I850" i="5"/>
  <c r="H850" i="5"/>
  <c r="I849" i="5"/>
  <c r="J849" i="5" s="1"/>
  <c r="H849" i="5"/>
  <c r="J848" i="5"/>
  <c r="I848" i="5"/>
  <c r="H848" i="5"/>
  <c r="J847" i="5"/>
  <c r="I847" i="5"/>
  <c r="H847" i="5"/>
  <c r="J846" i="5"/>
  <c r="I846" i="5"/>
  <c r="H846" i="5"/>
  <c r="I845" i="5"/>
  <c r="J845" i="5" s="1"/>
  <c r="H845" i="5"/>
  <c r="J844" i="5"/>
  <c r="I844" i="5"/>
  <c r="H844" i="5"/>
  <c r="I843" i="5"/>
  <c r="J843" i="5" s="1"/>
  <c r="H843" i="5"/>
  <c r="J842" i="5"/>
  <c r="I842" i="5"/>
  <c r="H842" i="5"/>
  <c r="I841" i="5"/>
  <c r="J841" i="5" s="1"/>
  <c r="H841" i="5"/>
  <c r="J840" i="5"/>
  <c r="I840" i="5"/>
  <c r="H840" i="5"/>
  <c r="I839" i="5"/>
  <c r="J839" i="5" s="1"/>
  <c r="H839" i="5"/>
  <c r="J838" i="5"/>
  <c r="I838" i="5"/>
  <c r="H838" i="5"/>
  <c r="I837" i="5"/>
  <c r="J837" i="5" s="1"/>
  <c r="H837" i="5"/>
  <c r="J836" i="5"/>
  <c r="I836" i="5"/>
  <c r="H836" i="5"/>
  <c r="I835" i="5"/>
  <c r="J835" i="5" s="1"/>
  <c r="H835" i="5"/>
  <c r="J834" i="5"/>
  <c r="I834" i="5"/>
  <c r="H834" i="5"/>
  <c r="I833" i="5"/>
  <c r="J833" i="5" s="1"/>
  <c r="H833" i="5"/>
  <c r="J832" i="5"/>
  <c r="I832" i="5"/>
  <c r="H832" i="5"/>
  <c r="J831" i="5"/>
  <c r="I831" i="5"/>
  <c r="H831" i="5"/>
  <c r="J830" i="5"/>
  <c r="I830" i="5"/>
  <c r="H830" i="5"/>
  <c r="I829" i="5"/>
  <c r="J829" i="5" s="1"/>
  <c r="H829" i="5"/>
  <c r="J828" i="5"/>
  <c r="I828" i="5"/>
  <c r="H828" i="5"/>
  <c r="I827" i="5"/>
  <c r="J827" i="5" s="1"/>
  <c r="H827" i="5"/>
  <c r="J826" i="5"/>
  <c r="I826" i="5"/>
  <c r="H826" i="5"/>
  <c r="I825" i="5"/>
  <c r="J825" i="5" s="1"/>
  <c r="H825" i="5"/>
  <c r="J824" i="5"/>
  <c r="I824" i="5"/>
  <c r="H824" i="5"/>
  <c r="I823" i="5"/>
  <c r="J823" i="5" s="1"/>
  <c r="H823" i="5"/>
  <c r="J822" i="5"/>
  <c r="I822" i="5"/>
  <c r="H822" i="5"/>
  <c r="I821" i="5"/>
  <c r="J821" i="5" s="1"/>
  <c r="H821" i="5"/>
  <c r="J820" i="5"/>
  <c r="I820" i="5"/>
  <c r="H820" i="5"/>
  <c r="I819" i="5"/>
  <c r="J819" i="5" s="1"/>
  <c r="H819" i="5"/>
  <c r="J818" i="5"/>
  <c r="I818" i="5"/>
  <c r="H818" i="5"/>
  <c r="I817" i="5"/>
  <c r="J817" i="5" s="1"/>
  <c r="H817" i="5"/>
  <c r="J816" i="5"/>
  <c r="I816" i="5"/>
  <c r="H816" i="5"/>
  <c r="J815" i="5"/>
  <c r="I815" i="5"/>
  <c r="H815" i="5"/>
  <c r="J814" i="5"/>
  <c r="I814" i="5"/>
  <c r="H814" i="5"/>
  <c r="I813" i="5"/>
  <c r="J813" i="5" s="1"/>
  <c r="H813" i="5"/>
  <c r="J812" i="5"/>
  <c r="I812" i="5"/>
  <c r="H812" i="5"/>
  <c r="I811" i="5"/>
  <c r="J811" i="5" s="1"/>
  <c r="H811" i="5"/>
  <c r="J810" i="5"/>
  <c r="I810" i="5"/>
  <c r="H810" i="5"/>
  <c r="I809" i="5"/>
  <c r="J809" i="5" s="1"/>
  <c r="H809" i="5"/>
  <c r="J808" i="5"/>
  <c r="I808" i="5"/>
  <c r="H808" i="5"/>
  <c r="I807" i="5"/>
  <c r="J807" i="5" s="1"/>
  <c r="H807" i="5"/>
  <c r="J806" i="5"/>
  <c r="I806" i="5"/>
  <c r="H806" i="5"/>
  <c r="J805" i="5"/>
  <c r="I805" i="5"/>
  <c r="H805" i="5"/>
  <c r="I804" i="5"/>
  <c r="J804" i="5" s="1"/>
  <c r="H804" i="5"/>
  <c r="J803" i="5"/>
  <c r="I803" i="5"/>
  <c r="H803" i="5"/>
  <c r="I802" i="5"/>
  <c r="J802" i="5" s="1"/>
  <c r="H802" i="5"/>
  <c r="J801" i="5"/>
  <c r="I801" i="5"/>
  <c r="H801" i="5"/>
  <c r="I800" i="5"/>
  <c r="J800" i="5" s="1"/>
  <c r="H800" i="5"/>
  <c r="J799" i="5"/>
  <c r="I799" i="5"/>
  <c r="H799" i="5"/>
  <c r="I798" i="5"/>
  <c r="J798" i="5" s="1"/>
  <c r="H798" i="5"/>
  <c r="J797" i="5"/>
  <c r="I797" i="5"/>
  <c r="H797" i="5"/>
  <c r="I796" i="5"/>
  <c r="J796" i="5" s="1"/>
  <c r="H796" i="5"/>
  <c r="J795" i="5"/>
  <c r="I795" i="5"/>
  <c r="H795" i="5"/>
  <c r="I794" i="5"/>
  <c r="J794" i="5" s="1"/>
  <c r="H794" i="5"/>
  <c r="J793" i="5"/>
  <c r="I793" i="5"/>
  <c r="H793" i="5"/>
  <c r="I792" i="5"/>
  <c r="J792" i="5" s="1"/>
  <c r="H792" i="5"/>
  <c r="J791" i="5"/>
  <c r="I791" i="5"/>
  <c r="H791" i="5"/>
  <c r="J790" i="5"/>
  <c r="I790" i="5"/>
  <c r="H790" i="5"/>
  <c r="J789" i="5"/>
  <c r="I789" i="5"/>
  <c r="H789" i="5"/>
  <c r="I788" i="5"/>
  <c r="J788" i="5" s="1"/>
  <c r="H788" i="5"/>
  <c r="J787" i="5"/>
  <c r="I787" i="5"/>
  <c r="H787" i="5"/>
  <c r="I786" i="5"/>
  <c r="J786" i="5" s="1"/>
  <c r="H786" i="5"/>
  <c r="J785" i="5"/>
  <c r="I785" i="5"/>
  <c r="H785" i="5"/>
  <c r="I784" i="5"/>
  <c r="J784" i="5" s="1"/>
  <c r="H784" i="5"/>
  <c r="J783" i="5"/>
  <c r="I783" i="5"/>
  <c r="H783" i="5"/>
  <c r="I782" i="5"/>
  <c r="J782" i="5" s="1"/>
  <c r="H782" i="5"/>
  <c r="J781" i="5"/>
  <c r="I781" i="5"/>
  <c r="H781" i="5"/>
  <c r="I780" i="5"/>
  <c r="J780" i="5" s="1"/>
  <c r="H780" i="5"/>
  <c r="J779" i="5"/>
  <c r="I779" i="5"/>
  <c r="H779" i="5"/>
  <c r="J778" i="5"/>
  <c r="I778" i="5"/>
  <c r="H778" i="5"/>
  <c r="J777" i="5"/>
  <c r="I777" i="5"/>
  <c r="H777" i="5"/>
  <c r="I776" i="5"/>
  <c r="J776" i="5" s="1"/>
  <c r="H776" i="5"/>
  <c r="J775" i="5"/>
  <c r="I775" i="5"/>
  <c r="H775" i="5"/>
  <c r="J774" i="5"/>
  <c r="I774" i="5"/>
  <c r="H774" i="5"/>
  <c r="J773" i="5"/>
  <c r="I773" i="5"/>
  <c r="H773" i="5"/>
  <c r="I772" i="5"/>
  <c r="J772" i="5" s="1"/>
  <c r="H772" i="5"/>
  <c r="J771" i="5"/>
  <c r="I771" i="5"/>
  <c r="H771" i="5"/>
  <c r="I770" i="5"/>
  <c r="J770" i="5" s="1"/>
  <c r="H770" i="5"/>
  <c r="J769" i="5"/>
  <c r="I769" i="5"/>
  <c r="H769" i="5"/>
  <c r="I768" i="5"/>
  <c r="J768" i="5" s="1"/>
  <c r="H768" i="5"/>
  <c r="J767" i="5"/>
  <c r="I767" i="5"/>
  <c r="H767" i="5"/>
  <c r="I766" i="5"/>
  <c r="J766" i="5" s="1"/>
  <c r="H766" i="5"/>
  <c r="J765" i="5"/>
  <c r="I765" i="5"/>
  <c r="H765" i="5"/>
  <c r="I764" i="5"/>
  <c r="J764" i="5" s="1"/>
  <c r="H764" i="5"/>
  <c r="J763" i="5"/>
  <c r="I763" i="5"/>
  <c r="H763" i="5"/>
  <c r="J762" i="5"/>
  <c r="I762" i="5"/>
  <c r="H762" i="5"/>
  <c r="J761" i="5"/>
  <c r="I761" i="5"/>
  <c r="H761" i="5"/>
  <c r="J760" i="5"/>
  <c r="I760" i="5"/>
  <c r="H760" i="5"/>
  <c r="J759" i="5"/>
  <c r="I759" i="5"/>
  <c r="H759" i="5"/>
  <c r="J758" i="5"/>
  <c r="I758" i="5"/>
  <c r="H758" i="5"/>
  <c r="J757" i="5"/>
  <c r="I757" i="5"/>
  <c r="H757" i="5"/>
  <c r="I756" i="5"/>
  <c r="J756" i="5" s="1"/>
  <c r="H756" i="5"/>
  <c r="J755" i="5"/>
  <c r="I755" i="5"/>
  <c r="H755" i="5"/>
  <c r="I754" i="5"/>
  <c r="J754" i="5" s="1"/>
  <c r="H754" i="5"/>
  <c r="J753" i="5"/>
  <c r="I753" i="5"/>
  <c r="H753" i="5"/>
  <c r="I752" i="5"/>
  <c r="J752" i="5" s="1"/>
  <c r="H752" i="5"/>
  <c r="J751" i="5"/>
  <c r="I751" i="5"/>
  <c r="H751" i="5"/>
  <c r="I750" i="5"/>
  <c r="J750" i="5" s="1"/>
  <c r="H750" i="5"/>
  <c r="J749" i="5"/>
  <c r="I749" i="5"/>
  <c r="H749" i="5"/>
  <c r="J748" i="5"/>
  <c r="I748" i="5"/>
  <c r="H748" i="5"/>
  <c r="J747" i="5"/>
  <c r="I747" i="5"/>
  <c r="H747" i="5"/>
  <c r="I746" i="5"/>
  <c r="J746" i="5" s="1"/>
  <c r="H746" i="5"/>
  <c r="J745" i="5"/>
  <c r="I745" i="5"/>
  <c r="H745" i="5"/>
  <c r="I744" i="5"/>
  <c r="J744" i="5" s="1"/>
  <c r="H744" i="5"/>
  <c r="I743" i="5"/>
  <c r="J743" i="5" s="1"/>
  <c r="H743" i="5"/>
  <c r="I742" i="5"/>
  <c r="J742" i="5" s="1"/>
  <c r="H742" i="5"/>
  <c r="I741" i="5"/>
  <c r="J741" i="5" s="1"/>
  <c r="H741" i="5"/>
  <c r="J740" i="5"/>
  <c r="I740" i="5"/>
  <c r="H740" i="5"/>
  <c r="I739" i="5"/>
  <c r="J739" i="5" s="1"/>
  <c r="H739" i="5"/>
  <c r="J738" i="5"/>
  <c r="I738" i="5"/>
  <c r="H738" i="5"/>
  <c r="I737" i="5"/>
  <c r="J737" i="5" s="1"/>
  <c r="H737" i="5"/>
  <c r="J736" i="5"/>
  <c r="I736" i="5"/>
  <c r="H736" i="5"/>
  <c r="I735" i="5"/>
  <c r="J735" i="5" s="1"/>
  <c r="H735" i="5"/>
  <c r="I734" i="5"/>
  <c r="J734" i="5" s="1"/>
  <c r="H734" i="5"/>
  <c r="I733" i="5"/>
  <c r="J733" i="5" s="1"/>
  <c r="H733" i="5"/>
  <c r="J732" i="5"/>
  <c r="I732" i="5"/>
  <c r="H732" i="5"/>
  <c r="I731" i="5"/>
  <c r="J731" i="5" s="1"/>
  <c r="H731" i="5"/>
  <c r="J730" i="5"/>
  <c r="I730" i="5"/>
  <c r="H730" i="5"/>
  <c r="I729" i="5"/>
  <c r="J729" i="5" s="1"/>
  <c r="H729" i="5"/>
  <c r="J728" i="5"/>
  <c r="I728" i="5"/>
  <c r="H728" i="5"/>
  <c r="I727" i="5"/>
  <c r="J727" i="5" s="1"/>
  <c r="H727" i="5"/>
  <c r="I726" i="5"/>
  <c r="J726" i="5" s="1"/>
  <c r="H726" i="5"/>
  <c r="I725" i="5"/>
  <c r="J725" i="5" s="1"/>
  <c r="H725" i="5"/>
  <c r="J724" i="5"/>
  <c r="I724" i="5"/>
  <c r="H724" i="5"/>
  <c r="I723" i="5"/>
  <c r="J723" i="5" s="1"/>
  <c r="H723" i="5"/>
  <c r="J722" i="5"/>
  <c r="I722" i="5"/>
  <c r="H722" i="5"/>
  <c r="I721" i="5"/>
  <c r="J721" i="5" s="1"/>
  <c r="H721" i="5"/>
  <c r="J720" i="5"/>
  <c r="I720" i="5"/>
  <c r="H720" i="5"/>
  <c r="I719" i="5"/>
  <c r="J719" i="5" s="1"/>
  <c r="H719" i="5"/>
  <c r="I718" i="5"/>
  <c r="J718" i="5" s="1"/>
  <c r="H718" i="5"/>
  <c r="I717" i="5"/>
  <c r="J717" i="5" s="1"/>
  <c r="H717" i="5"/>
  <c r="I716" i="5"/>
  <c r="J716" i="5" s="1"/>
  <c r="H716" i="5"/>
  <c r="I715" i="5"/>
  <c r="J715" i="5" s="1"/>
  <c r="H715" i="5"/>
  <c r="J714" i="5"/>
  <c r="I714" i="5"/>
  <c r="H714" i="5"/>
  <c r="I713" i="5"/>
  <c r="J713" i="5" s="1"/>
  <c r="H713" i="5"/>
  <c r="I712" i="5"/>
  <c r="J712" i="5" s="1"/>
  <c r="H712" i="5"/>
  <c r="I711" i="5"/>
  <c r="J711" i="5" s="1"/>
  <c r="H711" i="5"/>
  <c r="J710" i="5"/>
  <c r="I710" i="5"/>
  <c r="H710" i="5"/>
  <c r="I709" i="5"/>
  <c r="J709" i="5" s="1"/>
  <c r="H709" i="5"/>
  <c r="I708" i="5"/>
  <c r="J708" i="5" s="1"/>
  <c r="H708" i="5"/>
  <c r="I707" i="5"/>
  <c r="J707" i="5" s="1"/>
  <c r="H707" i="5"/>
  <c r="J706" i="5"/>
  <c r="I706" i="5"/>
  <c r="H706" i="5"/>
  <c r="I705" i="5"/>
  <c r="J705" i="5" s="1"/>
  <c r="H705" i="5"/>
  <c r="I704" i="5"/>
  <c r="J704" i="5" s="1"/>
  <c r="H704" i="5"/>
  <c r="I703" i="5"/>
  <c r="J703" i="5" s="1"/>
  <c r="H703" i="5"/>
  <c r="I702" i="5"/>
  <c r="J702" i="5" s="1"/>
  <c r="H702" i="5"/>
  <c r="I701" i="5"/>
  <c r="J701" i="5" s="1"/>
  <c r="H701" i="5"/>
  <c r="I700" i="5"/>
  <c r="J700" i="5" s="1"/>
  <c r="H700" i="5"/>
  <c r="I699" i="5"/>
  <c r="J699" i="5" s="1"/>
  <c r="H699" i="5"/>
  <c r="J698" i="5"/>
  <c r="I698" i="5"/>
  <c r="H698" i="5"/>
  <c r="I697" i="5"/>
  <c r="J697" i="5" s="1"/>
  <c r="H697" i="5"/>
  <c r="I696" i="5"/>
  <c r="J696" i="5" s="1"/>
  <c r="H696" i="5"/>
  <c r="I695" i="5"/>
  <c r="J695" i="5" s="1"/>
  <c r="H695" i="5"/>
  <c r="J694" i="5"/>
  <c r="I694" i="5"/>
  <c r="H694" i="5"/>
  <c r="I693" i="5"/>
  <c r="J693" i="5" s="1"/>
  <c r="H693" i="5"/>
  <c r="I692" i="5"/>
  <c r="J692" i="5" s="1"/>
  <c r="H692" i="5"/>
  <c r="I691" i="5"/>
  <c r="J691" i="5" s="1"/>
  <c r="H691" i="5"/>
  <c r="J690" i="5"/>
  <c r="I690" i="5"/>
  <c r="H690" i="5"/>
  <c r="I689" i="5"/>
  <c r="J689" i="5" s="1"/>
  <c r="H689" i="5"/>
  <c r="I688" i="5"/>
  <c r="J688" i="5" s="1"/>
  <c r="H688" i="5"/>
  <c r="I687" i="5"/>
  <c r="J687" i="5" s="1"/>
  <c r="H687" i="5"/>
  <c r="I686" i="5"/>
  <c r="J686" i="5" s="1"/>
  <c r="H686" i="5"/>
  <c r="I685" i="5"/>
  <c r="J685" i="5" s="1"/>
  <c r="H685" i="5"/>
  <c r="I684" i="5"/>
  <c r="J684" i="5" s="1"/>
  <c r="H684" i="5"/>
  <c r="I683" i="5"/>
  <c r="J683" i="5" s="1"/>
  <c r="H683" i="5"/>
  <c r="J682" i="5"/>
  <c r="I682" i="5"/>
  <c r="H682" i="5"/>
  <c r="I681" i="5"/>
  <c r="J681" i="5" s="1"/>
  <c r="H681" i="5"/>
  <c r="I680" i="5"/>
  <c r="J680" i="5" s="1"/>
  <c r="H680" i="5"/>
  <c r="I679" i="5"/>
  <c r="J679" i="5" s="1"/>
  <c r="H679" i="5"/>
  <c r="J678" i="5"/>
  <c r="I678" i="5"/>
  <c r="H678" i="5"/>
  <c r="I677" i="5"/>
  <c r="J677" i="5" s="1"/>
  <c r="H677" i="5"/>
  <c r="J676" i="5"/>
  <c r="I676" i="5"/>
  <c r="H676" i="5"/>
  <c r="I675" i="5"/>
  <c r="J675" i="5" s="1"/>
  <c r="H675" i="5"/>
  <c r="I674" i="5"/>
  <c r="J674" i="5" s="1"/>
  <c r="H674" i="5"/>
  <c r="I673" i="5"/>
  <c r="J673" i="5" s="1"/>
  <c r="H673" i="5"/>
  <c r="I672" i="5"/>
  <c r="J672" i="5" s="1"/>
  <c r="H672" i="5"/>
  <c r="I671" i="5"/>
  <c r="J671" i="5" s="1"/>
  <c r="H671" i="5"/>
  <c r="I670" i="5"/>
  <c r="J670" i="5" s="1"/>
  <c r="H670" i="5"/>
  <c r="J669" i="5"/>
  <c r="I669" i="5"/>
  <c r="H669" i="5"/>
  <c r="I668" i="5"/>
  <c r="J668" i="5" s="1"/>
  <c r="H668" i="5"/>
  <c r="J667" i="5"/>
  <c r="I667" i="5"/>
  <c r="H667" i="5"/>
  <c r="I666" i="5"/>
  <c r="J666" i="5" s="1"/>
  <c r="H666" i="5"/>
  <c r="J665" i="5"/>
  <c r="I665" i="5"/>
  <c r="H665" i="5"/>
  <c r="I664" i="5"/>
  <c r="J664" i="5" s="1"/>
  <c r="H664" i="5"/>
  <c r="J663" i="5"/>
  <c r="I663" i="5"/>
  <c r="H663" i="5"/>
  <c r="I662" i="5"/>
  <c r="J662" i="5" s="1"/>
  <c r="H662" i="5"/>
  <c r="J661" i="5"/>
  <c r="I661" i="5"/>
  <c r="H661" i="5"/>
  <c r="I660" i="5"/>
  <c r="J660" i="5" s="1"/>
  <c r="H660" i="5"/>
  <c r="J659" i="5"/>
  <c r="I659" i="5"/>
  <c r="H659" i="5"/>
  <c r="J658" i="5"/>
  <c r="I658" i="5"/>
  <c r="H658" i="5"/>
  <c r="J657" i="5"/>
  <c r="I657" i="5"/>
  <c r="H657" i="5"/>
  <c r="J656" i="5"/>
  <c r="I656" i="5"/>
  <c r="H656" i="5"/>
  <c r="I655" i="5"/>
  <c r="J655" i="5" s="1"/>
  <c r="H655" i="5"/>
  <c r="I654" i="5"/>
  <c r="J654" i="5" s="1"/>
  <c r="H654" i="5"/>
  <c r="I653" i="5"/>
  <c r="J653" i="5" s="1"/>
  <c r="H653" i="5"/>
  <c r="I652" i="5"/>
  <c r="J652" i="5" s="1"/>
  <c r="H652" i="5"/>
  <c r="I651" i="5"/>
  <c r="J651" i="5" s="1"/>
  <c r="H651" i="5"/>
  <c r="I650" i="5"/>
  <c r="J650" i="5" s="1"/>
  <c r="H650" i="5"/>
  <c r="I649" i="5"/>
  <c r="J649" i="5" s="1"/>
  <c r="H649" i="5"/>
  <c r="I648" i="5"/>
  <c r="J648" i="5" s="1"/>
  <c r="H648" i="5"/>
  <c r="I647" i="5"/>
  <c r="J647" i="5" s="1"/>
  <c r="H647" i="5"/>
  <c r="I646" i="5"/>
  <c r="J646" i="5" s="1"/>
  <c r="H646" i="5"/>
  <c r="I645" i="5"/>
  <c r="J645" i="5" s="1"/>
  <c r="H645" i="5"/>
  <c r="J644" i="5"/>
  <c r="I644" i="5"/>
  <c r="H644" i="5"/>
  <c r="J643" i="5"/>
  <c r="I643" i="5"/>
  <c r="H643" i="5"/>
  <c r="J642" i="5"/>
  <c r="I642" i="5"/>
  <c r="H642" i="5"/>
  <c r="I641" i="5"/>
  <c r="J641" i="5" s="1"/>
  <c r="H641" i="5"/>
  <c r="I640" i="5"/>
  <c r="J640" i="5" s="1"/>
  <c r="H640" i="5"/>
  <c r="J639" i="5"/>
  <c r="I639" i="5"/>
  <c r="H639" i="5"/>
  <c r="I638" i="5"/>
  <c r="J638" i="5" s="1"/>
  <c r="H638" i="5"/>
  <c r="J637" i="5"/>
  <c r="I637" i="5"/>
  <c r="H637" i="5"/>
  <c r="I636" i="5"/>
  <c r="J636" i="5" s="1"/>
  <c r="H636" i="5"/>
  <c r="I635" i="5"/>
  <c r="J635" i="5" s="1"/>
  <c r="H635" i="5"/>
  <c r="J634" i="5"/>
  <c r="I634" i="5"/>
  <c r="H634" i="5"/>
  <c r="J633" i="5"/>
  <c r="I633" i="5"/>
  <c r="H633" i="5"/>
  <c r="J632" i="5"/>
  <c r="I632" i="5"/>
  <c r="H632" i="5"/>
  <c r="J631" i="5"/>
  <c r="I631" i="5"/>
  <c r="H631" i="5"/>
  <c r="I630" i="5"/>
  <c r="J630" i="5" s="1"/>
  <c r="H630" i="5"/>
  <c r="J629" i="5"/>
  <c r="I629" i="5"/>
  <c r="H629" i="5"/>
  <c r="J628" i="5"/>
  <c r="I628" i="5"/>
  <c r="H628" i="5"/>
  <c r="I627" i="5"/>
  <c r="J627" i="5" s="1"/>
  <c r="H627" i="5"/>
  <c r="I626" i="5"/>
  <c r="J626" i="5" s="1"/>
  <c r="H626" i="5"/>
  <c r="I625" i="5"/>
  <c r="J625" i="5" s="1"/>
  <c r="H625" i="5"/>
  <c r="I624" i="5"/>
  <c r="J624" i="5" s="1"/>
  <c r="H624" i="5"/>
  <c r="J623" i="5"/>
  <c r="I623" i="5"/>
  <c r="H623" i="5"/>
  <c r="J622" i="5"/>
  <c r="I622" i="5"/>
  <c r="H622" i="5"/>
  <c r="J621" i="5"/>
  <c r="I621" i="5"/>
  <c r="H621" i="5"/>
  <c r="I620" i="5"/>
  <c r="J620" i="5" s="1"/>
  <c r="H620" i="5"/>
  <c r="J619" i="5"/>
  <c r="I619" i="5"/>
  <c r="H619" i="5"/>
  <c r="J618" i="5"/>
  <c r="I618" i="5"/>
  <c r="H618" i="5"/>
  <c r="J617" i="5"/>
  <c r="I617" i="5"/>
  <c r="H617" i="5"/>
  <c r="I616" i="5"/>
  <c r="J616" i="5" s="1"/>
  <c r="H616" i="5"/>
  <c r="J615" i="5"/>
  <c r="I615" i="5"/>
  <c r="H615" i="5"/>
  <c r="J614" i="5"/>
  <c r="I614" i="5"/>
  <c r="H614" i="5"/>
  <c r="J613" i="5"/>
  <c r="I613" i="5"/>
  <c r="H613" i="5"/>
  <c r="I612" i="5"/>
  <c r="J612" i="5" s="1"/>
  <c r="H612" i="5"/>
  <c r="I611" i="5"/>
  <c r="J611" i="5" s="1"/>
  <c r="H611" i="5"/>
  <c r="I610" i="5"/>
  <c r="J610" i="5" s="1"/>
  <c r="H610" i="5"/>
  <c r="I609" i="5"/>
  <c r="J609" i="5" s="1"/>
  <c r="H609" i="5"/>
  <c r="I608" i="5"/>
  <c r="J608" i="5" s="1"/>
  <c r="H608" i="5"/>
  <c r="I607" i="5"/>
  <c r="J607" i="5" s="1"/>
  <c r="H607" i="5"/>
  <c r="I606" i="5"/>
  <c r="J606" i="5" s="1"/>
  <c r="H606" i="5"/>
  <c r="J605" i="5"/>
  <c r="I605" i="5"/>
  <c r="H605" i="5"/>
  <c r="I604" i="5"/>
  <c r="J604" i="5" s="1"/>
  <c r="H604" i="5"/>
  <c r="I603" i="5"/>
  <c r="J603" i="5" s="1"/>
  <c r="H603" i="5"/>
  <c r="I602" i="5"/>
  <c r="J602" i="5" s="1"/>
  <c r="H602" i="5"/>
  <c r="I601" i="5"/>
  <c r="J601" i="5" s="1"/>
  <c r="H601" i="5"/>
  <c r="I600" i="5"/>
  <c r="J600" i="5" s="1"/>
  <c r="H600" i="5"/>
  <c r="I599" i="5"/>
  <c r="J599" i="5" s="1"/>
  <c r="H599" i="5"/>
  <c r="I598" i="5"/>
  <c r="J598" i="5" s="1"/>
  <c r="H598" i="5"/>
  <c r="I597" i="5"/>
  <c r="J597" i="5" s="1"/>
  <c r="H597" i="5"/>
  <c r="I596" i="5"/>
  <c r="J596" i="5" s="1"/>
  <c r="H596" i="5"/>
  <c r="I595" i="5"/>
  <c r="J595" i="5" s="1"/>
  <c r="H595" i="5"/>
  <c r="I594" i="5"/>
  <c r="J594" i="5" s="1"/>
  <c r="H594" i="5"/>
  <c r="I593" i="5"/>
  <c r="J593" i="5" s="1"/>
  <c r="H593" i="5"/>
  <c r="I592" i="5"/>
  <c r="J592" i="5" s="1"/>
  <c r="H592" i="5"/>
  <c r="I591" i="5"/>
  <c r="J591" i="5" s="1"/>
  <c r="H591" i="5"/>
  <c r="I590" i="5"/>
  <c r="J590" i="5" s="1"/>
  <c r="H590" i="5"/>
  <c r="I589" i="5"/>
  <c r="J589" i="5" s="1"/>
  <c r="H589" i="5"/>
  <c r="I588" i="5"/>
  <c r="J588" i="5" s="1"/>
  <c r="H588" i="5"/>
  <c r="I587" i="5"/>
  <c r="J587" i="5" s="1"/>
  <c r="H587" i="5"/>
  <c r="I586" i="5"/>
  <c r="J586" i="5" s="1"/>
  <c r="H586" i="5"/>
  <c r="I585" i="5"/>
  <c r="J585" i="5" s="1"/>
  <c r="H585" i="5"/>
  <c r="I584" i="5"/>
  <c r="J584" i="5" s="1"/>
  <c r="H584" i="5"/>
  <c r="I583" i="5"/>
  <c r="J583" i="5" s="1"/>
  <c r="H583" i="5"/>
  <c r="I582" i="5"/>
  <c r="J582" i="5" s="1"/>
  <c r="H582" i="5"/>
  <c r="I581" i="5"/>
  <c r="J581" i="5" s="1"/>
  <c r="H581" i="5"/>
  <c r="I580" i="5"/>
  <c r="J580" i="5" s="1"/>
  <c r="H580" i="5"/>
  <c r="I579" i="5"/>
  <c r="J579" i="5" s="1"/>
  <c r="H579" i="5"/>
  <c r="I578" i="5"/>
  <c r="J578" i="5" s="1"/>
  <c r="H578" i="5"/>
  <c r="I577" i="5"/>
  <c r="J577" i="5" s="1"/>
  <c r="H577" i="5"/>
  <c r="I576" i="5"/>
  <c r="J576" i="5" s="1"/>
  <c r="H576" i="5"/>
  <c r="I575" i="5"/>
  <c r="J575" i="5" s="1"/>
  <c r="H575" i="5"/>
  <c r="I574" i="5"/>
  <c r="J574" i="5" s="1"/>
  <c r="H574" i="5"/>
  <c r="I573" i="5"/>
  <c r="J573" i="5" s="1"/>
  <c r="H573" i="5"/>
  <c r="I572" i="5"/>
  <c r="J572" i="5" s="1"/>
  <c r="H572" i="5"/>
  <c r="I571" i="5"/>
  <c r="J571" i="5" s="1"/>
  <c r="H571" i="5"/>
  <c r="I570" i="5"/>
  <c r="J570" i="5" s="1"/>
  <c r="H570" i="5"/>
  <c r="I569" i="5"/>
  <c r="J569" i="5" s="1"/>
  <c r="H569" i="5"/>
  <c r="I568" i="5"/>
  <c r="J568" i="5" s="1"/>
  <c r="H568" i="5"/>
  <c r="I567" i="5"/>
  <c r="J567" i="5" s="1"/>
  <c r="H567" i="5"/>
  <c r="I566" i="5"/>
  <c r="J566" i="5" s="1"/>
  <c r="H566" i="5"/>
  <c r="I565" i="5"/>
  <c r="J565" i="5" s="1"/>
  <c r="H565" i="5"/>
  <c r="I564" i="5"/>
  <c r="J564" i="5" s="1"/>
  <c r="H564" i="5"/>
  <c r="I563" i="5"/>
  <c r="J563" i="5" s="1"/>
  <c r="H563" i="5"/>
  <c r="I562" i="5"/>
  <c r="J562" i="5" s="1"/>
  <c r="H562" i="5"/>
  <c r="I561" i="5"/>
  <c r="J561" i="5" s="1"/>
  <c r="H561" i="5"/>
  <c r="I560" i="5"/>
  <c r="J560" i="5" s="1"/>
  <c r="H560" i="5"/>
  <c r="I559" i="5"/>
  <c r="J559" i="5" s="1"/>
  <c r="H559" i="5"/>
  <c r="I558" i="5"/>
  <c r="J558" i="5" s="1"/>
  <c r="H558" i="5"/>
  <c r="I557" i="5"/>
  <c r="J557" i="5" s="1"/>
  <c r="H557" i="5"/>
  <c r="I556" i="5"/>
  <c r="J556" i="5" s="1"/>
  <c r="H556" i="5"/>
  <c r="I555" i="5"/>
  <c r="J555" i="5" s="1"/>
  <c r="H555" i="5"/>
  <c r="I554" i="5"/>
  <c r="J554" i="5" s="1"/>
  <c r="H554" i="5"/>
  <c r="I553" i="5"/>
  <c r="J553" i="5" s="1"/>
  <c r="H553" i="5"/>
  <c r="I552" i="5"/>
  <c r="J552" i="5" s="1"/>
  <c r="H552" i="5"/>
  <c r="I551" i="5"/>
  <c r="J551" i="5" s="1"/>
  <c r="H551" i="5"/>
  <c r="I550" i="5"/>
  <c r="J550" i="5" s="1"/>
  <c r="H550" i="5"/>
  <c r="I549" i="5"/>
  <c r="J549" i="5" s="1"/>
  <c r="H549" i="5"/>
  <c r="I548" i="5"/>
  <c r="J548" i="5" s="1"/>
  <c r="H548" i="5"/>
  <c r="I547" i="5"/>
  <c r="J547" i="5" s="1"/>
  <c r="H547" i="5"/>
  <c r="I546" i="5"/>
  <c r="J546" i="5" s="1"/>
  <c r="H546" i="5"/>
  <c r="I545" i="5"/>
  <c r="J545" i="5" s="1"/>
  <c r="H545" i="5"/>
  <c r="I544" i="5"/>
  <c r="J544" i="5" s="1"/>
  <c r="H544" i="5"/>
  <c r="I543" i="5"/>
  <c r="J543" i="5" s="1"/>
  <c r="H543" i="5"/>
  <c r="I542" i="5"/>
  <c r="J542" i="5" s="1"/>
  <c r="H542" i="5"/>
  <c r="I541" i="5"/>
  <c r="J541" i="5" s="1"/>
  <c r="H541" i="5"/>
  <c r="I540" i="5"/>
  <c r="J540" i="5" s="1"/>
  <c r="H540" i="5"/>
  <c r="J539" i="5"/>
  <c r="I539" i="5"/>
  <c r="H539" i="5"/>
  <c r="I538" i="5"/>
  <c r="J538" i="5" s="1"/>
  <c r="H538" i="5"/>
  <c r="I537" i="5"/>
  <c r="J537" i="5" s="1"/>
  <c r="H537" i="5"/>
  <c r="I536" i="5"/>
  <c r="J536" i="5" s="1"/>
  <c r="H536" i="5"/>
  <c r="I535" i="5"/>
  <c r="J535" i="5" s="1"/>
  <c r="H535" i="5"/>
  <c r="I534" i="5"/>
  <c r="J534" i="5" s="1"/>
  <c r="H534" i="5"/>
  <c r="I533" i="5"/>
  <c r="J533" i="5" s="1"/>
  <c r="H533" i="5"/>
  <c r="I532" i="5"/>
  <c r="J532" i="5" s="1"/>
  <c r="H532" i="5"/>
  <c r="I531" i="5"/>
  <c r="J531" i="5" s="1"/>
  <c r="H531" i="5"/>
  <c r="I530" i="5"/>
  <c r="J530" i="5" s="1"/>
  <c r="H530" i="5"/>
  <c r="I529" i="5"/>
  <c r="J529" i="5" s="1"/>
  <c r="H529" i="5"/>
  <c r="I528" i="5"/>
  <c r="J528" i="5" s="1"/>
  <c r="H528" i="5"/>
  <c r="I527" i="5"/>
  <c r="J527" i="5" s="1"/>
  <c r="H527" i="5"/>
  <c r="I526" i="5"/>
  <c r="J526" i="5" s="1"/>
  <c r="H526" i="5"/>
  <c r="I525" i="5"/>
  <c r="J525" i="5" s="1"/>
  <c r="H525" i="5"/>
  <c r="I524" i="5"/>
  <c r="J524" i="5" s="1"/>
  <c r="H524" i="5"/>
  <c r="I523" i="5"/>
  <c r="J523" i="5" s="1"/>
  <c r="H523" i="5"/>
  <c r="I522" i="5"/>
  <c r="J522" i="5" s="1"/>
  <c r="H522" i="5"/>
  <c r="I521" i="5"/>
  <c r="J521" i="5" s="1"/>
  <c r="H521" i="5"/>
  <c r="I520" i="5"/>
  <c r="J520" i="5" s="1"/>
  <c r="H520" i="5"/>
  <c r="I519" i="5"/>
  <c r="J519" i="5" s="1"/>
  <c r="H519" i="5"/>
  <c r="J518" i="5"/>
  <c r="I518" i="5"/>
  <c r="H518" i="5"/>
  <c r="I517" i="5"/>
  <c r="J517" i="5" s="1"/>
  <c r="H517" i="5"/>
  <c r="J516" i="5"/>
  <c r="I516" i="5"/>
  <c r="H516" i="5"/>
  <c r="I515" i="5"/>
  <c r="J515" i="5" s="1"/>
  <c r="H515" i="5"/>
  <c r="I514" i="5"/>
  <c r="J514" i="5" s="1"/>
  <c r="H514" i="5"/>
  <c r="I513" i="5"/>
  <c r="J513" i="5" s="1"/>
  <c r="H513" i="5"/>
  <c r="I512" i="5"/>
  <c r="J512" i="5" s="1"/>
  <c r="H512" i="5"/>
  <c r="I511" i="5"/>
  <c r="J511" i="5" s="1"/>
  <c r="H511" i="5"/>
  <c r="J510" i="5"/>
  <c r="I510" i="5"/>
  <c r="H510" i="5"/>
  <c r="I509" i="5"/>
  <c r="J509" i="5" s="1"/>
  <c r="H509" i="5"/>
  <c r="I508" i="5"/>
  <c r="J508" i="5" s="1"/>
  <c r="H508" i="5"/>
  <c r="I507" i="5"/>
  <c r="J507" i="5" s="1"/>
  <c r="H507" i="5"/>
  <c r="I506" i="5"/>
  <c r="J506" i="5" s="1"/>
  <c r="H506" i="5"/>
  <c r="I505" i="5"/>
  <c r="J505" i="5" s="1"/>
  <c r="H505" i="5"/>
  <c r="J504" i="5"/>
  <c r="I504" i="5"/>
  <c r="H504" i="5"/>
  <c r="I503" i="5"/>
  <c r="J503" i="5" s="1"/>
  <c r="H503" i="5"/>
  <c r="J502" i="5"/>
  <c r="I502" i="5"/>
  <c r="H502" i="5"/>
  <c r="I501" i="5"/>
  <c r="J501" i="5" s="1"/>
  <c r="H501" i="5"/>
  <c r="J500" i="5"/>
  <c r="I500" i="5"/>
  <c r="H500" i="5"/>
  <c r="I499" i="5"/>
  <c r="J499" i="5" s="1"/>
  <c r="H499" i="5"/>
  <c r="J498" i="5"/>
  <c r="I498" i="5"/>
  <c r="H498" i="5"/>
  <c r="I497" i="5"/>
  <c r="J497" i="5" s="1"/>
  <c r="H497" i="5"/>
  <c r="J496" i="5"/>
  <c r="I496" i="5"/>
  <c r="H496" i="5"/>
  <c r="I495" i="5"/>
  <c r="J495" i="5" s="1"/>
  <c r="H495" i="5"/>
  <c r="J494" i="5"/>
  <c r="I494" i="5"/>
  <c r="H494" i="5"/>
  <c r="I493" i="5"/>
  <c r="J493" i="5" s="1"/>
  <c r="H493" i="5"/>
  <c r="J492" i="5"/>
  <c r="I492" i="5"/>
  <c r="H492" i="5"/>
  <c r="I491" i="5"/>
  <c r="J491" i="5" s="1"/>
  <c r="H491" i="5"/>
  <c r="J490" i="5"/>
  <c r="I490" i="5"/>
  <c r="H490" i="5"/>
  <c r="I489" i="5"/>
  <c r="J489" i="5" s="1"/>
  <c r="H489" i="5"/>
  <c r="J488" i="5"/>
  <c r="I488" i="5"/>
  <c r="H488" i="5"/>
  <c r="I487" i="5"/>
  <c r="J487" i="5" s="1"/>
  <c r="H487" i="5"/>
  <c r="I486" i="5"/>
  <c r="J486" i="5" s="1"/>
  <c r="H486" i="5"/>
  <c r="I485" i="5"/>
  <c r="J485" i="5" s="1"/>
  <c r="H485" i="5"/>
  <c r="I484" i="5"/>
  <c r="J484" i="5" s="1"/>
  <c r="H484" i="5"/>
  <c r="I483" i="5"/>
  <c r="J483" i="5" s="1"/>
  <c r="H483" i="5"/>
  <c r="I482" i="5"/>
  <c r="J482" i="5" s="1"/>
  <c r="H482" i="5"/>
  <c r="I481" i="5"/>
  <c r="J481" i="5" s="1"/>
  <c r="H481" i="5"/>
  <c r="J480" i="5"/>
  <c r="I480" i="5"/>
  <c r="H480" i="5"/>
  <c r="I479" i="5"/>
  <c r="J479" i="5" s="1"/>
  <c r="H479" i="5"/>
  <c r="I478" i="5"/>
  <c r="J478" i="5" s="1"/>
  <c r="H478" i="5"/>
  <c r="I477" i="5"/>
  <c r="J477" i="5" s="1"/>
  <c r="H477" i="5"/>
  <c r="I476" i="5"/>
  <c r="J476" i="5" s="1"/>
  <c r="H476" i="5"/>
  <c r="I475" i="5"/>
  <c r="J475" i="5" s="1"/>
  <c r="H475" i="5"/>
  <c r="I474" i="5"/>
  <c r="J474" i="5" s="1"/>
  <c r="H474" i="5"/>
  <c r="I473" i="5"/>
  <c r="J473" i="5" s="1"/>
  <c r="H473" i="5"/>
  <c r="J472" i="5"/>
  <c r="I472" i="5"/>
  <c r="H472" i="5"/>
  <c r="I471" i="5"/>
  <c r="J471" i="5" s="1"/>
  <c r="H471" i="5"/>
  <c r="I470" i="5"/>
  <c r="J470" i="5" s="1"/>
  <c r="H470" i="5"/>
  <c r="I469" i="5"/>
  <c r="J469" i="5" s="1"/>
  <c r="H469" i="5"/>
  <c r="I468" i="5"/>
  <c r="J468" i="5" s="1"/>
  <c r="H468" i="5"/>
  <c r="I467" i="5"/>
  <c r="J467" i="5" s="1"/>
  <c r="H467" i="5"/>
  <c r="I466" i="5"/>
  <c r="J466" i="5" s="1"/>
  <c r="H466" i="5"/>
  <c r="I465" i="5"/>
  <c r="J465" i="5" s="1"/>
  <c r="H465" i="5"/>
  <c r="J464" i="5"/>
  <c r="I464" i="5"/>
  <c r="H464" i="5"/>
  <c r="I463" i="5"/>
  <c r="J463" i="5" s="1"/>
  <c r="H463" i="5"/>
  <c r="I462" i="5"/>
  <c r="J462" i="5" s="1"/>
  <c r="H462" i="5"/>
  <c r="J461" i="5"/>
  <c r="I461" i="5"/>
  <c r="H461" i="5"/>
  <c r="J460" i="5"/>
  <c r="I460" i="5"/>
  <c r="H460" i="5"/>
  <c r="I459" i="5"/>
  <c r="J459" i="5" s="1"/>
  <c r="H459" i="5"/>
  <c r="J458" i="5"/>
  <c r="I458" i="5"/>
  <c r="H458" i="5"/>
  <c r="I457" i="5"/>
  <c r="J457" i="5" s="1"/>
  <c r="H457" i="5"/>
  <c r="I456" i="5"/>
  <c r="J456" i="5" s="1"/>
  <c r="H456" i="5"/>
  <c r="I455" i="5"/>
  <c r="J455" i="5" s="1"/>
  <c r="H455" i="5"/>
  <c r="I454" i="5"/>
  <c r="J454" i="5" s="1"/>
  <c r="H454" i="5"/>
  <c r="I453" i="5"/>
  <c r="J453" i="5" s="1"/>
  <c r="H453" i="5"/>
  <c r="I452" i="5"/>
  <c r="J452" i="5" s="1"/>
  <c r="H452" i="5"/>
  <c r="I451" i="5"/>
  <c r="J451" i="5" s="1"/>
  <c r="H451" i="5"/>
  <c r="I450" i="5"/>
  <c r="J450" i="5" s="1"/>
  <c r="H450" i="5"/>
  <c r="I449" i="5"/>
  <c r="J449" i="5" s="1"/>
  <c r="H449" i="5"/>
  <c r="I448" i="5"/>
  <c r="J448" i="5" s="1"/>
  <c r="H448" i="5"/>
  <c r="J447" i="5"/>
  <c r="I447" i="5"/>
  <c r="H447" i="5"/>
  <c r="I446" i="5"/>
  <c r="J446" i="5" s="1"/>
  <c r="H446" i="5"/>
  <c r="I445" i="5"/>
  <c r="J445" i="5" s="1"/>
  <c r="H445" i="5"/>
  <c r="I444" i="5"/>
  <c r="J444" i="5" s="1"/>
  <c r="H444" i="5"/>
  <c r="I443" i="5"/>
  <c r="J443" i="5" s="1"/>
  <c r="H443" i="5"/>
  <c r="J442" i="5"/>
  <c r="I442" i="5"/>
  <c r="H442" i="5"/>
  <c r="I441" i="5"/>
  <c r="J441" i="5" s="1"/>
  <c r="H441" i="5"/>
  <c r="J440" i="5"/>
  <c r="I440" i="5"/>
  <c r="H440" i="5"/>
  <c r="I439" i="5"/>
  <c r="J439" i="5" s="1"/>
  <c r="H439" i="5"/>
  <c r="J438" i="5"/>
  <c r="I438" i="5"/>
  <c r="H438" i="5"/>
  <c r="I437" i="5"/>
  <c r="J437" i="5" s="1"/>
  <c r="H437" i="5"/>
  <c r="I436" i="5"/>
  <c r="J436" i="5" s="1"/>
  <c r="H436" i="5"/>
  <c r="I435" i="5"/>
  <c r="J435" i="5" s="1"/>
  <c r="H435" i="5"/>
  <c r="I434" i="5"/>
  <c r="J434" i="5" s="1"/>
  <c r="H434" i="5"/>
  <c r="I433" i="5"/>
  <c r="J433" i="5" s="1"/>
  <c r="H433" i="5"/>
  <c r="I432" i="5"/>
  <c r="J432" i="5" s="1"/>
  <c r="H432" i="5"/>
  <c r="I431" i="5"/>
  <c r="J431" i="5" s="1"/>
  <c r="H431" i="5"/>
  <c r="I430" i="5"/>
  <c r="J430" i="5" s="1"/>
  <c r="H430" i="5"/>
  <c r="I429" i="5"/>
  <c r="J429" i="5" s="1"/>
  <c r="H429" i="5"/>
  <c r="I428" i="5"/>
  <c r="J428" i="5" s="1"/>
  <c r="H428" i="5"/>
  <c r="I427" i="5"/>
  <c r="J427" i="5" s="1"/>
  <c r="H427" i="5"/>
  <c r="I426" i="5"/>
  <c r="J426" i="5" s="1"/>
  <c r="H426" i="5"/>
  <c r="I425" i="5"/>
  <c r="J425" i="5" s="1"/>
  <c r="H425" i="5"/>
  <c r="I424" i="5"/>
  <c r="J424" i="5" s="1"/>
  <c r="H424" i="5"/>
  <c r="I423" i="5"/>
  <c r="J423" i="5" s="1"/>
  <c r="H423" i="5"/>
  <c r="I422" i="5"/>
  <c r="J422" i="5" s="1"/>
  <c r="H422" i="5"/>
  <c r="I421" i="5"/>
  <c r="J421" i="5" s="1"/>
  <c r="H421" i="5"/>
  <c r="I420" i="5"/>
  <c r="J420" i="5" s="1"/>
  <c r="H420" i="5"/>
  <c r="I419" i="5"/>
  <c r="J419" i="5" s="1"/>
  <c r="H419" i="5"/>
  <c r="I418" i="5"/>
  <c r="J418" i="5" s="1"/>
  <c r="H418" i="5"/>
  <c r="I417" i="5"/>
  <c r="J417" i="5" s="1"/>
  <c r="H417" i="5"/>
  <c r="I416" i="5"/>
  <c r="J416" i="5" s="1"/>
  <c r="H416" i="5"/>
  <c r="I415" i="5"/>
  <c r="J415" i="5" s="1"/>
  <c r="H415" i="5"/>
  <c r="I414" i="5"/>
  <c r="J414" i="5" s="1"/>
  <c r="H414" i="5"/>
  <c r="I413" i="5"/>
  <c r="J413" i="5" s="1"/>
  <c r="H413" i="5"/>
  <c r="I412" i="5"/>
  <c r="J412" i="5" s="1"/>
  <c r="H412" i="5"/>
  <c r="J411" i="5"/>
  <c r="I411" i="5"/>
  <c r="H411" i="5"/>
  <c r="I410" i="5"/>
  <c r="J410" i="5" s="1"/>
  <c r="H410" i="5"/>
  <c r="I409" i="5"/>
  <c r="J409" i="5" s="1"/>
  <c r="H409" i="5"/>
  <c r="I408" i="5"/>
  <c r="J408" i="5" s="1"/>
  <c r="H408" i="5"/>
  <c r="J407" i="5"/>
  <c r="I407" i="5"/>
  <c r="H407" i="5"/>
  <c r="I406" i="5"/>
  <c r="J406" i="5" s="1"/>
  <c r="H406" i="5"/>
  <c r="J405" i="5"/>
  <c r="I405" i="5"/>
  <c r="H405" i="5"/>
  <c r="I404" i="5"/>
  <c r="J404" i="5" s="1"/>
  <c r="H404" i="5"/>
  <c r="J403" i="5"/>
  <c r="I403" i="5"/>
  <c r="H403" i="5"/>
  <c r="I402" i="5"/>
  <c r="J402" i="5" s="1"/>
  <c r="H402" i="5"/>
  <c r="I401" i="5"/>
  <c r="J401" i="5" s="1"/>
  <c r="H401" i="5"/>
  <c r="I400" i="5"/>
  <c r="J400" i="5" s="1"/>
  <c r="H400" i="5"/>
  <c r="I399" i="5"/>
  <c r="J399" i="5" s="1"/>
  <c r="H399" i="5"/>
  <c r="I398" i="5"/>
  <c r="J398" i="5" s="1"/>
  <c r="H398" i="5"/>
  <c r="I397" i="5"/>
  <c r="J397" i="5" s="1"/>
  <c r="H397" i="5"/>
  <c r="I396" i="5"/>
  <c r="J396" i="5" s="1"/>
  <c r="H396" i="5"/>
  <c r="I395" i="5"/>
  <c r="J395" i="5" s="1"/>
  <c r="H395" i="5"/>
  <c r="I394" i="5"/>
  <c r="J394" i="5" s="1"/>
  <c r="H394" i="5"/>
  <c r="J393" i="5"/>
  <c r="I393" i="5"/>
  <c r="H393" i="5"/>
  <c r="I392" i="5"/>
  <c r="J392" i="5" s="1"/>
  <c r="H392" i="5"/>
  <c r="I391" i="5"/>
  <c r="J391" i="5" s="1"/>
  <c r="H391" i="5"/>
  <c r="I390" i="5"/>
  <c r="J390" i="5" s="1"/>
  <c r="H390" i="5"/>
  <c r="J389" i="5"/>
  <c r="I389" i="5"/>
  <c r="H389" i="5"/>
  <c r="J388" i="5"/>
  <c r="I388" i="5"/>
  <c r="H388" i="5"/>
  <c r="I387" i="5"/>
  <c r="J387" i="5" s="1"/>
  <c r="H387" i="5"/>
  <c r="I386" i="5"/>
  <c r="J386" i="5" s="1"/>
  <c r="H386" i="5"/>
  <c r="J385" i="5"/>
  <c r="I385" i="5"/>
  <c r="H385" i="5"/>
  <c r="I384" i="5"/>
  <c r="J384" i="5" s="1"/>
  <c r="H384" i="5"/>
  <c r="I383" i="5"/>
  <c r="J383" i="5" s="1"/>
  <c r="H383" i="5"/>
  <c r="I382" i="5"/>
  <c r="J382" i="5" s="1"/>
  <c r="H382" i="5"/>
  <c r="I381" i="5"/>
  <c r="J381" i="5" s="1"/>
  <c r="H381" i="5"/>
  <c r="J380" i="5"/>
  <c r="I380" i="5"/>
  <c r="H380" i="5"/>
  <c r="I379" i="5"/>
  <c r="J379" i="5" s="1"/>
  <c r="H379" i="5"/>
  <c r="I378" i="5"/>
  <c r="J378" i="5" s="1"/>
  <c r="H378" i="5"/>
  <c r="J377" i="5"/>
  <c r="I377" i="5"/>
  <c r="H377" i="5"/>
  <c r="J376" i="5"/>
  <c r="I376" i="5"/>
  <c r="H376" i="5"/>
  <c r="I375" i="5"/>
  <c r="J375" i="5" s="1"/>
  <c r="H375" i="5"/>
  <c r="I374" i="5"/>
  <c r="J374" i="5" s="1"/>
  <c r="H374" i="5"/>
  <c r="I373" i="5"/>
  <c r="J373" i="5" s="1"/>
  <c r="H373" i="5"/>
  <c r="J372" i="5"/>
  <c r="I372" i="5"/>
  <c r="H372" i="5"/>
  <c r="I371" i="5"/>
  <c r="J371" i="5" s="1"/>
  <c r="H371" i="5"/>
  <c r="J370" i="5"/>
  <c r="I370" i="5"/>
  <c r="H370" i="5"/>
  <c r="I369" i="5"/>
  <c r="J369" i="5" s="1"/>
  <c r="H369" i="5"/>
  <c r="J368" i="5"/>
  <c r="I368" i="5"/>
  <c r="H368" i="5"/>
  <c r="I367" i="5"/>
  <c r="J367" i="5" s="1"/>
  <c r="H367" i="5"/>
  <c r="J366" i="5"/>
  <c r="I366" i="5"/>
  <c r="H366" i="5"/>
  <c r="I365" i="5"/>
  <c r="J365" i="5" s="1"/>
  <c r="H365" i="5"/>
  <c r="J364" i="5"/>
  <c r="I364" i="5"/>
  <c r="H364" i="5"/>
  <c r="I363" i="5"/>
  <c r="J363" i="5" s="1"/>
  <c r="H363" i="5"/>
  <c r="J362" i="5"/>
  <c r="I362" i="5"/>
  <c r="H362" i="5"/>
  <c r="I361" i="5"/>
  <c r="J361" i="5" s="1"/>
  <c r="H361" i="5"/>
  <c r="J360" i="5"/>
  <c r="I360" i="5"/>
  <c r="H360" i="5"/>
  <c r="I359" i="5"/>
  <c r="J359" i="5" s="1"/>
  <c r="H359" i="5"/>
  <c r="I358" i="5"/>
  <c r="J358" i="5" s="1"/>
  <c r="H358" i="5"/>
  <c r="I357" i="5"/>
  <c r="J357" i="5" s="1"/>
  <c r="H357" i="5"/>
  <c r="J356" i="5"/>
  <c r="I356" i="5"/>
  <c r="H356" i="5"/>
  <c r="I355" i="5"/>
  <c r="J355" i="5" s="1"/>
  <c r="H355" i="5"/>
  <c r="J354" i="5"/>
  <c r="I354" i="5"/>
  <c r="H354" i="5"/>
  <c r="I353" i="5"/>
  <c r="J353" i="5" s="1"/>
  <c r="H353" i="5"/>
  <c r="I352" i="5"/>
  <c r="J352" i="5" s="1"/>
  <c r="H352" i="5"/>
  <c r="I351" i="5"/>
  <c r="J351" i="5" s="1"/>
  <c r="H351" i="5"/>
  <c r="J350" i="5"/>
  <c r="I350" i="5"/>
  <c r="H350" i="5"/>
  <c r="I349" i="5"/>
  <c r="J349" i="5" s="1"/>
  <c r="H349" i="5"/>
  <c r="I348" i="5"/>
  <c r="J348" i="5" s="1"/>
  <c r="H348" i="5"/>
  <c r="I347" i="5"/>
  <c r="J347" i="5" s="1"/>
  <c r="H347" i="5"/>
  <c r="I346" i="5"/>
  <c r="J346" i="5" s="1"/>
  <c r="H346" i="5"/>
  <c r="I345" i="5"/>
  <c r="J345" i="5" s="1"/>
  <c r="H345" i="5"/>
  <c r="I344" i="5"/>
  <c r="J344" i="5" s="1"/>
  <c r="H344" i="5"/>
  <c r="I343" i="5"/>
  <c r="J343" i="5" s="1"/>
  <c r="H343" i="5"/>
  <c r="I342" i="5"/>
  <c r="J342" i="5" s="1"/>
  <c r="H342" i="5"/>
  <c r="I341" i="5"/>
  <c r="J341" i="5" s="1"/>
  <c r="H341" i="5"/>
  <c r="J340" i="5"/>
  <c r="I340" i="5"/>
  <c r="H340" i="5"/>
  <c r="I339" i="5"/>
  <c r="J339" i="5" s="1"/>
  <c r="H339" i="5"/>
  <c r="J338" i="5"/>
  <c r="I338" i="5"/>
  <c r="H338" i="5"/>
  <c r="I337" i="5"/>
  <c r="J337" i="5" s="1"/>
  <c r="H337" i="5"/>
  <c r="I336" i="5"/>
  <c r="J336" i="5" s="1"/>
  <c r="H336" i="5"/>
  <c r="I335" i="5"/>
  <c r="J335" i="5" s="1"/>
  <c r="H335" i="5"/>
  <c r="J334" i="5"/>
  <c r="I334" i="5"/>
  <c r="H334" i="5"/>
  <c r="I333" i="5"/>
  <c r="J333" i="5" s="1"/>
  <c r="H333" i="5"/>
  <c r="I332" i="5"/>
  <c r="J332" i="5" s="1"/>
  <c r="H332" i="5"/>
  <c r="I331" i="5"/>
  <c r="J331" i="5" s="1"/>
  <c r="H331" i="5"/>
  <c r="I330" i="5"/>
  <c r="J330" i="5" s="1"/>
  <c r="H330" i="5"/>
  <c r="I329" i="5"/>
  <c r="J329" i="5" s="1"/>
  <c r="H329" i="5"/>
  <c r="I328" i="5"/>
  <c r="J328" i="5" s="1"/>
  <c r="H328" i="5"/>
  <c r="I327" i="5"/>
  <c r="J327" i="5" s="1"/>
  <c r="H327" i="5"/>
  <c r="I326" i="5"/>
  <c r="J326" i="5" s="1"/>
  <c r="H326" i="5"/>
  <c r="I325" i="5"/>
  <c r="J325" i="5" s="1"/>
  <c r="H325" i="5"/>
  <c r="J324" i="5"/>
  <c r="I324" i="5"/>
  <c r="H324" i="5"/>
  <c r="I323" i="5"/>
  <c r="J323" i="5" s="1"/>
  <c r="H323" i="5"/>
  <c r="J322" i="5"/>
  <c r="I322" i="5"/>
  <c r="H322" i="5"/>
  <c r="J321" i="5"/>
  <c r="I321" i="5"/>
  <c r="H321" i="5"/>
  <c r="I320" i="5"/>
  <c r="J320" i="5" s="1"/>
  <c r="H320" i="5"/>
  <c r="J319" i="5"/>
  <c r="I319" i="5"/>
  <c r="H319" i="5"/>
  <c r="I318" i="5"/>
  <c r="J318" i="5" s="1"/>
  <c r="H318" i="5"/>
  <c r="J317" i="5"/>
  <c r="I317" i="5"/>
  <c r="H317" i="5"/>
  <c r="J316" i="5"/>
  <c r="I316" i="5"/>
  <c r="H316" i="5"/>
  <c r="J315" i="5"/>
  <c r="I315" i="5"/>
  <c r="H315" i="5"/>
  <c r="J314" i="5"/>
  <c r="I314" i="5"/>
  <c r="H314" i="5"/>
  <c r="I313" i="5"/>
  <c r="J313" i="5" s="1"/>
  <c r="H313" i="5"/>
  <c r="I312" i="5"/>
  <c r="J312" i="5" s="1"/>
  <c r="H312" i="5"/>
  <c r="I311" i="5"/>
  <c r="J311" i="5" s="1"/>
  <c r="H311" i="5"/>
  <c r="J310" i="5"/>
  <c r="I310" i="5"/>
  <c r="H310" i="5"/>
  <c r="J309" i="5"/>
  <c r="I309" i="5"/>
  <c r="H309" i="5"/>
  <c r="J308" i="5"/>
  <c r="I308" i="5"/>
  <c r="H308" i="5"/>
  <c r="I307" i="5"/>
  <c r="J307" i="5" s="1"/>
  <c r="H307" i="5"/>
  <c r="J306" i="5"/>
  <c r="I306" i="5"/>
  <c r="H306" i="5"/>
  <c r="I305" i="5"/>
  <c r="J305" i="5" s="1"/>
  <c r="H305" i="5"/>
  <c r="J304" i="5"/>
  <c r="I304" i="5"/>
  <c r="H304" i="5"/>
  <c r="I303" i="5"/>
  <c r="J303" i="5" s="1"/>
  <c r="H303" i="5"/>
  <c r="J302" i="5"/>
  <c r="I302" i="5"/>
  <c r="H302" i="5"/>
  <c r="I301" i="5"/>
  <c r="J301" i="5" s="1"/>
  <c r="H301" i="5"/>
  <c r="J300" i="5"/>
  <c r="I300" i="5"/>
  <c r="H300" i="5"/>
  <c r="I299" i="5"/>
  <c r="J299" i="5" s="1"/>
  <c r="H299" i="5"/>
  <c r="J298" i="5"/>
  <c r="I298" i="5"/>
  <c r="H298" i="5"/>
  <c r="I297" i="5"/>
  <c r="J297" i="5" s="1"/>
  <c r="H297" i="5"/>
  <c r="J296" i="5"/>
  <c r="I296" i="5"/>
  <c r="H296" i="5"/>
  <c r="I295" i="5"/>
  <c r="J295" i="5" s="1"/>
  <c r="H295" i="5"/>
  <c r="J294" i="5"/>
  <c r="I294" i="5"/>
  <c r="H294" i="5"/>
  <c r="I293" i="5"/>
  <c r="J293" i="5" s="1"/>
  <c r="H293" i="5"/>
  <c r="J292" i="5"/>
  <c r="I292" i="5"/>
  <c r="H292" i="5"/>
  <c r="I291" i="5"/>
  <c r="J291" i="5" s="1"/>
  <c r="H291" i="5"/>
  <c r="J290" i="5"/>
  <c r="I290" i="5"/>
  <c r="H290" i="5"/>
  <c r="I289" i="5"/>
  <c r="J289" i="5" s="1"/>
  <c r="H289" i="5"/>
  <c r="J288" i="5"/>
  <c r="I288" i="5"/>
  <c r="H288" i="5"/>
  <c r="I287" i="5"/>
  <c r="J287" i="5" s="1"/>
  <c r="H287" i="5"/>
  <c r="J286" i="5"/>
  <c r="I286" i="5"/>
  <c r="H286" i="5"/>
  <c r="J285" i="5"/>
  <c r="I285" i="5"/>
  <c r="H285" i="5"/>
  <c r="J284" i="5"/>
  <c r="I284" i="5"/>
  <c r="H284" i="5"/>
  <c r="J283" i="5"/>
  <c r="I283" i="5"/>
  <c r="H283" i="5"/>
  <c r="I282" i="5"/>
  <c r="J282" i="5" s="1"/>
  <c r="H282" i="5"/>
  <c r="J281" i="5"/>
  <c r="I281" i="5"/>
  <c r="H281" i="5"/>
  <c r="I280" i="5"/>
  <c r="J280" i="5" s="1"/>
  <c r="H280" i="5"/>
  <c r="J279" i="5"/>
  <c r="I279" i="5"/>
  <c r="H279" i="5"/>
  <c r="I278" i="5"/>
  <c r="J278" i="5" s="1"/>
  <c r="H278" i="5"/>
  <c r="I277" i="5"/>
  <c r="J277" i="5" s="1"/>
  <c r="H277" i="5"/>
  <c r="I276" i="5"/>
  <c r="J276" i="5" s="1"/>
  <c r="H276" i="5"/>
  <c r="I275" i="5"/>
  <c r="J275" i="5" s="1"/>
  <c r="H275" i="5"/>
  <c r="I274" i="5"/>
  <c r="J274" i="5" s="1"/>
  <c r="H274" i="5"/>
  <c r="I273" i="5"/>
  <c r="J273" i="5" s="1"/>
  <c r="H273" i="5"/>
  <c r="I272" i="5"/>
  <c r="J272" i="5" s="1"/>
  <c r="H272" i="5"/>
  <c r="J271" i="5"/>
  <c r="I271" i="5"/>
  <c r="H271" i="5"/>
  <c r="J270" i="5"/>
  <c r="I270" i="5"/>
  <c r="H270" i="5"/>
  <c r="I269" i="5"/>
  <c r="J269" i="5" s="1"/>
  <c r="H269" i="5"/>
  <c r="J268" i="5"/>
  <c r="I268" i="5"/>
  <c r="H268" i="5"/>
  <c r="J267" i="5"/>
  <c r="I267" i="5"/>
  <c r="H267" i="5"/>
  <c r="I266" i="5"/>
  <c r="J266" i="5" s="1"/>
  <c r="H266" i="5"/>
  <c r="I265" i="5"/>
  <c r="J265" i="5" s="1"/>
  <c r="H265" i="5"/>
  <c r="J264" i="5"/>
  <c r="I264" i="5"/>
  <c r="H264" i="5"/>
  <c r="I263" i="5"/>
  <c r="J263" i="5" s="1"/>
  <c r="H263" i="5"/>
  <c r="I262" i="5"/>
  <c r="J262" i="5" s="1"/>
  <c r="H262" i="5"/>
  <c r="I261" i="5"/>
  <c r="J261" i="5" s="1"/>
  <c r="H261" i="5"/>
  <c r="I260" i="5"/>
  <c r="J260" i="5" s="1"/>
  <c r="H260" i="5"/>
  <c r="I259" i="5"/>
  <c r="J259" i="5" s="1"/>
  <c r="H259" i="5"/>
  <c r="J258" i="5"/>
  <c r="I258" i="5"/>
  <c r="H258" i="5"/>
  <c r="I257" i="5"/>
  <c r="J257" i="5" s="1"/>
  <c r="H257" i="5"/>
  <c r="J256" i="5"/>
  <c r="I256" i="5"/>
  <c r="H256" i="5"/>
  <c r="I255" i="5"/>
  <c r="J255" i="5" s="1"/>
  <c r="H255" i="5"/>
  <c r="J254" i="5"/>
  <c r="I254" i="5"/>
  <c r="H254" i="5"/>
  <c r="I253" i="5"/>
  <c r="J253" i="5" s="1"/>
  <c r="H253" i="5"/>
  <c r="J252" i="5"/>
  <c r="I252" i="5"/>
  <c r="H252" i="5"/>
  <c r="I251" i="5"/>
  <c r="J251" i="5" s="1"/>
  <c r="H251" i="5"/>
  <c r="J250" i="5"/>
  <c r="I250" i="5"/>
  <c r="H250" i="5"/>
  <c r="I249" i="5"/>
  <c r="J249" i="5" s="1"/>
  <c r="H249" i="5"/>
  <c r="J248" i="5"/>
  <c r="I248" i="5"/>
  <c r="H248" i="5"/>
  <c r="I247" i="5"/>
  <c r="J247" i="5" s="1"/>
  <c r="H247" i="5"/>
  <c r="J246" i="5"/>
  <c r="I246" i="5"/>
  <c r="H246" i="5"/>
  <c r="I245" i="5"/>
  <c r="J245" i="5" s="1"/>
  <c r="H245" i="5"/>
  <c r="J244" i="5"/>
  <c r="I244" i="5"/>
  <c r="H244" i="5"/>
  <c r="I243" i="5"/>
  <c r="J243" i="5" s="1"/>
  <c r="H243" i="5"/>
  <c r="J242" i="5"/>
  <c r="I242" i="5"/>
  <c r="H242" i="5"/>
  <c r="I241" i="5"/>
  <c r="J241" i="5" s="1"/>
  <c r="H241" i="5"/>
  <c r="J240" i="5"/>
  <c r="I240" i="5"/>
  <c r="H240" i="5"/>
  <c r="I239" i="5"/>
  <c r="J239" i="5" s="1"/>
  <c r="H239" i="5"/>
  <c r="J238" i="5"/>
  <c r="I238" i="5"/>
  <c r="H238" i="5"/>
  <c r="I237" i="5"/>
  <c r="J237" i="5" s="1"/>
  <c r="H237" i="5"/>
  <c r="J236" i="5"/>
  <c r="I236" i="5"/>
  <c r="H236" i="5"/>
  <c r="I235" i="5"/>
  <c r="J235" i="5" s="1"/>
  <c r="H235" i="5"/>
  <c r="J234" i="5"/>
  <c r="I234" i="5"/>
  <c r="H234" i="5"/>
  <c r="I233" i="5"/>
  <c r="J233" i="5" s="1"/>
  <c r="H233" i="5"/>
  <c r="J232" i="5"/>
  <c r="I232" i="5"/>
  <c r="H232" i="5"/>
  <c r="I231" i="5"/>
  <c r="J231" i="5" s="1"/>
  <c r="H231" i="5"/>
  <c r="J230" i="5"/>
  <c r="I230" i="5"/>
  <c r="H230" i="5"/>
  <c r="I229" i="5"/>
  <c r="J229" i="5" s="1"/>
  <c r="H229" i="5"/>
  <c r="J228" i="5"/>
  <c r="I228" i="5"/>
  <c r="H228" i="5"/>
  <c r="J227" i="5"/>
  <c r="I227" i="5"/>
  <c r="H227" i="5"/>
  <c r="J226" i="5"/>
  <c r="I226" i="5"/>
  <c r="H226" i="5"/>
  <c r="I225" i="5"/>
  <c r="J225" i="5" s="1"/>
  <c r="H225" i="5"/>
  <c r="J224" i="5"/>
  <c r="I224" i="5"/>
  <c r="H224" i="5"/>
  <c r="J223" i="5"/>
  <c r="I223" i="5"/>
  <c r="H223" i="5"/>
  <c r="K223" i="5" s="1"/>
  <c r="J222" i="5"/>
  <c r="I222" i="5"/>
  <c r="H222" i="5"/>
  <c r="I221" i="5"/>
  <c r="J221" i="5" s="1"/>
  <c r="H221" i="5"/>
  <c r="J220" i="5"/>
  <c r="I220" i="5"/>
  <c r="H220" i="5"/>
  <c r="J219" i="5"/>
  <c r="I219" i="5"/>
  <c r="H219" i="5"/>
  <c r="J218" i="5"/>
  <c r="I218" i="5"/>
  <c r="H218" i="5"/>
  <c r="I217" i="5"/>
  <c r="J217" i="5" s="1"/>
  <c r="H217" i="5"/>
  <c r="J216" i="5"/>
  <c r="I216" i="5"/>
  <c r="H216" i="5"/>
  <c r="I215" i="5"/>
  <c r="J215" i="5" s="1"/>
  <c r="H215" i="5"/>
  <c r="J214" i="5"/>
  <c r="I214" i="5"/>
  <c r="H214" i="5"/>
  <c r="I213" i="5"/>
  <c r="J213" i="5" s="1"/>
  <c r="H213" i="5"/>
  <c r="J212" i="5"/>
  <c r="I212" i="5"/>
  <c r="H212" i="5"/>
  <c r="I211" i="5"/>
  <c r="J211" i="5" s="1"/>
  <c r="H211" i="5"/>
  <c r="J210" i="5"/>
  <c r="I210" i="5"/>
  <c r="H210" i="5"/>
  <c r="I209" i="5"/>
  <c r="J209" i="5" s="1"/>
  <c r="H209" i="5"/>
  <c r="K209" i="5" s="1"/>
  <c r="J208" i="5"/>
  <c r="I208" i="5"/>
  <c r="H208" i="5"/>
  <c r="I207" i="5"/>
  <c r="J207" i="5" s="1"/>
  <c r="H207" i="5"/>
  <c r="J206" i="5"/>
  <c r="I206" i="5"/>
  <c r="H206" i="5"/>
  <c r="I205" i="5"/>
  <c r="J205" i="5" s="1"/>
  <c r="H205" i="5"/>
  <c r="J204" i="5"/>
  <c r="I204" i="5"/>
  <c r="H204" i="5"/>
  <c r="I203" i="5"/>
  <c r="J203" i="5" s="1"/>
  <c r="H203" i="5"/>
  <c r="J202" i="5"/>
  <c r="I202" i="5"/>
  <c r="H202" i="5"/>
  <c r="I201" i="5"/>
  <c r="J201" i="5" s="1"/>
  <c r="H201" i="5"/>
  <c r="J200" i="5"/>
  <c r="I200" i="5"/>
  <c r="H200" i="5"/>
  <c r="I199" i="5"/>
  <c r="J199" i="5" s="1"/>
  <c r="H199" i="5"/>
  <c r="J198" i="5"/>
  <c r="I198" i="5"/>
  <c r="H198" i="5"/>
  <c r="I197" i="5"/>
  <c r="J197" i="5" s="1"/>
  <c r="H197" i="5"/>
  <c r="J196" i="5"/>
  <c r="I196" i="5"/>
  <c r="H196" i="5"/>
  <c r="I195" i="5"/>
  <c r="J195" i="5" s="1"/>
  <c r="H195" i="5"/>
  <c r="J194" i="5"/>
  <c r="I194" i="5"/>
  <c r="H194" i="5"/>
  <c r="I193" i="5"/>
  <c r="J193" i="5" s="1"/>
  <c r="H193" i="5"/>
  <c r="J192" i="5"/>
  <c r="I192" i="5"/>
  <c r="H192" i="5"/>
  <c r="I191" i="5"/>
  <c r="J191" i="5" s="1"/>
  <c r="H191" i="5"/>
  <c r="J190" i="5"/>
  <c r="I190" i="5"/>
  <c r="H190" i="5"/>
  <c r="I189" i="5"/>
  <c r="J189" i="5" s="1"/>
  <c r="H189" i="5"/>
  <c r="J188" i="5"/>
  <c r="I188" i="5"/>
  <c r="H188" i="5"/>
  <c r="I187" i="5"/>
  <c r="J187" i="5" s="1"/>
  <c r="H187" i="5"/>
  <c r="J186" i="5"/>
  <c r="I186" i="5"/>
  <c r="H186" i="5"/>
  <c r="J185" i="5"/>
  <c r="I185" i="5"/>
  <c r="H185" i="5"/>
  <c r="J184" i="5"/>
  <c r="I184" i="5"/>
  <c r="H184" i="5"/>
  <c r="I183" i="5"/>
  <c r="J183" i="5" s="1"/>
  <c r="H183" i="5"/>
  <c r="I182" i="5"/>
  <c r="J182" i="5" s="1"/>
  <c r="H182" i="5"/>
  <c r="I181" i="5"/>
  <c r="J181" i="5" s="1"/>
  <c r="H181" i="5"/>
  <c r="I180" i="5"/>
  <c r="J180" i="5" s="1"/>
  <c r="H180" i="5"/>
  <c r="J179" i="5"/>
  <c r="I179" i="5"/>
  <c r="H179" i="5"/>
  <c r="J178" i="5"/>
  <c r="I178" i="5"/>
  <c r="H178" i="5"/>
  <c r="J177" i="5"/>
  <c r="I177" i="5"/>
  <c r="H177" i="5"/>
  <c r="J176" i="5"/>
  <c r="I176" i="5"/>
  <c r="H176" i="5"/>
  <c r="J175" i="5"/>
  <c r="I175" i="5"/>
  <c r="H175" i="5"/>
  <c r="I174" i="5"/>
  <c r="J174" i="5" s="1"/>
  <c r="H174" i="5"/>
  <c r="J173" i="5"/>
  <c r="I173" i="5"/>
  <c r="H173" i="5"/>
  <c r="I172" i="5"/>
  <c r="J172" i="5" s="1"/>
  <c r="H172" i="5"/>
  <c r="J171" i="5"/>
  <c r="I171" i="5"/>
  <c r="H171" i="5"/>
  <c r="J170" i="5"/>
  <c r="I170" i="5"/>
  <c r="H170" i="5"/>
  <c r="J169" i="5"/>
  <c r="I169" i="5"/>
  <c r="H169" i="5"/>
  <c r="J168" i="5"/>
  <c r="I168" i="5"/>
  <c r="H168" i="5"/>
  <c r="J167" i="5"/>
  <c r="I167" i="5"/>
  <c r="H167" i="5"/>
  <c r="J166" i="5"/>
  <c r="I166" i="5"/>
  <c r="H166" i="5"/>
  <c r="J165" i="5"/>
  <c r="I165" i="5"/>
  <c r="H165" i="5"/>
  <c r="J164" i="5"/>
  <c r="I164" i="5"/>
  <c r="H164" i="5"/>
  <c r="J163" i="5"/>
  <c r="I163" i="5"/>
  <c r="H163" i="5"/>
  <c r="J162" i="5"/>
  <c r="I162" i="5"/>
  <c r="H162" i="5"/>
  <c r="J161" i="5"/>
  <c r="I161" i="5"/>
  <c r="H161" i="5"/>
  <c r="J160" i="5"/>
  <c r="I160" i="5"/>
  <c r="H160" i="5"/>
  <c r="J159" i="5"/>
  <c r="I159" i="5"/>
  <c r="H159" i="5"/>
  <c r="J158" i="5"/>
  <c r="I158" i="5"/>
  <c r="H158" i="5"/>
  <c r="J157" i="5"/>
  <c r="I157" i="5"/>
  <c r="H157" i="5"/>
  <c r="I156" i="5"/>
  <c r="J156" i="5" s="1"/>
  <c r="H156" i="5"/>
  <c r="J155" i="5"/>
  <c r="I155" i="5"/>
  <c r="H155" i="5"/>
  <c r="K155" i="5" s="1"/>
  <c r="I154" i="5"/>
  <c r="J154" i="5" s="1"/>
  <c r="H154" i="5"/>
  <c r="J153" i="5"/>
  <c r="I153" i="5"/>
  <c r="H153" i="5"/>
  <c r="I152" i="5"/>
  <c r="J152" i="5" s="1"/>
  <c r="H152" i="5"/>
  <c r="J151" i="5"/>
  <c r="I151" i="5"/>
  <c r="H151" i="5"/>
  <c r="K151" i="5" s="1"/>
  <c r="I150" i="5"/>
  <c r="J150" i="5" s="1"/>
  <c r="H150" i="5"/>
  <c r="J149" i="5"/>
  <c r="I149" i="5"/>
  <c r="H149" i="5"/>
  <c r="I148" i="5"/>
  <c r="J148" i="5" s="1"/>
  <c r="H148" i="5"/>
  <c r="K148" i="5" s="1"/>
  <c r="J147" i="5"/>
  <c r="I147" i="5"/>
  <c r="H147" i="5"/>
  <c r="J146" i="5"/>
  <c r="I146" i="5"/>
  <c r="H146" i="5"/>
  <c r="K146" i="5" s="1"/>
  <c r="J145" i="5"/>
  <c r="I145" i="5"/>
  <c r="H145" i="5"/>
  <c r="J144" i="5"/>
  <c r="I144" i="5"/>
  <c r="H144" i="5"/>
  <c r="K144" i="5" s="1"/>
  <c r="J143" i="5"/>
  <c r="I143" i="5"/>
  <c r="H143" i="5"/>
  <c r="J142" i="5"/>
  <c r="I142" i="5"/>
  <c r="H142" i="5"/>
  <c r="K142" i="5" s="1"/>
  <c r="J141" i="5"/>
  <c r="I141" i="5"/>
  <c r="H141" i="5"/>
  <c r="J140" i="5"/>
  <c r="I140" i="5"/>
  <c r="H140" i="5"/>
  <c r="K140" i="5" s="1"/>
  <c r="J139" i="5"/>
  <c r="I139" i="5"/>
  <c r="H139" i="5"/>
  <c r="J138" i="5"/>
  <c r="I138" i="5"/>
  <c r="H138" i="5"/>
  <c r="K138" i="5" s="1"/>
  <c r="J137" i="5"/>
  <c r="I137" i="5"/>
  <c r="H137" i="5"/>
  <c r="J136" i="5"/>
  <c r="I136" i="5"/>
  <c r="H136" i="5"/>
  <c r="K136" i="5" s="1"/>
  <c r="J135" i="5"/>
  <c r="I135" i="5"/>
  <c r="H135" i="5"/>
  <c r="K135" i="5" s="1"/>
  <c r="J134" i="5"/>
  <c r="I134" i="5"/>
  <c r="H134" i="5"/>
  <c r="K134" i="5" s="1"/>
  <c r="J133" i="5"/>
  <c r="I133" i="5"/>
  <c r="H133" i="5"/>
  <c r="K133" i="5" s="1"/>
  <c r="J132" i="5"/>
  <c r="I132" i="5"/>
  <c r="H132" i="5"/>
  <c r="K132" i="5" s="1"/>
  <c r="J131" i="5"/>
  <c r="I131" i="5"/>
  <c r="H131" i="5"/>
  <c r="K131" i="5" s="1"/>
  <c r="J130" i="5"/>
  <c r="I130" i="5"/>
  <c r="H130" i="5"/>
  <c r="K130" i="5" s="1"/>
  <c r="J129" i="5"/>
  <c r="I129" i="5"/>
  <c r="H129" i="5"/>
  <c r="K129" i="5" s="1"/>
  <c r="J128" i="5"/>
  <c r="I128" i="5"/>
  <c r="H128" i="5"/>
  <c r="K128" i="5" s="1"/>
  <c r="J127" i="5"/>
  <c r="I127" i="5"/>
  <c r="H127" i="5"/>
  <c r="K127" i="5" s="1"/>
  <c r="J126" i="5"/>
  <c r="I126" i="5"/>
  <c r="H126" i="5"/>
  <c r="K126" i="5" s="1"/>
  <c r="J125" i="5"/>
  <c r="I125" i="5"/>
  <c r="H125" i="5"/>
  <c r="K125" i="5" s="1"/>
  <c r="J124" i="5"/>
  <c r="I124" i="5"/>
  <c r="H124" i="5"/>
  <c r="K124" i="5" s="1"/>
  <c r="J123" i="5"/>
  <c r="I123" i="5"/>
  <c r="H123" i="5"/>
  <c r="K123" i="5" s="1"/>
  <c r="J122" i="5"/>
  <c r="I122" i="5"/>
  <c r="H122" i="5"/>
  <c r="K122" i="5" s="1"/>
  <c r="J121" i="5"/>
  <c r="I121" i="5"/>
  <c r="H121" i="5"/>
  <c r="K121" i="5" s="1"/>
  <c r="J120" i="5"/>
  <c r="I120" i="5"/>
  <c r="H120" i="5"/>
  <c r="K120" i="5" s="1"/>
  <c r="J119" i="5"/>
  <c r="I119" i="5"/>
  <c r="H119" i="5"/>
  <c r="K119" i="5" s="1"/>
  <c r="J118" i="5"/>
  <c r="I118" i="5"/>
  <c r="H118" i="5"/>
  <c r="K118" i="5" s="1"/>
  <c r="J117" i="5"/>
  <c r="I117" i="5"/>
  <c r="H117" i="5"/>
  <c r="K117" i="5" s="1"/>
  <c r="J116" i="5"/>
  <c r="I116" i="5"/>
  <c r="H116" i="5"/>
  <c r="K116" i="5" s="1"/>
  <c r="J115" i="5"/>
  <c r="I115" i="5"/>
  <c r="H115" i="5"/>
  <c r="K115" i="5" s="1"/>
  <c r="J114" i="5"/>
  <c r="I114" i="5"/>
  <c r="H114" i="5"/>
  <c r="K114" i="5" s="1"/>
  <c r="J113" i="5"/>
  <c r="I113" i="5"/>
  <c r="H113" i="5"/>
  <c r="K113" i="5" s="1"/>
  <c r="J112" i="5"/>
  <c r="I112" i="5"/>
  <c r="H112" i="5"/>
  <c r="K112" i="5" s="1"/>
  <c r="J111" i="5"/>
  <c r="I111" i="5"/>
  <c r="H111" i="5"/>
  <c r="K111" i="5" s="1"/>
  <c r="I110" i="5"/>
  <c r="J110" i="5" s="1"/>
  <c r="H110" i="5"/>
  <c r="J109" i="5"/>
  <c r="I109" i="5"/>
  <c r="H109" i="5"/>
  <c r="I108" i="5"/>
  <c r="J108" i="5" s="1"/>
  <c r="H108" i="5"/>
  <c r="K108" i="5" s="1"/>
  <c r="J107" i="5"/>
  <c r="I107" i="5"/>
  <c r="H107" i="5"/>
  <c r="I106" i="5"/>
  <c r="J106" i="5" s="1"/>
  <c r="H106" i="5"/>
  <c r="J105" i="5"/>
  <c r="I105" i="5"/>
  <c r="H105" i="5"/>
  <c r="I104" i="5"/>
  <c r="J104" i="5" s="1"/>
  <c r="H104" i="5"/>
  <c r="K104" i="5" s="1"/>
  <c r="J103" i="5"/>
  <c r="I103" i="5"/>
  <c r="H103" i="5"/>
  <c r="K103" i="5" s="1"/>
  <c r="I102" i="5"/>
  <c r="J102" i="5" s="1"/>
  <c r="H102" i="5"/>
  <c r="J101" i="5"/>
  <c r="I101" i="5"/>
  <c r="H101" i="5"/>
  <c r="K101" i="5" s="1"/>
  <c r="I100" i="5"/>
  <c r="J100" i="5" s="1"/>
  <c r="H100" i="5"/>
  <c r="J99" i="5"/>
  <c r="I99" i="5"/>
  <c r="H99" i="5"/>
  <c r="K99" i="5" s="1"/>
  <c r="I98" i="5"/>
  <c r="J98" i="5" s="1"/>
  <c r="H98" i="5"/>
  <c r="J97" i="5"/>
  <c r="I97" i="5"/>
  <c r="H97" i="5"/>
  <c r="J96" i="5"/>
  <c r="I96" i="5"/>
  <c r="H96" i="5"/>
  <c r="J95" i="5"/>
  <c r="I95" i="5"/>
  <c r="H95" i="5"/>
  <c r="J94" i="5"/>
  <c r="I94" i="5"/>
  <c r="H94" i="5"/>
  <c r="J93" i="5"/>
  <c r="I93" i="5"/>
  <c r="H93" i="5"/>
  <c r="K93" i="5" s="1"/>
  <c r="J92" i="5"/>
  <c r="I92" i="5"/>
  <c r="H92" i="5"/>
  <c r="K92" i="5" s="1"/>
  <c r="J91" i="5"/>
  <c r="I91" i="5"/>
  <c r="H91" i="5"/>
  <c r="J90" i="5"/>
  <c r="I90" i="5"/>
  <c r="H90" i="5"/>
  <c r="K90" i="5" s="1"/>
  <c r="J89" i="5"/>
  <c r="I89" i="5"/>
  <c r="H89" i="5"/>
  <c r="K89" i="5" s="1"/>
  <c r="J88" i="5"/>
  <c r="I88" i="5"/>
  <c r="H88" i="5"/>
  <c r="K88" i="5" s="1"/>
  <c r="J87" i="5"/>
  <c r="I87" i="5"/>
  <c r="H87" i="5"/>
  <c r="I86" i="5"/>
  <c r="J86" i="5" s="1"/>
  <c r="H86" i="5"/>
  <c r="J85" i="5"/>
  <c r="I85" i="5"/>
  <c r="H85" i="5"/>
  <c r="I84" i="5"/>
  <c r="J84" i="5" s="1"/>
  <c r="H84" i="5"/>
  <c r="J83" i="5"/>
  <c r="I83" i="5"/>
  <c r="H83" i="5"/>
  <c r="K83" i="5" s="1"/>
  <c r="I82" i="5"/>
  <c r="J82" i="5" s="1"/>
  <c r="H82" i="5"/>
  <c r="J81" i="5"/>
  <c r="I81" i="5"/>
  <c r="H81" i="5"/>
  <c r="J80" i="5"/>
  <c r="I80" i="5"/>
  <c r="H80" i="5"/>
  <c r="J79" i="5"/>
  <c r="I79" i="5"/>
  <c r="H79" i="5"/>
  <c r="K79" i="5" s="1"/>
  <c r="I78" i="5"/>
  <c r="J78" i="5" s="1"/>
  <c r="H78" i="5"/>
  <c r="K78" i="5" s="1"/>
  <c r="J77" i="5"/>
  <c r="I77" i="5"/>
  <c r="H77" i="5"/>
  <c r="I76" i="5"/>
  <c r="J76" i="5" s="1"/>
  <c r="H76" i="5"/>
  <c r="K76" i="5" s="1"/>
  <c r="J75" i="5"/>
  <c r="I75" i="5"/>
  <c r="H75" i="5"/>
  <c r="K75" i="5" s="1"/>
  <c r="J74" i="5"/>
  <c r="I74" i="5"/>
  <c r="H74" i="5"/>
  <c r="I73" i="5"/>
  <c r="J73" i="5" s="1"/>
  <c r="H73" i="5"/>
  <c r="J72" i="5"/>
  <c r="I72" i="5"/>
  <c r="H72" i="5"/>
  <c r="K72" i="5" s="1"/>
  <c r="I71" i="5"/>
  <c r="J71" i="5" s="1"/>
  <c r="H71" i="5"/>
  <c r="I70" i="5"/>
  <c r="J70" i="5" s="1"/>
  <c r="H70" i="5"/>
  <c r="J69" i="5"/>
  <c r="I69" i="5"/>
  <c r="H69" i="5"/>
  <c r="K69" i="5" s="1"/>
  <c r="I68" i="5"/>
  <c r="J68" i="5" s="1"/>
  <c r="H68" i="5"/>
  <c r="I67" i="5"/>
  <c r="J67" i="5" s="1"/>
  <c r="H67" i="5"/>
  <c r="J66" i="5"/>
  <c r="I66" i="5"/>
  <c r="H66" i="5"/>
  <c r="K66" i="5" s="1"/>
  <c r="I65" i="5"/>
  <c r="J65" i="5" s="1"/>
  <c r="H65" i="5"/>
  <c r="J64" i="5"/>
  <c r="I64" i="5"/>
  <c r="H64" i="5"/>
  <c r="K64" i="5" s="1"/>
  <c r="I63" i="5"/>
  <c r="J63" i="5" s="1"/>
  <c r="H63" i="5"/>
  <c r="J62" i="5"/>
  <c r="I62" i="5"/>
  <c r="H62" i="5"/>
  <c r="K62" i="5" s="1"/>
  <c r="I61" i="5"/>
  <c r="J61" i="5" s="1"/>
  <c r="H61" i="5"/>
  <c r="J60" i="5"/>
  <c r="I60" i="5"/>
  <c r="H60" i="5"/>
  <c r="I59" i="5"/>
  <c r="J59" i="5" s="1"/>
  <c r="H59" i="5"/>
  <c r="J58" i="5"/>
  <c r="I58" i="5"/>
  <c r="H58" i="5"/>
  <c r="K58" i="5" s="1"/>
  <c r="I57" i="5"/>
  <c r="J57" i="5" s="1"/>
  <c r="H57" i="5"/>
  <c r="J56" i="5"/>
  <c r="I56" i="5"/>
  <c r="H56" i="5"/>
  <c r="K56" i="5" s="1"/>
  <c r="I55" i="5"/>
  <c r="J55" i="5" s="1"/>
  <c r="H55" i="5"/>
  <c r="J54" i="5"/>
  <c r="I54" i="5"/>
  <c r="H54" i="5"/>
  <c r="K54" i="5" s="1"/>
  <c r="I53" i="5"/>
  <c r="J53" i="5" s="1"/>
  <c r="H53" i="5"/>
  <c r="J52" i="5"/>
  <c r="I52" i="5"/>
  <c r="H52" i="5"/>
  <c r="I51" i="5"/>
  <c r="J51" i="5" s="1"/>
  <c r="H51" i="5"/>
  <c r="J50" i="5"/>
  <c r="I50" i="5"/>
  <c r="H50" i="5"/>
  <c r="K50" i="5" s="1"/>
  <c r="I49" i="5"/>
  <c r="J49" i="5" s="1"/>
  <c r="H49" i="5"/>
  <c r="I48" i="5"/>
  <c r="J48" i="5" s="1"/>
  <c r="H48" i="5"/>
  <c r="I47" i="5"/>
  <c r="J47" i="5" s="1"/>
  <c r="H47" i="5"/>
  <c r="J46" i="5"/>
  <c r="I46" i="5"/>
  <c r="H46" i="5"/>
  <c r="I45" i="5"/>
  <c r="J45" i="5" s="1"/>
  <c r="H45" i="5"/>
  <c r="I44" i="5"/>
  <c r="J44" i="5" s="1"/>
  <c r="H44" i="5"/>
  <c r="J43" i="5"/>
  <c r="I43" i="5"/>
  <c r="H43" i="5"/>
  <c r="K43" i="5" s="1"/>
  <c r="J42" i="5"/>
  <c r="I42" i="5"/>
  <c r="H42" i="5"/>
  <c r="K42" i="5" s="1"/>
  <c r="I41" i="5"/>
  <c r="J41" i="5" s="1"/>
  <c r="H41" i="5"/>
  <c r="I40" i="5"/>
  <c r="J40" i="5" s="1"/>
  <c r="H40" i="5"/>
  <c r="J39" i="5"/>
  <c r="I39" i="5"/>
  <c r="H39" i="5"/>
  <c r="K39" i="5" s="1"/>
  <c r="J38" i="5"/>
  <c r="I38" i="5"/>
  <c r="H38" i="5"/>
  <c r="I37" i="5"/>
  <c r="J37" i="5" s="1"/>
  <c r="H37" i="5"/>
  <c r="I36" i="5"/>
  <c r="J36" i="5" s="1"/>
  <c r="H36" i="5"/>
  <c r="J35" i="5"/>
  <c r="I35" i="5"/>
  <c r="H35" i="5"/>
  <c r="J34" i="5"/>
  <c r="I34" i="5"/>
  <c r="H34" i="5"/>
  <c r="K34" i="5" s="1"/>
  <c r="I33" i="5"/>
  <c r="J33" i="5" s="1"/>
  <c r="H33" i="5"/>
  <c r="I32" i="5"/>
  <c r="J32" i="5" s="1"/>
  <c r="H32" i="5"/>
  <c r="J31" i="5"/>
  <c r="I31" i="5"/>
  <c r="H31" i="5"/>
  <c r="K31" i="5" s="1"/>
  <c r="J30" i="5"/>
  <c r="I30" i="5"/>
  <c r="H30" i="5"/>
  <c r="I29" i="5"/>
  <c r="J29" i="5" s="1"/>
  <c r="H29" i="5"/>
  <c r="I28" i="5"/>
  <c r="J28" i="5" s="1"/>
  <c r="H28" i="5"/>
  <c r="J27" i="5"/>
  <c r="I27" i="5"/>
  <c r="H27" i="5"/>
  <c r="K27" i="5" s="1"/>
  <c r="J26" i="5"/>
  <c r="I26" i="5"/>
  <c r="H26" i="5"/>
  <c r="K26" i="5" s="1"/>
  <c r="I25" i="5"/>
  <c r="J25" i="5" s="1"/>
  <c r="H25" i="5"/>
  <c r="I24" i="5"/>
  <c r="J24" i="5" s="1"/>
  <c r="H24" i="5"/>
  <c r="J23" i="5"/>
  <c r="I23" i="5"/>
  <c r="H23" i="5"/>
  <c r="K23" i="5" s="1"/>
  <c r="J22" i="5"/>
  <c r="I22" i="5"/>
  <c r="H22" i="5"/>
  <c r="K22" i="5" s="1"/>
  <c r="I21" i="5"/>
  <c r="J21" i="5" s="1"/>
  <c r="H21" i="5"/>
  <c r="I20" i="5"/>
  <c r="J20" i="5" s="1"/>
  <c r="H20" i="5"/>
  <c r="J19" i="5"/>
  <c r="I19" i="5"/>
  <c r="H19" i="5"/>
  <c r="J18" i="5"/>
  <c r="I18" i="5"/>
  <c r="H18" i="5"/>
  <c r="K18" i="5" s="1"/>
  <c r="I17" i="5"/>
  <c r="J17" i="5" s="1"/>
  <c r="H17" i="5"/>
  <c r="I16" i="5"/>
  <c r="J16" i="5" s="1"/>
  <c r="H16" i="5"/>
  <c r="J15" i="5"/>
  <c r="I15" i="5"/>
  <c r="H15" i="5"/>
  <c r="K15" i="5" s="1"/>
  <c r="J14" i="5"/>
  <c r="I14" i="5"/>
  <c r="H14" i="5"/>
  <c r="I13" i="5"/>
  <c r="J13" i="5" s="1"/>
  <c r="H13" i="5"/>
  <c r="I12" i="5"/>
  <c r="J12" i="5" s="1"/>
  <c r="H12" i="5"/>
  <c r="I11" i="5"/>
  <c r="J11" i="5" s="1"/>
  <c r="H11" i="5"/>
  <c r="I10" i="5"/>
  <c r="J10" i="5" s="1"/>
  <c r="H10" i="5"/>
  <c r="I9" i="5"/>
  <c r="J9" i="5" s="1"/>
  <c r="H9" i="5"/>
  <c r="K9" i="5" s="1"/>
  <c r="C9" i="5"/>
  <c r="J8" i="5"/>
  <c r="I8" i="5"/>
  <c r="H8" i="5"/>
  <c r="K8" i="5" s="1"/>
  <c r="J7" i="5"/>
  <c r="I7" i="5"/>
  <c r="H7" i="5"/>
  <c r="K7" i="5" s="1"/>
  <c r="J6" i="5"/>
  <c r="I6" i="5"/>
  <c r="H6" i="5"/>
  <c r="K6" i="5" s="1"/>
  <c r="C6" i="5"/>
  <c r="I5" i="5"/>
  <c r="J5" i="5" s="1"/>
  <c r="H5" i="5"/>
  <c r="C5" i="5"/>
  <c r="J4" i="5"/>
  <c r="I4" i="5"/>
  <c r="H4" i="5"/>
  <c r="K4" i="5" s="1"/>
  <c r="F4" i="5" s="1"/>
  <c r="E4" i="5"/>
  <c r="C4" i="5"/>
  <c r="R3" i="5"/>
  <c r="F3" i="5"/>
  <c r="I1003" i="4"/>
  <c r="J1003" i="4" s="1"/>
  <c r="I1002" i="4"/>
  <c r="J1002" i="4" s="1"/>
  <c r="I1001" i="4"/>
  <c r="J1001" i="4" s="1"/>
  <c r="I1000" i="4"/>
  <c r="J1000" i="4" s="1"/>
  <c r="I999" i="4"/>
  <c r="J999" i="4" s="1"/>
  <c r="I998" i="4"/>
  <c r="J998" i="4" s="1"/>
  <c r="I997" i="4"/>
  <c r="J997" i="4" s="1"/>
  <c r="I996" i="4"/>
  <c r="J996" i="4" s="1"/>
  <c r="I995" i="4"/>
  <c r="J995" i="4" s="1"/>
  <c r="I994" i="4"/>
  <c r="J994" i="4" s="1"/>
  <c r="I993" i="4"/>
  <c r="J993" i="4" s="1"/>
  <c r="I992" i="4"/>
  <c r="J992" i="4" s="1"/>
  <c r="I991" i="4"/>
  <c r="J991" i="4" s="1"/>
  <c r="I990" i="4"/>
  <c r="J990" i="4" s="1"/>
  <c r="I989" i="4"/>
  <c r="J989" i="4" s="1"/>
  <c r="I988" i="4"/>
  <c r="J988" i="4" s="1"/>
  <c r="I987" i="4"/>
  <c r="J987" i="4" s="1"/>
  <c r="I986" i="4"/>
  <c r="J986" i="4" s="1"/>
  <c r="I985" i="4"/>
  <c r="J985" i="4" s="1"/>
  <c r="I984" i="4"/>
  <c r="J984" i="4" s="1"/>
  <c r="I983" i="4"/>
  <c r="J983" i="4" s="1"/>
  <c r="I982" i="4"/>
  <c r="J982" i="4" s="1"/>
  <c r="I981" i="4"/>
  <c r="J981" i="4" s="1"/>
  <c r="I980" i="4"/>
  <c r="J980" i="4" s="1"/>
  <c r="I979" i="4"/>
  <c r="J979" i="4" s="1"/>
  <c r="I978" i="4"/>
  <c r="J978" i="4" s="1"/>
  <c r="I977" i="4"/>
  <c r="J977" i="4" s="1"/>
  <c r="I976" i="4"/>
  <c r="J976" i="4" s="1"/>
  <c r="I975" i="4"/>
  <c r="J975" i="4" s="1"/>
  <c r="I974" i="4"/>
  <c r="J974" i="4" s="1"/>
  <c r="I973" i="4"/>
  <c r="J973" i="4" s="1"/>
  <c r="I972" i="4"/>
  <c r="J972" i="4" s="1"/>
  <c r="I971" i="4"/>
  <c r="J971" i="4" s="1"/>
  <c r="I970" i="4"/>
  <c r="J970" i="4" s="1"/>
  <c r="I969" i="4"/>
  <c r="J969" i="4" s="1"/>
  <c r="I968" i="4"/>
  <c r="J968" i="4" s="1"/>
  <c r="I967" i="4"/>
  <c r="J967" i="4" s="1"/>
  <c r="I966" i="4"/>
  <c r="J966" i="4" s="1"/>
  <c r="I965" i="4"/>
  <c r="J965" i="4" s="1"/>
  <c r="I964" i="4"/>
  <c r="J964" i="4" s="1"/>
  <c r="I963" i="4"/>
  <c r="J963" i="4" s="1"/>
  <c r="I962" i="4"/>
  <c r="J962" i="4" s="1"/>
  <c r="I961" i="4"/>
  <c r="J961" i="4" s="1"/>
  <c r="I960" i="4"/>
  <c r="J960" i="4" s="1"/>
  <c r="I959" i="4"/>
  <c r="J959" i="4" s="1"/>
  <c r="I958" i="4"/>
  <c r="J958" i="4" s="1"/>
  <c r="I957" i="4"/>
  <c r="J957" i="4" s="1"/>
  <c r="I956" i="4"/>
  <c r="J956" i="4" s="1"/>
  <c r="I955" i="4"/>
  <c r="J955" i="4" s="1"/>
  <c r="I954" i="4"/>
  <c r="J954" i="4" s="1"/>
  <c r="I953" i="4"/>
  <c r="J953" i="4" s="1"/>
  <c r="I952" i="4"/>
  <c r="J952" i="4" s="1"/>
  <c r="I951" i="4"/>
  <c r="J951" i="4" s="1"/>
  <c r="I950" i="4"/>
  <c r="J950" i="4" s="1"/>
  <c r="I949" i="4"/>
  <c r="J949" i="4" s="1"/>
  <c r="I948" i="4"/>
  <c r="J948" i="4" s="1"/>
  <c r="I947" i="4"/>
  <c r="J947" i="4" s="1"/>
  <c r="I946" i="4"/>
  <c r="J946" i="4" s="1"/>
  <c r="I945" i="4"/>
  <c r="J945" i="4" s="1"/>
  <c r="I944" i="4"/>
  <c r="J944" i="4" s="1"/>
  <c r="I943" i="4"/>
  <c r="J943" i="4" s="1"/>
  <c r="I942" i="4"/>
  <c r="J942" i="4" s="1"/>
  <c r="I941" i="4"/>
  <c r="J941" i="4" s="1"/>
  <c r="I940" i="4"/>
  <c r="J940" i="4" s="1"/>
  <c r="I939" i="4"/>
  <c r="J939" i="4" s="1"/>
  <c r="I938" i="4"/>
  <c r="J938" i="4" s="1"/>
  <c r="I937" i="4"/>
  <c r="J937" i="4" s="1"/>
  <c r="I936" i="4"/>
  <c r="J936" i="4" s="1"/>
  <c r="I935" i="4"/>
  <c r="J935" i="4" s="1"/>
  <c r="I934" i="4"/>
  <c r="J934" i="4" s="1"/>
  <c r="I933" i="4"/>
  <c r="J933" i="4" s="1"/>
  <c r="I932" i="4"/>
  <c r="J932" i="4" s="1"/>
  <c r="I931" i="4"/>
  <c r="J931" i="4" s="1"/>
  <c r="I930" i="4"/>
  <c r="J930" i="4" s="1"/>
  <c r="I929" i="4"/>
  <c r="J929" i="4" s="1"/>
  <c r="I928" i="4"/>
  <c r="J928" i="4" s="1"/>
  <c r="I927" i="4"/>
  <c r="J927" i="4" s="1"/>
  <c r="I926" i="4"/>
  <c r="J926" i="4" s="1"/>
  <c r="I925" i="4"/>
  <c r="J925" i="4" s="1"/>
  <c r="I924" i="4"/>
  <c r="J924" i="4" s="1"/>
  <c r="I923" i="4"/>
  <c r="J923" i="4" s="1"/>
  <c r="I922" i="4"/>
  <c r="J922" i="4" s="1"/>
  <c r="I921" i="4"/>
  <c r="J921" i="4" s="1"/>
  <c r="I920" i="4"/>
  <c r="J920" i="4" s="1"/>
  <c r="I919" i="4"/>
  <c r="J919" i="4" s="1"/>
  <c r="I918" i="4"/>
  <c r="J918" i="4" s="1"/>
  <c r="I917" i="4"/>
  <c r="J917" i="4" s="1"/>
  <c r="I916" i="4"/>
  <c r="J916" i="4" s="1"/>
  <c r="I915" i="4"/>
  <c r="J915" i="4" s="1"/>
  <c r="I914" i="4"/>
  <c r="J914" i="4" s="1"/>
  <c r="I913" i="4"/>
  <c r="J913" i="4" s="1"/>
  <c r="I912" i="4"/>
  <c r="J912" i="4" s="1"/>
  <c r="I911" i="4"/>
  <c r="J911" i="4" s="1"/>
  <c r="I910" i="4"/>
  <c r="J910" i="4" s="1"/>
  <c r="I909" i="4"/>
  <c r="J909" i="4" s="1"/>
  <c r="I908" i="4"/>
  <c r="J908" i="4" s="1"/>
  <c r="I907" i="4"/>
  <c r="J907" i="4" s="1"/>
  <c r="I906" i="4"/>
  <c r="J906" i="4" s="1"/>
  <c r="I905" i="4"/>
  <c r="J905" i="4" s="1"/>
  <c r="I904" i="4"/>
  <c r="J904" i="4" s="1"/>
  <c r="I903" i="4"/>
  <c r="J903" i="4" s="1"/>
  <c r="I902" i="4"/>
  <c r="J902" i="4" s="1"/>
  <c r="I901" i="4"/>
  <c r="J901" i="4" s="1"/>
  <c r="I900" i="4"/>
  <c r="J900" i="4" s="1"/>
  <c r="I899" i="4"/>
  <c r="J899" i="4" s="1"/>
  <c r="I898" i="4"/>
  <c r="J898" i="4" s="1"/>
  <c r="I897" i="4"/>
  <c r="J897" i="4" s="1"/>
  <c r="I896" i="4"/>
  <c r="J896" i="4" s="1"/>
  <c r="I895" i="4"/>
  <c r="J895" i="4" s="1"/>
  <c r="I894" i="4"/>
  <c r="J894" i="4" s="1"/>
  <c r="I893" i="4"/>
  <c r="J893" i="4" s="1"/>
  <c r="I892" i="4"/>
  <c r="J892" i="4" s="1"/>
  <c r="I891" i="4"/>
  <c r="J891" i="4" s="1"/>
  <c r="I890" i="4"/>
  <c r="J890" i="4" s="1"/>
  <c r="I889" i="4"/>
  <c r="J889" i="4" s="1"/>
  <c r="I888" i="4"/>
  <c r="J888" i="4" s="1"/>
  <c r="I887" i="4"/>
  <c r="J887" i="4" s="1"/>
  <c r="I886" i="4"/>
  <c r="J886" i="4" s="1"/>
  <c r="I885" i="4"/>
  <c r="J885" i="4" s="1"/>
  <c r="I884" i="4"/>
  <c r="J884" i="4" s="1"/>
  <c r="I883" i="4"/>
  <c r="J883" i="4" s="1"/>
  <c r="I882" i="4"/>
  <c r="J882" i="4" s="1"/>
  <c r="I881" i="4"/>
  <c r="J881" i="4" s="1"/>
  <c r="I880" i="4"/>
  <c r="J880" i="4" s="1"/>
  <c r="I879" i="4"/>
  <c r="J879" i="4" s="1"/>
  <c r="I878" i="4"/>
  <c r="J878" i="4" s="1"/>
  <c r="I877" i="4"/>
  <c r="J877" i="4" s="1"/>
  <c r="I876" i="4"/>
  <c r="J876" i="4" s="1"/>
  <c r="I875" i="4"/>
  <c r="J875" i="4" s="1"/>
  <c r="I874" i="4"/>
  <c r="J874" i="4" s="1"/>
  <c r="I873" i="4"/>
  <c r="J873" i="4" s="1"/>
  <c r="I872" i="4"/>
  <c r="J872" i="4" s="1"/>
  <c r="I871" i="4"/>
  <c r="J871" i="4" s="1"/>
  <c r="I870" i="4"/>
  <c r="J870" i="4" s="1"/>
  <c r="I869" i="4"/>
  <c r="J869" i="4" s="1"/>
  <c r="I868" i="4"/>
  <c r="J868" i="4" s="1"/>
  <c r="I867" i="4"/>
  <c r="J867" i="4" s="1"/>
  <c r="I866" i="4"/>
  <c r="J866" i="4" s="1"/>
  <c r="I865" i="4"/>
  <c r="J865" i="4" s="1"/>
  <c r="I864" i="4"/>
  <c r="J864" i="4" s="1"/>
  <c r="I863" i="4"/>
  <c r="J863" i="4" s="1"/>
  <c r="I862" i="4"/>
  <c r="J862" i="4" s="1"/>
  <c r="I861" i="4"/>
  <c r="J861" i="4" s="1"/>
  <c r="I860" i="4"/>
  <c r="J860" i="4" s="1"/>
  <c r="I859" i="4"/>
  <c r="J859" i="4" s="1"/>
  <c r="I858" i="4"/>
  <c r="J858" i="4" s="1"/>
  <c r="I857" i="4"/>
  <c r="J857" i="4" s="1"/>
  <c r="I856" i="4"/>
  <c r="J856" i="4" s="1"/>
  <c r="I855" i="4"/>
  <c r="J855" i="4" s="1"/>
  <c r="I854" i="4"/>
  <c r="J854" i="4" s="1"/>
  <c r="I853" i="4"/>
  <c r="J853" i="4" s="1"/>
  <c r="I852" i="4"/>
  <c r="J852" i="4" s="1"/>
  <c r="I851" i="4"/>
  <c r="J851" i="4" s="1"/>
  <c r="I850" i="4"/>
  <c r="J850" i="4" s="1"/>
  <c r="I849" i="4"/>
  <c r="J849" i="4" s="1"/>
  <c r="I848" i="4"/>
  <c r="J848" i="4" s="1"/>
  <c r="I847" i="4"/>
  <c r="J847" i="4" s="1"/>
  <c r="I846" i="4"/>
  <c r="J846" i="4" s="1"/>
  <c r="I845" i="4"/>
  <c r="J845" i="4" s="1"/>
  <c r="I844" i="4"/>
  <c r="J844" i="4" s="1"/>
  <c r="I843" i="4"/>
  <c r="J843" i="4" s="1"/>
  <c r="I842" i="4"/>
  <c r="J842" i="4" s="1"/>
  <c r="I841" i="4"/>
  <c r="J841" i="4" s="1"/>
  <c r="I840" i="4"/>
  <c r="J840" i="4" s="1"/>
  <c r="I839" i="4"/>
  <c r="J839" i="4" s="1"/>
  <c r="I838" i="4"/>
  <c r="J838" i="4" s="1"/>
  <c r="I837" i="4"/>
  <c r="J837" i="4" s="1"/>
  <c r="I836" i="4"/>
  <c r="J836" i="4" s="1"/>
  <c r="I835" i="4"/>
  <c r="J835" i="4" s="1"/>
  <c r="I834" i="4"/>
  <c r="J834" i="4" s="1"/>
  <c r="I833" i="4"/>
  <c r="J833" i="4" s="1"/>
  <c r="I832" i="4"/>
  <c r="J832" i="4" s="1"/>
  <c r="I831" i="4"/>
  <c r="J831" i="4" s="1"/>
  <c r="I830" i="4"/>
  <c r="J830" i="4" s="1"/>
  <c r="I829" i="4"/>
  <c r="J829" i="4" s="1"/>
  <c r="I828" i="4"/>
  <c r="J828" i="4" s="1"/>
  <c r="I827" i="4"/>
  <c r="J827" i="4" s="1"/>
  <c r="I826" i="4"/>
  <c r="J826" i="4" s="1"/>
  <c r="I825" i="4"/>
  <c r="J825" i="4" s="1"/>
  <c r="I824" i="4"/>
  <c r="J824" i="4" s="1"/>
  <c r="I823" i="4"/>
  <c r="J823" i="4" s="1"/>
  <c r="I822" i="4"/>
  <c r="J822" i="4" s="1"/>
  <c r="I821" i="4"/>
  <c r="J821" i="4" s="1"/>
  <c r="I820" i="4"/>
  <c r="J820" i="4" s="1"/>
  <c r="I819" i="4"/>
  <c r="J819" i="4" s="1"/>
  <c r="I818" i="4"/>
  <c r="J818" i="4" s="1"/>
  <c r="I817" i="4"/>
  <c r="J817" i="4" s="1"/>
  <c r="I816" i="4"/>
  <c r="J816" i="4" s="1"/>
  <c r="I815" i="4"/>
  <c r="J815" i="4" s="1"/>
  <c r="I814" i="4"/>
  <c r="J814" i="4" s="1"/>
  <c r="I813" i="4"/>
  <c r="J813" i="4" s="1"/>
  <c r="I812" i="4"/>
  <c r="J812" i="4" s="1"/>
  <c r="I811" i="4"/>
  <c r="J811" i="4" s="1"/>
  <c r="I810" i="4"/>
  <c r="J810" i="4" s="1"/>
  <c r="I809" i="4"/>
  <c r="J809" i="4" s="1"/>
  <c r="I808" i="4"/>
  <c r="J808" i="4" s="1"/>
  <c r="I807" i="4"/>
  <c r="J807" i="4" s="1"/>
  <c r="I806" i="4"/>
  <c r="J806" i="4" s="1"/>
  <c r="I805" i="4"/>
  <c r="J805" i="4" s="1"/>
  <c r="I804" i="4"/>
  <c r="J804" i="4" s="1"/>
  <c r="I803" i="4"/>
  <c r="J803" i="4" s="1"/>
  <c r="I802" i="4"/>
  <c r="J802" i="4" s="1"/>
  <c r="I801" i="4"/>
  <c r="J801" i="4" s="1"/>
  <c r="I800" i="4"/>
  <c r="J800" i="4" s="1"/>
  <c r="I799" i="4"/>
  <c r="J799" i="4" s="1"/>
  <c r="I798" i="4"/>
  <c r="J798" i="4" s="1"/>
  <c r="I797" i="4"/>
  <c r="J797" i="4" s="1"/>
  <c r="I796" i="4"/>
  <c r="J796" i="4" s="1"/>
  <c r="I795" i="4"/>
  <c r="J795" i="4" s="1"/>
  <c r="I794" i="4"/>
  <c r="J794" i="4" s="1"/>
  <c r="I793" i="4"/>
  <c r="J793" i="4" s="1"/>
  <c r="I792" i="4"/>
  <c r="J792" i="4" s="1"/>
  <c r="I791" i="4"/>
  <c r="J791" i="4" s="1"/>
  <c r="I790" i="4"/>
  <c r="J790" i="4" s="1"/>
  <c r="I789" i="4"/>
  <c r="J789" i="4" s="1"/>
  <c r="I788" i="4"/>
  <c r="J788" i="4" s="1"/>
  <c r="I787" i="4"/>
  <c r="J787" i="4" s="1"/>
  <c r="I786" i="4"/>
  <c r="J786" i="4" s="1"/>
  <c r="I785" i="4"/>
  <c r="J785" i="4" s="1"/>
  <c r="I784" i="4"/>
  <c r="J784" i="4" s="1"/>
  <c r="I783" i="4"/>
  <c r="J783" i="4" s="1"/>
  <c r="I782" i="4"/>
  <c r="J782" i="4" s="1"/>
  <c r="I781" i="4"/>
  <c r="J781" i="4" s="1"/>
  <c r="I780" i="4"/>
  <c r="J780" i="4" s="1"/>
  <c r="I779" i="4"/>
  <c r="J779" i="4" s="1"/>
  <c r="I778" i="4"/>
  <c r="J778" i="4" s="1"/>
  <c r="I777" i="4"/>
  <c r="J777" i="4" s="1"/>
  <c r="I776" i="4"/>
  <c r="J776" i="4" s="1"/>
  <c r="I775" i="4"/>
  <c r="J775" i="4" s="1"/>
  <c r="I774" i="4"/>
  <c r="J774" i="4" s="1"/>
  <c r="I773" i="4"/>
  <c r="J773" i="4" s="1"/>
  <c r="I772" i="4"/>
  <c r="J772" i="4" s="1"/>
  <c r="I771" i="4"/>
  <c r="J771" i="4" s="1"/>
  <c r="I770" i="4"/>
  <c r="J770" i="4" s="1"/>
  <c r="I769" i="4"/>
  <c r="J769" i="4" s="1"/>
  <c r="I768" i="4"/>
  <c r="J768" i="4" s="1"/>
  <c r="I767" i="4"/>
  <c r="J767" i="4" s="1"/>
  <c r="I766" i="4"/>
  <c r="J766" i="4" s="1"/>
  <c r="I765" i="4"/>
  <c r="J765" i="4" s="1"/>
  <c r="I764" i="4"/>
  <c r="J764" i="4" s="1"/>
  <c r="I763" i="4"/>
  <c r="J763" i="4" s="1"/>
  <c r="I762" i="4"/>
  <c r="J762" i="4" s="1"/>
  <c r="I761" i="4"/>
  <c r="J761" i="4" s="1"/>
  <c r="I760" i="4"/>
  <c r="J760" i="4" s="1"/>
  <c r="I759" i="4"/>
  <c r="J759" i="4" s="1"/>
  <c r="I758" i="4"/>
  <c r="J758" i="4" s="1"/>
  <c r="I757" i="4"/>
  <c r="J757" i="4" s="1"/>
  <c r="I756" i="4"/>
  <c r="J756" i="4" s="1"/>
  <c r="I755" i="4"/>
  <c r="J755" i="4" s="1"/>
  <c r="I754" i="4"/>
  <c r="J754" i="4" s="1"/>
  <c r="I753" i="4"/>
  <c r="J753" i="4" s="1"/>
  <c r="I752" i="4"/>
  <c r="J752" i="4" s="1"/>
  <c r="I751" i="4"/>
  <c r="J751" i="4" s="1"/>
  <c r="I750" i="4"/>
  <c r="J750" i="4" s="1"/>
  <c r="I749" i="4"/>
  <c r="J749" i="4" s="1"/>
  <c r="I748" i="4"/>
  <c r="J748" i="4" s="1"/>
  <c r="I747" i="4"/>
  <c r="J747" i="4" s="1"/>
  <c r="I746" i="4"/>
  <c r="J746" i="4" s="1"/>
  <c r="I745" i="4"/>
  <c r="J745" i="4" s="1"/>
  <c r="I744" i="4"/>
  <c r="J744" i="4" s="1"/>
  <c r="I743" i="4"/>
  <c r="J743" i="4" s="1"/>
  <c r="I742" i="4"/>
  <c r="J742" i="4" s="1"/>
  <c r="I741" i="4"/>
  <c r="J741" i="4" s="1"/>
  <c r="I740" i="4"/>
  <c r="J740" i="4" s="1"/>
  <c r="I739" i="4"/>
  <c r="J739" i="4" s="1"/>
  <c r="I738" i="4"/>
  <c r="J738" i="4" s="1"/>
  <c r="I737" i="4"/>
  <c r="J737" i="4" s="1"/>
  <c r="I736" i="4"/>
  <c r="J736" i="4" s="1"/>
  <c r="I735" i="4"/>
  <c r="J735" i="4" s="1"/>
  <c r="I734" i="4"/>
  <c r="J734" i="4" s="1"/>
  <c r="I733" i="4"/>
  <c r="J733" i="4" s="1"/>
  <c r="I732" i="4"/>
  <c r="J732" i="4" s="1"/>
  <c r="I731" i="4"/>
  <c r="J731" i="4" s="1"/>
  <c r="I730" i="4"/>
  <c r="J730" i="4" s="1"/>
  <c r="I729" i="4"/>
  <c r="J729" i="4" s="1"/>
  <c r="I728" i="4"/>
  <c r="J728" i="4" s="1"/>
  <c r="I727" i="4"/>
  <c r="J727" i="4" s="1"/>
  <c r="I726" i="4"/>
  <c r="J726" i="4" s="1"/>
  <c r="I725" i="4"/>
  <c r="J725" i="4" s="1"/>
  <c r="I724" i="4"/>
  <c r="J724" i="4" s="1"/>
  <c r="I723" i="4"/>
  <c r="J723" i="4" s="1"/>
  <c r="I722" i="4"/>
  <c r="J722" i="4" s="1"/>
  <c r="I721" i="4"/>
  <c r="J721" i="4" s="1"/>
  <c r="I720" i="4"/>
  <c r="J720" i="4" s="1"/>
  <c r="I719" i="4"/>
  <c r="J719" i="4" s="1"/>
  <c r="I718" i="4"/>
  <c r="J718" i="4" s="1"/>
  <c r="I717" i="4"/>
  <c r="J717" i="4" s="1"/>
  <c r="I716" i="4"/>
  <c r="J716" i="4" s="1"/>
  <c r="I715" i="4"/>
  <c r="J715" i="4" s="1"/>
  <c r="I714" i="4"/>
  <c r="J714" i="4" s="1"/>
  <c r="I713" i="4"/>
  <c r="J713" i="4" s="1"/>
  <c r="I712" i="4"/>
  <c r="J712" i="4" s="1"/>
  <c r="I711" i="4"/>
  <c r="J711" i="4" s="1"/>
  <c r="I710" i="4"/>
  <c r="J710" i="4" s="1"/>
  <c r="I709" i="4"/>
  <c r="J709" i="4" s="1"/>
  <c r="I708" i="4"/>
  <c r="J708" i="4" s="1"/>
  <c r="I707" i="4"/>
  <c r="J707" i="4" s="1"/>
  <c r="I706" i="4"/>
  <c r="J706" i="4" s="1"/>
  <c r="I705" i="4"/>
  <c r="J705" i="4" s="1"/>
  <c r="I704" i="4"/>
  <c r="J704" i="4" s="1"/>
  <c r="I703" i="4"/>
  <c r="J703" i="4" s="1"/>
  <c r="I702" i="4"/>
  <c r="J702" i="4" s="1"/>
  <c r="I701" i="4"/>
  <c r="J701" i="4" s="1"/>
  <c r="I700" i="4"/>
  <c r="J700" i="4" s="1"/>
  <c r="I699" i="4"/>
  <c r="J699" i="4" s="1"/>
  <c r="I698" i="4"/>
  <c r="J698" i="4" s="1"/>
  <c r="I697" i="4"/>
  <c r="J697" i="4" s="1"/>
  <c r="I696" i="4"/>
  <c r="J696" i="4" s="1"/>
  <c r="I695" i="4"/>
  <c r="J695" i="4" s="1"/>
  <c r="I694" i="4"/>
  <c r="J694" i="4" s="1"/>
  <c r="I693" i="4"/>
  <c r="J693" i="4" s="1"/>
  <c r="I692" i="4"/>
  <c r="J692" i="4" s="1"/>
  <c r="I691" i="4"/>
  <c r="J691" i="4" s="1"/>
  <c r="I690" i="4"/>
  <c r="J690" i="4" s="1"/>
  <c r="I689" i="4"/>
  <c r="J689" i="4" s="1"/>
  <c r="I688" i="4"/>
  <c r="J688" i="4" s="1"/>
  <c r="I687" i="4"/>
  <c r="J687" i="4" s="1"/>
  <c r="I686" i="4"/>
  <c r="J686" i="4" s="1"/>
  <c r="I685" i="4"/>
  <c r="J685" i="4" s="1"/>
  <c r="I684" i="4"/>
  <c r="J684" i="4" s="1"/>
  <c r="I683" i="4"/>
  <c r="J683" i="4" s="1"/>
  <c r="I682" i="4"/>
  <c r="J682" i="4" s="1"/>
  <c r="I681" i="4"/>
  <c r="J681" i="4" s="1"/>
  <c r="I680" i="4"/>
  <c r="J680" i="4" s="1"/>
  <c r="I679" i="4"/>
  <c r="J679" i="4" s="1"/>
  <c r="I678" i="4"/>
  <c r="J678" i="4" s="1"/>
  <c r="I677" i="4"/>
  <c r="J677" i="4" s="1"/>
  <c r="I676" i="4"/>
  <c r="J676" i="4" s="1"/>
  <c r="I675" i="4"/>
  <c r="J675" i="4" s="1"/>
  <c r="I674" i="4"/>
  <c r="J674" i="4" s="1"/>
  <c r="I673" i="4"/>
  <c r="J673" i="4" s="1"/>
  <c r="I672" i="4"/>
  <c r="J672" i="4" s="1"/>
  <c r="I671" i="4"/>
  <c r="J671" i="4" s="1"/>
  <c r="I670" i="4"/>
  <c r="J670" i="4" s="1"/>
  <c r="I669" i="4"/>
  <c r="J669" i="4" s="1"/>
  <c r="I668" i="4"/>
  <c r="J668" i="4" s="1"/>
  <c r="I667" i="4"/>
  <c r="J667" i="4" s="1"/>
  <c r="I666" i="4"/>
  <c r="J666" i="4" s="1"/>
  <c r="I665" i="4"/>
  <c r="J665" i="4" s="1"/>
  <c r="I664" i="4"/>
  <c r="J664" i="4" s="1"/>
  <c r="I663" i="4"/>
  <c r="J663" i="4" s="1"/>
  <c r="I662" i="4"/>
  <c r="J662" i="4" s="1"/>
  <c r="I661" i="4"/>
  <c r="J661" i="4" s="1"/>
  <c r="I660" i="4"/>
  <c r="J660" i="4" s="1"/>
  <c r="I659" i="4"/>
  <c r="J659" i="4" s="1"/>
  <c r="I658" i="4"/>
  <c r="J658" i="4" s="1"/>
  <c r="I657" i="4"/>
  <c r="J657" i="4" s="1"/>
  <c r="I656" i="4"/>
  <c r="J656" i="4" s="1"/>
  <c r="I655" i="4"/>
  <c r="J655" i="4" s="1"/>
  <c r="I654" i="4"/>
  <c r="J654" i="4" s="1"/>
  <c r="I653" i="4"/>
  <c r="J653" i="4" s="1"/>
  <c r="I652" i="4"/>
  <c r="J652" i="4" s="1"/>
  <c r="I651" i="4"/>
  <c r="J651" i="4" s="1"/>
  <c r="I650" i="4"/>
  <c r="J650" i="4" s="1"/>
  <c r="I649" i="4"/>
  <c r="J649" i="4" s="1"/>
  <c r="I648" i="4"/>
  <c r="J648" i="4" s="1"/>
  <c r="I647" i="4"/>
  <c r="J647" i="4" s="1"/>
  <c r="I646" i="4"/>
  <c r="J646" i="4" s="1"/>
  <c r="I645" i="4"/>
  <c r="J645" i="4" s="1"/>
  <c r="I644" i="4"/>
  <c r="J644" i="4" s="1"/>
  <c r="I643" i="4"/>
  <c r="J643" i="4" s="1"/>
  <c r="I642" i="4"/>
  <c r="J642" i="4" s="1"/>
  <c r="I641" i="4"/>
  <c r="J641" i="4" s="1"/>
  <c r="I640" i="4"/>
  <c r="J640" i="4" s="1"/>
  <c r="I639" i="4"/>
  <c r="J639" i="4" s="1"/>
  <c r="I638" i="4"/>
  <c r="J638" i="4" s="1"/>
  <c r="I637" i="4"/>
  <c r="J637" i="4" s="1"/>
  <c r="I636" i="4"/>
  <c r="J636" i="4" s="1"/>
  <c r="I635" i="4"/>
  <c r="J635" i="4" s="1"/>
  <c r="I634" i="4"/>
  <c r="J634" i="4" s="1"/>
  <c r="I633" i="4"/>
  <c r="J633" i="4" s="1"/>
  <c r="I632" i="4"/>
  <c r="J632" i="4" s="1"/>
  <c r="I631" i="4"/>
  <c r="J631" i="4" s="1"/>
  <c r="I630" i="4"/>
  <c r="J630" i="4" s="1"/>
  <c r="I629" i="4"/>
  <c r="J629" i="4" s="1"/>
  <c r="I628" i="4"/>
  <c r="J628" i="4" s="1"/>
  <c r="I627" i="4"/>
  <c r="J627" i="4" s="1"/>
  <c r="I626" i="4"/>
  <c r="J626" i="4" s="1"/>
  <c r="I625" i="4"/>
  <c r="J625" i="4" s="1"/>
  <c r="I624" i="4"/>
  <c r="J624" i="4" s="1"/>
  <c r="I623" i="4"/>
  <c r="J623" i="4" s="1"/>
  <c r="I622" i="4"/>
  <c r="J622" i="4" s="1"/>
  <c r="I621" i="4"/>
  <c r="J621" i="4" s="1"/>
  <c r="I620" i="4"/>
  <c r="J620" i="4" s="1"/>
  <c r="I619" i="4"/>
  <c r="J619" i="4" s="1"/>
  <c r="I618" i="4"/>
  <c r="J618" i="4" s="1"/>
  <c r="I617" i="4"/>
  <c r="J617" i="4" s="1"/>
  <c r="I616" i="4"/>
  <c r="J616" i="4" s="1"/>
  <c r="I615" i="4"/>
  <c r="J615" i="4" s="1"/>
  <c r="I614" i="4"/>
  <c r="J614" i="4" s="1"/>
  <c r="I613" i="4"/>
  <c r="J613" i="4" s="1"/>
  <c r="I612" i="4"/>
  <c r="J612" i="4" s="1"/>
  <c r="I611" i="4"/>
  <c r="J611" i="4" s="1"/>
  <c r="I610" i="4"/>
  <c r="J610" i="4" s="1"/>
  <c r="I609" i="4"/>
  <c r="J609" i="4" s="1"/>
  <c r="I608" i="4"/>
  <c r="J608" i="4" s="1"/>
  <c r="I607" i="4"/>
  <c r="J607" i="4" s="1"/>
  <c r="I606" i="4"/>
  <c r="J606" i="4" s="1"/>
  <c r="I605" i="4"/>
  <c r="J605" i="4" s="1"/>
  <c r="I604" i="4"/>
  <c r="J604" i="4" s="1"/>
  <c r="I603" i="4"/>
  <c r="J603" i="4" s="1"/>
  <c r="I602" i="4"/>
  <c r="J602" i="4" s="1"/>
  <c r="I601" i="4"/>
  <c r="J601" i="4" s="1"/>
  <c r="I600" i="4"/>
  <c r="J600" i="4" s="1"/>
  <c r="I599" i="4"/>
  <c r="J599" i="4" s="1"/>
  <c r="I598" i="4"/>
  <c r="J598" i="4" s="1"/>
  <c r="I597" i="4"/>
  <c r="J597" i="4" s="1"/>
  <c r="I596" i="4"/>
  <c r="J596" i="4" s="1"/>
  <c r="I595" i="4"/>
  <c r="J595" i="4" s="1"/>
  <c r="I594" i="4"/>
  <c r="J594" i="4" s="1"/>
  <c r="I593" i="4"/>
  <c r="J593" i="4" s="1"/>
  <c r="I592" i="4"/>
  <c r="J592" i="4" s="1"/>
  <c r="I591" i="4"/>
  <c r="J591" i="4" s="1"/>
  <c r="I590" i="4"/>
  <c r="J590" i="4" s="1"/>
  <c r="I589" i="4"/>
  <c r="J589" i="4" s="1"/>
  <c r="I588" i="4"/>
  <c r="J588" i="4" s="1"/>
  <c r="I587" i="4"/>
  <c r="J587" i="4" s="1"/>
  <c r="I586" i="4"/>
  <c r="J586" i="4" s="1"/>
  <c r="I585" i="4"/>
  <c r="J585" i="4" s="1"/>
  <c r="I584" i="4"/>
  <c r="J584" i="4" s="1"/>
  <c r="I583" i="4"/>
  <c r="J583" i="4" s="1"/>
  <c r="I582" i="4"/>
  <c r="J582" i="4" s="1"/>
  <c r="I581" i="4"/>
  <c r="J581" i="4" s="1"/>
  <c r="I580" i="4"/>
  <c r="J580" i="4" s="1"/>
  <c r="I579" i="4"/>
  <c r="J579" i="4" s="1"/>
  <c r="I578" i="4"/>
  <c r="J578" i="4" s="1"/>
  <c r="I577" i="4"/>
  <c r="J577" i="4" s="1"/>
  <c r="I576" i="4"/>
  <c r="J576" i="4" s="1"/>
  <c r="I575" i="4"/>
  <c r="J575" i="4" s="1"/>
  <c r="I574" i="4"/>
  <c r="J574" i="4" s="1"/>
  <c r="I573" i="4"/>
  <c r="J573" i="4" s="1"/>
  <c r="I572" i="4"/>
  <c r="J572" i="4" s="1"/>
  <c r="I571" i="4"/>
  <c r="J571" i="4" s="1"/>
  <c r="I570" i="4"/>
  <c r="J570" i="4" s="1"/>
  <c r="I569" i="4"/>
  <c r="J569" i="4" s="1"/>
  <c r="I568" i="4"/>
  <c r="J568" i="4" s="1"/>
  <c r="I567" i="4"/>
  <c r="J567" i="4" s="1"/>
  <c r="I566" i="4"/>
  <c r="J566" i="4" s="1"/>
  <c r="I565" i="4"/>
  <c r="J565" i="4" s="1"/>
  <c r="I564" i="4"/>
  <c r="J564" i="4" s="1"/>
  <c r="I563" i="4"/>
  <c r="J563" i="4" s="1"/>
  <c r="I562" i="4"/>
  <c r="J562" i="4" s="1"/>
  <c r="I561" i="4"/>
  <c r="J561" i="4" s="1"/>
  <c r="I560" i="4"/>
  <c r="J560" i="4" s="1"/>
  <c r="I559" i="4"/>
  <c r="J559" i="4" s="1"/>
  <c r="I558" i="4"/>
  <c r="J558" i="4" s="1"/>
  <c r="I557" i="4"/>
  <c r="J557" i="4" s="1"/>
  <c r="I556" i="4"/>
  <c r="J556" i="4" s="1"/>
  <c r="I555" i="4"/>
  <c r="J555" i="4" s="1"/>
  <c r="I554" i="4"/>
  <c r="J554" i="4" s="1"/>
  <c r="I553" i="4"/>
  <c r="J553" i="4" s="1"/>
  <c r="I552" i="4"/>
  <c r="J552" i="4" s="1"/>
  <c r="I551" i="4"/>
  <c r="J551" i="4" s="1"/>
  <c r="I550" i="4"/>
  <c r="J550" i="4" s="1"/>
  <c r="I549" i="4"/>
  <c r="J549" i="4" s="1"/>
  <c r="I548" i="4"/>
  <c r="J548" i="4" s="1"/>
  <c r="I547" i="4"/>
  <c r="J547" i="4" s="1"/>
  <c r="I546" i="4"/>
  <c r="J546" i="4" s="1"/>
  <c r="I545" i="4"/>
  <c r="J545" i="4" s="1"/>
  <c r="I544" i="4"/>
  <c r="J544" i="4" s="1"/>
  <c r="I543" i="4"/>
  <c r="J543" i="4" s="1"/>
  <c r="I542" i="4"/>
  <c r="J542" i="4" s="1"/>
  <c r="I541" i="4"/>
  <c r="J541" i="4" s="1"/>
  <c r="I540" i="4"/>
  <c r="J540" i="4" s="1"/>
  <c r="I539" i="4"/>
  <c r="J539" i="4" s="1"/>
  <c r="I538" i="4"/>
  <c r="J538" i="4" s="1"/>
  <c r="I537" i="4"/>
  <c r="J537" i="4" s="1"/>
  <c r="I536" i="4"/>
  <c r="J536" i="4" s="1"/>
  <c r="I535" i="4"/>
  <c r="J535" i="4" s="1"/>
  <c r="I534" i="4"/>
  <c r="J534" i="4" s="1"/>
  <c r="I533" i="4"/>
  <c r="J533" i="4" s="1"/>
  <c r="I532" i="4"/>
  <c r="J532" i="4" s="1"/>
  <c r="I531" i="4"/>
  <c r="J531" i="4" s="1"/>
  <c r="I530" i="4"/>
  <c r="J530" i="4" s="1"/>
  <c r="I529" i="4"/>
  <c r="J529" i="4" s="1"/>
  <c r="I528" i="4"/>
  <c r="J528" i="4" s="1"/>
  <c r="I527" i="4"/>
  <c r="J527" i="4" s="1"/>
  <c r="I526" i="4"/>
  <c r="J526" i="4" s="1"/>
  <c r="I525" i="4"/>
  <c r="J525" i="4" s="1"/>
  <c r="I524" i="4"/>
  <c r="J524" i="4" s="1"/>
  <c r="I523" i="4"/>
  <c r="J523" i="4" s="1"/>
  <c r="I522" i="4"/>
  <c r="J522" i="4" s="1"/>
  <c r="I521" i="4"/>
  <c r="J521" i="4" s="1"/>
  <c r="I520" i="4"/>
  <c r="J520" i="4" s="1"/>
  <c r="I519" i="4"/>
  <c r="J519" i="4" s="1"/>
  <c r="I518" i="4"/>
  <c r="J518" i="4" s="1"/>
  <c r="I517" i="4"/>
  <c r="J517" i="4" s="1"/>
  <c r="I516" i="4"/>
  <c r="J516" i="4" s="1"/>
  <c r="I515" i="4"/>
  <c r="J515" i="4" s="1"/>
  <c r="I514" i="4"/>
  <c r="J514" i="4" s="1"/>
  <c r="I513" i="4"/>
  <c r="J513" i="4" s="1"/>
  <c r="I512" i="4"/>
  <c r="J512" i="4" s="1"/>
  <c r="I511" i="4"/>
  <c r="J511" i="4" s="1"/>
  <c r="I510" i="4"/>
  <c r="J510" i="4" s="1"/>
  <c r="I509" i="4"/>
  <c r="J509" i="4" s="1"/>
  <c r="I508" i="4"/>
  <c r="J508" i="4" s="1"/>
  <c r="I507" i="4"/>
  <c r="J507" i="4" s="1"/>
  <c r="I506" i="4"/>
  <c r="J506" i="4" s="1"/>
  <c r="I505" i="4"/>
  <c r="J505" i="4" s="1"/>
  <c r="I504" i="4"/>
  <c r="J504" i="4" s="1"/>
  <c r="I503" i="4"/>
  <c r="J503" i="4" s="1"/>
  <c r="I502" i="4"/>
  <c r="J502" i="4" s="1"/>
  <c r="I501" i="4"/>
  <c r="J501" i="4" s="1"/>
  <c r="I500" i="4"/>
  <c r="J500" i="4" s="1"/>
  <c r="I499" i="4"/>
  <c r="J499" i="4" s="1"/>
  <c r="I498" i="4"/>
  <c r="J498" i="4" s="1"/>
  <c r="I497" i="4"/>
  <c r="J497" i="4" s="1"/>
  <c r="I496" i="4"/>
  <c r="J496" i="4" s="1"/>
  <c r="I495" i="4"/>
  <c r="J495" i="4" s="1"/>
  <c r="I494" i="4"/>
  <c r="J494" i="4" s="1"/>
  <c r="I493" i="4"/>
  <c r="J493" i="4" s="1"/>
  <c r="I492" i="4"/>
  <c r="J492" i="4" s="1"/>
  <c r="I491" i="4"/>
  <c r="J491" i="4" s="1"/>
  <c r="I490" i="4"/>
  <c r="J490" i="4" s="1"/>
  <c r="I489" i="4"/>
  <c r="J489" i="4" s="1"/>
  <c r="I488" i="4"/>
  <c r="J488" i="4" s="1"/>
  <c r="I487" i="4"/>
  <c r="J487" i="4" s="1"/>
  <c r="I486" i="4"/>
  <c r="J486" i="4" s="1"/>
  <c r="I485" i="4"/>
  <c r="J485" i="4" s="1"/>
  <c r="I484" i="4"/>
  <c r="J484" i="4" s="1"/>
  <c r="I483" i="4"/>
  <c r="J483" i="4" s="1"/>
  <c r="I482" i="4"/>
  <c r="J482" i="4" s="1"/>
  <c r="I481" i="4"/>
  <c r="J481" i="4" s="1"/>
  <c r="I480" i="4"/>
  <c r="J480" i="4" s="1"/>
  <c r="I479" i="4"/>
  <c r="J479" i="4" s="1"/>
  <c r="I478" i="4"/>
  <c r="J478" i="4" s="1"/>
  <c r="I477" i="4"/>
  <c r="J477" i="4" s="1"/>
  <c r="I476" i="4"/>
  <c r="J476" i="4" s="1"/>
  <c r="I475" i="4"/>
  <c r="J475" i="4" s="1"/>
  <c r="I474" i="4"/>
  <c r="J474" i="4" s="1"/>
  <c r="I473" i="4"/>
  <c r="J473" i="4" s="1"/>
  <c r="I472" i="4"/>
  <c r="J472" i="4" s="1"/>
  <c r="I471" i="4"/>
  <c r="J471" i="4" s="1"/>
  <c r="I470" i="4"/>
  <c r="J470" i="4" s="1"/>
  <c r="I469" i="4"/>
  <c r="J469" i="4" s="1"/>
  <c r="I468" i="4"/>
  <c r="J468" i="4" s="1"/>
  <c r="I467" i="4"/>
  <c r="J467" i="4" s="1"/>
  <c r="I466" i="4"/>
  <c r="J466" i="4" s="1"/>
  <c r="I465" i="4"/>
  <c r="J465" i="4" s="1"/>
  <c r="I464" i="4"/>
  <c r="J464" i="4" s="1"/>
  <c r="I463" i="4"/>
  <c r="J463" i="4" s="1"/>
  <c r="I462" i="4"/>
  <c r="J462" i="4" s="1"/>
  <c r="I461" i="4"/>
  <c r="J461" i="4" s="1"/>
  <c r="I460" i="4"/>
  <c r="J460" i="4" s="1"/>
  <c r="I459" i="4"/>
  <c r="J459" i="4" s="1"/>
  <c r="I458" i="4"/>
  <c r="J458" i="4" s="1"/>
  <c r="I457" i="4"/>
  <c r="J457" i="4" s="1"/>
  <c r="I456" i="4"/>
  <c r="J456" i="4" s="1"/>
  <c r="I455" i="4"/>
  <c r="J455" i="4" s="1"/>
  <c r="I454" i="4"/>
  <c r="J454" i="4" s="1"/>
  <c r="I453" i="4"/>
  <c r="J453" i="4" s="1"/>
  <c r="I452" i="4"/>
  <c r="J452" i="4" s="1"/>
  <c r="I451" i="4"/>
  <c r="J451" i="4" s="1"/>
  <c r="I450" i="4"/>
  <c r="J450" i="4" s="1"/>
  <c r="I449" i="4"/>
  <c r="J449" i="4" s="1"/>
  <c r="I448" i="4"/>
  <c r="J448" i="4" s="1"/>
  <c r="I447" i="4"/>
  <c r="J447" i="4" s="1"/>
  <c r="I446" i="4"/>
  <c r="J446" i="4" s="1"/>
  <c r="I445" i="4"/>
  <c r="J445" i="4" s="1"/>
  <c r="I444" i="4"/>
  <c r="J444" i="4" s="1"/>
  <c r="I443" i="4"/>
  <c r="J443" i="4" s="1"/>
  <c r="I442" i="4"/>
  <c r="J442" i="4" s="1"/>
  <c r="I441" i="4"/>
  <c r="J441" i="4" s="1"/>
  <c r="I440" i="4"/>
  <c r="J440" i="4" s="1"/>
  <c r="I439" i="4"/>
  <c r="J439" i="4" s="1"/>
  <c r="I438" i="4"/>
  <c r="J438" i="4" s="1"/>
  <c r="I437" i="4"/>
  <c r="J437" i="4" s="1"/>
  <c r="I436" i="4"/>
  <c r="J436" i="4" s="1"/>
  <c r="I435" i="4"/>
  <c r="J435" i="4" s="1"/>
  <c r="I434" i="4"/>
  <c r="J434" i="4" s="1"/>
  <c r="I433" i="4"/>
  <c r="J433" i="4" s="1"/>
  <c r="I432" i="4"/>
  <c r="J432" i="4" s="1"/>
  <c r="I431" i="4"/>
  <c r="J431" i="4" s="1"/>
  <c r="I430" i="4"/>
  <c r="J430" i="4" s="1"/>
  <c r="I429" i="4"/>
  <c r="J429" i="4" s="1"/>
  <c r="I428" i="4"/>
  <c r="J428" i="4" s="1"/>
  <c r="I427" i="4"/>
  <c r="J427" i="4" s="1"/>
  <c r="I426" i="4"/>
  <c r="J426" i="4" s="1"/>
  <c r="I425" i="4"/>
  <c r="J425" i="4" s="1"/>
  <c r="I424" i="4"/>
  <c r="J424" i="4" s="1"/>
  <c r="I423" i="4"/>
  <c r="J423" i="4" s="1"/>
  <c r="I422" i="4"/>
  <c r="J422" i="4" s="1"/>
  <c r="I421" i="4"/>
  <c r="J421" i="4" s="1"/>
  <c r="I420" i="4"/>
  <c r="J420" i="4" s="1"/>
  <c r="I419" i="4"/>
  <c r="J419" i="4" s="1"/>
  <c r="I418" i="4"/>
  <c r="J418" i="4" s="1"/>
  <c r="I417" i="4"/>
  <c r="J417" i="4" s="1"/>
  <c r="I416" i="4"/>
  <c r="J416" i="4" s="1"/>
  <c r="I415" i="4"/>
  <c r="J415" i="4" s="1"/>
  <c r="I414" i="4"/>
  <c r="J414" i="4" s="1"/>
  <c r="I413" i="4"/>
  <c r="J413" i="4" s="1"/>
  <c r="I412" i="4"/>
  <c r="J412" i="4" s="1"/>
  <c r="I411" i="4"/>
  <c r="J411" i="4" s="1"/>
  <c r="I410" i="4"/>
  <c r="J410" i="4" s="1"/>
  <c r="I409" i="4"/>
  <c r="J409" i="4" s="1"/>
  <c r="I408" i="4"/>
  <c r="J408" i="4" s="1"/>
  <c r="I407" i="4"/>
  <c r="J407" i="4" s="1"/>
  <c r="I406" i="4"/>
  <c r="J406" i="4" s="1"/>
  <c r="I405" i="4"/>
  <c r="J405" i="4" s="1"/>
  <c r="I404" i="4"/>
  <c r="J404" i="4" s="1"/>
  <c r="I403" i="4"/>
  <c r="J403" i="4" s="1"/>
  <c r="I402" i="4"/>
  <c r="J402" i="4" s="1"/>
  <c r="I401" i="4"/>
  <c r="J401" i="4" s="1"/>
  <c r="I400" i="4"/>
  <c r="J400" i="4" s="1"/>
  <c r="I399" i="4"/>
  <c r="J399" i="4" s="1"/>
  <c r="I398" i="4"/>
  <c r="J398" i="4" s="1"/>
  <c r="I397" i="4"/>
  <c r="J397" i="4" s="1"/>
  <c r="I396" i="4"/>
  <c r="J396" i="4" s="1"/>
  <c r="I395" i="4"/>
  <c r="J395" i="4" s="1"/>
  <c r="I394" i="4"/>
  <c r="J394" i="4" s="1"/>
  <c r="I393" i="4"/>
  <c r="J393" i="4" s="1"/>
  <c r="I392" i="4"/>
  <c r="J392" i="4" s="1"/>
  <c r="I391" i="4"/>
  <c r="J391" i="4" s="1"/>
  <c r="I390" i="4"/>
  <c r="J390" i="4" s="1"/>
  <c r="I389" i="4"/>
  <c r="J389" i="4" s="1"/>
  <c r="I388" i="4"/>
  <c r="J388" i="4" s="1"/>
  <c r="I387" i="4"/>
  <c r="J387" i="4" s="1"/>
  <c r="I386" i="4"/>
  <c r="J386" i="4" s="1"/>
  <c r="I385" i="4"/>
  <c r="J385" i="4" s="1"/>
  <c r="I384" i="4"/>
  <c r="J384" i="4" s="1"/>
  <c r="I383" i="4"/>
  <c r="J383" i="4" s="1"/>
  <c r="I382" i="4"/>
  <c r="J382" i="4" s="1"/>
  <c r="I381" i="4"/>
  <c r="J381" i="4" s="1"/>
  <c r="I380" i="4"/>
  <c r="J380" i="4" s="1"/>
  <c r="I379" i="4"/>
  <c r="J379" i="4" s="1"/>
  <c r="I378" i="4"/>
  <c r="J378" i="4" s="1"/>
  <c r="I377" i="4"/>
  <c r="J377" i="4" s="1"/>
  <c r="I376" i="4"/>
  <c r="J376" i="4" s="1"/>
  <c r="I375" i="4"/>
  <c r="J375" i="4" s="1"/>
  <c r="I374" i="4"/>
  <c r="J374" i="4" s="1"/>
  <c r="I373" i="4"/>
  <c r="J373" i="4" s="1"/>
  <c r="I372" i="4"/>
  <c r="J372" i="4" s="1"/>
  <c r="I371" i="4"/>
  <c r="J371" i="4" s="1"/>
  <c r="I370" i="4"/>
  <c r="J370" i="4" s="1"/>
  <c r="I369" i="4"/>
  <c r="J369" i="4" s="1"/>
  <c r="I368" i="4"/>
  <c r="J368" i="4" s="1"/>
  <c r="I367" i="4"/>
  <c r="J367" i="4" s="1"/>
  <c r="I366" i="4"/>
  <c r="J366" i="4" s="1"/>
  <c r="I365" i="4"/>
  <c r="J365" i="4" s="1"/>
  <c r="I364" i="4"/>
  <c r="J364" i="4" s="1"/>
  <c r="I363" i="4"/>
  <c r="J363" i="4" s="1"/>
  <c r="I362" i="4"/>
  <c r="J362" i="4" s="1"/>
  <c r="I361" i="4"/>
  <c r="J361" i="4" s="1"/>
  <c r="I360" i="4"/>
  <c r="J360" i="4" s="1"/>
  <c r="I359" i="4"/>
  <c r="J359" i="4" s="1"/>
  <c r="I358" i="4"/>
  <c r="J358" i="4" s="1"/>
  <c r="I357" i="4"/>
  <c r="J357" i="4" s="1"/>
  <c r="I356" i="4"/>
  <c r="J356" i="4" s="1"/>
  <c r="I355" i="4"/>
  <c r="J355" i="4" s="1"/>
  <c r="I354" i="4"/>
  <c r="J354" i="4" s="1"/>
  <c r="I353" i="4"/>
  <c r="J353" i="4" s="1"/>
  <c r="I352" i="4"/>
  <c r="J352" i="4" s="1"/>
  <c r="I351" i="4"/>
  <c r="J351" i="4" s="1"/>
  <c r="I350" i="4"/>
  <c r="J350" i="4" s="1"/>
  <c r="I349" i="4"/>
  <c r="J349" i="4" s="1"/>
  <c r="I348" i="4"/>
  <c r="J348" i="4" s="1"/>
  <c r="I347" i="4"/>
  <c r="J347" i="4" s="1"/>
  <c r="I346" i="4"/>
  <c r="J346" i="4" s="1"/>
  <c r="I345" i="4"/>
  <c r="J345" i="4" s="1"/>
  <c r="I344" i="4"/>
  <c r="J344" i="4" s="1"/>
  <c r="I343" i="4"/>
  <c r="J343" i="4" s="1"/>
  <c r="I342" i="4"/>
  <c r="J342" i="4" s="1"/>
  <c r="I341" i="4"/>
  <c r="J341" i="4" s="1"/>
  <c r="I340" i="4"/>
  <c r="J340" i="4" s="1"/>
  <c r="I339" i="4"/>
  <c r="J339" i="4" s="1"/>
  <c r="I338" i="4"/>
  <c r="J338" i="4" s="1"/>
  <c r="I337" i="4"/>
  <c r="J337" i="4" s="1"/>
  <c r="I336" i="4"/>
  <c r="J336" i="4" s="1"/>
  <c r="I335" i="4"/>
  <c r="J335" i="4" s="1"/>
  <c r="I334" i="4"/>
  <c r="J334" i="4" s="1"/>
  <c r="I333" i="4"/>
  <c r="J333" i="4" s="1"/>
  <c r="I332" i="4"/>
  <c r="J332" i="4" s="1"/>
  <c r="I331" i="4"/>
  <c r="J331" i="4" s="1"/>
  <c r="I330" i="4"/>
  <c r="J330" i="4" s="1"/>
  <c r="I329" i="4"/>
  <c r="J329" i="4" s="1"/>
  <c r="I328" i="4"/>
  <c r="J328" i="4" s="1"/>
  <c r="I327" i="4"/>
  <c r="J327" i="4" s="1"/>
  <c r="I326" i="4"/>
  <c r="J326" i="4" s="1"/>
  <c r="I325" i="4"/>
  <c r="J325" i="4" s="1"/>
  <c r="I324" i="4"/>
  <c r="J324" i="4" s="1"/>
  <c r="I323" i="4"/>
  <c r="J323" i="4" s="1"/>
  <c r="I322" i="4"/>
  <c r="J322" i="4" s="1"/>
  <c r="I321" i="4"/>
  <c r="J321" i="4" s="1"/>
  <c r="I320" i="4"/>
  <c r="J320" i="4" s="1"/>
  <c r="I319" i="4"/>
  <c r="J319" i="4" s="1"/>
  <c r="I318" i="4"/>
  <c r="J318" i="4" s="1"/>
  <c r="I317" i="4"/>
  <c r="J317" i="4" s="1"/>
  <c r="I316" i="4"/>
  <c r="J316" i="4" s="1"/>
  <c r="I315" i="4"/>
  <c r="J315" i="4" s="1"/>
  <c r="I314" i="4"/>
  <c r="J314" i="4" s="1"/>
  <c r="I313" i="4"/>
  <c r="J313" i="4" s="1"/>
  <c r="I312" i="4"/>
  <c r="J312" i="4" s="1"/>
  <c r="I311" i="4"/>
  <c r="J311" i="4" s="1"/>
  <c r="I310" i="4"/>
  <c r="J310" i="4" s="1"/>
  <c r="I309" i="4"/>
  <c r="J309" i="4" s="1"/>
  <c r="I308" i="4"/>
  <c r="J308" i="4" s="1"/>
  <c r="I307" i="4"/>
  <c r="J307" i="4" s="1"/>
  <c r="I306" i="4"/>
  <c r="J306" i="4" s="1"/>
  <c r="I305" i="4"/>
  <c r="J305" i="4" s="1"/>
  <c r="I304" i="4"/>
  <c r="J304" i="4" s="1"/>
  <c r="I303" i="4"/>
  <c r="J303" i="4" s="1"/>
  <c r="I302" i="4"/>
  <c r="J302" i="4" s="1"/>
  <c r="I301" i="4"/>
  <c r="J301" i="4" s="1"/>
  <c r="I300" i="4"/>
  <c r="J300" i="4" s="1"/>
  <c r="I299" i="4"/>
  <c r="J299" i="4" s="1"/>
  <c r="I298" i="4"/>
  <c r="J298" i="4" s="1"/>
  <c r="I297" i="4"/>
  <c r="J297" i="4" s="1"/>
  <c r="I296" i="4"/>
  <c r="J296" i="4" s="1"/>
  <c r="I295" i="4"/>
  <c r="J295" i="4" s="1"/>
  <c r="I294" i="4"/>
  <c r="J294" i="4" s="1"/>
  <c r="I293" i="4"/>
  <c r="J293" i="4" s="1"/>
  <c r="I292" i="4"/>
  <c r="J292" i="4" s="1"/>
  <c r="I291" i="4"/>
  <c r="J291" i="4" s="1"/>
  <c r="I290" i="4"/>
  <c r="J290" i="4" s="1"/>
  <c r="I289" i="4"/>
  <c r="J289" i="4" s="1"/>
  <c r="I288" i="4"/>
  <c r="J288" i="4" s="1"/>
  <c r="I287" i="4"/>
  <c r="J287" i="4" s="1"/>
  <c r="I286" i="4"/>
  <c r="J286" i="4" s="1"/>
  <c r="I285" i="4"/>
  <c r="J285" i="4" s="1"/>
  <c r="I284" i="4"/>
  <c r="J284" i="4" s="1"/>
  <c r="I283" i="4"/>
  <c r="J283" i="4" s="1"/>
  <c r="I282" i="4"/>
  <c r="J282" i="4" s="1"/>
  <c r="I281" i="4"/>
  <c r="J281" i="4" s="1"/>
  <c r="I280" i="4"/>
  <c r="J280" i="4" s="1"/>
  <c r="I279" i="4"/>
  <c r="J279" i="4" s="1"/>
  <c r="I278" i="4"/>
  <c r="J278" i="4" s="1"/>
  <c r="I277" i="4"/>
  <c r="J277" i="4" s="1"/>
  <c r="I276" i="4"/>
  <c r="J276" i="4" s="1"/>
  <c r="I275" i="4"/>
  <c r="J275" i="4" s="1"/>
  <c r="I274" i="4"/>
  <c r="J274" i="4" s="1"/>
  <c r="I273" i="4"/>
  <c r="J273" i="4" s="1"/>
  <c r="I272" i="4"/>
  <c r="J272" i="4" s="1"/>
  <c r="I271" i="4"/>
  <c r="J271" i="4" s="1"/>
  <c r="I270" i="4"/>
  <c r="J270" i="4" s="1"/>
  <c r="I269" i="4"/>
  <c r="J269" i="4" s="1"/>
  <c r="I268" i="4"/>
  <c r="J268" i="4" s="1"/>
  <c r="I267" i="4"/>
  <c r="J267" i="4" s="1"/>
  <c r="I266" i="4"/>
  <c r="J266" i="4" s="1"/>
  <c r="I265" i="4"/>
  <c r="J265" i="4" s="1"/>
  <c r="I264" i="4"/>
  <c r="J264" i="4" s="1"/>
  <c r="I263" i="4"/>
  <c r="J263" i="4" s="1"/>
  <c r="I262" i="4"/>
  <c r="J262" i="4" s="1"/>
  <c r="I261" i="4"/>
  <c r="J261" i="4" s="1"/>
  <c r="I260" i="4"/>
  <c r="J260" i="4" s="1"/>
  <c r="I259" i="4"/>
  <c r="J259" i="4" s="1"/>
  <c r="I258" i="4"/>
  <c r="J258" i="4" s="1"/>
  <c r="I257" i="4"/>
  <c r="J257" i="4" s="1"/>
  <c r="I256" i="4"/>
  <c r="J256" i="4" s="1"/>
  <c r="I255" i="4"/>
  <c r="J255" i="4" s="1"/>
  <c r="I254" i="4"/>
  <c r="J254" i="4" s="1"/>
  <c r="I253" i="4"/>
  <c r="J253" i="4" s="1"/>
  <c r="I252" i="4"/>
  <c r="J252" i="4" s="1"/>
  <c r="I251" i="4"/>
  <c r="J251" i="4" s="1"/>
  <c r="I250" i="4"/>
  <c r="J250" i="4" s="1"/>
  <c r="I249" i="4"/>
  <c r="J249" i="4" s="1"/>
  <c r="I248" i="4"/>
  <c r="J248" i="4" s="1"/>
  <c r="I247" i="4"/>
  <c r="J247" i="4" s="1"/>
  <c r="I246" i="4"/>
  <c r="J246" i="4" s="1"/>
  <c r="I245" i="4"/>
  <c r="J245" i="4" s="1"/>
  <c r="I244" i="4"/>
  <c r="J244" i="4" s="1"/>
  <c r="I243" i="4"/>
  <c r="J243" i="4" s="1"/>
  <c r="I242" i="4"/>
  <c r="J242" i="4" s="1"/>
  <c r="I241" i="4"/>
  <c r="J241" i="4" s="1"/>
  <c r="I240" i="4"/>
  <c r="J240" i="4" s="1"/>
  <c r="I239" i="4"/>
  <c r="J239" i="4" s="1"/>
  <c r="I238" i="4"/>
  <c r="J238" i="4" s="1"/>
  <c r="I237" i="4"/>
  <c r="J237" i="4" s="1"/>
  <c r="I236" i="4"/>
  <c r="J236" i="4" s="1"/>
  <c r="I235" i="4"/>
  <c r="J235" i="4" s="1"/>
  <c r="I234" i="4"/>
  <c r="J234" i="4" s="1"/>
  <c r="I233" i="4"/>
  <c r="J233" i="4" s="1"/>
  <c r="I232" i="4"/>
  <c r="J232" i="4" s="1"/>
  <c r="I231" i="4"/>
  <c r="J231" i="4" s="1"/>
  <c r="I230" i="4"/>
  <c r="J230" i="4" s="1"/>
  <c r="I229" i="4"/>
  <c r="J229" i="4" s="1"/>
  <c r="I228" i="4"/>
  <c r="J228" i="4" s="1"/>
  <c r="I227" i="4"/>
  <c r="J227" i="4" s="1"/>
  <c r="I226" i="4"/>
  <c r="J226" i="4" s="1"/>
  <c r="I225" i="4"/>
  <c r="J225" i="4" s="1"/>
  <c r="I224" i="4"/>
  <c r="J224" i="4" s="1"/>
  <c r="I223" i="4"/>
  <c r="J223" i="4" s="1"/>
  <c r="I222" i="4"/>
  <c r="J222" i="4" s="1"/>
  <c r="I221" i="4"/>
  <c r="J221" i="4" s="1"/>
  <c r="I220" i="4"/>
  <c r="J220" i="4" s="1"/>
  <c r="I219" i="4"/>
  <c r="J219" i="4" s="1"/>
  <c r="I218" i="4"/>
  <c r="J218" i="4" s="1"/>
  <c r="I217" i="4"/>
  <c r="J217" i="4" s="1"/>
  <c r="I216" i="4"/>
  <c r="J216" i="4" s="1"/>
  <c r="I215" i="4"/>
  <c r="J215" i="4" s="1"/>
  <c r="I214" i="4"/>
  <c r="J214" i="4" s="1"/>
  <c r="I213" i="4"/>
  <c r="J213" i="4" s="1"/>
  <c r="I212" i="4"/>
  <c r="J212" i="4" s="1"/>
  <c r="I211" i="4"/>
  <c r="J211" i="4" s="1"/>
  <c r="I210" i="4"/>
  <c r="J210" i="4" s="1"/>
  <c r="I209" i="4"/>
  <c r="J209" i="4" s="1"/>
  <c r="I208" i="4"/>
  <c r="J208" i="4" s="1"/>
  <c r="I207" i="4"/>
  <c r="J207" i="4" s="1"/>
  <c r="I206" i="4"/>
  <c r="J206" i="4" s="1"/>
  <c r="I205" i="4"/>
  <c r="J205" i="4" s="1"/>
  <c r="I204" i="4"/>
  <c r="J204" i="4" s="1"/>
  <c r="I203" i="4"/>
  <c r="J203" i="4" s="1"/>
  <c r="I202" i="4"/>
  <c r="J202" i="4" s="1"/>
  <c r="I201" i="4"/>
  <c r="J201" i="4" s="1"/>
  <c r="I200" i="4"/>
  <c r="J200" i="4" s="1"/>
  <c r="I199" i="4"/>
  <c r="J199" i="4" s="1"/>
  <c r="I198" i="4"/>
  <c r="J198" i="4" s="1"/>
  <c r="I197" i="4"/>
  <c r="J197" i="4" s="1"/>
  <c r="I196" i="4"/>
  <c r="J196" i="4" s="1"/>
  <c r="I195" i="4"/>
  <c r="J195" i="4" s="1"/>
  <c r="I194" i="4"/>
  <c r="J194" i="4" s="1"/>
  <c r="I193" i="4"/>
  <c r="J193" i="4" s="1"/>
  <c r="I192" i="4"/>
  <c r="J192" i="4" s="1"/>
  <c r="I191" i="4"/>
  <c r="J191" i="4" s="1"/>
  <c r="I190" i="4"/>
  <c r="J190" i="4" s="1"/>
  <c r="I189" i="4"/>
  <c r="J189" i="4" s="1"/>
  <c r="I188" i="4"/>
  <c r="J188" i="4" s="1"/>
  <c r="I187" i="4"/>
  <c r="J187" i="4" s="1"/>
  <c r="I186" i="4"/>
  <c r="J186" i="4" s="1"/>
  <c r="I185" i="4"/>
  <c r="J185" i="4" s="1"/>
  <c r="I184" i="4"/>
  <c r="J184" i="4" s="1"/>
  <c r="I183" i="4"/>
  <c r="J183" i="4" s="1"/>
  <c r="I182" i="4"/>
  <c r="J182" i="4" s="1"/>
  <c r="I181" i="4"/>
  <c r="J181" i="4" s="1"/>
  <c r="I180" i="4"/>
  <c r="J180" i="4" s="1"/>
  <c r="I179" i="4"/>
  <c r="J179" i="4" s="1"/>
  <c r="I178" i="4"/>
  <c r="J178" i="4" s="1"/>
  <c r="I177" i="4"/>
  <c r="J177" i="4" s="1"/>
  <c r="I176" i="4"/>
  <c r="J176" i="4" s="1"/>
  <c r="I175" i="4"/>
  <c r="J175" i="4" s="1"/>
  <c r="I174" i="4"/>
  <c r="J174" i="4" s="1"/>
  <c r="I173" i="4"/>
  <c r="J173" i="4" s="1"/>
  <c r="I172" i="4"/>
  <c r="J172" i="4" s="1"/>
  <c r="I171" i="4"/>
  <c r="J171" i="4" s="1"/>
  <c r="I170" i="4"/>
  <c r="J170" i="4" s="1"/>
  <c r="I169" i="4"/>
  <c r="J169" i="4" s="1"/>
  <c r="I168" i="4"/>
  <c r="J168" i="4" s="1"/>
  <c r="I167" i="4"/>
  <c r="J167" i="4" s="1"/>
  <c r="I166" i="4"/>
  <c r="J166" i="4" s="1"/>
  <c r="I165" i="4"/>
  <c r="J165" i="4" s="1"/>
  <c r="I164" i="4"/>
  <c r="J164" i="4" s="1"/>
  <c r="I163" i="4"/>
  <c r="J163" i="4" s="1"/>
  <c r="I162" i="4"/>
  <c r="J162" i="4" s="1"/>
  <c r="I161" i="4"/>
  <c r="J161" i="4" s="1"/>
  <c r="I160" i="4"/>
  <c r="J160" i="4" s="1"/>
  <c r="I159" i="4"/>
  <c r="J159" i="4" s="1"/>
  <c r="I158" i="4"/>
  <c r="J158" i="4" s="1"/>
  <c r="I157" i="4"/>
  <c r="J157" i="4" s="1"/>
  <c r="I156" i="4"/>
  <c r="J156" i="4" s="1"/>
  <c r="I155" i="4"/>
  <c r="J155" i="4" s="1"/>
  <c r="I154" i="4"/>
  <c r="J154" i="4" s="1"/>
  <c r="I153" i="4"/>
  <c r="J153" i="4" s="1"/>
  <c r="I152" i="4"/>
  <c r="J152" i="4" s="1"/>
  <c r="I151" i="4"/>
  <c r="J151" i="4" s="1"/>
  <c r="I150" i="4"/>
  <c r="J150" i="4" s="1"/>
  <c r="I149" i="4"/>
  <c r="J149" i="4" s="1"/>
  <c r="I148" i="4"/>
  <c r="J148" i="4" s="1"/>
  <c r="I147" i="4"/>
  <c r="J147" i="4" s="1"/>
  <c r="I146" i="4"/>
  <c r="J146" i="4" s="1"/>
  <c r="I145" i="4"/>
  <c r="J145" i="4" s="1"/>
  <c r="I144" i="4"/>
  <c r="J144" i="4" s="1"/>
  <c r="I143" i="4"/>
  <c r="J143" i="4" s="1"/>
  <c r="I142" i="4"/>
  <c r="J142" i="4" s="1"/>
  <c r="I141" i="4"/>
  <c r="J141" i="4" s="1"/>
  <c r="I140" i="4"/>
  <c r="J140" i="4" s="1"/>
  <c r="I139" i="4"/>
  <c r="J139" i="4" s="1"/>
  <c r="I138" i="4"/>
  <c r="J138" i="4" s="1"/>
  <c r="I137" i="4"/>
  <c r="J137" i="4" s="1"/>
  <c r="I136" i="4"/>
  <c r="J136" i="4" s="1"/>
  <c r="I135" i="4"/>
  <c r="J135" i="4" s="1"/>
  <c r="I134" i="4"/>
  <c r="J134" i="4" s="1"/>
  <c r="I133" i="4"/>
  <c r="J133" i="4" s="1"/>
  <c r="I132" i="4"/>
  <c r="J132" i="4" s="1"/>
  <c r="I131" i="4"/>
  <c r="J131" i="4" s="1"/>
  <c r="I130" i="4"/>
  <c r="J130" i="4" s="1"/>
  <c r="I129" i="4"/>
  <c r="J129" i="4" s="1"/>
  <c r="I128" i="4"/>
  <c r="J128" i="4" s="1"/>
  <c r="I127" i="4"/>
  <c r="J127" i="4" s="1"/>
  <c r="I126" i="4"/>
  <c r="J126" i="4" s="1"/>
  <c r="I125" i="4"/>
  <c r="J125" i="4" s="1"/>
  <c r="I124" i="4"/>
  <c r="J124" i="4" s="1"/>
  <c r="I123" i="4"/>
  <c r="J123" i="4" s="1"/>
  <c r="I122" i="4"/>
  <c r="J122" i="4" s="1"/>
  <c r="I121" i="4"/>
  <c r="J121" i="4" s="1"/>
  <c r="I120" i="4"/>
  <c r="J120" i="4" s="1"/>
  <c r="I119" i="4"/>
  <c r="J119" i="4" s="1"/>
  <c r="I118" i="4"/>
  <c r="J118" i="4" s="1"/>
  <c r="I117" i="4"/>
  <c r="J117" i="4" s="1"/>
  <c r="I116" i="4"/>
  <c r="J116" i="4" s="1"/>
  <c r="I115" i="4"/>
  <c r="J115" i="4" s="1"/>
  <c r="I114" i="4"/>
  <c r="J114" i="4" s="1"/>
  <c r="I113" i="4"/>
  <c r="J113" i="4" s="1"/>
  <c r="I112" i="4"/>
  <c r="J112" i="4" s="1"/>
  <c r="I111" i="4"/>
  <c r="J111" i="4" s="1"/>
  <c r="I110" i="4"/>
  <c r="J110" i="4" s="1"/>
  <c r="I109" i="4"/>
  <c r="J109" i="4" s="1"/>
  <c r="I108" i="4"/>
  <c r="J108" i="4" s="1"/>
  <c r="I107" i="4"/>
  <c r="J107" i="4" s="1"/>
  <c r="I106" i="4"/>
  <c r="J106" i="4" s="1"/>
  <c r="I105" i="4"/>
  <c r="J105" i="4" s="1"/>
  <c r="I104" i="4"/>
  <c r="J104" i="4" s="1"/>
  <c r="I103" i="4"/>
  <c r="J103" i="4" s="1"/>
  <c r="I102" i="4"/>
  <c r="J102" i="4" s="1"/>
  <c r="I101" i="4"/>
  <c r="J101" i="4" s="1"/>
  <c r="I100" i="4"/>
  <c r="J100" i="4" s="1"/>
  <c r="I99" i="4"/>
  <c r="J99" i="4" s="1"/>
  <c r="I98" i="4"/>
  <c r="J98" i="4" s="1"/>
  <c r="I97" i="4"/>
  <c r="J97" i="4" s="1"/>
  <c r="I96" i="4"/>
  <c r="J96" i="4" s="1"/>
  <c r="I95" i="4"/>
  <c r="J95" i="4" s="1"/>
  <c r="I94" i="4"/>
  <c r="J94" i="4" s="1"/>
  <c r="I93" i="4"/>
  <c r="J93" i="4" s="1"/>
  <c r="I92" i="4"/>
  <c r="J92" i="4" s="1"/>
  <c r="I91" i="4"/>
  <c r="J91" i="4" s="1"/>
  <c r="I90" i="4"/>
  <c r="J90" i="4" s="1"/>
  <c r="I89" i="4"/>
  <c r="J89" i="4" s="1"/>
  <c r="I88" i="4"/>
  <c r="J88" i="4" s="1"/>
  <c r="I87" i="4"/>
  <c r="J87" i="4" s="1"/>
  <c r="I86" i="4"/>
  <c r="J86" i="4" s="1"/>
  <c r="I85" i="4"/>
  <c r="J85" i="4" s="1"/>
  <c r="I84" i="4"/>
  <c r="J84" i="4" s="1"/>
  <c r="I83" i="4"/>
  <c r="J83" i="4" s="1"/>
  <c r="I82" i="4"/>
  <c r="J82" i="4" s="1"/>
  <c r="I81" i="4"/>
  <c r="J81" i="4" s="1"/>
  <c r="I80" i="4"/>
  <c r="J80" i="4" s="1"/>
  <c r="I79" i="4"/>
  <c r="J79" i="4" s="1"/>
  <c r="I78" i="4"/>
  <c r="J78" i="4" s="1"/>
  <c r="I77" i="4"/>
  <c r="J77" i="4" s="1"/>
  <c r="I76" i="4"/>
  <c r="J76" i="4" s="1"/>
  <c r="I75" i="4"/>
  <c r="J75" i="4" s="1"/>
  <c r="I74" i="4"/>
  <c r="J74" i="4" s="1"/>
  <c r="I73" i="4"/>
  <c r="J73" i="4" s="1"/>
  <c r="I72" i="4"/>
  <c r="J72" i="4" s="1"/>
  <c r="I71" i="4"/>
  <c r="J71" i="4" s="1"/>
  <c r="I70" i="4"/>
  <c r="J70" i="4" s="1"/>
  <c r="I69" i="4"/>
  <c r="J69" i="4" s="1"/>
  <c r="I68" i="4"/>
  <c r="J68" i="4" s="1"/>
  <c r="I67" i="4"/>
  <c r="J67" i="4" s="1"/>
  <c r="I66" i="4"/>
  <c r="J66" i="4" s="1"/>
  <c r="I65" i="4"/>
  <c r="J65" i="4" s="1"/>
  <c r="I64" i="4"/>
  <c r="J64" i="4" s="1"/>
  <c r="I63" i="4"/>
  <c r="J63" i="4" s="1"/>
  <c r="I62" i="4"/>
  <c r="J62" i="4" s="1"/>
  <c r="I61" i="4"/>
  <c r="J61" i="4" s="1"/>
  <c r="I60" i="4"/>
  <c r="J60" i="4" s="1"/>
  <c r="I59" i="4"/>
  <c r="J59" i="4" s="1"/>
  <c r="I58" i="4"/>
  <c r="J58" i="4" s="1"/>
  <c r="I57" i="4"/>
  <c r="J57" i="4" s="1"/>
  <c r="I56" i="4"/>
  <c r="J56" i="4" s="1"/>
  <c r="I55" i="4"/>
  <c r="J55" i="4" s="1"/>
  <c r="I54" i="4"/>
  <c r="J54" i="4" s="1"/>
  <c r="I53" i="4"/>
  <c r="J53" i="4" s="1"/>
  <c r="I52" i="4"/>
  <c r="J52" i="4" s="1"/>
  <c r="I51" i="4"/>
  <c r="J51" i="4" s="1"/>
  <c r="I50" i="4"/>
  <c r="J50" i="4" s="1"/>
  <c r="I49" i="4"/>
  <c r="J49" i="4" s="1"/>
  <c r="I48" i="4"/>
  <c r="J48" i="4" s="1"/>
  <c r="I47" i="4"/>
  <c r="J47" i="4" s="1"/>
  <c r="I46" i="4"/>
  <c r="J46" i="4" s="1"/>
  <c r="I45" i="4"/>
  <c r="J45" i="4" s="1"/>
  <c r="I44" i="4"/>
  <c r="J44" i="4" s="1"/>
  <c r="I43" i="4"/>
  <c r="J43" i="4" s="1"/>
  <c r="I42" i="4"/>
  <c r="J42" i="4" s="1"/>
  <c r="I41" i="4"/>
  <c r="J41" i="4" s="1"/>
  <c r="I40" i="4"/>
  <c r="J40" i="4" s="1"/>
  <c r="I39" i="4"/>
  <c r="J39" i="4" s="1"/>
  <c r="I38" i="4"/>
  <c r="J38" i="4" s="1"/>
  <c r="I37" i="4"/>
  <c r="J37" i="4" s="1"/>
  <c r="I36" i="4"/>
  <c r="J36" i="4" s="1"/>
  <c r="I35" i="4"/>
  <c r="J35" i="4" s="1"/>
  <c r="I34" i="4"/>
  <c r="J34" i="4" s="1"/>
  <c r="I33" i="4"/>
  <c r="J33" i="4" s="1"/>
  <c r="I32" i="4"/>
  <c r="J32" i="4" s="1"/>
  <c r="I31" i="4"/>
  <c r="J31" i="4" s="1"/>
  <c r="I30" i="4"/>
  <c r="J30" i="4" s="1"/>
  <c r="I29" i="4"/>
  <c r="J29" i="4" s="1"/>
  <c r="I28" i="4"/>
  <c r="J28" i="4" s="1"/>
  <c r="I27" i="4"/>
  <c r="J27" i="4" s="1"/>
  <c r="I26" i="4"/>
  <c r="J26" i="4" s="1"/>
  <c r="I25" i="4"/>
  <c r="J25" i="4" s="1"/>
  <c r="I24" i="4"/>
  <c r="J24" i="4" s="1"/>
  <c r="I23" i="4"/>
  <c r="J23" i="4" s="1"/>
  <c r="I22" i="4"/>
  <c r="J22" i="4" s="1"/>
  <c r="I21" i="4"/>
  <c r="J21" i="4" s="1"/>
  <c r="I20" i="4"/>
  <c r="J20" i="4" s="1"/>
  <c r="I19" i="4"/>
  <c r="J19" i="4" s="1"/>
  <c r="I18" i="4"/>
  <c r="J18" i="4" s="1"/>
  <c r="I17" i="4"/>
  <c r="J17" i="4" s="1"/>
  <c r="I16" i="4"/>
  <c r="J16" i="4" s="1"/>
  <c r="I15" i="4"/>
  <c r="J15" i="4" s="1"/>
  <c r="I14" i="4"/>
  <c r="J14" i="4" s="1"/>
  <c r="I13" i="4"/>
  <c r="J13" i="4" s="1"/>
  <c r="I12" i="4"/>
  <c r="J12" i="4" s="1"/>
  <c r="I11" i="4"/>
  <c r="J11" i="4" s="1"/>
  <c r="I10" i="4"/>
  <c r="J10" i="4" s="1"/>
  <c r="I9" i="4"/>
  <c r="J9" i="4" s="1"/>
  <c r="I8" i="4"/>
  <c r="J8" i="4" s="1"/>
  <c r="I7" i="4"/>
  <c r="J7" i="4" s="1"/>
  <c r="I6" i="4"/>
  <c r="J6" i="4" s="1"/>
  <c r="I5" i="4"/>
  <c r="J5" i="4" s="1"/>
  <c r="I4" i="4"/>
  <c r="J4" i="4" s="1"/>
  <c r="C9" i="4"/>
  <c r="F3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E4" i="4"/>
  <c r="E5" i="4" s="1"/>
  <c r="E6" i="4" s="1"/>
  <c r="E7" i="4" s="1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19" i="4" s="1"/>
  <c r="E20" i="4" s="1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E98" i="4" s="1"/>
  <c r="E99" i="4" s="1"/>
  <c r="E100" i="4" s="1"/>
  <c r="E101" i="4" s="1"/>
  <c r="E102" i="4" s="1"/>
  <c r="E103" i="4" s="1"/>
  <c r="E104" i="4" s="1"/>
  <c r="E105" i="4" s="1"/>
  <c r="E106" i="4" s="1"/>
  <c r="E107" i="4" s="1"/>
  <c r="E108" i="4" s="1"/>
  <c r="E109" i="4" s="1"/>
  <c r="E110" i="4" s="1"/>
  <c r="E111" i="4" s="1"/>
  <c r="E112" i="4" s="1"/>
  <c r="E113" i="4" s="1"/>
  <c r="E114" i="4" s="1"/>
  <c r="E115" i="4" s="1"/>
  <c r="E116" i="4" s="1"/>
  <c r="E117" i="4" s="1"/>
  <c r="E118" i="4" s="1"/>
  <c r="E119" i="4" s="1"/>
  <c r="E120" i="4" s="1"/>
  <c r="E121" i="4" s="1"/>
  <c r="E122" i="4" s="1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E141" i="4" s="1"/>
  <c r="E142" i="4" s="1"/>
  <c r="E143" i="4" s="1"/>
  <c r="E144" i="4" s="1"/>
  <c r="E145" i="4" s="1"/>
  <c r="E146" i="4" s="1"/>
  <c r="E147" i="4" s="1"/>
  <c r="E148" i="4" s="1"/>
  <c r="E149" i="4" s="1"/>
  <c r="E150" i="4" s="1"/>
  <c r="E151" i="4" s="1"/>
  <c r="E152" i="4" s="1"/>
  <c r="E153" i="4" s="1"/>
  <c r="E154" i="4" s="1"/>
  <c r="E155" i="4" s="1"/>
  <c r="E156" i="4" s="1"/>
  <c r="E157" i="4" s="1"/>
  <c r="E158" i="4" s="1"/>
  <c r="E159" i="4" s="1"/>
  <c r="E160" i="4" s="1"/>
  <c r="E161" i="4" s="1"/>
  <c r="E162" i="4" s="1"/>
  <c r="E163" i="4" s="1"/>
  <c r="E164" i="4" s="1"/>
  <c r="E165" i="4" s="1"/>
  <c r="E166" i="4" s="1"/>
  <c r="E167" i="4" s="1"/>
  <c r="E168" i="4" s="1"/>
  <c r="E169" i="4" s="1"/>
  <c r="E170" i="4" s="1"/>
  <c r="E171" i="4" s="1"/>
  <c r="E172" i="4" s="1"/>
  <c r="E173" i="4" s="1"/>
  <c r="E174" i="4" s="1"/>
  <c r="E175" i="4" s="1"/>
  <c r="E176" i="4" s="1"/>
  <c r="E177" i="4" s="1"/>
  <c r="E178" i="4" s="1"/>
  <c r="E179" i="4" s="1"/>
  <c r="E180" i="4" s="1"/>
  <c r="E181" i="4" s="1"/>
  <c r="E182" i="4" s="1"/>
  <c r="E183" i="4" s="1"/>
  <c r="E184" i="4" s="1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E201" i="4" s="1"/>
  <c r="E202" i="4" s="1"/>
  <c r="E203" i="4" s="1"/>
  <c r="E204" i="4" s="1"/>
  <c r="E205" i="4" s="1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217" i="4" s="1"/>
  <c r="E218" i="4" s="1"/>
  <c r="E219" i="4" s="1"/>
  <c r="E220" i="4" s="1"/>
  <c r="E221" i="4" s="1"/>
  <c r="E222" i="4" s="1"/>
  <c r="E223" i="4" s="1"/>
  <c r="E224" i="4" s="1"/>
  <c r="E225" i="4" s="1"/>
  <c r="E226" i="4" s="1"/>
  <c r="E227" i="4" s="1"/>
  <c r="E228" i="4" s="1"/>
  <c r="E229" i="4" s="1"/>
  <c r="E230" i="4" s="1"/>
  <c r="E231" i="4" s="1"/>
  <c r="E232" i="4" s="1"/>
  <c r="E233" i="4" s="1"/>
  <c r="E234" i="4" s="1"/>
  <c r="E235" i="4" s="1"/>
  <c r="E236" i="4" s="1"/>
  <c r="E237" i="4" s="1"/>
  <c r="E238" i="4" s="1"/>
  <c r="E239" i="4" s="1"/>
  <c r="E240" i="4" s="1"/>
  <c r="E241" i="4" s="1"/>
  <c r="E242" i="4" s="1"/>
  <c r="E243" i="4" s="1"/>
  <c r="E244" i="4" s="1"/>
  <c r="E245" i="4" s="1"/>
  <c r="E246" i="4" s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E261" i="4" s="1"/>
  <c r="E262" i="4" s="1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E281" i="4" s="1"/>
  <c r="E282" i="4" s="1"/>
  <c r="E283" i="4" s="1"/>
  <c r="E284" i="4" s="1"/>
  <c r="E285" i="4" s="1"/>
  <c r="E286" i="4" s="1"/>
  <c r="E287" i="4" s="1"/>
  <c r="E288" i="4" s="1"/>
  <c r="E289" i="4" s="1"/>
  <c r="E290" i="4" s="1"/>
  <c r="E291" i="4" s="1"/>
  <c r="E292" i="4" s="1"/>
  <c r="E293" i="4" s="1"/>
  <c r="E294" i="4" s="1"/>
  <c r="E295" i="4" s="1"/>
  <c r="E296" i="4" s="1"/>
  <c r="E297" i="4" s="1"/>
  <c r="E298" i="4" s="1"/>
  <c r="E299" i="4" s="1"/>
  <c r="E300" i="4" s="1"/>
  <c r="E301" i="4" s="1"/>
  <c r="E302" i="4" s="1"/>
  <c r="E303" i="4" s="1"/>
  <c r="E304" i="4" s="1"/>
  <c r="E305" i="4" s="1"/>
  <c r="E306" i="4" s="1"/>
  <c r="E307" i="4" s="1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319" i="4" s="1"/>
  <c r="E320" i="4" s="1"/>
  <c r="E321" i="4" s="1"/>
  <c r="E322" i="4" s="1"/>
  <c r="E323" i="4" s="1"/>
  <c r="E324" i="4" s="1"/>
  <c r="E325" i="4" s="1"/>
  <c r="E326" i="4" s="1"/>
  <c r="E327" i="4" s="1"/>
  <c r="E328" i="4" s="1"/>
  <c r="E329" i="4" s="1"/>
  <c r="E330" i="4" s="1"/>
  <c r="E331" i="4" s="1"/>
  <c r="E332" i="4" s="1"/>
  <c r="E333" i="4" s="1"/>
  <c r="E334" i="4" s="1"/>
  <c r="E335" i="4" s="1"/>
  <c r="E336" i="4" s="1"/>
  <c r="E337" i="4" s="1"/>
  <c r="E338" i="4" s="1"/>
  <c r="E339" i="4" s="1"/>
  <c r="E340" i="4" s="1"/>
  <c r="E341" i="4" s="1"/>
  <c r="E342" i="4" s="1"/>
  <c r="E343" i="4" s="1"/>
  <c r="E344" i="4" s="1"/>
  <c r="E345" i="4" s="1"/>
  <c r="E346" i="4" s="1"/>
  <c r="E347" i="4" s="1"/>
  <c r="E348" i="4" s="1"/>
  <c r="E349" i="4" s="1"/>
  <c r="E350" i="4" s="1"/>
  <c r="E351" i="4" s="1"/>
  <c r="E352" i="4" s="1"/>
  <c r="E353" i="4" s="1"/>
  <c r="E354" i="4" s="1"/>
  <c r="E355" i="4" s="1"/>
  <c r="E356" i="4" s="1"/>
  <c r="E357" i="4" s="1"/>
  <c r="E358" i="4" s="1"/>
  <c r="E359" i="4" s="1"/>
  <c r="E360" i="4" s="1"/>
  <c r="E361" i="4" s="1"/>
  <c r="E362" i="4" s="1"/>
  <c r="E363" i="4" s="1"/>
  <c r="E364" i="4" s="1"/>
  <c r="E365" i="4" s="1"/>
  <c r="E366" i="4" s="1"/>
  <c r="E367" i="4" s="1"/>
  <c r="E368" i="4" s="1"/>
  <c r="E369" i="4" s="1"/>
  <c r="E370" i="4" s="1"/>
  <c r="E371" i="4" s="1"/>
  <c r="E372" i="4" s="1"/>
  <c r="E373" i="4" s="1"/>
  <c r="E374" i="4" s="1"/>
  <c r="E375" i="4" s="1"/>
  <c r="E376" i="4" s="1"/>
  <c r="E377" i="4" s="1"/>
  <c r="E378" i="4" s="1"/>
  <c r="E379" i="4" s="1"/>
  <c r="E380" i="4" s="1"/>
  <c r="E381" i="4" s="1"/>
  <c r="E382" i="4" s="1"/>
  <c r="E383" i="4" s="1"/>
  <c r="E384" i="4" s="1"/>
  <c r="E385" i="4" s="1"/>
  <c r="E386" i="4" s="1"/>
  <c r="E387" i="4" s="1"/>
  <c r="E388" i="4" s="1"/>
  <c r="E389" i="4" s="1"/>
  <c r="E390" i="4" s="1"/>
  <c r="E391" i="4" s="1"/>
  <c r="E392" i="4" s="1"/>
  <c r="E393" i="4" s="1"/>
  <c r="E394" i="4" s="1"/>
  <c r="E395" i="4" s="1"/>
  <c r="E396" i="4" s="1"/>
  <c r="E397" i="4" s="1"/>
  <c r="E398" i="4" s="1"/>
  <c r="E399" i="4" s="1"/>
  <c r="E400" i="4" s="1"/>
  <c r="E401" i="4" s="1"/>
  <c r="E402" i="4" s="1"/>
  <c r="E403" i="4" s="1"/>
  <c r="E404" i="4" s="1"/>
  <c r="E405" i="4" s="1"/>
  <c r="E406" i="4" s="1"/>
  <c r="E407" i="4" s="1"/>
  <c r="E408" i="4" s="1"/>
  <c r="E409" i="4" s="1"/>
  <c r="E410" i="4" s="1"/>
  <c r="E411" i="4" s="1"/>
  <c r="E412" i="4" s="1"/>
  <c r="E413" i="4" s="1"/>
  <c r="E414" i="4" s="1"/>
  <c r="E415" i="4" s="1"/>
  <c r="E416" i="4" s="1"/>
  <c r="E417" i="4" s="1"/>
  <c r="E418" i="4" s="1"/>
  <c r="E419" i="4" s="1"/>
  <c r="E420" i="4" s="1"/>
  <c r="E421" i="4" s="1"/>
  <c r="E422" i="4" s="1"/>
  <c r="E423" i="4" s="1"/>
  <c r="E424" i="4" s="1"/>
  <c r="E425" i="4" s="1"/>
  <c r="E426" i="4" s="1"/>
  <c r="E427" i="4" s="1"/>
  <c r="E428" i="4" s="1"/>
  <c r="E429" i="4" s="1"/>
  <c r="E430" i="4" s="1"/>
  <c r="E431" i="4" s="1"/>
  <c r="E432" i="4" s="1"/>
  <c r="E433" i="4" s="1"/>
  <c r="E434" i="4" s="1"/>
  <c r="E435" i="4" s="1"/>
  <c r="E436" i="4" s="1"/>
  <c r="E437" i="4" s="1"/>
  <c r="E438" i="4" s="1"/>
  <c r="E439" i="4" s="1"/>
  <c r="E440" i="4" s="1"/>
  <c r="E441" i="4" s="1"/>
  <c r="E442" i="4" s="1"/>
  <c r="E443" i="4" s="1"/>
  <c r="E444" i="4" s="1"/>
  <c r="E445" i="4" s="1"/>
  <c r="E446" i="4" s="1"/>
  <c r="E447" i="4" s="1"/>
  <c r="E448" i="4" s="1"/>
  <c r="E449" i="4" s="1"/>
  <c r="E450" i="4" s="1"/>
  <c r="E451" i="4" s="1"/>
  <c r="E452" i="4" s="1"/>
  <c r="E453" i="4" s="1"/>
  <c r="E454" i="4" s="1"/>
  <c r="E455" i="4" s="1"/>
  <c r="E456" i="4" s="1"/>
  <c r="E457" i="4" s="1"/>
  <c r="E458" i="4" s="1"/>
  <c r="E459" i="4" s="1"/>
  <c r="E460" i="4" s="1"/>
  <c r="E461" i="4" s="1"/>
  <c r="E462" i="4" s="1"/>
  <c r="E463" i="4" s="1"/>
  <c r="E464" i="4" s="1"/>
  <c r="E465" i="4" s="1"/>
  <c r="E466" i="4" s="1"/>
  <c r="E467" i="4" s="1"/>
  <c r="E468" i="4" s="1"/>
  <c r="E469" i="4" s="1"/>
  <c r="E470" i="4" s="1"/>
  <c r="E471" i="4" s="1"/>
  <c r="E472" i="4" s="1"/>
  <c r="E473" i="4" s="1"/>
  <c r="E474" i="4" s="1"/>
  <c r="E475" i="4" s="1"/>
  <c r="E476" i="4" s="1"/>
  <c r="E477" i="4" s="1"/>
  <c r="E478" i="4" s="1"/>
  <c r="E479" i="4" s="1"/>
  <c r="E480" i="4" s="1"/>
  <c r="E481" i="4" s="1"/>
  <c r="E482" i="4" s="1"/>
  <c r="E483" i="4" s="1"/>
  <c r="E484" i="4" s="1"/>
  <c r="E485" i="4" s="1"/>
  <c r="E486" i="4" s="1"/>
  <c r="E487" i="4" s="1"/>
  <c r="E488" i="4" s="1"/>
  <c r="E489" i="4" s="1"/>
  <c r="E490" i="4" s="1"/>
  <c r="E491" i="4" s="1"/>
  <c r="E492" i="4" s="1"/>
  <c r="E493" i="4" s="1"/>
  <c r="E494" i="4" s="1"/>
  <c r="E495" i="4" s="1"/>
  <c r="E496" i="4" s="1"/>
  <c r="E497" i="4" s="1"/>
  <c r="E498" i="4" s="1"/>
  <c r="E499" i="4" s="1"/>
  <c r="E500" i="4" s="1"/>
  <c r="E501" i="4" s="1"/>
  <c r="E502" i="4" s="1"/>
  <c r="E503" i="4" s="1"/>
  <c r="E504" i="4" s="1"/>
  <c r="E505" i="4" s="1"/>
  <c r="E506" i="4" s="1"/>
  <c r="E507" i="4" s="1"/>
  <c r="E508" i="4" s="1"/>
  <c r="E509" i="4" s="1"/>
  <c r="E510" i="4" s="1"/>
  <c r="E511" i="4" s="1"/>
  <c r="E512" i="4" s="1"/>
  <c r="E513" i="4" s="1"/>
  <c r="E514" i="4" s="1"/>
  <c r="E515" i="4" s="1"/>
  <c r="E516" i="4" s="1"/>
  <c r="E517" i="4" s="1"/>
  <c r="E518" i="4" s="1"/>
  <c r="E519" i="4" s="1"/>
  <c r="E520" i="4" s="1"/>
  <c r="E521" i="4" s="1"/>
  <c r="E522" i="4" s="1"/>
  <c r="E523" i="4" s="1"/>
  <c r="E524" i="4" s="1"/>
  <c r="E525" i="4" s="1"/>
  <c r="E526" i="4" s="1"/>
  <c r="E527" i="4" s="1"/>
  <c r="E528" i="4" s="1"/>
  <c r="E529" i="4" s="1"/>
  <c r="E530" i="4" s="1"/>
  <c r="E531" i="4" s="1"/>
  <c r="E532" i="4" s="1"/>
  <c r="E533" i="4" s="1"/>
  <c r="E534" i="4" s="1"/>
  <c r="E535" i="4" s="1"/>
  <c r="E536" i="4" s="1"/>
  <c r="E537" i="4" s="1"/>
  <c r="E538" i="4" s="1"/>
  <c r="E539" i="4" s="1"/>
  <c r="E540" i="4" s="1"/>
  <c r="E541" i="4" s="1"/>
  <c r="E542" i="4" s="1"/>
  <c r="E543" i="4" s="1"/>
  <c r="E544" i="4" s="1"/>
  <c r="E545" i="4" s="1"/>
  <c r="E546" i="4" s="1"/>
  <c r="E547" i="4" s="1"/>
  <c r="E548" i="4" s="1"/>
  <c r="E549" i="4" s="1"/>
  <c r="E550" i="4" s="1"/>
  <c r="E551" i="4" s="1"/>
  <c r="E552" i="4" s="1"/>
  <c r="E553" i="4" s="1"/>
  <c r="E554" i="4" s="1"/>
  <c r="E555" i="4" s="1"/>
  <c r="E556" i="4" s="1"/>
  <c r="E557" i="4" s="1"/>
  <c r="E558" i="4" s="1"/>
  <c r="E559" i="4" s="1"/>
  <c r="E560" i="4" s="1"/>
  <c r="E561" i="4" s="1"/>
  <c r="E562" i="4" s="1"/>
  <c r="E563" i="4" s="1"/>
  <c r="E564" i="4" s="1"/>
  <c r="E565" i="4" s="1"/>
  <c r="E566" i="4" s="1"/>
  <c r="E567" i="4" s="1"/>
  <c r="E568" i="4" s="1"/>
  <c r="E569" i="4" s="1"/>
  <c r="E570" i="4" s="1"/>
  <c r="E571" i="4" s="1"/>
  <c r="E572" i="4" s="1"/>
  <c r="E573" i="4" s="1"/>
  <c r="E574" i="4" s="1"/>
  <c r="E575" i="4" s="1"/>
  <c r="E576" i="4" s="1"/>
  <c r="E577" i="4" s="1"/>
  <c r="E578" i="4" s="1"/>
  <c r="E579" i="4" s="1"/>
  <c r="E580" i="4" s="1"/>
  <c r="E581" i="4" s="1"/>
  <c r="E582" i="4" s="1"/>
  <c r="E583" i="4" s="1"/>
  <c r="E584" i="4" s="1"/>
  <c r="E585" i="4" s="1"/>
  <c r="E586" i="4" s="1"/>
  <c r="E587" i="4" s="1"/>
  <c r="E588" i="4" s="1"/>
  <c r="E589" i="4" s="1"/>
  <c r="E590" i="4" s="1"/>
  <c r="E591" i="4" s="1"/>
  <c r="E592" i="4" s="1"/>
  <c r="E593" i="4" s="1"/>
  <c r="E594" i="4" s="1"/>
  <c r="E595" i="4" s="1"/>
  <c r="E596" i="4" s="1"/>
  <c r="E597" i="4" s="1"/>
  <c r="E598" i="4" s="1"/>
  <c r="E599" i="4" s="1"/>
  <c r="E600" i="4" s="1"/>
  <c r="E601" i="4" s="1"/>
  <c r="E602" i="4" s="1"/>
  <c r="E603" i="4" s="1"/>
  <c r="E604" i="4" s="1"/>
  <c r="E605" i="4" s="1"/>
  <c r="E606" i="4" s="1"/>
  <c r="E607" i="4" s="1"/>
  <c r="E608" i="4" s="1"/>
  <c r="E609" i="4" s="1"/>
  <c r="E610" i="4" s="1"/>
  <c r="E611" i="4" s="1"/>
  <c r="E612" i="4" s="1"/>
  <c r="E613" i="4" s="1"/>
  <c r="E614" i="4" s="1"/>
  <c r="E615" i="4" s="1"/>
  <c r="E616" i="4" s="1"/>
  <c r="E617" i="4" s="1"/>
  <c r="E618" i="4" s="1"/>
  <c r="E619" i="4" s="1"/>
  <c r="E620" i="4" s="1"/>
  <c r="E621" i="4" s="1"/>
  <c r="E622" i="4" s="1"/>
  <c r="E623" i="4" s="1"/>
  <c r="E624" i="4" s="1"/>
  <c r="E625" i="4" s="1"/>
  <c r="E626" i="4" s="1"/>
  <c r="E627" i="4" s="1"/>
  <c r="E628" i="4" s="1"/>
  <c r="E629" i="4" s="1"/>
  <c r="E630" i="4" s="1"/>
  <c r="E631" i="4" s="1"/>
  <c r="E632" i="4" s="1"/>
  <c r="E633" i="4" s="1"/>
  <c r="E634" i="4" s="1"/>
  <c r="E635" i="4" s="1"/>
  <c r="E636" i="4" s="1"/>
  <c r="E637" i="4" s="1"/>
  <c r="E638" i="4" s="1"/>
  <c r="E639" i="4" s="1"/>
  <c r="E640" i="4" s="1"/>
  <c r="E641" i="4" s="1"/>
  <c r="E642" i="4" s="1"/>
  <c r="E643" i="4" s="1"/>
  <c r="E644" i="4" s="1"/>
  <c r="E645" i="4" s="1"/>
  <c r="E646" i="4" s="1"/>
  <c r="E647" i="4" s="1"/>
  <c r="E648" i="4" s="1"/>
  <c r="E649" i="4" s="1"/>
  <c r="E650" i="4" s="1"/>
  <c r="E651" i="4" s="1"/>
  <c r="E652" i="4" s="1"/>
  <c r="E653" i="4" s="1"/>
  <c r="E654" i="4" s="1"/>
  <c r="E655" i="4" s="1"/>
  <c r="E656" i="4" s="1"/>
  <c r="E657" i="4" s="1"/>
  <c r="E658" i="4" s="1"/>
  <c r="E659" i="4" s="1"/>
  <c r="E660" i="4" s="1"/>
  <c r="E661" i="4" s="1"/>
  <c r="E662" i="4" s="1"/>
  <c r="E663" i="4" s="1"/>
  <c r="E664" i="4" s="1"/>
  <c r="E665" i="4" s="1"/>
  <c r="E666" i="4" s="1"/>
  <c r="E667" i="4" s="1"/>
  <c r="E668" i="4" s="1"/>
  <c r="E669" i="4" s="1"/>
  <c r="E670" i="4" s="1"/>
  <c r="E671" i="4" s="1"/>
  <c r="E672" i="4" s="1"/>
  <c r="E673" i="4" s="1"/>
  <c r="E674" i="4" s="1"/>
  <c r="E675" i="4" s="1"/>
  <c r="E676" i="4" s="1"/>
  <c r="E677" i="4" s="1"/>
  <c r="E678" i="4" s="1"/>
  <c r="E679" i="4" s="1"/>
  <c r="E680" i="4" s="1"/>
  <c r="E681" i="4" s="1"/>
  <c r="E682" i="4" s="1"/>
  <c r="E683" i="4" s="1"/>
  <c r="E684" i="4" s="1"/>
  <c r="E685" i="4" s="1"/>
  <c r="E686" i="4" s="1"/>
  <c r="E687" i="4" s="1"/>
  <c r="E688" i="4" s="1"/>
  <c r="E689" i="4" s="1"/>
  <c r="E690" i="4" s="1"/>
  <c r="E691" i="4" s="1"/>
  <c r="E692" i="4" s="1"/>
  <c r="E693" i="4" s="1"/>
  <c r="E694" i="4" s="1"/>
  <c r="E695" i="4" s="1"/>
  <c r="E696" i="4" s="1"/>
  <c r="E697" i="4" s="1"/>
  <c r="E698" i="4" s="1"/>
  <c r="E699" i="4" s="1"/>
  <c r="E700" i="4" s="1"/>
  <c r="E701" i="4" s="1"/>
  <c r="E702" i="4" s="1"/>
  <c r="E703" i="4" s="1"/>
  <c r="E704" i="4" s="1"/>
  <c r="E705" i="4" s="1"/>
  <c r="E706" i="4" s="1"/>
  <c r="E707" i="4" s="1"/>
  <c r="E708" i="4" s="1"/>
  <c r="E709" i="4" s="1"/>
  <c r="E710" i="4" s="1"/>
  <c r="E711" i="4" s="1"/>
  <c r="E712" i="4" s="1"/>
  <c r="E713" i="4" s="1"/>
  <c r="E714" i="4" s="1"/>
  <c r="E715" i="4" s="1"/>
  <c r="E716" i="4" s="1"/>
  <c r="E717" i="4" s="1"/>
  <c r="E718" i="4" s="1"/>
  <c r="E719" i="4" s="1"/>
  <c r="E720" i="4" s="1"/>
  <c r="E721" i="4" s="1"/>
  <c r="E722" i="4" s="1"/>
  <c r="E723" i="4" s="1"/>
  <c r="E724" i="4" s="1"/>
  <c r="E725" i="4" s="1"/>
  <c r="E726" i="4" s="1"/>
  <c r="E727" i="4" s="1"/>
  <c r="E728" i="4" s="1"/>
  <c r="E729" i="4" s="1"/>
  <c r="E730" i="4" s="1"/>
  <c r="E731" i="4" s="1"/>
  <c r="E732" i="4" s="1"/>
  <c r="E733" i="4" s="1"/>
  <c r="E734" i="4" s="1"/>
  <c r="E735" i="4" s="1"/>
  <c r="E736" i="4" s="1"/>
  <c r="E737" i="4" s="1"/>
  <c r="E738" i="4" s="1"/>
  <c r="E739" i="4" s="1"/>
  <c r="E740" i="4" s="1"/>
  <c r="E741" i="4" s="1"/>
  <c r="E742" i="4" s="1"/>
  <c r="E743" i="4" s="1"/>
  <c r="E744" i="4" s="1"/>
  <c r="E745" i="4" s="1"/>
  <c r="E746" i="4" s="1"/>
  <c r="E747" i="4" s="1"/>
  <c r="E748" i="4" s="1"/>
  <c r="E749" i="4" s="1"/>
  <c r="E750" i="4" s="1"/>
  <c r="E751" i="4" s="1"/>
  <c r="E752" i="4" s="1"/>
  <c r="E753" i="4" s="1"/>
  <c r="E754" i="4" s="1"/>
  <c r="E755" i="4" s="1"/>
  <c r="E756" i="4" s="1"/>
  <c r="E757" i="4" s="1"/>
  <c r="E758" i="4" s="1"/>
  <c r="E759" i="4" s="1"/>
  <c r="E760" i="4" s="1"/>
  <c r="E761" i="4" s="1"/>
  <c r="E762" i="4" s="1"/>
  <c r="E763" i="4" s="1"/>
  <c r="E764" i="4" s="1"/>
  <c r="E765" i="4" s="1"/>
  <c r="E766" i="4" s="1"/>
  <c r="E767" i="4" s="1"/>
  <c r="E768" i="4" s="1"/>
  <c r="E769" i="4" s="1"/>
  <c r="E770" i="4" s="1"/>
  <c r="E771" i="4" s="1"/>
  <c r="E772" i="4" s="1"/>
  <c r="E773" i="4" s="1"/>
  <c r="E774" i="4" s="1"/>
  <c r="E775" i="4" s="1"/>
  <c r="E776" i="4" s="1"/>
  <c r="E777" i="4" s="1"/>
  <c r="E778" i="4" s="1"/>
  <c r="E779" i="4" s="1"/>
  <c r="E780" i="4" s="1"/>
  <c r="E781" i="4" s="1"/>
  <c r="E782" i="4" s="1"/>
  <c r="E783" i="4" s="1"/>
  <c r="E784" i="4" s="1"/>
  <c r="E785" i="4" s="1"/>
  <c r="E786" i="4" s="1"/>
  <c r="E787" i="4" s="1"/>
  <c r="E788" i="4" s="1"/>
  <c r="E789" i="4" s="1"/>
  <c r="E790" i="4" s="1"/>
  <c r="E791" i="4" s="1"/>
  <c r="E792" i="4" s="1"/>
  <c r="E793" i="4" s="1"/>
  <c r="E794" i="4" s="1"/>
  <c r="E795" i="4" s="1"/>
  <c r="E796" i="4" s="1"/>
  <c r="E797" i="4" s="1"/>
  <c r="E798" i="4" s="1"/>
  <c r="E799" i="4" s="1"/>
  <c r="E800" i="4" s="1"/>
  <c r="E801" i="4" s="1"/>
  <c r="E802" i="4" s="1"/>
  <c r="E803" i="4" s="1"/>
  <c r="E804" i="4" s="1"/>
  <c r="E805" i="4" s="1"/>
  <c r="E806" i="4" s="1"/>
  <c r="E807" i="4" s="1"/>
  <c r="E808" i="4" s="1"/>
  <c r="E809" i="4" s="1"/>
  <c r="E810" i="4" s="1"/>
  <c r="E811" i="4" s="1"/>
  <c r="E812" i="4" s="1"/>
  <c r="E813" i="4" s="1"/>
  <c r="E814" i="4" s="1"/>
  <c r="E815" i="4" s="1"/>
  <c r="E816" i="4" s="1"/>
  <c r="E817" i="4" s="1"/>
  <c r="E818" i="4" s="1"/>
  <c r="E819" i="4" s="1"/>
  <c r="E820" i="4" s="1"/>
  <c r="E821" i="4" s="1"/>
  <c r="E822" i="4" s="1"/>
  <c r="E823" i="4" s="1"/>
  <c r="E824" i="4" s="1"/>
  <c r="E825" i="4" s="1"/>
  <c r="E826" i="4" s="1"/>
  <c r="E827" i="4" s="1"/>
  <c r="E828" i="4" s="1"/>
  <c r="E829" i="4" s="1"/>
  <c r="E830" i="4" s="1"/>
  <c r="E831" i="4" s="1"/>
  <c r="E832" i="4" s="1"/>
  <c r="E833" i="4" s="1"/>
  <c r="E834" i="4" s="1"/>
  <c r="E835" i="4" s="1"/>
  <c r="E836" i="4" s="1"/>
  <c r="E837" i="4" s="1"/>
  <c r="E838" i="4" s="1"/>
  <c r="E839" i="4" s="1"/>
  <c r="E840" i="4" s="1"/>
  <c r="E841" i="4" s="1"/>
  <c r="E842" i="4" s="1"/>
  <c r="E843" i="4" s="1"/>
  <c r="E844" i="4" s="1"/>
  <c r="E845" i="4" s="1"/>
  <c r="E846" i="4" s="1"/>
  <c r="E847" i="4" s="1"/>
  <c r="E848" i="4" s="1"/>
  <c r="E849" i="4" s="1"/>
  <c r="E850" i="4" s="1"/>
  <c r="E851" i="4" s="1"/>
  <c r="E852" i="4" s="1"/>
  <c r="E853" i="4" s="1"/>
  <c r="E854" i="4" s="1"/>
  <c r="E855" i="4" s="1"/>
  <c r="E856" i="4" s="1"/>
  <c r="E857" i="4" s="1"/>
  <c r="E858" i="4" s="1"/>
  <c r="E859" i="4" s="1"/>
  <c r="E860" i="4" s="1"/>
  <c r="E861" i="4" s="1"/>
  <c r="E862" i="4" s="1"/>
  <c r="E863" i="4" s="1"/>
  <c r="E864" i="4" s="1"/>
  <c r="E865" i="4" s="1"/>
  <c r="E866" i="4" s="1"/>
  <c r="E867" i="4" s="1"/>
  <c r="E868" i="4" s="1"/>
  <c r="E869" i="4" s="1"/>
  <c r="E870" i="4" s="1"/>
  <c r="E871" i="4" s="1"/>
  <c r="E872" i="4" s="1"/>
  <c r="E873" i="4" s="1"/>
  <c r="E874" i="4" s="1"/>
  <c r="E875" i="4" s="1"/>
  <c r="E876" i="4" s="1"/>
  <c r="E877" i="4" s="1"/>
  <c r="E878" i="4" s="1"/>
  <c r="E879" i="4" s="1"/>
  <c r="E880" i="4" s="1"/>
  <c r="E881" i="4" s="1"/>
  <c r="E882" i="4" s="1"/>
  <c r="E883" i="4" s="1"/>
  <c r="E884" i="4" s="1"/>
  <c r="E885" i="4" s="1"/>
  <c r="E886" i="4" s="1"/>
  <c r="E887" i="4" s="1"/>
  <c r="E888" i="4" s="1"/>
  <c r="E889" i="4" s="1"/>
  <c r="E890" i="4" s="1"/>
  <c r="E891" i="4" s="1"/>
  <c r="E892" i="4" s="1"/>
  <c r="E893" i="4" s="1"/>
  <c r="E894" i="4" s="1"/>
  <c r="E895" i="4" s="1"/>
  <c r="E896" i="4" s="1"/>
  <c r="E897" i="4" s="1"/>
  <c r="E898" i="4" s="1"/>
  <c r="E899" i="4" s="1"/>
  <c r="E900" i="4" s="1"/>
  <c r="E901" i="4" s="1"/>
  <c r="E902" i="4" s="1"/>
  <c r="E903" i="4" s="1"/>
  <c r="E904" i="4" s="1"/>
  <c r="E905" i="4" s="1"/>
  <c r="E906" i="4" s="1"/>
  <c r="E907" i="4" s="1"/>
  <c r="E908" i="4" s="1"/>
  <c r="E909" i="4" s="1"/>
  <c r="E910" i="4" s="1"/>
  <c r="E911" i="4" s="1"/>
  <c r="E912" i="4" s="1"/>
  <c r="E913" i="4" s="1"/>
  <c r="E914" i="4" s="1"/>
  <c r="E915" i="4" s="1"/>
  <c r="E916" i="4" s="1"/>
  <c r="E917" i="4" s="1"/>
  <c r="E918" i="4" s="1"/>
  <c r="E919" i="4" s="1"/>
  <c r="E920" i="4" s="1"/>
  <c r="E921" i="4" s="1"/>
  <c r="E922" i="4" s="1"/>
  <c r="E923" i="4" s="1"/>
  <c r="E924" i="4" s="1"/>
  <c r="E925" i="4" s="1"/>
  <c r="E926" i="4" s="1"/>
  <c r="E927" i="4" s="1"/>
  <c r="E928" i="4" s="1"/>
  <c r="E929" i="4" s="1"/>
  <c r="E930" i="4" s="1"/>
  <c r="E931" i="4" s="1"/>
  <c r="E932" i="4" s="1"/>
  <c r="E933" i="4" s="1"/>
  <c r="E934" i="4" s="1"/>
  <c r="E935" i="4" s="1"/>
  <c r="E936" i="4" s="1"/>
  <c r="E937" i="4" s="1"/>
  <c r="E938" i="4" s="1"/>
  <c r="E939" i="4" s="1"/>
  <c r="E940" i="4" s="1"/>
  <c r="E941" i="4" s="1"/>
  <c r="E942" i="4" s="1"/>
  <c r="E943" i="4" s="1"/>
  <c r="E944" i="4" s="1"/>
  <c r="E945" i="4" s="1"/>
  <c r="E946" i="4" s="1"/>
  <c r="E947" i="4" s="1"/>
  <c r="E948" i="4" s="1"/>
  <c r="E949" i="4" s="1"/>
  <c r="E950" i="4" s="1"/>
  <c r="E951" i="4" s="1"/>
  <c r="E952" i="4" s="1"/>
  <c r="E953" i="4" s="1"/>
  <c r="E954" i="4" s="1"/>
  <c r="E955" i="4" s="1"/>
  <c r="E956" i="4" s="1"/>
  <c r="E957" i="4" s="1"/>
  <c r="E958" i="4" s="1"/>
  <c r="E959" i="4" s="1"/>
  <c r="E960" i="4" s="1"/>
  <c r="E961" i="4" s="1"/>
  <c r="E962" i="4" s="1"/>
  <c r="E963" i="4" s="1"/>
  <c r="E964" i="4" s="1"/>
  <c r="E965" i="4" s="1"/>
  <c r="E966" i="4" s="1"/>
  <c r="E967" i="4" s="1"/>
  <c r="E968" i="4" s="1"/>
  <c r="E969" i="4" s="1"/>
  <c r="E970" i="4" s="1"/>
  <c r="E971" i="4" s="1"/>
  <c r="E972" i="4" s="1"/>
  <c r="E973" i="4" s="1"/>
  <c r="E974" i="4" s="1"/>
  <c r="E975" i="4" s="1"/>
  <c r="E976" i="4" s="1"/>
  <c r="E977" i="4" s="1"/>
  <c r="E978" i="4" s="1"/>
  <c r="E979" i="4" s="1"/>
  <c r="E980" i="4" s="1"/>
  <c r="E981" i="4" s="1"/>
  <c r="E982" i="4" s="1"/>
  <c r="E983" i="4" s="1"/>
  <c r="E984" i="4" s="1"/>
  <c r="E985" i="4" s="1"/>
  <c r="E986" i="4" s="1"/>
  <c r="E987" i="4" s="1"/>
  <c r="E988" i="4" s="1"/>
  <c r="E989" i="4" s="1"/>
  <c r="E990" i="4" s="1"/>
  <c r="E991" i="4" s="1"/>
  <c r="E992" i="4" s="1"/>
  <c r="E993" i="4" s="1"/>
  <c r="E994" i="4" s="1"/>
  <c r="E995" i="4" s="1"/>
  <c r="E996" i="4" s="1"/>
  <c r="E997" i="4" s="1"/>
  <c r="E998" i="4" s="1"/>
  <c r="E999" i="4" s="1"/>
  <c r="E1000" i="4" s="1"/>
  <c r="E1001" i="4" s="1"/>
  <c r="E1002" i="4" s="1"/>
  <c r="E1003" i="4" s="1"/>
  <c r="C6" i="4"/>
  <c r="C4" i="4"/>
  <c r="C5" i="4" s="1"/>
  <c r="K212" i="5" l="1"/>
  <c r="K10" i="5"/>
  <c r="K17" i="5"/>
  <c r="K33" i="5"/>
  <c r="K5" i="5"/>
  <c r="F5" i="5" s="1"/>
  <c r="F6" i="5" s="1"/>
  <c r="F7" i="5" s="1"/>
  <c r="F8" i="5" s="1"/>
  <c r="F9" i="5" s="1"/>
  <c r="K19" i="5"/>
  <c r="K11" i="5"/>
  <c r="K49" i="5"/>
  <c r="K25" i="5"/>
  <c r="K41" i="5"/>
  <c r="K13" i="5"/>
  <c r="K29" i="5"/>
  <c r="K45" i="5"/>
  <c r="K35" i="5"/>
  <c r="K21" i="5"/>
  <c r="K37" i="5"/>
  <c r="K47" i="5"/>
  <c r="K20" i="5"/>
  <c r="K36" i="5"/>
  <c r="K57" i="5"/>
  <c r="K65" i="5"/>
  <c r="K71" i="5"/>
  <c r="K86" i="5"/>
  <c r="K110" i="5"/>
  <c r="K153" i="5"/>
  <c r="K176" i="5"/>
  <c r="K178" i="5"/>
  <c r="K180" i="5"/>
  <c r="K185" i="5"/>
  <c r="K207" i="5"/>
  <c r="K211" i="5"/>
  <c r="K228" i="5"/>
  <c r="K14" i="5"/>
  <c r="K30" i="5"/>
  <c r="K46" i="5"/>
  <c r="K174" i="5"/>
  <c r="K256" i="5"/>
  <c r="K276" i="5"/>
  <c r="K24" i="5"/>
  <c r="K40" i="5"/>
  <c r="K55" i="5"/>
  <c r="K63" i="5"/>
  <c r="K70" i="5"/>
  <c r="K82" i="5"/>
  <c r="K85" i="5"/>
  <c r="K95" i="5"/>
  <c r="K97" i="5"/>
  <c r="K106" i="5"/>
  <c r="K149" i="5"/>
  <c r="K158" i="5"/>
  <c r="K160" i="5"/>
  <c r="K162" i="5"/>
  <c r="K164" i="5"/>
  <c r="K166" i="5"/>
  <c r="K168" i="5"/>
  <c r="K170" i="5"/>
  <c r="K172" i="5"/>
  <c r="K187" i="5"/>
  <c r="K248" i="5"/>
  <c r="K362" i="5"/>
  <c r="K137" i="5"/>
  <c r="K139" i="5"/>
  <c r="K141" i="5"/>
  <c r="K143" i="5"/>
  <c r="K145" i="5"/>
  <c r="K147" i="5"/>
  <c r="K156" i="5"/>
  <c r="K183" i="5"/>
  <c r="K193" i="5"/>
  <c r="K240" i="5"/>
  <c r="E5" i="5"/>
  <c r="K12" i="5"/>
  <c r="K28" i="5"/>
  <c r="K44" i="5"/>
  <c r="K53" i="5"/>
  <c r="K61" i="5"/>
  <c r="K74" i="5"/>
  <c r="K81" i="5"/>
  <c r="K102" i="5"/>
  <c r="K109" i="5"/>
  <c r="K154" i="5"/>
  <c r="K175" i="5"/>
  <c r="K177" i="5"/>
  <c r="K179" i="5"/>
  <c r="K191" i="5"/>
  <c r="K195" i="5"/>
  <c r="M4" i="5"/>
  <c r="O4" i="5" s="1"/>
  <c r="K38" i="5"/>
  <c r="K52" i="5"/>
  <c r="K60" i="5"/>
  <c r="K68" i="5"/>
  <c r="K77" i="5"/>
  <c r="K84" i="5"/>
  <c r="K87" i="5"/>
  <c r="K91" i="5"/>
  <c r="K94" i="5"/>
  <c r="K100" i="5"/>
  <c r="K107" i="5"/>
  <c r="K152" i="5"/>
  <c r="K173" i="5"/>
  <c r="K201" i="5"/>
  <c r="K1003" i="5"/>
  <c r="K999" i="5"/>
  <c r="K995" i="5"/>
  <c r="K981" i="5"/>
  <c r="K965" i="5"/>
  <c r="K991" i="5"/>
  <c r="K983" i="5"/>
  <c r="K979" i="5"/>
  <c r="K963" i="5"/>
  <c r="K977" i="5"/>
  <c r="K985" i="5"/>
  <c r="K975" i="5"/>
  <c r="K959" i="5"/>
  <c r="K1001" i="5"/>
  <c r="K997" i="5"/>
  <c r="K993" i="5"/>
  <c r="K973" i="5"/>
  <c r="K957" i="5"/>
  <c r="K969" i="5"/>
  <c r="K951" i="5"/>
  <c r="K987" i="5"/>
  <c r="K971" i="5"/>
  <c r="K967" i="5"/>
  <c r="K953" i="5"/>
  <c r="K989" i="5"/>
  <c r="K961" i="5"/>
  <c r="K955" i="5"/>
  <c r="K892" i="5"/>
  <c r="K886" i="5"/>
  <c r="K934" i="5"/>
  <c r="K896" i="5"/>
  <c r="K946" i="5"/>
  <c r="K938" i="5"/>
  <c r="K890" i="5"/>
  <c r="K916" i="5"/>
  <c r="K914" i="5"/>
  <c r="K912" i="5"/>
  <c r="K910" i="5"/>
  <c r="K908" i="5"/>
  <c r="K906" i="5"/>
  <c r="K904" i="5"/>
  <c r="K902" i="5"/>
  <c r="K900" i="5"/>
  <c r="K884" i="5"/>
  <c r="K918" i="5"/>
  <c r="K932" i="5"/>
  <c r="K878" i="5"/>
  <c r="K874" i="5"/>
  <c r="K860" i="5"/>
  <c r="K844" i="5"/>
  <c r="K828" i="5"/>
  <c r="K812" i="5"/>
  <c r="K858" i="5"/>
  <c r="K842" i="5"/>
  <c r="K826" i="5"/>
  <c r="K810" i="5"/>
  <c r="K856" i="5"/>
  <c r="K840" i="5"/>
  <c r="K824" i="5"/>
  <c r="K808" i="5"/>
  <c r="K880" i="5"/>
  <c r="K870" i="5"/>
  <c r="K854" i="5"/>
  <c r="K838" i="5"/>
  <c r="K822" i="5"/>
  <c r="K806" i="5"/>
  <c r="K876" i="5"/>
  <c r="K868" i="5"/>
  <c r="K852" i="5"/>
  <c r="K836" i="5"/>
  <c r="K928" i="5"/>
  <c r="K872" i="5"/>
  <c r="K866" i="5"/>
  <c r="K850" i="5"/>
  <c r="K949" i="5"/>
  <c r="K898" i="5"/>
  <c r="K864" i="5"/>
  <c r="K848" i="5"/>
  <c r="K922" i="5"/>
  <c r="K882" i="5"/>
  <c r="K787" i="5"/>
  <c r="K771" i="5"/>
  <c r="K755" i="5"/>
  <c r="K816" i="5"/>
  <c r="K803" i="5"/>
  <c r="K795" i="5"/>
  <c r="K785" i="5"/>
  <c r="K769" i="5"/>
  <c r="K753" i="5"/>
  <c r="K830" i="5"/>
  <c r="K783" i="5"/>
  <c r="K767" i="5"/>
  <c r="K805" i="5"/>
  <c r="K797" i="5"/>
  <c r="K781" i="5"/>
  <c r="K765" i="5"/>
  <c r="K862" i="5"/>
  <c r="K779" i="5"/>
  <c r="K763" i="5"/>
  <c r="K820" i="5"/>
  <c r="K799" i="5"/>
  <c r="K777" i="5"/>
  <c r="K894" i="5"/>
  <c r="K846" i="5"/>
  <c r="K834" i="5"/>
  <c r="K818" i="5"/>
  <c r="K814" i="5"/>
  <c r="K791" i="5"/>
  <c r="K775" i="5"/>
  <c r="K888" i="5"/>
  <c r="K773" i="5"/>
  <c r="K741" i="5"/>
  <c r="K733" i="5"/>
  <c r="K725" i="5"/>
  <c r="K703" i="5"/>
  <c r="K687" i="5"/>
  <c r="K717" i="5"/>
  <c r="K701" i="5"/>
  <c r="K685" i="5"/>
  <c r="K677" i="5"/>
  <c r="K832" i="5"/>
  <c r="K761" i="5"/>
  <c r="K743" i="5"/>
  <c r="K735" i="5"/>
  <c r="K727" i="5"/>
  <c r="K719" i="5"/>
  <c r="K715" i="5"/>
  <c r="K699" i="5"/>
  <c r="K683" i="5"/>
  <c r="K789" i="5"/>
  <c r="K759" i="5"/>
  <c r="K713" i="5"/>
  <c r="K712" i="5"/>
  <c r="K697" i="5"/>
  <c r="K696" i="5"/>
  <c r="K737" i="5"/>
  <c r="K729" i="5"/>
  <c r="K721" i="5"/>
  <c r="K711" i="5"/>
  <c r="K695" i="5"/>
  <c r="K679" i="5"/>
  <c r="K749" i="5"/>
  <c r="K709" i="5"/>
  <c r="K708" i="5"/>
  <c r="K693" i="5"/>
  <c r="K692" i="5"/>
  <c r="K801" i="5"/>
  <c r="K757" i="5"/>
  <c r="K739" i="5"/>
  <c r="K731" i="5"/>
  <c r="K723" i="5"/>
  <c r="K707" i="5"/>
  <c r="K706" i="5"/>
  <c r="K691" i="5"/>
  <c r="K690" i="5"/>
  <c r="K678" i="5"/>
  <c r="K705" i="5"/>
  <c r="K653" i="5"/>
  <c r="K639" i="5"/>
  <c r="K607" i="5"/>
  <c r="K681" i="5"/>
  <c r="K672" i="5"/>
  <c r="K661" i="5"/>
  <c r="K651" i="5"/>
  <c r="K629" i="5"/>
  <c r="K619" i="5"/>
  <c r="K688" i="5"/>
  <c r="K663" i="5"/>
  <c r="K649" i="5"/>
  <c r="K637" i="5"/>
  <c r="K609" i="5"/>
  <c r="K793" i="5"/>
  <c r="K704" i="5"/>
  <c r="K673" i="5"/>
  <c r="K665" i="5"/>
  <c r="K659" i="5"/>
  <c r="K647" i="5"/>
  <c r="K667" i="5"/>
  <c r="K645" i="5"/>
  <c r="K635" i="5"/>
  <c r="K625" i="5"/>
  <c r="K611" i="5"/>
  <c r="K680" i="5"/>
  <c r="K674" i="5"/>
  <c r="K669" i="5"/>
  <c r="K657" i="5"/>
  <c r="K643" i="5"/>
  <c r="K670" i="5"/>
  <c r="K656" i="5"/>
  <c r="K642" i="5"/>
  <c r="K632" i="5"/>
  <c r="K689" i="5"/>
  <c r="K654" i="5"/>
  <c r="K641" i="5"/>
  <c r="K627" i="5"/>
  <c r="K622" i="5"/>
  <c r="K675" i="5"/>
  <c r="K615" i="5"/>
  <c r="K605" i="5"/>
  <c r="K623" i="5"/>
  <c r="K608" i="5"/>
  <c r="K671" i="5"/>
  <c r="K640" i="5"/>
  <c r="K633" i="5"/>
  <c r="K610" i="5"/>
  <c r="K631" i="5"/>
  <c r="K655" i="5"/>
  <c r="K613" i="5"/>
  <c r="K617" i="5"/>
  <c r="K614" i="5"/>
  <c r="K533" i="5"/>
  <c r="K621" i="5"/>
  <c r="K539" i="5"/>
  <c r="K512" i="5"/>
  <c r="K454" i="5"/>
  <c r="K504" i="5"/>
  <c r="K502" i="5"/>
  <c r="K500" i="5"/>
  <c r="K498" i="5"/>
  <c r="K496" i="5"/>
  <c r="K494" i="5"/>
  <c r="K492" i="5"/>
  <c r="K490" i="5"/>
  <c r="K488" i="5"/>
  <c r="K480" i="5"/>
  <c r="K472" i="5"/>
  <c r="K464" i="5"/>
  <c r="K460" i="5"/>
  <c r="K506" i="5"/>
  <c r="K450" i="5"/>
  <c r="K448" i="5"/>
  <c r="K423" i="5"/>
  <c r="K395" i="5"/>
  <c r="K379" i="5"/>
  <c r="K441" i="5"/>
  <c r="K437" i="5"/>
  <c r="K421" i="5"/>
  <c r="K385" i="5"/>
  <c r="K391" i="5"/>
  <c r="K445" i="5"/>
  <c r="K383" i="5"/>
  <c r="K413" i="5"/>
  <c r="K375" i="5"/>
  <c r="K308" i="5"/>
  <c r="K306" i="5"/>
  <c r="K304" i="5"/>
  <c r="K302" i="5"/>
  <c r="K300" i="5"/>
  <c r="K298" i="5"/>
  <c r="K296" i="5"/>
  <c r="K294" i="5"/>
  <c r="K292" i="5"/>
  <c r="K290" i="5"/>
  <c r="K288" i="5"/>
  <c r="K286" i="5"/>
  <c r="K264" i="5"/>
  <c r="K270" i="5"/>
  <c r="K234" i="5"/>
  <c r="K230" i="5"/>
  <c r="K214" i="5"/>
  <c r="K210" i="5"/>
  <c r="K202" i="5"/>
  <c r="K194" i="5"/>
  <c r="K186" i="5"/>
  <c r="K284" i="5"/>
  <c r="K254" i="5"/>
  <c r="K246" i="5"/>
  <c r="K238" i="5"/>
  <c r="K216" i="5"/>
  <c r="K431" i="5"/>
  <c r="K218" i="5"/>
  <c r="K208" i="5"/>
  <c r="K200" i="5"/>
  <c r="K192" i="5"/>
  <c r="K182" i="5"/>
  <c r="K252" i="5"/>
  <c r="K244" i="5"/>
  <c r="K220" i="5"/>
  <c r="K236" i="5"/>
  <c r="K232" i="5"/>
  <c r="K222" i="5"/>
  <c r="K206" i="5"/>
  <c r="K198" i="5"/>
  <c r="K190" i="5"/>
  <c r="K184" i="5"/>
  <c r="K258" i="5"/>
  <c r="K250" i="5"/>
  <c r="K242" i="5"/>
  <c r="K224" i="5"/>
  <c r="K205" i="5"/>
  <c r="K197" i="5"/>
  <c r="K189" i="5"/>
  <c r="K181" i="5"/>
  <c r="K226" i="5"/>
  <c r="K204" i="5"/>
  <c r="K196" i="5"/>
  <c r="K188" i="5"/>
  <c r="K16" i="5"/>
  <c r="K32" i="5"/>
  <c r="K48" i="5"/>
  <c r="K51" i="5"/>
  <c r="K59" i="5"/>
  <c r="K67" i="5"/>
  <c r="K73" i="5"/>
  <c r="K80" i="5"/>
  <c r="K96" i="5"/>
  <c r="K98" i="5"/>
  <c r="K105" i="5"/>
  <c r="K150" i="5"/>
  <c r="K157" i="5"/>
  <c r="K159" i="5"/>
  <c r="K161" i="5"/>
  <c r="K163" i="5"/>
  <c r="K165" i="5"/>
  <c r="K167" i="5"/>
  <c r="K169" i="5"/>
  <c r="K171" i="5"/>
  <c r="K199" i="5"/>
  <c r="K203" i="5"/>
  <c r="K271" i="5"/>
  <c r="K221" i="5"/>
  <c r="K239" i="5"/>
  <c r="K247" i="5"/>
  <c r="K255" i="5"/>
  <c r="K260" i="5"/>
  <c r="K262" i="5"/>
  <c r="K219" i="5"/>
  <c r="K274" i="5"/>
  <c r="K314" i="5"/>
  <c r="K333" i="5"/>
  <c r="K354" i="5"/>
  <c r="K415" i="5"/>
  <c r="K217" i="5"/>
  <c r="K231" i="5"/>
  <c r="K235" i="5"/>
  <c r="K241" i="5"/>
  <c r="K249" i="5"/>
  <c r="K257" i="5"/>
  <c r="K215" i="5"/>
  <c r="K272" i="5"/>
  <c r="K282" i="5"/>
  <c r="K322" i="5"/>
  <c r="K369" i="5"/>
  <c r="K412" i="5"/>
  <c r="K435" i="5"/>
  <c r="K213" i="5"/>
  <c r="K229" i="5"/>
  <c r="K243" i="5"/>
  <c r="K251" i="5"/>
  <c r="K259" i="5"/>
  <c r="K268" i="5"/>
  <c r="K280" i="5"/>
  <c r="K349" i="5"/>
  <c r="K409" i="5"/>
  <c r="K227" i="5"/>
  <c r="K278" i="5"/>
  <c r="K225" i="5"/>
  <c r="K233" i="5"/>
  <c r="K237" i="5"/>
  <c r="K245" i="5"/>
  <c r="K253" i="5"/>
  <c r="K266" i="5"/>
  <c r="K338" i="5"/>
  <c r="K392" i="5"/>
  <c r="K265" i="5"/>
  <c r="K321" i="5"/>
  <c r="K327" i="5"/>
  <c r="K332" i="5"/>
  <c r="K343" i="5"/>
  <c r="K348" i="5"/>
  <c r="K359" i="5"/>
  <c r="K364" i="5"/>
  <c r="K371" i="5"/>
  <c r="K373" i="5"/>
  <c r="K401" i="5"/>
  <c r="K419" i="5"/>
  <c r="K429" i="5"/>
  <c r="K313" i="5"/>
  <c r="K320" i="5"/>
  <c r="K326" i="5"/>
  <c r="K337" i="5"/>
  <c r="K342" i="5"/>
  <c r="K353" i="5"/>
  <c r="K358" i="5"/>
  <c r="K366" i="5"/>
  <c r="K377" i="5"/>
  <c r="K407" i="5"/>
  <c r="K269" i="5"/>
  <c r="K273" i="5"/>
  <c r="K275" i="5"/>
  <c r="K277" i="5"/>
  <c r="K279" i="5"/>
  <c r="K312" i="5"/>
  <c r="K319" i="5"/>
  <c r="K331" i="5"/>
  <c r="K336" i="5"/>
  <c r="K347" i="5"/>
  <c r="K352" i="5"/>
  <c r="K368" i="5"/>
  <c r="K381" i="5"/>
  <c r="K393" i="5"/>
  <c r="K439" i="5"/>
  <c r="K263" i="5"/>
  <c r="K281" i="5"/>
  <c r="K318" i="5"/>
  <c r="K325" i="5"/>
  <c r="K330" i="5"/>
  <c r="K341" i="5"/>
  <c r="K346" i="5"/>
  <c r="K357" i="5"/>
  <c r="K361" i="5"/>
  <c r="K370" i="5"/>
  <c r="K387" i="5"/>
  <c r="K389" i="5"/>
  <c r="K399" i="5"/>
  <c r="K405" i="5"/>
  <c r="K427" i="5"/>
  <c r="K433" i="5"/>
  <c r="K486" i="5"/>
  <c r="K283" i="5"/>
  <c r="K311" i="5"/>
  <c r="K317" i="5"/>
  <c r="K324" i="5"/>
  <c r="K335" i="5"/>
  <c r="K340" i="5"/>
  <c r="K351" i="5"/>
  <c r="K356" i="5"/>
  <c r="K363" i="5"/>
  <c r="K376" i="5"/>
  <c r="K411" i="5"/>
  <c r="K417" i="5"/>
  <c r="K424" i="5"/>
  <c r="K267" i="5"/>
  <c r="K285" i="5"/>
  <c r="K310" i="5"/>
  <c r="K316" i="5"/>
  <c r="K329" i="5"/>
  <c r="K334" i="5"/>
  <c r="K345" i="5"/>
  <c r="K350" i="5"/>
  <c r="K365" i="5"/>
  <c r="K403" i="5"/>
  <c r="K261" i="5"/>
  <c r="K287" i="5"/>
  <c r="K289" i="5"/>
  <c r="K291" i="5"/>
  <c r="K293" i="5"/>
  <c r="K295" i="5"/>
  <c r="K297" i="5"/>
  <c r="K299" i="5"/>
  <c r="K301" i="5"/>
  <c r="K303" i="5"/>
  <c r="K305" i="5"/>
  <c r="K307" i="5"/>
  <c r="K309" i="5"/>
  <c r="K315" i="5"/>
  <c r="K323" i="5"/>
  <c r="K328" i="5"/>
  <c r="K339" i="5"/>
  <c r="K344" i="5"/>
  <c r="K355" i="5"/>
  <c r="K360" i="5"/>
  <c r="K367" i="5"/>
  <c r="K384" i="5"/>
  <c r="K397" i="5"/>
  <c r="K425" i="5"/>
  <c r="K443" i="5"/>
  <c r="K386" i="5"/>
  <c r="K396" i="5"/>
  <c r="K398" i="5"/>
  <c r="K400" i="5"/>
  <c r="K402" i="5"/>
  <c r="K404" i="5"/>
  <c r="K406" i="5"/>
  <c r="K408" i="5"/>
  <c r="K410" i="5"/>
  <c r="K430" i="5"/>
  <c r="K440" i="5"/>
  <c r="K444" i="5"/>
  <c r="K478" i="5"/>
  <c r="K508" i="5"/>
  <c r="K380" i="5"/>
  <c r="K416" i="5"/>
  <c r="K420" i="5"/>
  <c r="K436" i="5"/>
  <c r="K446" i="5"/>
  <c r="K452" i="5"/>
  <c r="K470" i="5"/>
  <c r="K481" i="5"/>
  <c r="K484" i="5"/>
  <c r="K374" i="5"/>
  <c r="K390" i="5"/>
  <c r="K426" i="5"/>
  <c r="K462" i="5"/>
  <c r="K473" i="5"/>
  <c r="K476" i="5"/>
  <c r="K534" i="5"/>
  <c r="K541" i="5"/>
  <c r="K545" i="5"/>
  <c r="K549" i="5"/>
  <c r="K553" i="5"/>
  <c r="K557" i="5"/>
  <c r="K561" i="5"/>
  <c r="K565" i="5"/>
  <c r="K569" i="5"/>
  <c r="K573" i="5"/>
  <c r="K432" i="5"/>
  <c r="K458" i="5"/>
  <c r="K465" i="5"/>
  <c r="K468" i="5"/>
  <c r="K482" i="5"/>
  <c r="K531" i="5"/>
  <c r="K378" i="5"/>
  <c r="K394" i="5"/>
  <c r="K414" i="5"/>
  <c r="K422" i="5"/>
  <c r="K438" i="5"/>
  <c r="K442" i="5"/>
  <c r="K474" i="5"/>
  <c r="K528" i="5"/>
  <c r="K626" i="5"/>
  <c r="K372" i="5"/>
  <c r="K388" i="5"/>
  <c r="K428" i="5"/>
  <c r="K449" i="5"/>
  <c r="K451" i="5"/>
  <c r="K456" i="5"/>
  <c r="K466" i="5"/>
  <c r="K525" i="5"/>
  <c r="K382" i="5"/>
  <c r="K418" i="5"/>
  <c r="K434" i="5"/>
  <c r="K510" i="5"/>
  <c r="K543" i="5"/>
  <c r="K547" i="5"/>
  <c r="K551" i="5"/>
  <c r="K555" i="5"/>
  <c r="K559" i="5"/>
  <c r="K563" i="5"/>
  <c r="K567" i="5"/>
  <c r="K571" i="5"/>
  <c r="K461" i="5"/>
  <c r="K511" i="5"/>
  <c r="K515" i="5"/>
  <c r="K518" i="5"/>
  <c r="K581" i="5"/>
  <c r="K589" i="5"/>
  <c r="K597" i="5"/>
  <c r="K455" i="5"/>
  <c r="K467" i="5"/>
  <c r="K475" i="5"/>
  <c r="K483" i="5"/>
  <c r="K521" i="5"/>
  <c r="K524" i="5"/>
  <c r="K616" i="5"/>
  <c r="K509" i="5"/>
  <c r="K514" i="5"/>
  <c r="K527" i="5"/>
  <c r="K530" i="5"/>
  <c r="K579" i="5"/>
  <c r="K587" i="5"/>
  <c r="K595" i="5"/>
  <c r="K603" i="5"/>
  <c r="K459" i="5"/>
  <c r="K469" i="5"/>
  <c r="K477" i="5"/>
  <c r="K485" i="5"/>
  <c r="K517" i="5"/>
  <c r="K520" i="5"/>
  <c r="K453" i="5"/>
  <c r="K507" i="5"/>
  <c r="K523" i="5"/>
  <c r="K526" i="5"/>
  <c r="K535" i="5"/>
  <c r="K540" i="5"/>
  <c r="K577" i="5"/>
  <c r="K585" i="5"/>
  <c r="K593" i="5"/>
  <c r="K601" i="5"/>
  <c r="K606" i="5"/>
  <c r="K662" i="5"/>
  <c r="K447" i="5"/>
  <c r="K463" i="5"/>
  <c r="K471" i="5"/>
  <c r="K479" i="5"/>
  <c r="K487" i="5"/>
  <c r="K513" i="5"/>
  <c r="K516" i="5"/>
  <c r="K529" i="5"/>
  <c r="K612" i="5"/>
  <c r="K457" i="5"/>
  <c r="K489" i="5"/>
  <c r="K491" i="5"/>
  <c r="K493" i="5"/>
  <c r="K495" i="5"/>
  <c r="K497" i="5"/>
  <c r="K499" i="5"/>
  <c r="K501" i="5"/>
  <c r="K503" i="5"/>
  <c r="K505" i="5"/>
  <c r="K519" i="5"/>
  <c r="K522" i="5"/>
  <c r="K537" i="5"/>
  <c r="K575" i="5"/>
  <c r="K583" i="5"/>
  <c r="K591" i="5"/>
  <c r="K599" i="5"/>
  <c r="K650" i="5"/>
  <c r="K658" i="5"/>
  <c r="K660" i="5"/>
  <c r="K628" i="5"/>
  <c r="K542" i="5"/>
  <c r="K618" i="5"/>
  <c r="K638" i="5"/>
  <c r="K648" i="5"/>
  <c r="K668" i="5"/>
  <c r="K538" i="5"/>
  <c r="K604" i="5"/>
  <c r="K630" i="5"/>
  <c r="K636" i="5"/>
  <c r="K532" i="5"/>
  <c r="K544" i="5"/>
  <c r="K546" i="5"/>
  <c r="K548" i="5"/>
  <c r="K550" i="5"/>
  <c r="K552" i="5"/>
  <c r="K554" i="5"/>
  <c r="K556" i="5"/>
  <c r="K558" i="5"/>
  <c r="K560" i="5"/>
  <c r="K562" i="5"/>
  <c r="K564" i="5"/>
  <c r="K566" i="5"/>
  <c r="K568" i="5"/>
  <c r="K570" i="5"/>
  <c r="K572" i="5"/>
  <c r="K574" i="5"/>
  <c r="K576" i="5"/>
  <c r="K578" i="5"/>
  <c r="K580" i="5"/>
  <c r="K582" i="5"/>
  <c r="K584" i="5"/>
  <c r="K586" i="5"/>
  <c r="K588" i="5"/>
  <c r="K590" i="5"/>
  <c r="K592" i="5"/>
  <c r="K594" i="5"/>
  <c r="K596" i="5"/>
  <c r="K598" i="5"/>
  <c r="K600" i="5"/>
  <c r="K602" i="5"/>
  <c r="K634" i="5"/>
  <c r="K646" i="5"/>
  <c r="K644" i="5"/>
  <c r="K666" i="5"/>
  <c r="K682" i="5"/>
  <c r="K536" i="5"/>
  <c r="K620" i="5"/>
  <c r="K624" i="5"/>
  <c r="K652" i="5"/>
  <c r="K664" i="5"/>
  <c r="K710" i="5"/>
  <c r="K694" i="5"/>
  <c r="K676" i="5"/>
  <c r="K702" i="5"/>
  <c r="K686" i="5"/>
  <c r="K716" i="5"/>
  <c r="K738" i="5"/>
  <c r="K700" i="5"/>
  <c r="K714" i="5"/>
  <c r="K730" i="5"/>
  <c r="K752" i="5"/>
  <c r="K684" i="5"/>
  <c r="K698" i="5"/>
  <c r="K722" i="5"/>
  <c r="K744" i="5"/>
  <c r="K720" i="5"/>
  <c r="K728" i="5"/>
  <c r="K736" i="5"/>
  <c r="K747" i="5"/>
  <c r="K751" i="5"/>
  <c r="K778" i="5"/>
  <c r="K718" i="5"/>
  <c r="K726" i="5"/>
  <c r="K734" i="5"/>
  <c r="K742" i="5"/>
  <c r="K746" i="5"/>
  <c r="K766" i="5"/>
  <c r="K750" i="5"/>
  <c r="K764" i="5"/>
  <c r="K724" i="5"/>
  <c r="K732" i="5"/>
  <c r="K740" i="5"/>
  <c r="K745" i="5"/>
  <c r="K762" i="5"/>
  <c r="K780" i="5"/>
  <c r="K798" i="5"/>
  <c r="K837" i="5"/>
  <c r="K839" i="5"/>
  <c r="K782" i="5"/>
  <c r="K835" i="5"/>
  <c r="K851" i="5"/>
  <c r="K881" i="5"/>
  <c r="K768" i="5"/>
  <c r="K784" i="5"/>
  <c r="K796" i="5"/>
  <c r="K804" i="5"/>
  <c r="K819" i="5"/>
  <c r="K754" i="5"/>
  <c r="K770" i="5"/>
  <c r="K786" i="5"/>
  <c r="K821" i="5"/>
  <c r="K756" i="5"/>
  <c r="K772" i="5"/>
  <c r="K788" i="5"/>
  <c r="K794" i="5"/>
  <c r="K802" i="5"/>
  <c r="K807" i="5"/>
  <c r="K823" i="5"/>
  <c r="K748" i="5"/>
  <c r="K758" i="5"/>
  <c r="K774" i="5"/>
  <c r="K790" i="5"/>
  <c r="K760" i="5"/>
  <c r="K776" i="5"/>
  <c r="K792" i="5"/>
  <c r="K800" i="5"/>
  <c r="K809" i="5"/>
  <c r="K867" i="5"/>
  <c r="K853" i="5"/>
  <c r="K869" i="5"/>
  <c r="K855" i="5"/>
  <c r="K871" i="5"/>
  <c r="K889" i="5"/>
  <c r="K926" i="5"/>
  <c r="K825" i="5"/>
  <c r="K841" i="5"/>
  <c r="K857" i="5"/>
  <c r="K875" i="5"/>
  <c r="K879" i="5"/>
  <c r="K811" i="5"/>
  <c r="K827" i="5"/>
  <c r="K843" i="5"/>
  <c r="K859" i="5"/>
  <c r="K885" i="5"/>
  <c r="K813" i="5"/>
  <c r="K829" i="5"/>
  <c r="K845" i="5"/>
  <c r="K861" i="5"/>
  <c r="K815" i="5"/>
  <c r="K831" i="5"/>
  <c r="K847" i="5"/>
  <c r="K863" i="5"/>
  <c r="K873" i="5"/>
  <c r="K817" i="5"/>
  <c r="K833" i="5"/>
  <c r="K849" i="5"/>
  <c r="K865" i="5"/>
  <c r="K877" i="5"/>
  <c r="K960" i="5"/>
  <c r="K895" i="5"/>
  <c r="K901" i="5"/>
  <c r="K903" i="5"/>
  <c r="K905" i="5"/>
  <c r="K907" i="5"/>
  <c r="K909" i="5"/>
  <c r="K911" i="5"/>
  <c r="K913" i="5"/>
  <c r="K915" i="5"/>
  <c r="K917" i="5"/>
  <c r="K935" i="5"/>
  <c r="K954" i="5"/>
  <c r="K930" i="5"/>
  <c r="K943" i="5"/>
  <c r="K891" i="5"/>
  <c r="K897" i="5"/>
  <c r="K924" i="5"/>
  <c r="K929" i="5"/>
  <c r="K940" i="5"/>
  <c r="K887" i="5"/>
  <c r="K923" i="5"/>
  <c r="K933" i="5"/>
  <c r="K942" i="5"/>
  <c r="K893" i="5"/>
  <c r="K920" i="5"/>
  <c r="K947" i="5"/>
  <c r="K883" i="5"/>
  <c r="K899" i="5"/>
  <c r="K919" i="5"/>
  <c r="K936" i="5"/>
  <c r="K939" i="5"/>
  <c r="K944" i="5"/>
  <c r="K927" i="5"/>
  <c r="K958" i="5"/>
  <c r="K921" i="5"/>
  <c r="K937" i="5"/>
  <c r="K945" i="5"/>
  <c r="K950" i="5"/>
  <c r="K976" i="5"/>
  <c r="K931" i="5"/>
  <c r="K925" i="5"/>
  <c r="K941" i="5"/>
  <c r="K948" i="5"/>
  <c r="K956" i="5"/>
  <c r="K972" i="5"/>
  <c r="K974" i="5"/>
  <c r="K986" i="5"/>
  <c r="K962" i="5"/>
  <c r="K978" i="5"/>
  <c r="K984" i="5"/>
  <c r="K992" i="5"/>
  <c r="K996" i="5"/>
  <c r="K1000" i="5"/>
  <c r="K964" i="5"/>
  <c r="K980" i="5"/>
  <c r="K966" i="5"/>
  <c r="K982" i="5"/>
  <c r="K990" i="5"/>
  <c r="K952" i="5"/>
  <c r="K968" i="5"/>
  <c r="K970" i="5"/>
  <c r="K988" i="5"/>
  <c r="K994" i="5"/>
  <c r="K998" i="5"/>
  <c r="K1002" i="5"/>
  <c r="K168" i="4"/>
  <c r="K22" i="4"/>
  <c r="K70" i="4"/>
  <c r="K102" i="4"/>
  <c r="K150" i="4"/>
  <c r="K214" i="4"/>
  <c r="K278" i="4"/>
  <c r="K326" i="4"/>
  <c r="K374" i="4"/>
  <c r="K478" i="4"/>
  <c r="K534" i="4"/>
  <c r="K614" i="4"/>
  <c r="K654" i="4"/>
  <c r="K678" i="4"/>
  <c r="K710" i="4"/>
  <c r="K726" i="4"/>
  <c r="K734" i="4"/>
  <c r="K742" i="4"/>
  <c r="K750" i="4"/>
  <c r="K758" i="4"/>
  <c r="K766" i="4"/>
  <c r="K774" i="4"/>
  <c r="K782" i="4"/>
  <c r="K790" i="4"/>
  <c r="K798" i="4"/>
  <c r="K806" i="4"/>
  <c r="K822" i="4"/>
  <c r="K830" i="4"/>
  <c r="K838" i="4"/>
  <c r="K878" i="4"/>
  <c r="K902" i="4"/>
  <c r="K38" i="4"/>
  <c r="K94" i="4"/>
  <c r="K134" i="4"/>
  <c r="K166" i="4"/>
  <c r="K206" i="4"/>
  <c r="K246" i="4"/>
  <c r="K294" i="4"/>
  <c r="K358" i="4"/>
  <c r="K390" i="4"/>
  <c r="K430" i="4"/>
  <c r="K470" i="4"/>
  <c r="K502" i="4"/>
  <c r="K558" i="4"/>
  <c r="K582" i="4"/>
  <c r="K630" i="4"/>
  <c r="K670" i="4"/>
  <c r="K718" i="4"/>
  <c r="K862" i="4"/>
  <c r="K15" i="4"/>
  <c r="K71" i="4"/>
  <c r="K103" i="4"/>
  <c r="K143" i="4"/>
  <c r="K159" i="4"/>
  <c r="K175" i="4"/>
  <c r="K183" i="4"/>
  <c r="K223" i="4"/>
  <c r="K231" i="4"/>
  <c r="K239" i="4"/>
  <c r="K263" i="4"/>
  <c r="K271" i="4"/>
  <c r="K295" i="4"/>
  <c r="K303" i="4"/>
  <c r="K319" i="4"/>
  <c r="K327" i="4"/>
  <c r="K335" i="4"/>
  <c r="K343" i="4"/>
  <c r="K351" i="4"/>
  <c r="K359" i="4"/>
  <c r="K367" i="4"/>
  <c r="K375" i="4"/>
  <c r="K383" i="4"/>
  <c r="K391" i="4"/>
  <c r="K399" i="4"/>
  <c r="K407" i="4"/>
  <c r="K423" i="4"/>
  <c r="K431" i="4"/>
  <c r="K439" i="4"/>
  <c r="K447" i="4"/>
  <c r="K455" i="4"/>
  <c r="K184" i="4"/>
  <c r="K192" i="4"/>
  <c r="K200" i="4"/>
  <c r="K208" i="4"/>
  <c r="K216" i="4"/>
  <c r="K224" i="4"/>
  <c r="K232" i="4"/>
  <c r="K240" i="4"/>
  <c r="K248" i="4"/>
  <c r="K256" i="4"/>
  <c r="K264" i="4"/>
  <c r="K272" i="4"/>
  <c r="K280" i="4"/>
  <c r="K288" i="4"/>
  <c r="K296" i="4"/>
  <c r="K304" i="4"/>
  <c r="K312" i="4"/>
  <c r="K320" i="4"/>
  <c r="K328" i="4"/>
  <c r="K336" i="4"/>
  <c r="K344" i="4"/>
  <c r="K352" i="4"/>
  <c r="K30" i="4"/>
  <c r="K86" i="4"/>
  <c r="K142" i="4"/>
  <c r="K174" i="4"/>
  <c r="K222" i="4"/>
  <c r="K262" i="4"/>
  <c r="K302" i="4"/>
  <c r="K334" i="4"/>
  <c r="K366" i="4"/>
  <c r="K406" i="4"/>
  <c r="K454" i="4"/>
  <c r="K486" i="4"/>
  <c r="K518" i="4"/>
  <c r="K590" i="4"/>
  <c r="K646" i="4"/>
  <c r="K694" i="4"/>
  <c r="K894" i="4"/>
  <c r="K23" i="4"/>
  <c r="K55" i="4"/>
  <c r="K95" i="4"/>
  <c r="K111" i="4"/>
  <c r="K151" i="4"/>
  <c r="K199" i="4"/>
  <c r="K8" i="4"/>
  <c r="K24" i="4"/>
  <c r="K40" i="4"/>
  <c r="K48" i="4"/>
  <c r="K56" i="4"/>
  <c r="K64" i="4"/>
  <c r="K72" i="4"/>
  <c r="K80" i="4"/>
  <c r="K88" i="4"/>
  <c r="K96" i="4"/>
  <c r="K104" i="4"/>
  <c r="K112" i="4"/>
  <c r="K120" i="4"/>
  <c r="K128" i="4"/>
  <c r="K136" i="4"/>
  <c r="K144" i="4"/>
  <c r="K152" i="4"/>
  <c r="K160" i="4"/>
  <c r="K176" i="4"/>
  <c r="K17" i="4"/>
  <c r="K25" i="4"/>
  <c r="K33" i="4"/>
  <c r="K41" i="4"/>
  <c r="K49" i="4"/>
  <c r="K57" i="4"/>
  <c r="K65" i="4"/>
  <c r="K73" i="4"/>
  <c r="K81" i="4"/>
  <c r="K89" i="4"/>
  <c r="K97" i="4"/>
  <c r="K105" i="4"/>
  <c r="K113" i="4"/>
  <c r="K121" i="4"/>
  <c r="K129" i="4"/>
  <c r="K137" i="4"/>
  <c r="K145" i="4"/>
  <c r="K153" i="4"/>
  <c r="K161" i="4"/>
  <c r="K169" i="4"/>
  <c r="K177" i="4"/>
  <c r="K185" i="4"/>
  <c r="K193" i="4"/>
  <c r="K201" i="4"/>
  <c r="K209" i="4"/>
  <c r="K217" i="4"/>
  <c r="K225" i="4"/>
  <c r="K233" i="4"/>
  <c r="K241" i="4"/>
  <c r="K249" i="4"/>
  <c r="K257" i="4"/>
  <c r="K265" i="4"/>
  <c r="K273" i="4"/>
  <c r="K281" i="4"/>
  <c r="K289" i="4"/>
  <c r="K297" i="4"/>
  <c r="K305" i="4"/>
  <c r="K313" i="4"/>
  <c r="K321" i="4"/>
  <c r="K6" i="4"/>
  <c r="K46" i="4"/>
  <c r="K118" i="4"/>
  <c r="K182" i="4"/>
  <c r="K238" i="4"/>
  <c r="K286" i="4"/>
  <c r="K342" i="4"/>
  <c r="K382" i="4"/>
  <c r="K422" i="4"/>
  <c r="K494" i="4"/>
  <c r="K566" i="4"/>
  <c r="K622" i="4"/>
  <c r="K686" i="4"/>
  <c r="K886" i="4"/>
  <c r="K7" i="4"/>
  <c r="K39" i="4"/>
  <c r="K79" i="4"/>
  <c r="K135" i="4"/>
  <c r="K207" i="4"/>
  <c r="K16" i="4"/>
  <c r="K32" i="4"/>
  <c r="K10" i="4"/>
  <c r="K18" i="4"/>
  <c r="K26" i="4"/>
  <c r="K34" i="4"/>
  <c r="K42" i="4"/>
  <c r="K50" i="4"/>
  <c r="K58" i="4"/>
  <c r="K66" i="4"/>
  <c r="K74" i="4"/>
  <c r="K82" i="4"/>
  <c r="K90" i="4"/>
  <c r="K98" i="4"/>
  <c r="K106" i="4"/>
  <c r="K114" i="4"/>
  <c r="K122" i="4"/>
  <c r="K130" i="4"/>
  <c r="K138" i="4"/>
  <c r="K146" i="4"/>
  <c r="K154" i="4"/>
  <c r="K162" i="4"/>
  <c r="K170" i="4"/>
  <c r="K178" i="4"/>
  <c r="K186" i="4"/>
  <c r="K194" i="4"/>
  <c r="K202" i="4"/>
  <c r="K210" i="4"/>
  <c r="K218" i="4"/>
  <c r="K226" i="4"/>
  <c r="K234" i="4"/>
  <c r="K242" i="4"/>
  <c r="K250" i="4"/>
  <c r="K258" i="4"/>
  <c r="K266" i="4"/>
  <c r="K274" i="4"/>
  <c r="K282" i="4"/>
  <c r="K14" i="4"/>
  <c r="K54" i="4"/>
  <c r="K78" i="4"/>
  <c r="K110" i="4"/>
  <c r="K158" i="4"/>
  <c r="K198" i="4"/>
  <c r="K230" i="4"/>
  <c r="K270" i="4"/>
  <c r="K310" i="4"/>
  <c r="K350" i="4"/>
  <c r="K398" i="4"/>
  <c r="K438" i="4"/>
  <c r="K510" i="4"/>
  <c r="K550" i="4"/>
  <c r="K606" i="4"/>
  <c r="K638" i="4"/>
  <c r="K702" i="4"/>
  <c r="K870" i="4"/>
  <c r="K31" i="4"/>
  <c r="K47" i="4"/>
  <c r="K87" i="4"/>
  <c r="K119" i="4"/>
  <c r="K167" i="4"/>
  <c r="K11" i="4"/>
  <c r="K19" i="4"/>
  <c r="K27" i="4"/>
  <c r="K35" i="4"/>
  <c r="K43" i="4"/>
  <c r="K51" i="4"/>
  <c r="K59" i="4"/>
  <c r="K67" i="4"/>
  <c r="K75" i="4"/>
  <c r="K83" i="4"/>
  <c r="K91" i="4"/>
  <c r="K99" i="4"/>
  <c r="K107" i="4"/>
  <c r="K115" i="4"/>
  <c r="K123" i="4"/>
  <c r="K131" i="4"/>
  <c r="K139" i="4"/>
  <c r="K147" i="4"/>
  <c r="K155" i="4"/>
  <c r="K163" i="4"/>
  <c r="K171" i="4"/>
  <c r="K179" i="4"/>
  <c r="K187" i="4"/>
  <c r="K195" i="4"/>
  <c r="K203" i="4"/>
  <c r="K211" i="4"/>
  <c r="K219" i="4"/>
  <c r="K227" i="4"/>
  <c r="K235" i="4"/>
  <c r="K243" i="4"/>
  <c r="K251" i="4"/>
  <c r="K259" i="4"/>
  <c r="K267" i="4"/>
  <c r="K275" i="4"/>
  <c r="K283" i="4"/>
  <c r="K291" i="4"/>
  <c r="K299" i="4"/>
  <c r="K307" i="4"/>
  <c r="K315" i="4"/>
  <c r="K323" i="4"/>
  <c r="K463" i="4"/>
  <c r="K471" i="4"/>
  <c r="K479" i="4"/>
  <c r="K487" i="4"/>
  <c r="K495" i="4"/>
  <c r="K503" i="4"/>
  <c r="K511" i="4"/>
  <c r="K519" i="4"/>
  <c r="K527" i="4"/>
  <c r="K535" i="4"/>
  <c r="K551" i="4"/>
  <c r="K567" i="4"/>
  <c r="K575" i="4"/>
  <c r="K583" i="4"/>
  <c r="K591" i="4"/>
  <c r="K599" i="4"/>
  <c r="K615" i="4"/>
  <c r="K623" i="4"/>
  <c r="K631" i="4"/>
  <c r="K639" i="4"/>
  <c r="K647" i="4"/>
  <c r="K655" i="4"/>
  <c r="K663" i="4"/>
  <c r="K671" i="4"/>
  <c r="K679" i="4"/>
  <c r="K687" i="4"/>
  <c r="K695" i="4"/>
  <c r="K703" i="4"/>
  <c r="K711" i="4"/>
  <c r="K719" i="4"/>
  <c r="K727" i="4"/>
  <c r="K735" i="4"/>
  <c r="K743" i="4"/>
  <c r="K751" i="4"/>
  <c r="K759" i="4"/>
  <c r="K767" i="4"/>
  <c r="K775" i="4"/>
  <c r="K783" i="4"/>
  <c r="K791" i="4"/>
  <c r="K799" i="4"/>
  <c r="K807" i="4"/>
  <c r="K815" i="4"/>
  <c r="K823" i="4"/>
  <c r="K831" i="4"/>
  <c r="K839" i="4"/>
  <c r="K847" i="4"/>
  <c r="K855" i="4"/>
  <c r="K863" i="4"/>
  <c r="K871" i="4"/>
  <c r="K879" i="4"/>
  <c r="K887" i="4"/>
  <c r="K895" i="4"/>
  <c r="K903" i="4"/>
  <c r="K911" i="4"/>
  <c r="K919" i="4"/>
  <c r="K927" i="4"/>
  <c r="K935" i="4"/>
  <c r="K943" i="4"/>
  <c r="K951" i="4"/>
  <c r="K959" i="4"/>
  <c r="K967" i="4"/>
  <c r="K975" i="4"/>
  <c r="K983" i="4"/>
  <c r="K991" i="4"/>
  <c r="K999" i="4"/>
  <c r="K360" i="4"/>
  <c r="K368" i="4"/>
  <c r="K376" i="4"/>
  <c r="K384" i="4"/>
  <c r="K392" i="4"/>
  <c r="K400" i="4"/>
  <c r="K408" i="4"/>
  <c r="K416" i="4"/>
  <c r="K424" i="4"/>
  <c r="K432" i="4"/>
  <c r="K440" i="4"/>
  <c r="K448" i="4"/>
  <c r="K456" i="4"/>
  <c r="K464" i="4"/>
  <c r="K472" i="4"/>
  <c r="K480" i="4"/>
  <c r="K488" i="4"/>
  <c r="K496" i="4"/>
  <c r="K504" i="4"/>
  <c r="K512" i="4"/>
  <c r="K520" i="4"/>
  <c r="K528" i="4"/>
  <c r="K536" i="4"/>
  <c r="K544" i="4"/>
  <c r="K552" i="4"/>
  <c r="K560" i="4"/>
  <c r="K568" i="4"/>
  <c r="K576" i="4"/>
  <c r="K584" i="4"/>
  <c r="K592" i="4"/>
  <c r="K600" i="4"/>
  <c r="K608" i="4"/>
  <c r="K616" i="4"/>
  <c r="K624" i="4"/>
  <c r="K632" i="4"/>
  <c r="K640" i="4"/>
  <c r="K648" i="4"/>
  <c r="K656" i="4"/>
  <c r="K664" i="4"/>
  <c r="K672" i="4"/>
  <c r="K680" i="4"/>
  <c r="K688" i="4"/>
  <c r="K696" i="4"/>
  <c r="K704" i="4"/>
  <c r="K712" i="4"/>
  <c r="K720" i="4"/>
  <c r="K728" i="4"/>
  <c r="K736" i="4"/>
  <c r="K744" i="4"/>
  <c r="K752" i="4"/>
  <c r="K760" i="4"/>
  <c r="K768" i="4"/>
  <c r="K776" i="4"/>
  <c r="K784" i="4"/>
  <c r="K792" i="4"/>
  <c r="K800" i="4"/>
  <c r="K808" i="4"/>
  <c r="K816" i="4"/>
  <c r="K824" i="4"/>
  <c r="K832" i="4"/>
  <c r="K840" i="4"/>
  <c r="K848" i="4"/>
  <c r="K912" i="4"/>
  <c r="K920" i="4"/>
  <c r="K928" i="4"/>
  <c r="K936" i="4"/>
  <c r="K944" i="4"/>
  <c r="K952" i="4"/>
  <c r="K960" i="4"/>
  <c r="K968" i="4"/>
  <c r="K976" i="4"/>
  <c r="K984" i="4"/>
  <c r="K992" i="4"/>
  <c r="K1000" i="4"/>
  <c r="K329" i="4"/>
  <c r="K337" i="4"/>
  <c r="K345" i="4"/>
  <c r="K353" i="4"/>
  <c r="K361" i="4"/>
  <c r="K369" i="4"/>
  <c r="K377" i="4"/>
  <c r="K385" i="4"/>
  <c r="K393" i="4"/>
  <c r="K401" i="4"/>
  <c r="K409" i="4"/>
  <c r="K417" i="4"/>
  <c r="K425" i="4"/>
  <c r="K433" i="4"/>
  <c r="K441" i="4"/>
  <c r="K449" i="4"/>
  <c r="K457" i="4"/>
  <c r="K465" i="4"/>
  <c r="K473" i="4"/>
  <c r="K481" i="4"/>
  <c r="K489" i="4"/>
  <c r="K497" i="4"/>
  <c r="K505" i="4"/>
  <c r="K513" i="4"/>
  <c r="K521" i="4"/>
  <c r="K529" i="4"/>
  <c r="K537" i="4"/>
  <c r="K545" i="4"/>
  <c r="K553" i="4"/>
  <c r="K561" i="4"/>
  <c r="K569" i="4"/>
  <c r="K577" i="4"/>
  <c r="K585" i="4"/>
  <c r="K593" i="4"/>
  <c r="K601" i="4"/>
  <c r="K609" i="4"/>
  <c r="K617" i="4"/>
  <c r="K625" i="4"/>
  <c r="K633" i="4"/>
  <c r="K641" i="4"/>
  <c r="K649" i="4"/>
  <c r="K657" i="4"/>
  <c r="K665" i="4"/>
  <c r="K673" i="4"/>
  <c r="K681" i="4"/>
  <c r="K689" i="4"/>
  <c r="K697" i="4"/>
  <c r="K705" i="4"/>
  <c r="K713" i="4"/>
  <c r="K721" i="4"/>
  <c r="K729" i="4"/>
  <c r="K737" i="4"/>
  <c r="K745" i="4"/>
  <c r="K753" i="4"/>
  <c r="K761" i="4"/>
  <c r="K769" i="4"/>
  <c r="K777" i="4"/>
  <c r="K785" i="4"/>
  <c r="K793" i="4"/>
  <c r="K801" i="4"/>
  <c r="K809" i="4"/>
  <c r="K817" i="4"/>
  <c r="K825" i="4"/>
  <c r="K833" i="4"/>
  <c r="K841" i="4"/>
  <c r="K849" i="4"/>
  <c r="K857" i="4"/>
  <c r="K865" i="4"/>
  <c r="K873" i="4"/>
  <c r="K881" i="4"/>
  <c r="K889" i="4"/>
  <c r="K897" i="4"/>
  <c r="K905" i="4"/>
  <c r="K913" i="4"/>
  <c r="K921" i="4"/>
  <c r="K937" i="4"/>
  <c r="K945" i="4"/>
  <c r="K953" i="4"/>
  <c r="K961" i="4"/>
  <c r="K969" i="4"/>
  <c r="K977" i="4"/>
  <c r="K985" i="4"/>
  <c r="K993" i="4"/>
  <c r="K1001" i="4"/>
  <c r="K290" i="4"/>
  <c r="K298" i="4"/>
  <c r="K306" i="4"/>
  <c r="K314" i="4"/>
  <c r="K322" i="4"/>
  <c r="K330" i="4"/>
  <c r="K338" i="4"/>
  <c r="K346" i="4"/>
  <c r="K354" i="4"/>
  <c r="K362" i="4"/>
  <c r="K370" i="4"/>
  <c r="K378" i="4"/>
  <c r="K386" i="4"/>
  <c r="K394" i="4"/>
  <c r="K402" i="4"/>
  <c r="K410" i="4"/>
  <c r="K418" i="4"/>
  <c r="K426" i="4"/>
  <c r="K434" i="4"/>
  <c r="K442" i="4"/>
  <c r="K450" i="4"/>
  <c r="K458" i="4"/>
  <c r="K466" i="4"/>
  <c r="K474" i="4"/>
  <c r="K482" i="4"/>
  <c r="K490" i="4"/>
  <c r="K498" i="4"/>
  <c r="K506" i="4"/>
  <c r="K514" i="4"/>
  <c r="K522" i="4"/>
  <c r="K530" i="4"/>
  <c r="K538" i="4"/>
  <c r="K546" i="4"/>
  <c r="K554" i="4"/>
  <c r="K562" i="4"/>
  <c r="K570" i="4"/>
  <c r="K578" i="4"/>
  <c r="K586" i="4"/>
  <c r="K594" i="4"/>
  <c r="K602" i="4"/>
  <c r="K610" i="4"/>
  <c r="K618" i="4"/>
  <c r="K626" i="4"/>
  <c r="K634" i="4"/>
  <c r="K642" i="4"/>
  <c r="K650" i="4"/>
  <c r="K658" i="4"/>
  <c r="K666" i="4"/>
  <c r="K682" i="4"/>
  <c r="K690" i="4"/>
  <c r="K714" i="4"/>
  <c r="K722" i="4"/>
  <c r="K730" i="4"/>
  <c r="K738" i="4"/>
  <c r="K746" i="4"/>
  <c r="K754" i="4"/>
  <c r="K762" i="4"/>
  <c r="K770" i="4"/>
  <c r="K778" i="4"/>
  <c r="K786" i="4"/>
  <c r="K794" i="4"/>
  <c r="K802" i="4"/>
  <c r="K810" i="4"/>
  <c r="K818" i="4"/>
  <c r="K826" i="4"/>
  <c r="K834" i="4"/>
  <c r="K842" i="4"/>
  <c r="K850" i="4"/>
  <c r="K858" i="4"/>
  <c r="K866" i="4"/>
  <c r="K874" i="4"/>
  <c r="K882" i="4"/>
  <c r="K890" i="4"/>
  <c r="K898" i="4"/>
  <c r="K906" i="4"/>
  <c r="K930" i="4"/>
  <c r="K938" i="4"/>
  <c r="K946" i="4"/>
  <c r="K954" i="4"/>
  <c r="K962" i="4"/>
  <c r="K970" i="4"/>
  <c r="K978" i="4"/>
  <c r="K986" i="4"/>
  <c r="K994" i="4"/>
  <c r="K1002" i="4"/>
  <c r="K331" i="4"/>
  <c r="K339" i="4"/>
  <c r="K347" i="4"/>
  <c r="K355" i="4"/>
  <c r="K363" i="4"/>
  <c r="K371" i="4"/>
  <c r="K379" i="4"/>
  <c r="K387" i="4"/>
  <c r="K395" i="4"/>
  <c r="K403" i="4"/>
  <c r="K411" i="4"/>
  <c r="K419" i="4"/>
  <c r="K427" i="4"/>
  <c r="K435" i="4"/>
  <c r="K443" i="4"/>
  <c r="K451" i="4"/>
  <c r="K459" i="4"/>
  <c r="K467" i="4"/>
  <c r="K475" i="4"/>
  <c r="K483" i="4"/>
  <c r="K491" i="4"/>
  <c r="K499" i="4"/>
  <c r="K507" i="4"/>
  <c r="K515" i="4"/>
  <c r="K523" i="4"/>
  <c r="K531" i="4"/>
  <c r="K539" i="4"/>
  <c r="K547" i="4"/>
  <c r="K555" i="4"/>
  <c r="K563" i="4"/>
  <c r="K571" i="4"/>
  <c r="K579" i="4"/>
  <c r="K587" i="4"/>
  <c r="K595" i="4"/>
  <c r="K603" i="4"/>
  <c r="K611" i="4"/>
  <c r="K619" i="4"/>
  <c r="K627" i="4"/>
  <c r="K635" i="4"/>
  <c r="K643" i="4"/>
  <c r="K651" i="4"/>
  <c r="K659" i="4"/>
  <c r="K667" i="4"/>
  <c r="K675" i="4"/>
  <c r="K683" i="4"/>
  <c r="K691" i="4"/>
  <c r="K699" i="4"/>
  <c r="K707" i="4"/>
  <c r="K715" i="4"/>
  <c r="K723" i="4"/>
  <c r="K731" i="4"/>
  <c r="K755" i="4"/>
  <c r="K763" i="4"/>
  <c r="K771" i="4"/>
  <c r="K779" i="4"/>
  <c r="K787" i="4"/>
  <c r="K795" i="4"/>
  <c r="K803" i="4"/>
  <c r="K811" i="4"/>
  <c r="K819" i="4"/>
  <c r="K827" i="4"/>
  <c r="K835" i="4"/>
  <c r="K843" i="4"/>
  <c r="K851" i="4"/>
  <c r="K859" i="4"/>
  <c r="K867" i="4"/>
  <c r="K875" i="4"/>
  <c r="K883" i="4"/>
  <c r="K891" i="4"/>
  <c r="K899" i="4"/>
  <c r="K907" i="4"/>
  <c r="K915" i="4"/>
  <c r="K923" i="4"/>
  <c r="K931" i="4"/>
  <c r="K939" i="4"/>
  <c r="K947" i="4"/>
  <c r="K955" i="4"/>
  <c r="K963" i="4"/>
  <c r="K9" i="4"/>
  <c r="K4" i="4"/>
  <c r="K929" i="4"/>
  <c r="K674" i="4"/>
  <c r="K698" i="4"/>
  <c r="K706" i="4"/>
  <c r="K739" i="4"/>
  <c r="K747" i="4"/>
  <c r="K28" i="4"/>
  <c r="K52" i="4"/>
  <c r="K76" i="4"/>
  <c r="K100" i="4"/>
  <c r="K116" i="4"/>
  <c r="K132" i="4"/>
  <c r="K156" i="4"/>
  <c r="K172" i="4"/>
  <c r="K196" i="4"/>
  <c r="K212" i="4"/>
  <c r="K228" i="4"/>
  <c r="K244" i="4"/>
  <c r="K268" i="4"/>
  <c r="K284" i="4"/>
  <c r="K308" i="4"/>
  <c r="K324" i="4"/>
  <c r="K340" i="4"/>
  <c r="K356" i="4"/>
  <c r="K372" i="4"/>
  <c r="K388" i="4"/>
  <c r="K404" i="4"/>
  <c r="K420" i="4"/>
  <c r="K436" i="4"/>
  <c r="K460" i="4"/>
  <c r="K476" i="4"/>
  <c r="K500" i="4"/>
  <c r="K516" i="4"/>
  <c r="K532" i="4"/>
  <c r="K556" i="4"/>
  <c r="K572" i="4"/>
  <c r="K588" i="4"/>
  <c r="K604" i="4"/>
  <c r="K612" i="4"/>
  <c r="K628" i="4"/>
  <c r="K636" i="4"/>
  <c r="K644" i="4"/>
  <c r="K652" i="4"/>
  <c r="K660" i="4"/>
  <c r="K668" i="4"/>
  <c r="K676" i="4"/>
  <c r="K684" i="4"/>
  <c r="K700" i="4"/>
  <c r="K708" i="4"/>
  <c r="K716" i="4"/>
  <c r="K724" i="4"/>
  <c r="K732" i="4"/>
  <c r="K748" i="4"/>
  <c r="K756" i="4"/>
  <c r="K764" i="4"/>
  <c r="K772" i="4"/>
  <c r="K780" i="4"/>
  <c r="K788" i="4"/>
  <c r="K796" i="4"/>
  <c r="K12" i="4"/>
  <c r="K36" i="4"/>
  <c r="K60" i="4"/>
  <c r="K68" i="4"/>
  <c r="K84" i="4"/>
  <c r="K92" i="4"/>
  <c r="K108" i="4"/>
  <c r="K124" i="4"/>
  <c r="K140" i="4"/>
  <c r="K148" i="4"/>
  <c r="K164" i="4"/>
  <c r="K180" i="4"/>
  <c r="K188" i="4"/>
  <c r="K204" i="4"/>
  <c r="K220" i="4"/>
  <c r="K236" i="4"/>
  <c r="K252" i="4"/>
  <c r="K260" i="4"/>
  <c r="K276" i="4"/>
  <c r="K292" i="4"/>
  <c r="K300" i="4"/>
  <c r="K316" i="4"/>
  <c r="K332" i="4"/>
  <c r="K348" i="4"/>
  <c r="K364" i="4"/>
  <c r="K380" i="4"/>
  <c r="K396" i="4"/>
  <c r="K412" i="4"/>
  <c r="K428" i="4"/>
  <c r="K444" i="4"/>
  <c r="K452" i="4"/>
  <c r="K468" i="4"/>
  <c r="K484" i="4"/>
  <c r="K492" i="4"/>
  <c r="K508" i="4"/>
  <c r="K524" i="4"/>
  <c r="K540" i="4"/>
  <c r="K548" i="4"/>
  <c r="K564" i="4"/>
  <c r="K580" i="4"/>
  <c r="K596" i="4"/>
  <c r="K620" i="4"/>
  <c r="K692" i="4"/>
  <c r="K740" i="4"/>
  <c r="K5" i="4"/>
  <c r="K20" i="4"/>
  <c r="K62" i="4"/>
  <c r="K126" i="4"/>
  <c r="K190" i="4"/>
  <c r="K254" i="4"/>
  <c r="K318" i="4"/>
  <c r="K574" i="4"/>
  <c r="K814" i="4"/>
  <c r="K846" i="4"/>
  <c r="K44" i="4"/>
  <c r="K63" i="4"/>
  <c r="K127" i="4"/>
  <c r="K191" i="4"/>
  <c r="K215" i="4"/>
  <c r="K247" i="4"/>
  <c r="K255" i="4"/>
  <c r="K279" i="4"/>
  <c r="K287" i="4"/>
  <c r="K311" i="4"/>
  <c r="K415" i="4"/>
  <c r="K543" i="4"/>
  <c r="K559" i="4"/>
  <c r="K607" i="4"/>
  <c r="K856" i="4"/>
  <c r="K864" i="4"/>
  <c r="K872" i="4"/>
  <c r="K880" i="4"/>
  <c r="K888" i="4"/>
  <c r="K896" i="4"/>
  <c r="K904" i="4"/>
  <c r="K914" i="4"/>
  <c r="K922" i="4"/>
  <c r="K971" i="4"/>
  <c r="K979" i="4"/>
  <c r="K987" i="4"/>
  <c r="K995" i="4"/>
  <c r="K1003" i="4"/>
  <c r="K804" i="4"/>
  <c r="K812" i="4"/>
  <c r="K820" i="4"/>
  <c r="K828" i="4"/>
  <c r="K836" i="4"/>
  <c r="K844" i="4"/>
  <c r="K852" i="4"/>
  <c r="K860" i="4"/>
  <c r="K868" i="4"/>
  <c r="K876" i="4"/>
  <c r="K884" i="4"/>
  <c r="K892" i="4"/>
  <c r="K900" i="4"/>
  <c r="K908" i="4"/>
  <c r="K916" i="4"/>
  <c r="K924" i="4"/>
  <c r="K932" i="4"/>
  <c r="K940" i="4"/>
  <c r="K948" i="4"/>
  <c r="K956" i="4"/>
  <c r="K964" i="4"/>
  <c r="K972" i="4"/>
  <c r="K980" i="4"/>
  <c r="K988" i="4"/>
  <c r="K996" i="4"/>
  <c r="K446" i="4"/>
  <c r="K462" i="4"/>
  <c r="K542" i="4"/>
  <c r="K13" i="4"/>
  <c r="K21" i="4"/>
  <c r="K29" i="4"/>
  <c r="K37" i="4"/>
  <c r="K45" i="4"/>
  <c r="K53" i="4"/>
  <c r="K61" i="4"/>
  <c r="K69" i="4"/>
  <c r="K77" i="4"/>
  <c r="K85" i="4"/>
  <c r="K93" i="4"/>
  <c r="K101" i="4"/>
  <c r="K109" i="4"/>
  <c r="K117" i="4"/>
  <c r="K125" i="4"/>
  <c r="K133" i="4"/>
  <c r="K141" i="4"/>
  <c r="K149" i="4"/>
  <c r="K157" i="4"/>
  <c r="K165" i="4"/>
  <c r="K173" i="4"/>
  <c r="K181" i="4"/>
  <c r="K189" i="4"/>
  <c r="K197" i="4"/>
  <c r="K205" i="4"/>
  <c r="K213" i="4"/>
  <c r="K221" i="4"/>
  <c r="K229" i="4"/>
  <c r="K237" i="4"/>
  <c r="K245" i="4"/>
  <c r="K253" i="4"/>
  <c r="K261" i="4"/>
  <c r="K269" i="4"/>
  <c r="K277" i="4"/>
  <c r="K285" i="4"/>
  <c r="K293" i="4"/>
  <c r="K301" i="4"/>
  <c r="K309" i="4"/>
  <c r="K317" i="4"/>
  <c r="K325" i="4"/>
  <c r="K333" i="4"/>
  <c r="K341" i="4"/>
  <c r="K349" i="4"/>
  <c r="K357" i="4"/>
  <c r="K365" i="4"/>
  <c r="K373" i="4"/>
  <c r="K381" i="4"/>
  <c r="K389" i="4"/>
  <c r="K397" i="4"/>
  <c r="K405" i="4"/>
  <c r="K413" i="4"/>
  <c r="K421" i="4"/>
  <c r="K429" i="4"/>
  <c r="K437" i="4"/>
  <c r="K445" i="4"/>
  <c r="K453" i="4"/>
  <c r="K461" i="4"/>
  <c r="K469" i="4"/>
  <c r="K477" i="4"/>
  <c r="K485" i="4"/>
  <c r="K493" i="4"/>
  <c r="K501" i="4"/>
  <c r="K509" i="4"/>
  <c r="K517" i="4"/>
  <c r="K525" i="4"/>
  <c r="K533" i="4"/>
  <c r="K541" i="4"/>
  <c r="K549" i="4"/>
  <c r="K557" i="4"/>
  <c r="K565" i="4"/>
  <c r="K573" i="4"/>
  <c r="K581" i="4"/>
  <c r="K589" i="4"/>
  <c r="K597" i="4"/>
  <c r="K605" i="4"/>
  <c r="K613" i="4"/>
  <c r="K621" i="4"/>
  <c r="K629" i="4"/>
  <c r="K637" i="4"/>
  <c r="K645" i="4"/>
  <c r="K653" i="4"/>
  <c r="K661" i="4"/>
  <c r="K669" i="4"/>
  <c r="K677" i="4"/>
  <c r="K685" i="4"/>
  <c r="K693" i="4"/>
  <c r="K701" i="4"/>
  <c r="K709" i="4"/>
  <c r="K717" i="4"/>
  <c r="K725" i="4"/>
  <c r="K733" i="4"/>
  <c r="K741" i="4"/>
  <c r="K749" i="4"/>
  <c r="K757" i="4"/>
  <c r="K765" i="4"/>
  <c r="K773" i="4"/>
  <c r="K781" i="4"/>
  <c r="K789" i="4"/>
  <c r="K797" i="4"/>
  <c r="K805" i="4"/>
  <c r="K813" i="4"/>
  <c r="K821" i="4"/>
  <c r="K829" i="4"/>
  <c r="K837" i="4"/>
  <c r="K845" i="4"/>
  <c r="K853" i="4"/>
  <c r="K861" i="4"/>
  <c r="K869" i="4"/>
  <c r="K414" i="4"/>
  <c r="K526" i="4"/>
  <c r="K598" i="4"/>
  <c r="K662" i="4"/>
  <c r="K854" i="4"/>
  <c r="K910" i="4"/>
  <c r="K918" i="4"/>
  <c r="K877" i="4"/>
  <c r="K885" i="4"/>
  <c r="K893" i="4"/>
  <c r="K901" i="4"/>
  <c r="K909" i="4"/>
  <c r="K917" i="4"/>
  <c r="K925" i="4"/>
  <c r="K933" i="4"/>
  <c r="K941" i="4"/>
  <c r="K949" i="4"/>
  <c r="K957" i="4"/>
  <c r="K965" i="4"/>
  <c r="K973" i="4"/>
  <c r="K981" i="4"/>
  <c r="K989" i="4"/>
  <c r="K997" i="4"/>
  <c r="K926" i="4"/>
  <c r="K934" i="4"/>
  <c r="K942" i="4"/>
  <c r="K950" i="4"/>
  <c r="K958" i="4"/>
  <c r="K966" i="4"/>
  <c r="K974" i="4"/>
  <c r="K982" i="4"/>
  <c r="K990" i="4"/>
  <c r="K998" i="4"/>
  <c r="E7" i="2"/>
  <c r="E3" i="2"/>
  <c r="G6" i="3"/>
  <c r="G7" i="3" s="1"/>
  <c r="G8" i="3" s="1"/>
  <c r="F6" i="3"/>
  <c r="F7" i="3" s="1"/>
  <c r="F8" i="3" s="1"/>
  <c r="E6" i="3"/>
  <c r="E7" i="3" s="1"/>
  <c r="E8" i="3" s="1"/>
  <c r="D6" i="3"/>
  <c r="D7" i="3" s="1"/>
  <c r="D8" i="3" s="1"/>
  <c r="C6" i="3"/>
  <c r="C7" i="3" s="1"/>
  <c r="C8" i="3" s="1"/>
  <c r="F10" i="5" l="1"/>
  <c r="F11" i="5" s="1"/>
  <c r="F12" i="5" s="1"/>
  <c r="F13" i="5" s="1"/>
  <c r="F14" i="5" s="1"/>
  <c r="F15" i="5" s="1"/>
  <c r="F16" i="5" s="1"/>
  <c r="F17" i="5" s="1"/>
  <c r="F18" i="5" s="1"/>
  <c r="F19" i="5" s="1"/>
  <c r="F20" i="5" s="1"/>
  <c r="F21" i="5" s="1"/>
  <c r="F22" i="5" s="1"/>
  <c r="F23" i="5" s="1"/>
  <c r="F24" i="5" s="1"/>
  <c r="F25" i="5" s="1"/>
  <c r="F26" i="5" s="1"/>
  <c r="F27" i="5" s="1"/>
  <c r="F28" i="5" s="1"/>
  <c r="F29" i="5" s="1"/>
  <c r="F30" i="5" s="1"/>
  <c r="F31" i="5" s="1"/>
  <c r="F32" i="5" s="1"/>
  <c r="F33" i="5" s="1"/>
  <c r="F34" i="5" s="1"/>
  <c r="F35" i="5" s="1"/>
  <c r="F36" i="5" s="1"/>
  <c r="F37" i="5" s="1"/>
  <c r="F38" i="5" s="1"/>
  <c r="F39" i="5" s="1"/>
  <c r="F40" i="5" s="1"/>
  <c r="F41" i="5" s="1"/>
  <c r="F42" i="5" s="1"/>
  <c r="F43" i="5" s="1"/>
  <c r="F44" i="5" s="1"/>
  <c r="F45" i="5" s="1"/>
  <c r="F46" i="5" s="1"/>
  <c r="F47" i="5" s="1"/>
  <c r="F48" i="5" s="1"/>
  <c r="F49" i="5" s="1"/>
  <c r="F50" i="5" s="1"/>
  <c r="F51" i="5" s="1"/>
  <c r="F52" i="5" s="1"/>
  <c r="F53" i="5" s="1"/>
  <c r="F54" i="5" s="1"/>
  <c r="F55" i="5" s="1"/>
  <c r="F56" i="5" s="1"/>
  <c r="F57" i="5" s="1"/>
  <c r="F58" i="5" s="1"/>
  <c r="F59" i="5" s="1"/>
  <c r="F60" i="5" s="1"/>
  <c r="F61" i="5" s="1"/>
  <c r="F62" i="5" s="1"/>
  <c r="F63" i="5" s="1"/>
  <c r="F64" i="5" s="1"/>
  <c r="F65" i="5" s="1"/>
  <c r="F66" i="5" s="1"/>
  <c r="F67" i="5" s="1"/>
  <c r="F68" i="5" s="1"/>
  <c r="F69" i="5" s="1"/>
  <c r="F70" i="5" s="1"/>
  <c r="F71" i="5" s="1"/>
  <c r="F72" i="5" s="1"/>
  <c r="F73" i="5" s="1"/>
  <c r="F74" i="5" s="1"/>
  <c r="F75" i="5" s="1"/>
  <c r="F76" i="5" s="1"/>
  <c r="F77" i="5" s="1"/>
  <c r="F78" i="5" s="1"/>
  <c r="F79" i="5" s="1"/>
  <c r="F80" i="5" s="1"/>
  <c r="F81" i="5" s="1"/>
  <c r="F82" i="5" s="1"/>
  <c r="F83" i="5" s="1"/>
  <c r="F84" i="5" s="1"/>
  <c r="F85" i="5" s="1"/>
  <c r="F86" i="5" s="1"/>
  <c r="F87" i="5" s="1"/>
  <c r="F88" i="5" s="1"/>
  <c r="F89" i="5" s="1"/>
  <c r="F90" i="5" s="1"/>
  <c r="F91" i="5" s="1"/>
  <c r="F92" i="5" s="1"/>
  <c r="F93" i="5" s="1"/>
  <c r="F94" i="5" s="1"/>
  <c r="F95" i="5" s="1"/>
  <c r="F96" i="5" s="1"/>
  <c r="F97" i="5" s="1"/>
  <c r="F98" i="5" s="1"/>
  <c r="F99" i="5" s="1"/>
  <c r="F100" i="5" s="1"/>
  <c r="F101" i="5" s="1"/>
  <c r="F102" i="5" s="1"/>
  <c r="F103" i="5" s="1"/>
  <c r="F104" i="5" s="1"/>
  <c r="F105" i="5" s="1"/>
  <c r="F106" i="5" s="1"/>
  <c r="F107" i="5" s="1"/>
  <c r="F108" i="5" s="1"/>
  <c r="F109" i="5" s="1"/>
  <c r="F110" i="5" s="1"/>
  <c r="F111" i="5" s="1"/>
  <c r="F112" i="5" s="1"/>
  <c r="F113" i="5" s="1"/>
  <c r="F114" i="5" s="1"/>
  <c r="F115" i="5" s="1"/>
  <c r="F116" i="5" s="1"/>
  <c r="F117" i="5" s="1"/>
  <c r="F118" i="5" s="1"/>
  <c r="F119" i="5" s="1"/>
  <c r="F120" i="5" s="1"/>
  <c r="F121" i="5" s="1"/>
  <c r="F122" i="5" s="1"/>
  <c r="F123" i="5" s="1"/>
  <c r="F124" i="5" s="1"/>
  <c r="F125" i="5" s="1"/>
  <c r="F126" i="5" s="1"/>
  <c r="F127" i="5" s="1"/>
  <c r="F128" i="5" s="1"/>
  <c r="F129" i="5" s="1"/>
  <c r="F130" i="5" s="1"/>
  <c r="F131" i="5" s="1"/>
  <c r="F132" i="5" s="1"/>
  <c r="F133" i="5" s="1"/>
  <c r="F134" i="5" s="1"/>
  <c r="F135" i="5" s="1"/>
  <c r="F136" i="5" s="1"/>
  <c r="F137" i="5" s="1"/>
  <c r="F138" i="5" s="1"/>
  <c r="F139" i="5" s="1"/>
  <c r="F140" i="5" s="1"/>
  <c r="F141" i="5" s="1"/>
  <c r="F142" i="5" s="1"/>
  <c r="F143" i="5" s="1"/>
  <c r="F144" i="5" s="1"/>
  <c r="F145" i="5" s="1"/>
  <c r="F146" i="5" s="1"/>
  <c r="F147" i="5" s="1"/>
  <c r="F148" i="5" s="1"/>
  <c r="F149" i="5" s="1"/>
  <c r="F150" i="5" s="1"/>
  <c r="F151" i="5" s="1"/>
  <c r="F152" i="5" s="1"/>
  <c r="F153" i="5" s="1"/>
  <c r="F154" i="5" s="1"/>
  <c r="F155" i="5" s="1"/>
  <c r="F156" i="5" s="1"/>
  <c r="F157" i="5" s="1"/>
  <c r="F158" i="5" s="1"/>
  <c r="F159" i="5" s="1"/>
  <c r="F160" i="5" s="1"/>
  <c r="F161" i="5" s="1"/>
  <c r="F162" i="5" s="1"/>
  <c r="F163" i="5" s="1"/>
  <c r="F164" i="5" s="1"/>
  <c r="F165" i="5" s="1"/>
  <c r="F166" i="5" s="1"/>
  <c r="F167" i="5" s="1"/>
  <c r="F168" i="5" s="1"/>
  <c r="F169" i="5" s="1"/>
  <c r="F170" i="5" s="1"/>
  <c r="F171" i="5" s="1"/>
  <c r="F172" i="5" s="1"/>
  <c r="F173" i="5" s="1"/>
  <c r="F174" i="5" s="1"/>
  <c r="F175" i="5" s="1"/>
  <c r="F176" i="5" s="1"/>
  <c r="F177" i="5" s="1"/>
  <c r="F178" i="5" s="1"/>
  <c r="F179" i="5" s="1"/>
  <c r="F180" i="5" s="1"/>
  <c r="F181" i="5" s="1"/>
  <c r="F182" i="5" s="1"/>
  <c r="F183" i="5" s="1"/>
  <c r="F184" i="5" s="1"/>
  <c r="F185" i="5" s="1"/>
  <c r="F186" i="5" s="1"/>
  <c r="F187" i="5" s="1"/>
  <c r="F188" i="5" s="1"/>
  <c r="F189" i="5" s="1"/>
  <c r="F190" i="5" s="1"/>
  <c r="F191" i="5" s="1"/>
  <c r="F192" i="5" s="1"/>
  <c r="F193" i="5" s="1"/>
  <c r="F194" i="5" s="1"/>
  <c r="F195" i="5" s="1"/>
  <c r="F196" i="5" s="1"/>
  <c r="F197" i="5" s="1"/>
  <c r="F198" i="5" s="1"/>
  <c r="F199" i="5" s="1"/>
  <c r="F200" i="5" s="1"/>
  <c r="F201" i="5" s="1"/>
  <c r="F202" i="5" s="1"/>
  <c r="F203" i="5" s="1"/>
  <c r="F204" i="5" s="1"/>
  <c r="F205" i="5" s="1"/>
  <c r="F206" i="5" s="1"/>
  <c r="F207" i="5" s="1"/>
  <c r="F208" i="5" s="1"/>
  <c r="F209" i="5" s="1"/>
  <c r="F210" i="5" s="1"/>
  <c r="F211" i="5" s="1"/>
  <c r="F212" i="5" s="1"/>
  <c r="F213" i="5" s="1"/>
  <c r="F214" i="5" s="1"/>
  <c r="F215" i="5" s="1"/>
  <c r="F216" i="5" s="1"/>
  <c r="F217" i="5" s="1"/>
  <c r="F218" i="5" s="1"/>
  <c r="F219" i="5" s="1"/>
  <c r="F220" i="5" s="1"/>
  <c r="F221" i="5" s="1"/>
  <c r="F222" i="5" s="1"/>
  <c r="F223" i="5" s="1"/>
  <c r="F224" i="5" s="1"/>
  <c r="F225" i="5" s="1"/>
  <c r="F226" i="5" s="1"/>
  <c r="F227" i="5" s="1"/>
  <c r="F228" i="5" s="1"/>
  <c r="F229" i="5" s="1"/>
  <c r="F230" i="5" s="1"/>
  <c r="F231" i="5" s="1"/>
  <c r="F232" i="5" s="1"/>
  <c r="F233" i="5" s="1"/>
  <c r="F234" i="5" s="1"/>
  <c r="F235" i="5" s="1"/>
  <c r="F236" i="5" s="1"/>
  <c r="F237" i="5" s="1"/>
  <c r="F238" i="5" s="1"/>
  <c r="F239" i="5" s="1"/>
  <c r="F240" i="5" s="1"/>
  <c r="F241" i="5" s="1"/>
  <c r="F242" i="5" s="1"/>
  <c r="F243" i="5" s="1"/>
  <c r="F244" i="5" s="1"/>
  <c r="F245" i="5" s="1"/>
  <c r="F246" i="5" s="1"/>
  <c r="F247" i="5" s="1"/>
  <c r="F248" i="5" s="1"/>
  <c r="F249" i="5" s="1"/>
  <c r="F250" i="5" s="1"/>
  <c r="F251" i="5" s="1"/>
  <c r="F252" i="5" s="1"/>
  <c r="F253" i="5" s="1"/>
  <c r="F254" i="5" s="1"/>
  <c r="F255" i="5" s="1"/>
  <c r="F256" i="5" s="1"/>
  <c r="F257" i="5" s="1"/>
  <c r="F258" i="5" s="1"/>
  <c r="F259" i="5" s="1"/>
  <c r="F260" i="5" s="1"/>
  <c r="F261" i="5" s="1"/>
  <c r="F262" i="5" s="1"/>
  <c r="F263" i="5" s="1"/>
  <c r="F264" i="5" s="1"/>
  <c r="F265" i="5" s="1"/>
  <c r="F266" i="5" s="1"/>
  <c r="F267" i="5" s="1"/>
  <c r="F268" i="5" s="1"/>
  <c r="F269" i="5" s="1"/>
  <c r="F270" i="5" s="1"/>
  <c r="F271" i="5" s="1"/>
  <c r="F272" i="5" s="1"/>
  <c r="F273" i="5" s="1"/>
  <c r="F274" i="5" s="1"/>
  <c r="F275" i="5" s="1"/>
  <c r="F276" i="5" s="1"/>
  <c r="F277" i="5" s="1"/>
  <c r="F278" i="5" s="1"/>
  <c r="F279" i="5" s="1"/>
  <c r="F280" i="5" s="1"/>
  <c r="F281" i="5" s="1"/>
  <c r="F282" i="5" s="1"/>
  <c r="F283" i="5" s="1"/>
  <c r="F284" i="5" s="1"/>
  <c r="F285" i="5" s="1"/>
  <c r="F286" i="5" s="1"/>
  <c r="F287" i="5" s="1"/>
  <c r="F288" i="5" s="1"/>
  <c r="F289" i="5" s="1"/>
  <c r="F290" i="5" s="1"/>
  <c r="F291" i="5" s="1"/>
  <c r="F292" i="5" s="1"/>
  <c r="F293" i="5" s="1"/>
  <c r="F294" i="5" s="1"/>
  <c r="F295" i="5" s="1"/>
  <c r="F296" i="5" s="1"/>
  <c r="F297" i="5" s="1"/>
  <c r="F298" i="5" s="1"/>
  <c r="F299" i="5" s="1"/>
  <c r="F300" i="5" s="1"/>
  <c r="F301" i="5" s="1"/>
  <c r="F302" i="5" s="1"/>
  <c r="F303" i="5" s="1"/>
  <c r="F304" i="5" s="1"/>
  <c r="F305" i="5" s="1"/>
  <c r="F306" i="5" s="1"/>
  <c r="F307" i="5" s="1"/>
  <c r="F308" i="5" s="1"/>
  <c r="F309" i="5" s="1"/>
  <c r="F310" i="5" s="1"/>
  <c r="F311" i="5" s="1"/>
  <c r="F312" i="5" s="1"/>
  <c r="F313" i="5" s="1"/>
  <c r="F314" i="5" s="1"/>
  <c r="F315" i="5" s="1"/>
  <c r="F316" i="5" s="1"/>
  <c r="F317" i="5" s="1"/>
  <c r="F318" i="5" s="1"/>
  <c r="F319" i="5" s="1"/>
  <c r="F320" i="5" s="1"/>
  <c r="F321" i="5" s="1"/>
  <c r="F322" i="5" s="1"/>
  <c r="F323" i="5" s="1"/>
  <c r="F324" i="5" s="1"/>
  <c r="F325" i="5" s="1"/>
  <c r="F326" i="5" s="1"/>
  <c r="F327" i="5" s="1"/>
  <c r="F328" i="5" s="1"/>
  <c r="F329" i="5" s="1"/>
  <c r="F330" i="5" s="1"/>
  <c r="F331" i="5" s="1"/>
  <c r="F332" i="5" s="1"/>
  <c r="F333" i="5" s="1"/>
  <c r="F334" i="5" s="1"/>
  <c r="F335" i="5" s="1"/>
  <c r="F336" i="5" s="1"/>
  <c r="F337" i="5" s="1"/>
  <c r="F338" i="5" s="1"/>
  <c r="F339" i="5" s="1"/>
  <c r="F340" i="5" s="1"/>
  <c r="F341" i="5" s="1"/>
  <c r="F342" i="5" s="1"/>
  <c r="F343" i="5" s="1"/>
  <c r="F344" i="5" s="1"/>
  <c r="F345" i="5" s="1"/>
  <c r="F346" i="5" s="1"/>
  <c r="F347" i="5" s="1"/>
  <c r="F348" i="5" s="1"/>
  <c r="F349" i="5" s="1"/>
  <c r="F350" i="5" s="1"/>
  <c r="F351" i="5" s="1"/>
  <c r="F352" i="5" s="1"/>
  <c r="F353" i="5" s="1"/>
  <c r="F354" i="5" s="1"/>
  <c r="F355" i="5" s="1"/>
  <c r="F356" i="5" s="1"/>
  <c r="F357" i="5" s="1"/>
  <c r="F358" i="5" s="1"/>
  <c r="F359" i="5" s="1"/>
  <c r="F360" i="5" s="1"/>
  <c r="F361" i="5" s="1"/>
  <c r="F362" i="5" s="1"/>
  <c r="F363" i="5" s="1"/>
  <c r="F364" i="5" s="1"/>
  <c r="F365" i="5" s="1"/>
  <c r="F366" i="5" s="1"/>
  <c r="F367" i="5" s="1"/>
  <c r="F368" i="5" s="1"/>
  <c r="F369" i="5" s="1"/>
  <c r="F370" i="5" s="1"/>
  <c r="F371" i="5" s="1"/>
  <c r="F372" i="5" s="1"/>
  <c r="F373" i="5" s="1"/>
  <c r="F374" i="5" s="1"/>
  <c r="F375" i="5" s="1"/>
  <c r="F376" i="5" s="1"/>
  <c r="F377" i="5" s="1"/>
  <c r="F378" i="5" s="1"/>
  <c r="F379" i="5" s="1"/>
  <c r="F380" i="5" s="1"/>
  <c r="F381" i="5" s="1"/>
  <c r="F382" i="5" s="1"/>
  <c r="F383" i="5" s="1"/>
  <c r="F384" i="5" s="1"/>
  <c r="F385" i="5" s="1"/>
  <c r="F386" i="5" s="1"/>
  <c r="F387" i="5" s="1"/>
  <c r="F388" i="5" s="1"/>
  <c r="F389" i="5" s="1"/>
  <c r="F390" i="5" s="1"/>
  <c r="F391" i="5" s="1"/>
  <c r="F392" i="5" s="1"/>
  <c r="F393" i="5" s="1"/>
  <c r="F394" i="5" s="1"/>
  <c r="F395" i="5" s="1"/>
  <c r="F396" i="5" s="1"/>
  <c r="F397" i="5" s="1"/>
  <c r="F398" i="5" s="1"/>
  <c r="F399" i="5" s="1"/>
  <c r="F400" i="5" s="1"/>
  <c r="F401" i="5" s="1"/>
  <c r="F402" i="5" s="1"/>
  <c r="F403" i="5" s="1"/>
  <c r="F404" i="5" s="1"/>
  <c r="F405" i="5" s="1"/>
  <c r="F406" i="5" s="1"/>
  <c r="F407" i="5" s="1"/>
  <c r="F408" i="5" s="1"/>
  <c r="F409" i="5" s="1"/>
  <c r="F410" i="5" s="1"/>
  <c r="F411" i="5" s="1"/>
  <c r="F412" i="5" s="1"/>
  <c r="F413" i="5" s="1"/>
  <c r="F414" i="5" s="1"/>
  <c r="F415" i="5" s="1"/>
  <c r="F416" i="5" s="1"/>
  <c r="F417" i="5" s="1"/>
  <c r="F418" i="5" s="1"/>
  <c r="F419" i="5" s="1"/>
  <c r="F420" i="5" s="1"/>
  <c r="F421" i="5" s="1"/>
  <c r="F422" i="5" s="1"/>
  <c r="F423" i="5" s="1"/>
  <c r="F424" i="5" s="1"/>
  <c r="F425" i="5" s="1"/>
  <c r="F426" i="5" s="1"/>
  <c r="F427" i="5" s="1"/>
  <c r="F428" i="5" s="1"/>
  <c r="F429" i="5" s="1"/>
  <c r="F430" i="5" s="1"/>
  <c r="F431" i="5" s="1"/>
  <c r="F432" i="5" s="1"/>
  <c r="F433" i="5" s="1"/>
  <c r="F434" i="5" s="1"/>
  <c r="F435" i="5" s="1"/>
  <c r="F436" i="5" s="1"/>
  <c r="F437" i="5" s="1"/>
  <c r="F438" i="5" s="1"/>
  <c r="F439" i="5" s="1"/>
  <c r="F440" i="5" s="1"/>
  <c r="F441" i="5" s="1"/>
  <c r="F442" i="5" s="1"/>
  <c r="F443" i="5" s="1"/>
  <c r="F444" i="5" s="1"/>
  <c r="F445" i="5" s="1"/>
  <c r="F446" i="5" s="1"/>
  <c r="F447" i="5" s="1"/>
  <c r="F448" i="5" s="1"/>
  <c r="F449" i="5" s="1"/>
  <c r="F450" i="5" s="1"/>
  <c r="F451" i="5" s="1"/>
  <c r="F452" i="5" s="1"/>
  <c r="F453" i="5" s="1"/>
  <c r="F454" i="5" s="1"/>
  <c r="F455" i="5" s="1"/>
  <c r="F456" i="5" s="1"/>
  <c r="F457" i="5" s="1"/>
  <c r="F458" i="5" s="1"/>
  <c r="F459" i="5" s="1"/>
  <c r="F460" i="5" s="1"/>
  <c r="F461" i="5" s="1"/>
  <c r="F462" i="5" s="1"/>
  <c r="F463" i="5" s="1"/>
  <c r="F464" i="5" s="1"/>
  <c r="F465" i="5" s="1"/>
  <c r="F466" i="5" s="1"/>
  <c r="F467" i="5" s="1"/>
  <c r="F468" i="5" s="1"/>
  <c r="F469" i="5" s="1"/>
  <c r="F470" i="5" s="1"/>
  <c r="F471" i="5" s="1"/>
  <c r="F472" i="5" s="1"/>
  <c r="F473" i="5" s="1"/>
  <c r="F474" i="5" s="1"/>
  <c r="F475" i="5" s="1"/>
  <c r="F476" i="5" s="1"/>
  <c r="F477" i="5" s="1"/>
  <c r="F478" i="5" s="1"/>
  <c r="F479" i="5" s="1"/>
  <c r="F480" i="5" s="1"/>
  <c r="F481" i="5" s="1"/>
  <c r="F482" i="5" s="1"/>
  <c r="F483" i="5" s="1"/>
  <c r="F484" i="5" s="1"/>
  <c r="F485" i="5" s="1"/>
  <c r="F486" i="5" s="1"/>
  <c r="F487" i="5" s="1"/>
  <c r="F488" i="5" s="1"/>
  <c r="F489" i="5" s="1"/>
  <c r="F490" i="5" s="1"/>
  <c r="F491" i="5" s="1"/>
  <c r="F492" i="5" s="1"/>
  <c r="F493" i="5" s="1"/>
  <c r="F494" i="5" s="1"/>
  <c r="F495" i="5" s="1"/>
  <c r="F496" i="5" s="1"/>
  <c r="F497" i="5" s="1"/>
  <c r="F498" i="5" s="1"/>
  <c r="F499" i="5" s="1"/>
  <c r="F500" i="5" s="1"/>
  <c r="F501" i="5" s="1"/>
  <c r="F502" i="5" s="1"/>
  <c r="F503" i="5" s="1"/>
  <c r="F504" i="5" s="1"/>
  <c r="F505" i="5" s="1"/>
  <c r="F506" i="5" s="1"/>
  <c r="F507" i="5" s="1"/>
  <c r="F508" i="5" s="1"/>
  <c r="F509" i="5" s="1"/>
  <c r="F510" i="5" s="1"/>
  <c r="F511" i="5" s="1"/>
  <c r="F512" i="5" s="1"/>
  <c r="F513" i="5" s="1"/>
  <c r="F514" i="5" s="1"/>
  <c r="F515" i="5" s="1"/>
  <c r="F516" i="5" s="1"/>
  <c r="F517" i="5" s="1"/>
  <c r="F518" i="5" s="1"/>
  <c r="F519" i="5" s="1"/>
  <c r="F520" i="5" s="1"/>
  <c r="F521" i="5" s="1"/>
  <c r="F522" i="5" s="1"/>
  <c r="F523" i="5" s="1"/>
  <c r="F524" i="5" s="1"/>
  <c r="F525" i="5" s="1"/>
  <c r="F526" i="5" s="1"/>
  <c r="F527" i="5" s="1"/>
  <c r="F528" i="5" s="1"/>
  <c r="F529" i="5" s="1"/>
  <c r="F530" i="5" s="1"/>
  <c r="F531" i="5" s="1"/>
  <c r="F532" i="5" s="1"/>
  <c r="F533" i="5" s="1"/>
  <c r="F534" i="5" s="1"/>
  <c r="F535" i="5" s="1"/>
  <c r="F536" i="5" s="1"/>
  <c r="F537" i="5" s="1"/>
  <c r="F538" i="5" s="1"/>
  <c r="F539" i="5" s="1"/>
  <c r="F540" i="5" s="1"/>
  <c r="F541" i="5" s="1"/>
  <c r="F542" i="5" s="1"/>
  <c r="F543" i="5" s="1"/>
  <c r="F544" i="5" s="1"/>
  <c r="F545" i="5" s="1"/>
  <c r="F546" i="5" s="1"/>
  <c r="F547" i="5" s="1"/>
  <c r="F548" i="5" s="1"/>
  <c r="F549" i="5" s="1"/>
  <c r="F550" i="5" s="1"/>
  <c r="F551" i="5" s="1"/>
  <c r="F552" i="5" s="1"/>
  <c r="F553" i="5" s="1"/>
  <c r="F554" i="5" s="1"/>
  <c r="F555" i="5" s="1"/>
  <c r="F556" i="5" s="1"/>
  <c r="F557" i="5" s="1"/>
  <c r="F558" i="5" s="1"/>
  <c r="F559" i="5" s="1"/>
  <c r="F560" i="5" s="1"/>
  <c r="F561" i="5" s="1"/>
  <c r="F562" i="5" s="1"/>
  <c r="F563" i="5" s="1"/>
  <c r="F564" i="5" s="1"/>
  <c r="F565" i="5" s="1"/>
  <c r="F566" i="5" s="1"/>
  <c r="F567" i="5" s="1"/>
  <c r="F568" i="5" s="1"/>
  <c r="F569" i="5" s="1"/>
  <c r="F570" i="5" s="1"/>
  <c r="F571" i="5" s="1"/>
  <c r="F572" i="5" s="1"/>
  <c r="F573" i="5" s="1"/>
  <c r="F574" i="5" s="1"/>
  <c r="F575" i="5" s="1"/>
  <c r="F576" i="5" s="1"/>
  <c r="F577" i="5" s="1"/>
  <c r="F578" i="5" s="1"/>
  <c r="F579" i="5" s="1"/>
  <c r="F580" i="5" s="1"/>
  <c r="F581" i="5" s="1"/>
  <c r="F582" i="5" s="1"/>
  <c r="F583" i="5" s="1"/>
  <c r="F584" i="5" s="1"/>
  <c r="F585" i="5" s="1"/>
  <c r="F586" i="5" s="1"/>
  <c r="F587" i="5" s="1"/>
  <c r="F588" i="5" s="1"/>
  <c r="F589" i="5" s="1"/>
  <c r="F590" i="5" s="1"/>
  <c r="F591" i="5" s="1"/>
  <c r="F592" i="5" s="1"/>
  <c r="F593" i="5" s="1"/>
  <c r="F594" i="5" s="1"/>
  <c r="F595" i="5" s="1"/>
  <c r="F596" i="5" s="1"/>
  <c r="F597" i="5" s="1"/>
  <c r="F598" i="5" s="1"/>
  <c r="F599" i="5" s="1"/>
  <c r="F600" i="5" s="1"/>
  <c r="F601" i="5" s="1"/>
  <c r="F602" i="5" s="1"/>
  <c r="F603" i="5" s="1"/>
  <c r="F604" i="5" s="1"/>
  <c r="F605" i="5" s="1"/>
  <c r="F606" i="5" s="1"/>
  <c r="F607" i="5" s="1"/>
  <c r="F608" i="5" s="1"/>
  <c r="F609" i="5" s="1"/>
  <c r="F610" i="5" s="1"/>
  <c r="F611" i="5" s="1"/>
  <c r="F612" i="5" s="1"/>
  <c r="F613" i="5" s="1"/>
  <c r="F614" i="5" s="1"/>
  <c r="F615" i="5" s="1"/>
  <c r="F616" i="5" s="1"/>
  <c r="F617" i="5" s="1"/>
  <c r="F618" i="5" s="1"/>
  <c r="F619" i="5" s="1"/>
  <c r="F620" i="5" s="1"/>
  <c r="F621" i="5" s="1"/>
  <c r="F622" i="5" s="1"/>
  <c r="F623" i="5" s="1"/>
  <c r="F624" i="5" s="1"/>
  <c r="F625" i="5" s="1"/>
  <c r="F626" i="5" s="1"/>
  <c r="F627" i="5" s="1"/>
  <c r="F628" i="5" s="1"/>
  <c r="F629" i="5" s="1"/>
  <c r="F630" i="5" s="1"/>
  <c r="F631" i="5" s="1"/>
  <c r="F632" i="5" s="1"/>
  <c r="F633" i="5" s="1"/>
  <c r="F634" i="5" s="1"/>
  <c r="F635" i="5" s="1"/>
  <c r="F636" i="5" s="1"/>
  <c r="F637" i="5" s="1"/>
  <c r="F638" i="5" s="1"/>
  <c r="F639" i="5" s="1"/>
  <c r="F640" i="5" s="1"/>
  <c r="F641" i="5" s="1"/>
  <c r="F642" i="5" s="1"/>
  <c r="F643" i="5" s="1"/>
  <c r="F644" i="5" s="1"/>
  <c r="F645" i="5" s="1"/>
  <c r="F646" i="5" s="1"/>
  <c r="F647" i="5" s="1"/>
  <c r="F648" i="5" s="1"/>
  <c r="F649" i="5" s="1"/>
  <c r="F650" i="5" s="1"/>
  <c r="F651" i="5" s="1"/>
  <c r="F652" i="5" s="1"/>
  <c r="F653" i="5" s="1"/>
  <c r="F654" i="5" s="1"/>
  <c r="F655" i="5" s="1"/>
  <c r="F656" i="5" s="1"/>
  <c r="F657" i="5" s="1"/>
  <c r="F658" i="5" s="1"/>
  <c r="F659" i="5" s="1"/>
  <c r="F660" i="5" s="1"/>
  <c r="F661" i="5" s="1"/>
  <c r="F662" i="5" s="1"/>
  <c r="F663" i="5" s="1"/>
  <c r="F664" i="5" s="1"/>
  <c r="F665" i="5" s="1"/>
  <c r="F666" i="5" s="1"/>
  <c r="F667" i="5" s="1"/>
  <c r="F668" i="5" s="1"/>
  <c r="F669" i="5" s="1"/>
  <c r="F670" i="5" s="1"/>
  <c r="F671" i="5" s="1"/>
  <c r="F672" i="5" s="1"/>
  <c r="F673" i="5" s="1"/>
  <c r="F674" i="5" s="1"/>
  <c r="F675" i="5" s="1"/>
  <c r="F676" i="5" s="1"/>
  <c r="F677" i="5" s="1"/>
  <c r="F678" i="5" s="1"/>
  <c r="F679" i="5" s="1"/>
  <c r="F680" i="5" s="1"/>
  <c r="F681" i="5" s="1"/>
  <c r="F682" i="5" s="1"/>
  <c r="F683" i="5" s="1"/>
  <c r="F684" i="5" s="1"/>
  <c r="F685" i="5" s="1"/>
  <c r="F686" i="5" s="1"/>
  <c r="F687" i="5" s="1"/>
  <c r="F688" i="5" s="1"/>
  <c r="F689" i="5" s="1"/>
  <c r="F690" i="5" s="1"/>
  <c r="F691" i="5" s="1"/>
  <c r="F692" i="5" s="1"/>
  <c r="F693" i="5" s="1"/>
  <c r="F694" i="5" s="1"/>
  <c r="F695" i="5" s="1"/>
  <c r="F696" i="5" s="1"/>
  <c r="F697" i="5" s="1"/>
  <c r="F698" i="5" s="1"/>
  <c r="F699" i="5" s="1"/>
  <c r="F700" i="5" s="1"/>
  <c r="F701" i="5" s="1"/>
  <c r="F702" i="5" s="1"/>
  <c r="F703" i="5" s="1"/>
  <c r="F704" i="5" s="1"/>
  <c r="F705" i="5" s="1"/>
  <c r="F706" i="5" s="1"/>
  <c r="F707" i="5" s="1"/>
  <c r="F708" i="5" s="1"/>
  <c r="F709" i="5" s="1"/>
  <c r="F710" i="5" s="1"/>
  <c r="F711" i="5" s="1"/>
  <c r="F712" i="5" s="1"/>
  <c r="F713" i="5" s="1"/>
  <c r="F714" i="5" s="1"/>
  <c r="F715" i="5" s="1"/>
  <c r="F716" i="5" s="1"/>
  <c r="F717" i="5" s="1"/>
  <c r="F718" i="5" s="1"/>
  <c r="F719" i="5" s="1"/>
  <c r="F720" i="5" s="1"/>
  <c r="F721" i="5" s="1"/>
  <c r="F722" i="5" s="1"/>
  <c r="F723" i="5" s="1"/>
  <c r="F724" i="5" s="1"/>
  <c r="F725" i="5" s="1"/>
  <c r="F726" i="5" s="1"/>
  <c r="F727" i="5" s="1"/>
  <c r="F728" i="5" s="1"/>
  <c r="F729" i="5" s="1"/>
  <c r="F730" i="5" s="1"/>
  <c r="F731" i="5" s="1"/>
  <c r="F732" i="5" s="1"/>
  <c r="F733" i="5" s="1"/>
  <c r="F734" i="5" s="1"/>
  <c r="F735" i="5" s="1"/>
  <c r="F736" i="5" s="1"/>
  <c r="F737" i="5" s="1"/>
  <c r="F738" i="5" s="1"/>
  <c r="F739" i="5" s="1"/>
  <c r="F740" i="5" s="1"/>
  <c r="F741" i="5" s="1"/>
  <c r="F742" i="5" s="1"/>
  <c r="F743" i="5" s="1"/>
  <c r="F744" i="5" s="1"/>
  <c r="F745" i="5" s="1"/>
  <c r="F746" i="5" s="1"/>
  <c r="F747" i="5" s="1"/>
  <c r="F748" i="5" s="1"/>
  <c r="F749" i="5" s="1"/>
  <c r="F750" i="5" s="1"/>
  <c r="F751" i="5" s="1"/>
  <c r="F752" i="5" s="1"/>
  <c r="F753" i="5" s="1"/>
  <c r="F754" i="5" s="1"/>
  <c r="F755" i="5" s="1"/>
  <c r="F756" i="5" s="1"/>
  <c r="F757" i="5" s="1"/>
  <c r="F758" i="5" s="1"/>
  <c r="F759" i="5" s="1"/>
  <c r="F760" i="5" s="1"/>
  <c r="F761" i="5" s="1"/>
  <c r="F762" i="5" s="1"/>
  <c r="F763" i="5" s="1"/>
  <c r="F764" i="5" s="1"/>
  <c r="F765" i="5" s="1"/>
  <c r="F766" i="5" s="1"/>
  <c r="F767" i="5" s="1"/>
  <c r="F768" i="5" s="1"/>
  <c r="F769" i="5" s="1"/>
  <c r="F770" i="5" s="1"/>
  <c r="F771" i="5" s="1"/>
  <c r="F772" i="5" s="1"/>
  <c r="F773" i="5" s="1"/>
  <c r="F774" i="5" s="1"/>
  <c r="F775" i="5" s="1"/>
  <c r="F776" i="5" s="1"/>
  <c r="F777" i="5" s="1"/>
  <c r="F778" i="5" s="1"/>
  <c r="F779" i="5" s="1"/>
  <c r="F780" i="5" s="1"/>
  <c r="F781" i="5" s="1"/>
  <c r="F782" i="5" s="1"/>
  <c r="F783" i="5" s="1"/>
  <c r="F784" i="5" s="1"/>
  <c r="F785" i="5" s="1"/>
  <c r="F786" i="5" s="1"/>
  <c r="F787" i="5" s="1"/>
  <c r="F788" i="5" s="1"/>
  <c r="F789" i="5" s="1"/>
  <c r="F790" i="5" s="1"/>
  <c r="F791" i="5" s="1"/>
  <c r="F792" i="5" s="1"/>
  <c r="F793" i="5" s="1"/>
  <c r="F794" i="5" s="1"/>
  <c r="F795" i="5" s="1"/>
  <c r="F796" i="5" s="1"/>
  <c r="F797" i="5" s="1"/>
  <c r="F798" i="5" s="1"/>
  <c r="F799" i="5" s="1"/>
  <c r="F800" i="5" s="1"/>
  <c r="F801" i="5" s="1"/>
  <c r="F802" i="5" s="1"/>
  <c r="F803" i="5" s="1"/>
  <c r="F804" i="5" s="1"/>
  <c r="F805" i="5" s="1"/>
  <c r="F806" i="5" s="1"/>
  <c r="F807" i="5" s="1"/>
  <c r="F808" i="5" s="1"/>
  <c r="F809" i="5" s="1"/>
  <c r="F810" i="5" s="1"/>
  <c r="F811" i="5" s="1"/>
  <c r="F812" i="5" s="1"/>
  <c r="F813" i="5" s="1"/>
  <c r="F814" i="5" s="1"/>
  <c r="F815" i="5" s="1"/>
  <c r="F816" i="5" s="1"/>
  <c r="F817" i="5" s="1"/>
  <c r="F818" i="5" s="1"/>
  <c r="F819" i="5" s="1"/>
  <c r="F820" i="5" s="1"/>
  <c r="F821" i="5" s="1"/>
  <c r="F822" i="5" s="1"/>
  <c r="F823" i="5" s="1"/>
  <c r="F824" i="5" s="1"/>
  <c r="F825" i="5" s="1"/>
  <c r="F826" i="5" s="1"/>
  <c r="F827" i="5" s="1"/>
  <c r="F828" i="5" s="1"/>
  <c r="F829" i="5" s="1"/>
  <c r="F830" i="5" s="1"/>
  <c r="F831" i="5" s="1"/>
  <c r="F832" i="5" s="1"/>
  <c r="F833" i="5" s="1"/>
  <c r="F834" i="5" s="1"/>
  <c r="F835" i="5" s="1"/>
  <c r="F836" i="5" s="1"/>
  <c r="F837" i="5" s="1"/>
  <c r="F838" i="5" s="1"/>
  <c r="F839" i="5" s="1"/>
  <c r="F840" i="5" s="1"/>
  <c r="F841" i="5" s="1"/>
  <c r="F842" i="5" s="1"/>
  <c r="F843" i="5" s="1"/>
  <c r="F844" i="5" s="1"/>
  <c r="F845" i="5" s="1"/>
  <c r="F846" i="5" s="1"/>
  <c r="F847" i="5" s="1"/>
  <c r="F848" i="5" s="1"/>
  <c r="F849" i="5" s="1"/>
  <c r="F850" i="5" s="1"/>
  <c r="F851" i="5" s="1"/>
  <c r="F852" i="5" s="1"/>
  <c r="F853" i="5" s="1"/>
  <c r="F854" i="5" s="1"/>
  <c r="F855" i="5" s="1"/>
  <c r="F856" i="5" s="1"/>
  <c r="F857" i="5" s="1"/>
  <c r="F858" i="5" s="1"/>
  <c r="F859" i="5" s="1"/>
  <c r="F860" i="5" s="1"/>
  <c r="F861" i="5" s="1"/>
  <c r="F862" i="5" s="1"/>
  <c r="F863" i="5" s="1"/>
  <c r="F864" i="5" s="1"/>
  <c r="F865" i="5" s="1"/>
  <c r="F866" i="5" s="1"/>
  <c r="F867" i="5" s="1"/>
  <c r="F868" i="5" s="1"/>
  <c r="F869" i="5" s="1"/>
  <c r="F870" i="5" s="1"/>
  <c r="F871" i="5" s="1"/>
  <c r="F872" i="5" s="1"/>
  <c r="F873" i="5" s="1"/>
  <c r="F874" i="5" s="1"/>
  <c r="F875" i="5" s="1"/>
  <c r="F876" i="5" s="1"/>
  <c r="F877" i="5" s="1"/>
  <c r="F878" i="5" s="1"/>
  <c r="F879" i="5" s="1"/>
  <c r="F880" i="5" s="1"/>
  <c r="F881" i="5" s="1"/>
  <c r="F882" i="5" s="1"/>
  <c r="F883" i="5" s="1"/>
  <c r="F884" i="5" s="1"/>
  <c r="F885" i="5" s="1"/>
  <c r="F886" i="5" s="1"/>
  <c r="F887" i="5" s="1"/>
  <c r="F888" i="5" s="1"/>
  <c r="F889" i="5" s="1"/>
  <c r="F890" i="5" s="1"/>
  <c r="F891" i="5" s="1"/>
  <c r="F892" i="5" s="1"/>
  <c r="F893" i="5" s="1"/>
  <c r="F894" i="5" s="1"/>
  <c r="F895" i="5" s="1"/>
  <c r="F896" i="5" s="1"/>
  <c r="F897" i="5" s="1"/>
  <c r="F898" i="5" s="1"/>
  <c r="F899" i="5" s="1"/>
  <c r="F900" i="5" s="1"/>
  <c r="F901" i="5" s="1"/>
  <c r="F902" i="5" s="1"/>
  <c r="F903" i="5" s="1"/>
  <c r="F904" i="5" s="1"/>
  <c r="F905" i="5" s="1"/>
  <c r="F906" i="5" s="1"/>
  <c r="F907" i="5" s="1"/>
  <c r="F908" i="5" s="1"/>
  <c r="F909" i="5" s="1"/>
  <c r="F910" i="5" s="1"/>
  <c r="F911" i="5" s="1"/>
  <c r="F912" i="5" s="1"/>
  <c r="F913" i="5" s="1"/>
  <c r="F914" i="5" s="1"/>
  <c r="F915" i="5" s="1"/>
  <c r="F916" i="5" s="1"/>
  <c r="F917" i="5" s="1"/>
  <c r="F918" i="5" s="1"/>
  <c r="F919" i="5" s="1"/>
  <c r="F920" i="5" s="1"/>
  <c r="F921" i="5" s="1"/>
  <c r="F922" i="5" s="1"/>
  <c r="F923" i="5" s="1"/>
  <c r="F924" i="5" s="1"/>
  <c r="F925" i="5" s="1"/>
  <c r="F926" i="5" s="1"/>
  <c r="F927" i="5" s="1"/>
  <c r="F928" i="5" s="1"/>
  <c r="F929" i="5" s="1"/>
  <c r="F930" i="5" s="1"/>
  <c r="F931" i="5" s="1"/>
  <c r="F932" i="5" s="1"/>
  <c r="F933" i="5" s="1"/>
  <c r="F934" i="5" s="1"/>
  <c r="F935" i="5" s="1"/>
  <c r="F936" i="5" s="1"/>
  <c r="F937" i="5" s="1"/>
  <c r="F938" i="5" s="1"/>
  <c r="F939" i="5" s="1"/>
  <c r="F940" i="5" s="1"/>
  <c r="F941" i="5" s="1"/>
  <c r="F942" i="5" s="1"/>
  <c r="F943" i="5" s="1"/>
  <c r="F944" i="5" s="1"/>
  <c r="F945" i="5" s="1"/>
  <c r="F946" i="5" s="1"/>
  <c r="F947" i="5" s="1"/>
  <c r="F948" i="5" s="1"/>
  <c r="F949" i="5" s="1"/>
  <c r="F950" i="5" s="1"/>
  <c r="F951" i="5" s="1"/>
  <c r="F952" i="5" s="1"/>
  <c r="F953" i="5" s="1"/>
  <c r="F954" i="5" s="1"/>
  <c r="F955" i="5" s="1"/>
  <c r="F956" i="5" s="1"/>
  <c r="F957" i="5" s="1"/>
  <c r="F958" i="5" s="1"/>
  <c r="F959" i="5" s="1"/>
  <c r="F960" i="5" s="1"/>
  <c r="F961" i="5" s="1"/>
  <c r="F962" i="5" s="1"/>
  <c r="F963" i="5" s="1"/>
  <c r="F964" i="5" s="1"/>
  <c r="F965" i="5" s="1"/>
  <c r="F966" i="5" s="1"/>
  <c r="F967" i="5" s="1"/>
  <c r="F968" i="5" s="1"/>
  <c r="F969" i="5" s="1"/>
  <c r="F970" i="5" s="1"/>
  <c r="F971" i="5" s="1"/>
  <c r="F972" i="5" s="1"/>
  <c r="F973" i="5" s="1"/>
  <c r="F974" i="5" s="1"/>
  <c r="F975" i="5" s="1"/>
  <c r="F976" i="5" s="1"/>
  <c r="F977" i="5" s="1"/>
  <c r="F978" i="5" s="1"/>
  <c r="F979" i="5" s="1"/>
  <c r="F980" i="5" s="1"/>
  <c r="F981" i="5" s="1"/>
  <c r="F982" i="5" s="1"/>
  <c r="F983" i="5" s="1"/>
  <c r="F984" i="5" s="1"/>
  <c r="F985" i="5" s="1"/>
  <c r="F986" i="5" s="1"/>
  <c r="F987" i="5" s="1"/>
  <c r="F988" i="5" s="1"/>
  <c r="F989" i="5" s="1"/>
  <c r="F990" i="5" s="1"/>
  <c r="F991" i="5" s="1"/>
  <c r="F992" i="5" s="1"/>
  <c r="F993" i="5" s="1"/>
  <c r="F994" i="5" s="1"/>
  <c r="F995" i="5" s="1"/>
  <c r="F996" i="5" s="1"/>
  <c r="F997" i="5" s="1"/>
  <c r="F998" i="5" s="1"/>
  <c r="F999" i="5" s="1"/>
  <c r="F1000" i="5" s="1"/>
  <c r="F1001" i="5" s="1"/>
  <c r="F1002" i="5" s="1"/>
  <c r="F1003" i="5" s="1"/>
  <c r="C10" i="5" s="1"/>
  <c r="C11" i="5" s="1"/>
  <c r="C12" i="5" s="1"/>
  <c r="M5" i="5"/>
  <c r="O5" i="5" s="1"/>
  <c r="E6" i="5"/>
  <c r="N4" i="5"/>
  <c r="P4" i="5" s="1"/>
  <c r="Q4" i="5" s="1"/>
  <c r="R4" i="5" s="1"/>
  <c r="F4" i="4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F103" i="4" s="1"/>
  <c r="F104" i="4" s="1"/>
  <c r="F105" i="4" s="1"/>
  <c r="F106" i="4" s="1"/>
  <c r="F107" i="4" s="1"/>
  <c r="F108" i="4" s="1"/>
  <c r="F109" i="4" s="1"/>
  <c r="F110" i="4" s="1"/>
  <c r="F111" i="4" s="1"/>
  <c r="F112" i="4" s="1"/>
  <c r="F113" i="4" s="1"/>
  <c r="F114" i="4" s="1"/>
  <c r="F115" i="4" s="1"/>
  <c r="F116" i="4" s="1"/>
  <c r="F117" i="4" s="1"/>
  <c r="F118" i="4" s="1"/>
  <c r="F119" i="4" s="1"/>
  <c r="F120" i="4" s="1"/>
  <c r="F121" i="4" s="1"/>
  <c r="F122" i="4" s="1"/>
  <c r="F123" i="4" s="1"/>
  <c r="F124" i="4" s="1"/>
  <c r="F125" i="4" s="1"/>
  <c r="F126" i="4" s="1"/>
  <c r="F127" i="4" s="1"/>
  <c r="F128" i="4" s="1"/>
  <c r="F129" i="4" s="1"/>
  <c r="F130" i="4" s="1"/>
  <c r="F131" i="4" s="1"/>
  <c r="F132" i="4" s="1"/>
  <c r="F133" i="4" s="1"/>
  <c r="F134" i="4" s="1"/>
  <c r="F135" i="4" s="1"/>
  <c r="F136" i="4" s="1"/>
  <c r="F137" i="4" s="1"/>
  <c r="F138" i="4" s="1"/>
  <c r="F139" i="4" s="1"/>
  <c r="F140" i="4" s="1"/>
  <c r="F141" i="4" s="1"/>
  <c r="F142" i="4" s="1"/>
  <c r="F143" i="4" s="1"/>
  <c r="F144" i="4" s="1"/>
  <c r="F145" i="4" s="1"/>
  <c r="F146" i="4" s="1"/>
  <c r="F147" i="4" s="1"/>
  <c r="F148" i="4" s="1"/>
  <c r="F149" i="4" s="1"/>
  <c r="F150" i="4" s="1"/>
  <c r="F151" i="4" s="1"/>
  <c r="F152" i="4" s="1"/>
  <c r="F153" i="4" s="1"/>
  <c r="F154" i="4" s="1"/>
  <c r="F155" i="4" s="1"/>
  <c r="F156" i="4" s="1"/>
  <c r="F157" i="4" s="1"/>
  <c r="F158" i="4" s="1"/>
  <c r="F159" i="4" s="1"/>
  <c r="F160" i="4" s="1"/>
  <c r="F161" i="4" s="1"/>
  <c r="F162" i="4" s="1"/>
  <c r="F163" i="4" s="1"/>
  <c r="F164" i="4" s="1"/>
  <c r="F165" i="4" s="1"/>
  <c r="F166" i="4" s="1"/>
  <c r="F167" i="4" s="1"/>
  <c r="F168" i="4" s="1"/>
  <c r="F169" i="4" s="1"/>
  <c r="F170" i="4" s="1"/>
  <c r="F171" i="4" s="1"/>
  <c r="F172" i="4" s="1"/>
  <c r="F173" i="4" s="1"/>
  <c r="F174" i="4" s="1"/>
  <c r="F175" i="4" s="1"/>
  <c r="F176" i="4" s="1"/>
  <c r="F177" i="4" s="1"/>
  <c r="F178" i="4" s="1"/>
  <c r="F179" i="4" s="1"/>
  <c r="F180" i="4" s="1"/>
  <c r="F181" i="4" s="1"/>
  <c r="F182" i="4" s="1"/>
  <c r="F183" i="4" s="1"/>
  <c r="F184" i="4" s="1"/>
  <c r="F185" i="4" s="1"/>
  <c r="F186" i="4" s="1"/>
  <c r="F187" i="4" s="1"/>
  <c r="F188" i="4" s="1"/>
  <c r="F189" i="4" s="1"/>
  <c r="F190" i="4" s="1"/>
  <c r="F191" i="4" s="1"/>
  <c r="F192" i="4" s="1"/>
  <c r="F193" i="4" s="1"/>
  <c r="F194" i="4" s="1"/>
  <c r="F195" i="4" s="1"/>
  <c r="F196" i="4" s="1"/>
  <c r="F197" i="4" s="1"/>
  <c r="F198" i="4" s="1"/>
  <c r="F199" i="4" s="1"/>
  <c r="F200" i="4" s="1"/>
  <c r="F201" i="4" s="1"/>
  <c r="F202" i="4" s="1"/>
  <c r="F203" i="4" s="1"/>
  <c r="F204" i="4" s="1"/>
  <c r="F205" i="4" s="1"/>
  <c r="F206" i="4" s="1"/>
  <c r="F207" i="4" s="1"/>
  <c r="F208" i="4" s="1"/>
  <c r="F209" i="4" s="1"/>
  <c r="F210" i="4" s="1"/>
  <c r="F211" i="4" s="1"/>
  <c r="F212" i="4" s="1"/>
  <c r="F213" i="4" s="1"/>
  <c r="F214" i="4" s="1"/>
  <c r="F215" i="4" s="1"/>
  <c r="F216" i="4" s="1"/>
  <c r="F217" i="4" s="1"/>
  <c r="F218" i="4" s="1"/>
  <c r="F219" i="4" s="1"/>
  <c r="F220" i="4" s="1"/>
  <c r="F221" i="4" s="1"/>
  <c r="F222" i="4" s="1"/>
  <c r="F223" i="4" s="1"/>
  <c r="F224" i="4" s="1"/>
  <c r="F225" i="4" s="1"/>
  <c r="F226" i="4" s="1"/>
  <c r="F227" i="4" s="1"/>
  <c r="F228" i="4" s="1"/>
  <c r="F229" i="4" s="1"/>
  <c r="F230" i="4" s="1"/>
  <c r="F231" i="4" s="1"/>
  <c r="F232" i="4" s="1"/>
  <c r="F233" i="4" s="1"/>
  <c r="F234" i="4" s="1"/>
  <c r="F235" i="4" s="1"/>
  <c r="F236" i="4" s="1"/>
  <c r="F237" i="4" s="1"/>
  <c r="F238" i="4" s="1"/>
  <c r="F239" i="4" s="1"/>
  <c r="F240" i="4" s="1"/>
  <c r="F241" i="4" s="1"/>
  <c r="F242" i="4" s="1"/>
  <c r="F243" i="4" s="1"/>
  <c r="F244" i="4" s="1"/>
  <c r="F245" i="4" s="1"/>
  <c r="F246" i="4" s="1"/>
  <c r="F247" i="4" s="1"/>
  <c r="F248" i="4" s="1"/>
  <c r="F249" i="4" s="1"/>
  <c r="F250" i="4" s="1"/>
  <c r="F251" i="4" s="1"/>
  <c r="F252" i="4" s="1"/>
  <c r="F253" i="4" s="1"/>
  <c r="F254" i="4" s="1"/>
  <c r="F255" i="4" s="1"/>
  <c r="F256" i="4" s="1"/>
  <c r="F257" i="4" s="1"/>
  <c r="F258" i="4" s="1"/>
  <c r="F259" i="4" s="1"/>
  <c r="F260" i="4" s="1"/>
  <c r="F261" i="4" s="1"/>
  <c r="F262" i="4" s="1"/>
  <c r="F263" i="4" s="1"/>
  <c r="F264" i="4" s="1"/>
  <c r="F265" i="4" s="1"/>
  <c r="F266" i="4" s="1"/>
  <c r="F267" i="4" s="1"/>
  <c r="F268" i="4" s="1"/>
  <c r="F269" i="4" s="1"/>
  <c r="F270" i="4" s="1"/>
  <c r="F271" i="4" s="1"/>
  <c r="F272" i="4" s="1"/>
  <c r="F273" i="4" s="1"/>
  <c r="F274" i="4" s="1"/>
  <c r="F275" i="4" s="1"/>
  <c r="F276" i="4" s="1"/>
  <c r="F277" i="4" s="1"/>
  <c r="F278" i="4" s="1"/>
  <c r="F279" i="4" s="1"/>
  <c r="F280" i="4" s="1"/>
  <c r="F281" i="4" s="1"/>
  <c r="F282" i="4" s="1"/>
  <c r="F283" i="4" s="1"/>
  <c r="F284" i="4" s="1"/>
  <c r="F285" i="4" s="1"/>
  <c r="F286" i="4" s="1"/>
  <c r="F287" i="4" s="1"/>
  <c r="F288" i="4" s="1"/>
  <c r="F289" i="4" s="1"/>
  <c r="F290" i="4" s="1"/>
  <c r="F291" i="4" s="1"/>
  <c r="F292" i="4" s="1"/>
  <c r="F293" i="4" s="1"/>
  <c r="F294" i="4" s="1"/>
  <c r="F295" i="4" s="1"/>
  <c r="F296" i="4" s="1"/>
  <c r="F297" i="4" s="1"/>
  <c r="F298" i="4" s="1"/>
  <c r="F299" i="4" s="1"/>
  <c r="F300" i="4" s="1"/>
  <c r="F301" i="4" s="1"/>
  <c r="F302" i="4" s="1"/>
  <c r="F303" i="4" s="1"/>
  <c r="F304" i="4" s="1"/>
  <c r="F305" i="4" s="1"/>
  <c r="F306" i="4" s="1"/>
  <c r="F307" i="4" s="1"/>
  <c r="F308" i="4" s="1"/>
  <c r="F309" i="4" s="1"/>
  <c r="F310" i="4" s="1"/>
  <c r="F311" i="4" s="1"/>
  <c r="F312" i="4" s="1"/>
  <c r="F313" i="4" s="1"/>
  <c r="F314" i="4" s="1"/>
  <c r="F315" i="4" s="1"/>
  <c r="F316" i="4" s="1"/>
  <c r="F317" i="4" s="1"/>
  <c r="F318" i="4" s="1"/>
  <c r="F319" i="4" s="1"/>
  <c r="F320" i="4" s="1"/>
  <c r="F321" i="4" s="1"/>
  <c r="F322" i="4" s="1"/>
  <c r="F323" i="4" s="1"/>
  <c r="F324" i="4" s="1"/>
  <c r="F325" i="4" s="1"/>
  <c r="F326" i="4" s="1"/>
  <c r="F327" i="4" s="1"/>
  <c r="F328" i="4" s="1"/>
  <c r="F329" i="4" s="1"/>
  <c r="F330" i="4" s="1"/>
  <c r="F331" i="4" s="1"/>
  <c r="F332" i="4" s="1"/>
  <c r="F333" i="4" s="1"/>
  <c r="F334" i="4" s="1"/>
  <c r="F335" i="4" s="1"/>
  <c r="F336" i="4" s="1"/>
  <c r="F337" i="4" s="1"/>
  <c r="F338" i="4" s="1"/>
  <c r="F339" i="4" s="1"/>
  <c r="F340" i="4" s="1"/>
  <c r="F341" i="4" s="1"/>
  <c r="F342" i="4" s="1"/>
  <c r="F343" i="4" s="1"/>
  <c r="F344" i="4" s="1"/>
  <c r="F345" i="4" s="1"/>
  <c r="F346" i="4" s="1"/>
  <c r="F347" i="4" s="1"/>
  <c r="F348" i="4" s="1"/>
  <c r="F349" i="4" s="1"/>
  <c r="F350" i="4" s="1"/>
  <c r="F351" i="4" s="1"/>
  <c r="F352" i="4" s="1"/>
  <c r="F353" i="4" s="1"/>
  <c r="F354" i="4" s="1"/>
  <c r="F355" i="4" s="1"/>
  <c r="F356" i="4" s="1"/>
  <c r="F357" i="4" s="1"/>
  <c r="F358" i="4" s="1"/>
  <c r="F359" i="4" s="1"/>
  <c r="F360" i="4" s="1"/>
  <c r="F361" i="4" s="1"/>
  <c r="F362" i="4" s="1"/>
  <c r="F363" i="4" s="1"/>
  <c r="F364" i="4" s="1"/>
  <c r="F365" i="4" s="1"/>
  <c r="F366" i="4" s="1"/>
  <c r="F367" i="4" s="1"/>
  <c r="F368" i="4" s="1"/>
  <c r="F369" i="4" s="1"/>
  <c r="F370" i="4" s="1"/>
  <c r="F371" i="4" s="1"/>
  <c r="F372" i="4" s="1"/>
  <c r="F373" i="4" s="1"/>
  <c r="F374" i="4" s="1"/>
  <c r="F375" i="4" s="1"/>
  <c r="F376" i="4" s="1"/>
  <c r="F377" i="4" s="1"/>
  <c r="F378" i="4" s="1"/>
  <c r="F379" i="4" s="1"/>
  <c r="F380" i="4" s="1"/>
  <c r="F381" i="4" s="1"/>
  <c r="F382" i="4" s="1"/>
  <c r="F383" i="4" s="1"/>
  <c r="F384" i="4" s="1"/>
  <c r="F385" i="4" s="1"/>
  <c r="F386" i="4" s="1"/>
  <c r="F387" i="4" s="1"/>
  <c r="F388" i="4" s="1"/>
  <c r="F389" i="4" s="1"/>
  <c r="F390" i="4" s="1"/>
  <c r="F391" i="4" s="1"/>
  <c r="F392" i="4" s="1"/>
  <c r="F393" i="4" s="1"/>
  <c r="F394" i="4" s="1"/>
  <c r="F395" i="4" s="1"/>
  <c r="F396" i="4" s="1"/>
  <c r="F397" i="4" s="1"/>
  <c r="F398" i="4" s="1"/>
  <c r="F399" i="4" s="1"/>
  <c r="F400" i="4" s="1"/>
  <c r="F401" i="4" s="1"/>
  <c r="F402" i="4" s="1"/>
  <c r="F403" i="4" s="1"/>
  <c r="F404" i="4" s="1"/>
  <c r="F405" i="4" s="1"/>
  <c r="F406" i="4" s="1"/>
  <c r="F407" i="4" s="1"/>
  <c r="F408" i="4" s="1"/>
  <c r="F409" i="4" s="1"/>
  <c r="F410" i="4" s="1"/>
  <c r="F411" i="4" s="1"/>
  <c r="F412" i="4" s="1"/>
  <c r="F413" i="4" s="1"/>
  <c r="F414" i="4" s="1"/>
  <c r="F415" i="4" s="1"/>
  <c r="F416" i="4" s="1"/>
  <c r="F417" i="4" s="1"/>
  <c r="F418" i="4" s="1"/>
  <c r="F419" i="4" s="1"/>
  <c r="F420" i="4" s="1"/>
  <c r="F421" i="4" s="1"/>
  <c r="F422" i="4" s="1"/>
  <c r="F423" i="4" s="1"/>
  <c r="F424" i="4" s="1"/>
  <c r="F425" i="4" s="1"/>
  <c r="F426" i="4" s="1"/>
  <c r="F427" i="4" s="1"/>
  <c r="F428" i="4" s="1"/>
  <c r="F429" i="4" s="1"/>
  <c r="F430" i="4" s="1"/>
  <c r="F431" i="4" s="1"/>
  <c r="F432" i="4" s="1"/>
  <c r="F433" i="4" s="1"/>
  <c r="F434" i="4" s="1"/>
  <c r="F435" i="4" s="1"/>
  <c r="F436" i="4" s="1"/>
  <c r="F437" i="4" s="1"/>
  <c r="F438" i="4" s="1"/>
  <c r="F439" i="4" s="1"/>
  <c r="F440" i="4" s="1"/>
  <c r="F441" i="4" s="1"/>
  <c r="F442" i="4" s="1"/>
  <c r="F443" i="4" s="1"/>
  <c r="F444" i="4" s="1"/>
  <c r="F445" i="4" s="1"/>
  <c r="F446" i="4" s="1"/>
  <c r="F447" i="4" s="1"/>
  <c r="F448" i="4" s="1"/>
  <c r="F449" i="4" s="1"/>
  <c r="F450" i="4" s="1"/>
  <c r="F451" i="4" s="1"/>
  <c r="F452" i="4" s="1"/>
  <c r="F453" i="4" s="1"/>
  <c r="F454" i="4" s="1"/>
  <c r="F455" i="4" s="1"/>
  <c r="F456" i="4" s="1"/>
  <c r="F457" i="4" s="1"/>
  <c r="F458" i="4" s="1"/>
  <c r="F459" i="4" s="1"/>
  <c r="F460" i="4" s="1"/>
  <c r="F461" i="4" s="1"/>
  <c r="F462" i="4" s="1"/>
  <c r="F463" i="4" s="1"/>
  <c r="F464" i="4" s="1"/>
  <c r="F465" i="4" s="1"/>
  <c r="F466" i="4" s="1"/>
  <c r="F467" i="4" s="1"/>
  <c r="F468" i="4" s="1"/>
  <c r="F469" i="4" s="1"/>
  <c r="F470" i="4" s="1"/>
  <c r="F471" i="4" s="1"/>
  <c r="F472" i="4" s="1"/>
  <c r="F473" i="4" s="1"/>
  <c r="F474" i="4" s="1"/>
  <c r="F475" i="4" s="1"/>
  <c r="F476" i="4" s="1"/>
  <c r="F477" i="4" s="1"/>
  <c r="F478" i="4" s="1"/>
  <c r="F479" i="4" s="1"/>
  <c r="F480" i="4" s="1"/>
  <c r="F481" i="4" s="1"/>
  <c r="F482" i="4" s="1"/>
  <c r="F483" i="4" s="1"/>
  <c r="F484" i="4" s="1"/>
  <c r="F485" i="4" s="1"/>
  <c r="F486" i="4" s="1"/>
  <c r="F487" i="4" s="1"/>
  <c r="F488" i="4" s="1"/>
  <c r="F489" i="4" s="1"/>
  <c r="F490" i="4" s="1"/>
  <c r="F491" i="4" s="1"/>
  <c r="F492" i="4" s="1"/>
  <c r="F493" i="4" s="1"/>
  <c r="F494" i="4" s="1"/>
  <c r="F495" i="4" s="1"/>
  <c r="F496" i="4" s="1"/>
  <c r="F497" i="4" s="1"/>
  <c r="F498" i="4" s="1"/>
  <c r="F499" i="4" s="1"/>
  <c r="F500" i="4" s="1"/>
  <c r="F501" i="4" s="1"/>
  <c r="F502" i="4" s="1"/>
  <c r="F503" i="4" s="1"/>
  <c r="F504" i="4" s="1"/>
  <c r="F505" i="4" s="1"/>
  <c r="F506" i="4" s="1"/>
  <c r="F507" i="4" s="1"/>
  <c r="F508" i="4" s="1"/>
  <c r="F509" i="4" s="1"/>
  <c r="F510" i="4" s="1"/>
  <c r="F511" i="4" s="1"/>
  <c r="F512" i="4" s="1"/>
  <c r="F513" i="4" s="1"/>
  <c r="F514" i="4" s="1"/>
  <c r="F515" i="4" s="1"/>
  <c r="F516" i="4" s="1"/>
  <c r="F517" i="4" s="1"/>
  <c r="F518" i="4" s="1"/>
  <c r="F519" i="4" s="1"/>
  <c r="F520" i="4" s="1"/>
  <c r="F521" i="4" s="1"/>
  <c r="F522" i="4" s="1"/>
  <c r="F523" i="4" s="1"/>
  <c r="F524" i="4" s="1"/>
  <c r="F525" i="4" s="1"/>
  <c r="F526" i="4" s="1"/>
  <c r="F527" i="4" s="1"/>
  <c r="F528" i="4" s="1"/>
  <c r="F529" i="4" s="1"/>
  <c r="F530" i="4" s="1"/>
  <c r="F531" i="4" s="1"/>
  <c r="F532" i="4" s="1"/>
  <c r="F533" i="4" s="1"/>
  <c r="F534" i="4" s="1"/>
  <c r="F535" i="4" s="1"/>
  <c r="F536" i="4" s="1"/>
  <c r="F537" i="4" s="1"/>
  <c r="F538" i="4" s="1"/>
  <c r="F539" i="4" s="1"/>
  <c r="F540" i="4" s="1"/>
  <c r="F541" i="4" s="1"/>
  <c r="F542" i="4" s="1"/>
  <c r="F543" i="4" s="1"/>
  <c r="F544" i="4" s="1"/>
  <c r="F545" i="4" s="1"/>
  <c r="F546" i="4" s="1"/>
  <c r="F547" i="4" s="1"/>
  <c r="F548" i="4" s="1"/>
  <c r="F549" i="4" s="1"/>
  <c r="F550" i="4" s="1"/>
  <c r="F551" i="4" s="1"/>
  <c r="F552" i="4" s="1"/>
  <c r="F553" i="4" s="1"/>
  <c r="F554" i="4" s="1"/>
  <c r="F555" i="4" s="1"/>
  <c r="F556" i="4" s="1"/>
  <c r="F557" i="4" s="1"/>
  <c r="F558" i="4" s="1"/>
  <c r="F559" i="4" s="1"/>
  <c r="F560" i="4" s="1"/>
  <c r="F561" i="4" s="1"/>
  <c r="F562" i="4" s="1"/>
  <c r="F563" i="4" s="1"/>
  <c r="F564" i="4" s="1"/>
  <c r="F565" i="4" s="1"/>
  <c r="F566" i="4" s="1"/>
  <c r="F567" i="4" s="1"/>
  <c r="F568" i="4" s="1"/>
  <c r="F569" i="4" s="1"/>
  <c r="F570" i="4" s="1"/>
  <c r="F571" i="4" s="1"/>
  <c r="F572" i="4" s="1"/>
  <c r="F573" i="4" s="1"/>
  <c r="F574" i="4" s="1"/>
  <c r="F575" i="4" s="1"/>
  <c r="F576" i="4" s="1"/>
  <c r="F577" i="4" s="1"/>
  <c r="F578" i="4" s="1"/>
  <c r="F579" i="4" s="1"/>
  <c r="F580" i="4" s="1"/>
  <c r="F581" i="4" s="1"/>
  <c r="F582" i="4" s="1"/>
  <c r="F583" i="4" s="1"/>
  <c r="F584" i="4" s="1"/>
  <c r="F585" i="4" s="1"/>
  <c r="F586" i="4" s="1"/>
  <c r="F587" i="4" s="1"/>
  <c r="F588" i="4" s="1"/>
  <c r="F589" i="4" s="1"/>
  <c r="F590" i="4" s="1"/>
  <c r="F591" i="4" s="1"/>
  <c r="F592" i="4" s="1"/>
  <c r="F593" i="4" s="1"/>
  <c r="F594" i="4" s="1"/>
  <c r="F595" i="4" s="1"/>
  <c r="F596" i="4" s="1"/>
  <c r="F597" i="4" s="1"/>
  <c r="F598" i="4" s="1"/>
  <c r="F599" i="4" s="1"/>
  <c r="F600" i="4" s="1"/>
  <c r="F601" i="4" s="1"/>
  <c r="F602" i="4" s="1"/>
  <c r="F603" i="4" s="1"/>
  <c r="F604" i="4" s="1"/>
  <c r="F605" i="4" s="1"/>
  <c r="F606" i="4" s="1"/>
  <c r="F607" i="4" s="1"/>
  <c r="F608" i="4" s="1"/>
  <c r="F609" i="4" s="1"/>
  <c r="F610" i="4" s="1"/>
  <c r="F611" i="4" s="1"/>
  <c r="F612" i="4" s="1"/>
  <c r="F613" i="4" s="1"/>
  <c r="F614" i="4" s="1"/>
  <c r="F615" i="4" s="1"/>
  <c r="F616" i="4" s="1"/>
  <c r="F617" i="4" s="1"/>
  <c r="F618" i="4" s="1"/>
  <c r="F619" i="4" s="1"/>
  <c r="F620" i="4" s="1"/>
  <c r="F621" i="4" s="1"/>
  <c r="F622" i="4" s="1"/>
  <c r="F623" i="4" s="1"/>
  <c r="F624" i="4" s="1"/>
  <c r="F625" i="4" s="1"/>
  <c r="F626" i="4" s="1"/>
  <c r="F627" i="4" s="1"/>
  <c r="F628" i="4" s="1"/>
  <c r="F629" i="4" s="1"/>
  <c r="F630" i="4" s="1"/>
  <c r="F631" i="4" s="1"/>
  <c r="F632" i="4" s="1"/>
  <c r="F633" i="4" s="1"/>
  <c r="F634" i="4" s="1"/>
  <c r="F635" i="4" s="1"/>
  <c r="F636" i="4" s="1"/>
  <c r="F637" i="4" s="1"/>
  <c r="F638" i="4" s="1"/>
  <c r="F639" i="4" s="1"/>
  <c r="F640" i="4" s="1"/>
  <c r="F641" i="4" s="1"/>
  <c r="F642" i="4" s="1"/>
  <c r="F643" i="4" s="1"/>
  <c r="F644" i="4" s="1"/>
  <c r="F645" i="4" s="1"/>
  <c r="F646" i="4" s="1"/>
  <c r="F647" i="4" s="1"/>
  <c r="F648" i="4" s="1"/>
  <c r="F649" i="4" s="1"/>
  <c r="F650" i="4" s="1"/>
  <c r="F651" i="4" s="1"/>
  <c r="F652" i="4" s="1"/>
  <c r="F653" i="4" s="1"/>
  <c r="F654" i="4" s="1"/>
  <c r="F655" i="4" s="1"/>
  <c r="F656" i="4" s="1"/>
  <c r="F657" i="4" s="1"/>
  <c r="F658" i="4" s="1"/>
  <c r="F659" i="4" s="1"/>
  <c r="F660" i="4" s="1"/>
  <c r="F661" i="4" s="1"/>
  <c r="F662" i="4" s="1"/>
  <c r="F663" i="4" s="1"/>
  <c r="F664" i="4" s="1"/>
  <c r="F665" i="4" s="1"/>
  <c r="F666" i="4" s="1"/>
  <c r="F667" i="4" s="1"/>
  <c r="F668" i="4" s="1"/>
  <c r="F669" i="4" s="1"/>
  <c r="F670" i="4" s="1"/>
  <c r="F671" i="4" s="1"/>
  <c r="F672" i="4" s="1"/>
  <c r="F673" i="4" s="1"/>
  <c r="F674" i="4" s="1"/>
  <c r="F675" i="4" s="1"/>
  <c r="F676" i="4" s="1"/>
  <c r="F677" i="4" s="1"/>
  <c r="F678" i="4" s="1"/>
  <c r="F679" i="4" s="1"/>
  <c r="F680" i="4" s="1"/>
  <c r="F681" i="4" s="1"/>
  <c r="F682" i="4" s="1"/>
  <c r="F683" i="4" s="1"/>
  <c r="F684" i="4" s="1"/>
  <c r="F685" i="4" s="1"/>
  <c r="F686" i="4" s="1"/>
  <c r="F687" i="4" s="1"/>
  <c r="F688" i="4" s="1"/>
  <c r="F689" i="4" s="1"/>
  <c r="F690" i="4" s="1"/>
  <c r="F691" i="4" s="1"/>
  <c r="F692" i="4" s="1"/>
  <c r="F693" i="4" s="1"/>
  <c r="F694" i="4" s="1"/>
  <c r="F695" i="4" s="1"/>
  <c r="F696" i="4" s="1"/>
  <c r="F697" i="4" s="1"/>
  <c r="F698" i="4" s="1"/>
  <c r="F699" i="4" s="1"/>
  <c r="F700" i="4" s="1"/>
  <c r="F701" i="4" s="1"/>
  <c r="F702" i="4" s="1"/>
  <c r="F703" i="4" s="1"/>
  <c r="F704" i="4" s="1"/>
  <c r="F705" i="4" s="1"/>
  <c r="F706" i="4" s="1"/>
  <c r="F707" i="4" s="1"/>
  <c r="F708" i="4" s="1"/>
  <c r="F709" i="4" s="1"/>
  <c r="F710" i="4" s="1"/>
  <c r="F711" i="4" s="1"/>
  <c r="F712" i="4" s="1"/>
  <c r="F713" i="4" s="1"/>
  <c r="F714" i="4" s="1"/>
  <c r="F715" i="4" s="1"/>
  <c r="F716" i="4" s="1"/>
  <c r="F717" i="4" s="1"/>
  <c r="F718" i="4" s="1"/>
  <c r="F719" i="4" s="1"/>
  <c r="F720" i="4" s="1"/>
  <c r="F721" i="4" s="1"/>
  <c r="F722" i="4" s="1"/>
  <c r="F723" i="4" s="1"/>
  <c r="F724" i="4" s="1"/>
  <c r="F725" i="4" s="1"/>
  <c r="F726" i="4" s="1"/>
  <c r="F727" i="4" s="1"/>
  <c r="F728" i="4" s="1"/>
  <c r="F729" i="4" s="1"/>
  <c r="F730" i="4" s="1"/>
  <c r="F731" i="4" s="1"/>
  <c r="F732" i="4" s="1"/>
  <c r="F733" i="4" s="1"/>
  <c r="F734" i="4" s="1"/>
  <c r="F735" i="4" s="1"/>
  <c r="F736" i="4" s="1"/>
  <c r="F737" i="4" s="1"/>
  <c r="F738" i="4" s="1"/>
  <c r="F739" i="4" s="1"/>
  <c r="F740" i="4" s="1"/>
  <c r="F741" i="4" s="1"/>
  <c r="F742" i="4" s="1"/>
  <c r="F743" i="4" s="1"/>
  <c r="F744" i="4" s="1"/>
  <c r="F745" i="4" s="1"/>
  <c r="F746" i="4" s="1"/>
  <c r="F747" i="4" s="1"/>
  <c r="F748" i="4" s="1"/>
  <c r="F749" i="4" s="1"/>
  <c r="F750" i="4" s="1"/>
  <c r="F751" i="4" s="1"/>
  <c r="F752" i="4" s="1"/>
  <c r="F753" i="4" s="1"/>
  <c r="F754" i="4" s="1"/>
  <c r="F755" i="4" s="1"/>
  <c r="F756" i="4" s="1"/>
  <c r="F757" i="4" s="1"/>
  <c r="F758" i="4" s="1"/>
  <c r="F759" i="4" s="1"/>
  <c r="F760" i="4" s="1"/>
  <c r="F761" i="4" s="1"/>
  <c r="F762" i="4" s="1"/>
  <c r="F763" i="4" s="1"/>
  <c r="F764" i="4" s="1"/>
  <c r="F765" i="4" s="1"/>
  <c r="F766" i="4" s="1"/>
  <c r="F767" i="4" s="1"/>
  <c r="F768" i="4" s="1"/>
  <c r="F769" i="4" s="1"/>
  <c r="F770" i="4" s="1"/>
  <c r="F771" i="4" s="1"/>
  <c r="F772" i="4" s="1"/>
  <c r="F773" i="4" s="1"/>
  <c r="F774" i="4" s="1"/>
  <c r="F775" i="4" s="1"/>
  <c r="F776" i="4" s="1"/>
  <c r="F777" i="4" s="1"/>
  <c r="F778" i="4" s="1"/>
  <c r="F779" i="4" s="1"/>
  <c r="F780" i="4" s="1"/>
  <c r="F781" i="4" s="1"/>
  <c r="F782" i="4" s="1"/>
  <c r="F783" i="4" s="1"/>
  <c r="F784" i="4" s="1"/>
  <c r="F785" i="4" s="1"/>
  <c r="F786" i="4" s="1"/>
  <c r="F787" i="4" s="1"/>
  <c r="F788" i="4" s="1"/>
  <c r="F789" i="4" s="1"/>
  <c r="F790" i="4" s="1"/>
  <c r="F791" i="4" s="1"/>
  <c r="F792" i="4" s="1"/>
  <c r="F793" i="4" s="1"/>
  <c r="F794" i="4" s="1"/>
  <c r="F795" i="4" s="1"/>
  <c r="F796" i="4" s="1"/>
  <c r="F797" i="4" s="1"/>
  <c r="F798" i="4" s="1"/>
  <c r="F799" i="4" s="1"/>
  <c r="F800" i="4" s="1"/>
  <c r="F801" i="4" s="1"/>
  <c r="F802" i="4" s="1"/>
  <c r="F803" i="4" s="1"/>
  <c r="F804" i="4" s="1"/>
  <c r="F805" i="4" s="1"/>
  <c r="F806" i="4" s="1"/>
  <c r="F807" i="4" s="1"/>
  <c r="F808" i="4" s="1"/>
  <c r="F809" i="4" s="1"/>
  <c r="F810" i="4" s="1"/>
  <c r="F811" i="4" s="1"/>
  <c r="F812" i="4" s="1"/>
  <c r="F813" i="4" s="1"/>
  <c r="F814" i="4" s="1"/>
  <c r="F815" i="4" s="1"/>
  <c r="F816" i="4" s="1"/>
  <c r="F817" i="4" s="1"/>
  <c r="F818" i="4" s="1"/>
  <c r="F819" i="4" s="1"/>
  <c r="F820" i="4" s="1"/>
  <c r="F821" i="4" s="1"/>
  <c r="F822" i="4" s="1"/>
  <c r="F823" i="4" s="1"/>
  <c r="F824" i="4" s="1"/>
  <c r="F825" i="4" s="1"/>
  <c r="F826" i="4" s="1"/>
  <c r="F827" i="4" s="1"/>
  <c r="F828" i="4" s="1"/>
  <c r="F829" i="4" s="1"/>
  <c r="F830" i="4" s="1"/>
  <c r="F831" i="4" s="1"/>
  <c r="F832" i="4" s="1"/>
  <c r="F833" i="4" s="1"/>
  <c r="F834" i="4" s="1"/>
  <c r="F835" i="4" s="1"/>
  <c r="F836" i="4" s="1"/>
  <c r="F837" i="4" s="1"/>
  <c r="F838" i="4" s="1"/>
  <c r="F839" i="4" s="1"/>
  <c r="F840" i="4" s="1"/>
  <c r="F841" i="4" s="1"/>
  <c r="F842" i="4" s="1"/>
  <c r="F843" i="4" s="1"/>
  <c r="F844" i="4" s="1"/>
  <c r="F845" i="4" s="1"/>
  <c r="F846" i="4" s="1"/>
  <c r="F847" i="4" s="1"/>
  <c r="F848" i="4" s="1"/>
  <c r="F849" i="4" s="1"/>
  <c r="F850" i="4" s="1"/>
  <c r="F851" i="4" s="1"/>
  <c r="F852" i="4" s="1"/>
  <c r="F853" i="4" s="1"/>
  <c r="F854" i="4" s="1"/>
  <c r="F855" i="4" s="1"/>
  <c r="F856" i="4" s="1"/>
  <c r="F857" i="4" s="1"/>
  <c r="F858" i="4" s="1"/>
  <c r="F859" i="4" s="1"/>
  <c r="F860" i="4" s="1"/>
  <c r="F861" i="4" s="1"/>
  <c r="F862" i="4" s="1"/>
  <c r="F863" i="4" s="1"/>
  <c r="F864" i="4" s="1"/>
  <c r="F865" i="4" s="1"/>
  <c r="F866" i="4" s="1"/>
  <c r="F867" i="4" s="1"/>
  <c r="F868" i="4" s="1"/>
  <c r="F869" i="4" s="1"/>
  <c r="F870" i="4" s="1"/>
  <c r="F871" i="4" s="1"/>
  <c r="F872" i="4" s="1"/>
  <c r="F873" i="4" s="1"/>
  <c r="F874" i="4" s="1"/>
  <c r="F875" i="4" s="1"/>
  <c r="F876" i="4" s="1"/>
  <c r="F877" i="4" s="1"/>
  <c r="F878" i="4" s="1"/>
  <c r="F879" i="4" s="1"/>
  <c r="F880" i="4" s="1"/>
  <c r="F881" i="4" s="1"/>
  <c r="F882" i="4" s="1"/>
  <c r="F883" i="4" s="1"/>
  <c r="F884" i="4" s="1"/>
  <c r="F885" i="4" s="1"/>
  <c r="F886" i="4" s="1"/>
  <c r="F887" i="4" s="1"/>
  <c r="F888" i="4" s="1"/>
  <c r="F889" i="4" s="1"/>
  <c r="F890" i="4" s="1"/>
  <c r="F891" i="4" s="1"/>
  <c r="F892" i="4" s="1"/>
  <c r="F893" i="4" s="1"/>
  <c r="F894" i="4" s="1"/>
  <c r="F895" i="4" s="1"/>
  <c r="F896" i="4" s="1"/>
  <c r="F897" i="4" s="1"/>
  <c r="F898" i="4" s="1"/>
  <c r="F899" i="4" s="1"/>
  <c r="F900" i="4" s="1"/>
  <c r="F901" i="4" s="1"/>
  <c r="F902" i="4" s="1"/>
  <c r="F903" i="4" s="1"/>
  <c r="F904" i="4" s="1"/>
  <c r="F905" i="4" s="1"/>
  <c r="F906" i="4" s="1"/>
  <c r="F907" i="4" s="1"/>
  <c r="F908" i="4" s="1"/>
  <c r="F909" i="4" s="1"/>
  <c r="F910" i="4" s="1"/>
  <c r="F911" i="4" s="1"/>
  <c r="F912" i="4" s="1"/>
  <c r="F913" i="4" s="1"/>
  <c r="F914" i="4" s="1"/>
  <c r="F915" i="4" s="1"/>
  <c r="F916" i="4" s="1"/>
  <c r="F917" i="4" s="1"/>
  <c r="F918" i="4" s="1"/>
  <c r="F919" i="4" s="1"/>
  <c r="F920" i="4" s="1"/>
  <c r="F921" i="4" s="1"/>
  <c r="F922" i="4" s="1"/>
  <c r="F923" i="4" s="1"/>
  <c r="F924" i="4" s="1"/>
  <c r="F925" i="4" s="1"/>
  <c r="F926" i="4" s="1"/>
  <c r="F927" i="4" s="1"/>
  <c r="F928" i="4" s="1"/>
  <c r="F929" i="4" s="1"/>
  <c r="F930" i="4" s="1"/>
  <c r="F931" i="4" s="1"/>
  <c r="F932" i="4" s="1"/>
  <c r="F933" i="4" s="1"/>
  <c r="F934" i="4" s="1"/>
  <c r="F935" i="4" s="1"/>
  <c r="F936" i="4" s="1"/>
  <c r="F937" i="4" s="1"/>
  <c r="F938" i="4" s="1"/>
  <c r="F939" i="4" s="1"/>
  <c r="F940" i="4" s="1"/>
  <c r="F941" i="4" s="1"/>
  <c r="F942" i="4" s="1"/>
  <c r="F943" i="4" s="1"/>
  <c r="F944" i="4" s="1"/>
  <c r="F945" i="4" s="1"/>
  <c r="F946" i="4" s="1"/>
  <c r="F947" i="4" s="1"/>
  <c r="F948" i="4" s="1"/>
  <c r="F949" i="4" s="1"/>
  <c r="F950" i="4" s="1"/>
  <c r="F951" i="4" s="1"/>
  <c r="F952" i="4" s="1"/>
  <c r="F953" i="4" s="1"/>
  <c r="F954" i="4" s="1"/>
  <c r="F955" i="4" s="1"/>
  <c r="F956" i="4" s="1"/>
  <c r="F957" i="4" s="1"/>
  <c r="F958" i="4" s="1"/>
  <c r="F959" i="4" s="1"/>
  <c r="F960" i="4" s="1"/>
  <c r="F961" i="4" s="1"/>
  <c r="F962" i="4" s="1"/>
  <c r="F963" i="4" s="1"/>
  <c r="F964" i="4" s="1"/>
  <c r="F965" i="4" s="1"/>
  <c r="F966" i="4" s="1"/>
  <c r="F967" i="4" s="1"/>
  <c r="F968" i="4" s="1"/>
  <c r="F969" i="4" s="1"/>
  <c r="F970" i="4" s="1"/>
  <c r="F971" i="4" s="1"/>
  <c r="F972" i="4" s="1"/>
  <c r="F973" i="4" s="1"/>
  <c r="F974" i="4" s="1"/>
  <c r="F975" i="4" s="1"/>
  <c r="F976" i="4" s="1"/>
  <c r="F977" i="4" s="1"/>
  <c r="F978" i="4" s="1"/>
  <c r="F979" i="4" s="1"/>
  <c r="F980" i="4" s="1"/>
  <c r="F981" i="4" s="1"/>
  <c r="F982" i="4" s="1"/>
  <c r="F983" i="4" s="1"/>
  <c r="F984" i="4" s="1"/>
  <c r="F985" i="4" s="1"/>
  <c r="F986" i="4" s="1"/>
  <c r="F987" i="4" s="1"/>
  <c r="F988" i="4" s="1"/>
  <c r="F989" i="4" s="1"/>
  <c r="F990" i="4" s="1"/>
  <c r="F991" i="4" s="1"/>
  <c r="F992" i="4" s="1"/>
  <c r="F993" i="4" s="1"/>
  <c r="F994" i="4" s="1"/>
  <c r="F995" i="4" s="1"/>
  <c r="F996" i="4" s="1"/>
  <c r="F997" i="4" s="1"/>
  <c r="F998" i="4" s="1"/>
  <c r="F999" i="4" s="1"/>
  <c r="F1000" i="4" s="1"/>
  <c r="F1001" i="4" s="1"/>
  <c r="F1002" i="4" s="1"/>
  <c r="F1003" i="4" s="1"/>
  <c r="C10" i="4" s="1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N510" i="2"/>
  <c r="N509" i="2"/>
  <c r="N508" i="2"/>
  <c r="N507" i="2"/>
  <c r="N506" i="2"/>
  <c r="N505" i="2"/>
  <c r="N504" i="2"/>
  <c r="N503" i="2"/>
  <c r="N502" i="2"/>
  <c r="N501" i="2"/>
  <c r="N500" i="2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O510" i="2"/>
  <c r="O509" i="2"/>
  <c r="O508" i="2"/>
  <c r="O507" i="2"/>
  <c r="O506" i="2"/>
  <c r="O505" i="2"/>
  <c r="O504" i="2"/>
  <c r="O503" i="2"/>
  <c r="O502" i="2"/>
  <c r="O501" i="2"/>
  <c r="O500" i="2"/>
  <c r="O499" i="2"/>
  <c r="O498" i="2"/>
  <c r="O497" i="2"/>
  <c r="O496" i="2"/>
  <c r="O495" i="2"/>
  <c r="O494" i="2"/>
  <c r="O493" i="2"/>
  <c r="O492" i="2"/>
  <c r="O491" i="2"/>
  <c r="O490" i="2"/>
  <c r="O489" i="2"/>
  <c r="O488" i="2"/>
  <c r="O487" i="2"/>
  <c r="O486" i="2"/>
  <c r="O485" i="2"/>
  <c r="O484" i="2"/>
  <c r="O483" i="2"/>
  <c r="O482" i="2"/>
  <c r="O481" i="2"/>
  <c r="O480" i="2"/>
  <c r="O479" i="2"/>
  <c r="O478" i="2"/>
  <c r="O477" i="2"/>
  <c r="O476" i="2"/>
  <c r="O475" i="2"/>
  <c r="O474" i="2"/>
  <c r="O473" i="2"/>
  <c r="O472" i="2"/>
  <c r="O471" i="2"/>
  <c r="O470" i="2"/>
  <c r="O469" i="2"/>
  <c r="O468" i="2"/>
  <c r="O467" i="2"/>
  <c r="O466" i="2"/>
  <c r="O465" i="2"/>
  <c r="O464" i="2"/>
  <c r="O463" i="2"/>
  <c r="O462" i="2"/>
  <c r="O461" i="2"/>
  <c r="O460" i="2"/>
  <c r="O459" i="2"/>
  <c r="O458" i="2"/>
  <c r="O457" i="2"/>
  <c r="O456" i="2"/>
  <c r="O455" i="2"/>
  <c r="O454" i="2"/>
  <c r="O453" i="2"/>
  <c r="O452" i="2"/>
  <c r="O451" i="2"/>
  <c r="O450" i="2"/>
  <c r="O449" i="2"/>
  <c r="O448" i="2"/>
  <c r="O447" i="2"/>
  <c r="O446" i="2"/>
  <c r="O445" i="2"/>
  <c r="O444" i="2"/>
  <c r="O443" i="2"/>
  <c r="O442" i="2"/>
  <c r="O441" i="2"/>
  <c r="O440" i="2"/>
  <c r="O439" i="2"/>
  <c r="O438" i="2"/>
  <c r="O437" i="2"/>
  <c r="O436" i="2"/>
  <c r="O435" i="2"/>
  <c r="O434" i="2"/>
  <c r="O433" i="2"/>
  <c r="O432" i="2"/>
  <c r="O431" i="2"/>
  <c r="O430" i="2"/>
  <c r="O429" i="2"/>
  <c r="O428" i="2"/>
  <c r="O427" i="2"/>
  <c r="O426" i="2"/>
  <c r="O425" i="2"/>
  <c r="O424" i="2"/>
  <c r="O423" i="2"/>
  <c r="O422" i="2"/>
  <c r="O421" i="2"/>
  <c r="O420" i="2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O399" i="2"/>
  <c r="O398" i="2"/>
  <c r="O397" i="2"/>
  <c r="O396" i="2"/>
  <c r="O395" i="2"/>
  <c r="O394" i="2"/>
  <c r="O393" i="2"/>
  <c r="O392" i="2"/>
  <c r="O391" i="2"/>
  <c r="O390" i="2"/>
  <c r="O389" i="2"/>
  <c r="O388" i="2"/>
  <c r="O387" i="2"/>
  <c r="O386" i="2"/>
  <c r="O385" i="2"/>
  <c r="O384" i="2"/>
  <c r="O383" i="2"/>
  <c r="O382" i="2"/>
  <c r="O381" i="2"/>
  <c r="O380" i="2"/>
  <c r="O379" i="2"/>
  <c r="O378" i="2"/>
  <c r="O377" i="2"/>
  <c r="O376" i="2"/>
  <c r="O375" i="2"/>
  <c r="O374" i="2"/>
  <c r="O373" i="2"/>
  <c r="O372" i="2"/>
  <c r="O371" i="2"/>
  <c r="O370" i="2"/>
  <c r="O369" i="2"/>
  <c r="O368" i="2"/>
  <c r="O367" i="2"/>
  <c r="O366" i="2"/>
  <c r="O365" i="2"/>
  <c r="O364" i="2"/>
  <c r="O363" i="2"/>
  <c r="O362" i="2"/>
  <c r="O361" i="2"/>
  <c r="O360" i="2"/>
  <c r="O359" i="2"/>
  <c r="O358" i="2"/>
  <c r="O357" i="2"/>
  <c r="O356" i="2"/>
  <c r="O355" i="2"/>
  <c r="O354" i="2"/>
  <c r="O353" i="2"/>
  <c r="O352" i="2"/>
  <c r="O351" i="2"/>
  <c r="O350" i="2"/>
  <c r="O349" i="2"/>
  <c r="O348" i="2"/>
  <c r="O347" i="2"/>
  <c r="O346" i="2"/>
  <c r="O345" i="2"/>
  <c r="O344" i="2"/>
  <c r="O343" i="2"/>
  <c r="O342" i="2"/>
  <c r="O341" i="2"/>
  <c r="O340" i="2"/>
  <c r="O339" i="2"/>
  <c r="O338" i="2"/>
  <c r="O337" i="2"/>
  <c r="O336" i="2"/>
  <c r="O335" i="2"/>
  <c r="O334" i="2"/>
  <c r="O333" i="2"/>
  <c r="O332" i="2"/>
  <c r="O331" i="2"/>
  <c r="O330" i="2"/>
  <c r="O329" i="2"/>
  <c r="O328" i="2"/>
  <c r="O327" i="2"/>
  <c r="O326" i="2"/>
  <c r="O325" i="2"/>
  <c r="O324" i="2"/>
  <c r="O323" i="2"/>
  <c r="O322" i="2"/>
  <c r="O321" i="2"/>
  <c r="O320" i="2"/>
  <c r="O319" i="2"/>
  <c r="O318" i="2"/>
  <c r="O317" i="2"/>
  <c r="O316" i="2"/>
  <c r="O315" i="2"/>
  <c r="O314" i="2"/>
  <c r="O313" i="2"/>
  <c r="O312" i="2"/>
  <c r="O311" i="2"/>
  <c r="O310" i="2"/>
  <c r="O309" i="2"/>
  <c r="O308" i="2"/>
  <c r="O307" i="2"/>
  <c r="O306" i="2"/>
  <c r="O305" i="2"/>
  <c r="O304" i="2"/>
  <c r="O303" i="2"/>
  <c r="O302" i="2"/>
  <c r="O301" i="2"/>
  <c r="O300" i="2"/>
  <c r="O299" i="2"/>
  <c r="O298" i="2"/>
  <c r="O297" i="2"/>
  <c r="O296" i="2"/>
  <c r="O295" i="2"/>
  <c r="O294" i="2"/>
  <c r="O293" i="2"/>
  <c r="O292" i="2"/>
  <c r="O291" i="2"/>
  <c r="O290" i="2"/>
  <c r="O289" i="2"/>
  <c r="O288" i="2"/>
  <c r="O287" i="2"/>
  <c r="O286" i="2"/>
  <c r="O285" i="2"/>
  <c r="O284" i="2"/>
  <c r="O283" i="2"/>
  <c r="O282" i="2"/>
  <c r="O281" i="2"/>
  <c r="O280" i="2"/>
  <c r="O279" i="2"/>
  <c r="O278" i="2"/>
  <c r="O277" i="2"/>
  <c r="O276" i="2"/>
  <c r="O275" i="2"/>
  <c r="O274" i="2"/>
  <c r="O273" i="2"/>
  <c r="O272" i="2"/>
  <c r="O271" i="2"/>
  <c r="O270" i="2"/>
  <c r="O269" i="2"/>
  <c r="O268" i="2"/>
  <c r="O267" i="2"/>
  <c r="O266" i="2"/>
  <c r="O265" i="2"/>
  <c r="O264" i="2"/>
  <c r="O263" i="2"/>
  <c r="O262" i="2"/>
  <c r="O261" i="2"/>
  <c r="O260" i="2"/>
  <c r="O259" i="2"/>
  <c r="O258" i="2"/>
  <c r="O257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I12" i="2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B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D988" i="2" s="1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D972" i="2" s="1"/>
  <c r="E972" i="2" s="1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D956" i="2" s="1"/>
  <c r="E956" i="2" s="1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D940" i="2" s="1"/>
  <c r="E940" i="2" s="1"/>
  <c r="C939" i="2"/>
  <c r="C938" i="2"/>
  <c r="C937" i="2"/>
  <c r="C936" i="2"/>
  <c r="C935" i="2"/>
  <c r="C934" i="2"/>
  <c r="C933" i="2"/>
  <c r="C932" i="2"/>
  <c r="D932" i="2" s="1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D900" i="2" s="1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D860" i="2" s="1"/>
  <c r="E860" i="2" s="1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D772" i="2" s="1"/>
  <c r="C771" i="2"/>
  <c r="C770" i="2"/>
  <c r="C769" i="2"/>
  <c r="C768" i="2"/>
  <c r="C767" i="2"/>
  <c r="C766" i="2"/>
  <c r="C765" i="2"/>
  <c r="C764" i="2"/>
  <c r="D764" i="2" s="1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D740" i="2" s="1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D708" i="2" s="1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D676" i="2" s="1"/>
  <c r="E676" i="2" s="1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D652" i="2" s="1"/>
  <c r="E652" i="2" s="1"/>
  <c r="C651" i="2"/>
  <c r="C650" i="2"/>
  <c r="C649" i="2"/>
  <c r="C648" i="2"/>
  <c r="C647" i="2"/>
  <c r="C646" i="2"/>
  <c r="C645" i="2"/>
  <c r="C644" i="2"/>
  <c r="D644" i="2" s="1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D604" i="2" s="1"/>
  <c r="E604" i="2" s="1"/>
  <c r="C603" i="2"/>
  <c r="C602" i="2"/>
  <c r="C601" i="2"/>
  <c r="C600" i="2"/>
  <c r="C599" i="2"/>
  <c r="C598" i="2"/>
  <c r="C597" i="2"/>
  <c r="C596" i="2"/>
  <c r="D596" i="2" s="1"/>
  <c r="E596" i="2" s="1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D580" i="2" s="1"/>
  <c r="E580" i="2" s="1"/>
  <c r="C579" i="2"/>
  <c r="C578" i="2"/>
  <c r="C577" i="2"/>
  <c r="C576" i="2"/>
  <c r="C575" i="2"/>
  <c r="C574" i="2"/>
  <c r="C573" i="2"/>
  <c r="C572" i="2"/>
  <c r="D572" i="2" s="1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D508" i="2" s="1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D476" i="2" s="1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D420" i="2" s="1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D388" i="2" s="1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D12" i="2" s="1"/>
  <c r="B11" i="2"/>
  <c r="A12" i="2"/>
  <c r="D9" i="1"/>
  <c r="H514" i="1"/>
  <c r="E514" i="1" s="1"/>
  <c r="H513" i="1"/>
  <c r="E513" i="1" s="1"/>
  <c r="H512" i="1"/>
  <c r="E512" i="1" s="1"/>
  <c r="H511" i="1"/>
  <c r="E511" i="1" s="1"/>
  <c r="H510" i="1"/>
  <c r="E510" i="1" s="1"/>
  <c r="H509" i="1"/>
  <c r="E509" i="1" s="1"/>
  <c r="H508" i="1"/>
  <c r="E508" i="1" s="1"/>
  <c r="H507" i="1"/>
  <c r="E507" i="1" s="1"/>
  <c r="H506" i="1"/>
  <c r="E506" i="1" s="1"/>
  <c r="H505" i="1"/>
  <c r="E505" i="1" s="1"/>
  <c r="H504" i="1"/>
  <c r="E504" i="1" s="1"/>
  <c r="H503" i="1"/>
  <c r="E503" i="1" s="1"/>
  <c r="H502" i="1"/>
  <c r="E502" i="1" s="1"/>
  <c r="H501" i="1"/>
  <c r="E501" i="1" s="1"/>
  <c r="H500" i="1"/>
  <c r="E500" i="1" s="1"/>
  <c r="H499" i="1"/>
  <c r="E499" i="1" s="1"/>
  <c r="H498" i="1"/>
  <c r="E498" i="1" s="1"/>
  <c r="H497" i="1"/>
  <c r="E497" i="1" s="1"/>
  <c r="H496" i="1"/>
  <c r="E496" i="1" s="1"/>
  <c r="H495" i="1"/>
  <c r="E495" i="1" s="1"/>
  <c r="H494" i="1"/>
  <c r="E494" i="1" s="1"/>
  <c r="H493" i="1"/>
  <c r="E493" i="1" s="1"/>
  <c r="H492" i="1"/>
  <c r="E492" i="1" s="1"/>
  <c r="H491" i="1"/>
  <c r="E491" i="1" s="1"/>
  <c r="H490" i="1"/>
  <c r="E490" i="1" s="1"/>
  <c r="H489" i="1"/>
  <c r="E489" i="1" s="1"/>
  <c r="H488" i="1"/>
  <c r="E488" i="1" s="1"/>
  <c r="H487" i="1"/>
  <c r="E487" i="1" s="1"/>
  <c r="H486" i="1"/>
  <c r="E486" i="1" s="1"/>
  <c r="H485" i="1"/>
  <c r="E485" i="1" s="1"/>
  <c r="H484" i="1"/>
  <c r="E484" i="1" s="1"/>
  <c r="H483" i="1"/>
  <c r="E483" i="1" s="1"/>
  <c r="H482" i="1"/>
  <c r="E482" i="1" s="1"/>
  <c r="H481" i="1"/>
  <c r="E481" i="1" s="1"/>
  <c r="H480" i="1"/>
  <c r="E480" i="1" s="1"/>
  <c r="H479" i="1"/>
  <c r="E479" i="1" s="1"/>
  <c r="H478" i="1"/>
  <c r="E478" i="1" s="1"/>
  <c r="H477" i="1"/>
  <c r="E477" i="1" s="1"/>
  <c r="H476" i="1"/>
  <c r="E476" i="1" s="1"/>
  <c r="H475" i="1"/>
  <c r="E475" i="1" s="1"/>
  <c r="H474" i="1"/>
  <c r="E474" i="1" s="1"/>
  <c r="H473" i="1"/>
  <c r="E473" i="1" s="1"/>
  <c r="H472" i="1"/>
  <c r="E472" i="1" s="1"/>
  <c r="H471" i="1"/>
  <c r="E471" i="1" s="1"/>
  <c r="H470" i="1"/>
  <c r="E470" i="1" s="1"/>
  <c r="H469" i="1"/>
  <c r="E469" i="1" s="1"/>
  <c r="H468" i="1"/>
  <c r="E468" i="1" s="1"/>
  <c r="H467" i="1"/>
  <c r="E467" i="1" s="1"/>
  <c r="H466" i="1"/>
  <c r="E466" i="1" s="1"/>
  <c r="H465" i="1"/>
  <c r="E465" i="1" s="1"/>
  <c r="H464" i="1"/>
  <c r="E464" i="1" s="1"/>
  <c r="H463" i="1"/>
  <c r="E463" i="1" s="1"/>
  <c r="H462" i="1"/>
  <c r="E462" i="1" s="1"/>
  <c r="H461" i="1"/>
  <c r="E461" i="1" s="1"/>
  <c r="H460" i="1"/>
  <c r="E460" i="1" s="1"/>
  <c r="H459" i="1"/>
  <c r="E459" i="1" s="1"/>
  <c r="H458" i="1"/>
  <c r="E458" i="1" s="1"/>
  <c r="H457" i="1"/>
  <c r="E457" i="1" s="1"/>
  <c r="H456" i="1"/>
  <c r="E456" i="1" s="1"/>
  <c r="H455" i="1"/>
  <c r="E455" i="1" s="1"/>
  <c r="H454" i="1"/>
  <c r="E454" i="1" s="1"/>
  <c r="H453" i="1"/>
  <c r="E453" i="1" s="1"/>
  <c r="H452" i="1"/>
  <c r="E452" i="1" s="1"/>
  <c r="H451" i="1"/>
  <c r="E451" i="1" s="1"/>
  <c r="H450" i="1"/>
  <c r="E450" i="1" s="1"/>
  <c r="H449" i="1"/>
  <c r="E449" i="1" s="1"/>
  <c r="H448" i="1"/>
  <c r="E448" i="1" s="1"/>
  <c r="H447" i="1"/>
  <c r="E447" i="1" s="1"/>
  <c r="H446" i="1"/>
  <c r="E446" i="1" s="1"/>
  <c r="H445" i="1"/>
  <c r="E445" i="1" s="1"/>
  <c r="H444" i="1"/>
  <c r="E444" i="1" s="1"/>
  <c r="H443" i="1"/>
  <c r="E443" i="1" s="1"/>
  <c r="H442" i="1"/>
  <c r="E442" i="1" s="1"/>
  <c r="H441" i="1"/>
  <c r="E441" i="1" s="1"/>
  <c r="H440" i="1"/>
  <c r="E440" i="1" s="1"/>
  <c r="H439" i="1"/>
  <c r="E439" i="1" s="1"/>
  <c r="H438" i="1"/>
  <c r="E438" i="1" s="1"/>
  <c r="H437" i="1"/>
  <c r="E437" i="1" s="1"/>
  <c r="H436" i="1"/>
  <c r="E436" i="1" s="1"/>
  <c r="H435" i="1"/>
  <c r="E435" i="1" s="1"/>
  <c r="H434" i="1"/>
  <c r="E434" i="1" s="1"/>
  <c r="H433" i="1"/>
  <c r="E433" i="1" s="1"/>
  <c r="H432" i="1"/>
  <c r="E432" i="1" s="1"/>
  <c r="H431" i="1"/>
  <c r="E431" i="1" s="1"/>
  <c r="H430" i="1"/>
  <c r="E430" i="1" s="1"/>
  <c r="H429" i="1"/>
  <c r="E429" i="1" s="1"/>
  <c r="H428" i="1"/>
  <c r="E428" i="1" s="1"/>
  <c r="H427" i="1"/>
  <c r="E427" i="1" s="1"/>
  <c r="H426" i="1"/>
  <c r="E426" i="1" s="1"/>
  <c r="H425" i="1"/>
  <c r="E425" i="1" s="1"/>
  <c r="H424" i="1"/>
  <c r="E424" i="1" s="1"/>
  <c r="H423" i="1"/>
  <c r="E423" i="1" s="1"/>
  <c r="H422" i="1"/>
  <c r="E422" i="1" s="1"/>
  <c r="H421" i="1"/>
  <c r="E421" i="1" s="1"/>
  <c r="H420" i="1"/>
  <c r="E420" i="1" s="1"/>
  <c r="H419" i="1"/>
  <c r="E419" i="1" s="1"/>
  <c r="H418" i="1"/>
  <c r="E418" i="1" s="1"/>
  <c r="H417" i="1"/>
  <c r="E417" i="1" s="1"/>
  <c r="H416" i="1"/>
  <c r="E416" i="1" s="1"/>
  <c r="H415" i="1"/>
  <c r="E415" i="1" s="1"/>
  <c r="H414" i="1"/>
  <c r="E414" i="1" s="1"/>
  <c r="H413" i="1"/>
  <c r="E413" i="1" s="1"/>
  <c r="H412" i="1"/>
  <c r="E412" i="1" s="1"/>
  <c r="H411" i="1"/>
  <c r="E411" i="1" s="1"/>
  <c r="H410" i="1"/>
  <c r="E410" i="1" s="1"/>
  <c r="H409" i="1"/>
  <c r="E409" i="1" s="1"/>
  <c r="H408" i="1"/>
  <c r="E408" i="1" s="1"/>
  <c r="H407" i="1"/>
  <c r="E407" i="1" s="1"/>
  <c r="H406" i="1"/>
  <c r="E406" i="1" s="1"/>
  <c r="H405" i="1"/>
  <c r="E405" i="1" s="1"/>
  <c r="H404" i="1"/>
  <c r="E404" i="1" s="1"/>
  <c r="H403" i="1"/>
  <c r="E403" i="1" s="1"/>
  <c r="H402" i="1"/>
  <c r="E402" i="1" s="1"/>
  <c r="H401" i="1"/>
  <c r="E401" i="1" s="1"/>
  <c r="H400" i="1"/>
  <c r="E400" i="1" s="1"/>
  <c r="H399" i="1"/>
  <c r="E399" i="1" s="1"/>
  <c r="H398" i="1"/>
  <c r="E398" i="1" s="1"/>
  <c r="H397" i="1"/>
  <c r="E397" i="1" s="1"/>
  <c r="H396" i="1"/>
  <c r="E396" i="1" s="1"/>
  <c r="H395" i="1"/>
  <c r="E395" i="1" s="1"/>
  <c r="H394" i="1"/>
  <c r="E394" i="1" s="1"/>
  <c r="H393" i="1"/>
  <c r="E393" i="1" s="1"/>
  <c r="H392" i="1"/>
  <c r="E392" i="1" s="1"/>
  <c r="H391" i="1"/>
  <c r="E391" i="1" s="1"/>
  <c r="H390" i="1"/>
  <c r="E390" i="1" s="1"/>
  <c r="H389" i="1"/>
  <c r="E389" i="1" s="1"/>
  <c r="H388" i="1"/>
  <c r="E388" i="1" s="1"/>
  <c r="H387" i="1"/>
  <c r="E387" i="1" s="1"/>
  <c r="H386" i="1"/>
  <c r="E386" i="1" s="1"/>
  <c r="H385" i="1"/>
  <c r="E385" i="1" s="1"/>
  <c r="H384" i="1"/>
  <c r="E384" i="1" s="1"/>
  <c r="H383" i="1"/>
  <c r="E383" i="1" s="1"/>
  <c r="H382" i="1"/>
  <c r="E382" i="1" s="1"/>
  <c r="H381" i="1"/>
  <c r="E381" i="1" s="1"/>
  <c r="H380" i="1"/>
  <c r="E380" i="1" s="1"/>
  <c r="H379" i="1"/>
  <c r="E379" i="1" s="1"/>
  <c r="H378" i="1"/>
  <c r="E378" i="1" s="1"/>
  <c r="H377" i="1"/>
  <c r="E377" i="1" s="1"/>
  <c r="H376" i="1"/>
  <c r="E376" i="1" s="1"/>
  <c r="H375" i="1"/>
  <c r="E375" i="1" s="1"/>
  <c r="H374" i="1"/>
  <c r="E374" i="1" s="1"/>
  <c r="H373" i="1"/>
  <c r="E373" i="1" s="1"/>
  <c r="H372" i="1"/>
  <c r="E372" i="1" s="1"/>
  <c r="H371" i="1"/>
  <c r="E371" i="1" s="1"/>
  <c r="H370" i="1"/>
  <c r="E370" i="1" s="1"/>
  <c r="H369" i="1"/>
  <c r="E369" i="1" s="1"/>
  <c r="H368" i="1"/>
  <c r="E368" i="1" s="1"/>
  <c r="H367" i="1"/>
  <c r="E367" i="1" s="1"/>
  <c r="H366" i="1"/>
  <c r="E366" i="1" s="1"/>
  <c r="H365" i="1"/>
  <c r="E365" i="1" s="1"/>
  <c r="H364" i="1"/>
  <c r="E364" i="1" s="1"/>
  <c r="H363" i="1"/>
  <c r="E363" i="1" s="1"/>
  <c r="H362" i="1"/>
  <c r="E362" i="1" s="1"/>
  <c r="H361" i="1"/>
  <c r="E361" i="1" s="1"/>
  <c r="H360" i="1"/>
  <c r="E360" i="1" s="1"/>
  <c r="H359" i="1"/>
  <c r="E359" i="1" s="1"/>
  <c r="H358" i="1"/>
  <c r="E358" i="1" s="1"/>
  <c r="H357" i="1"/>
  <c r="E357" i="1" s="1"/>
  <c r="H356" i="1"/>
  <c r="E356" i="1" s="1"/>
  <c r="H355" i="1"/>
  <c r="E355" i="1" s="1"/>
  <c r="H354" i="1"/>
  <c r="E354" i="1" s="1"/>
  <c r="H353" i="1"/>
  <c r="E353" i="1" s="1"/>
  <c r="H352" i="1"/>
  <c r="E352" i="1" s="1"/>
  <c r="H351" i="1"/>
  <c r="E351" i="1" s="1"/>
  <c r="H350" i="1"/>
  <c r="E350" i="1" s="1"/>
  <c r="H349" i="1"/>
  <c r="E349" i="1" s="1"/>
  <c r="H348" i="1"/>
  <c r="E348" i="1" s="1"/>
  <c r="H347" i="1"/>
  <c r="E347" i="1" s="1"/>
  <c r="H346" i="1"/>
  <c r="E346" i="1" s="1"/>
  <c r="H345" i="1"/>
  <c r="E345" i="1" s="1"/>
  <c r="H344" i="1"/>
  <c r="E344" i="1" s="1"/>
  <c r="H343" i="1"/>
  <c r="E343" i="1" s="1"/>
  <c r="H342" i="1"/>
  <c r="E342" i="1" s="1"/>
  <c r="H341" i="1"/>
  <c r="E341" i="1" s="1"/>
  <c r="H340" i="1"/>
  <c r="E340" i="1" s="1"/>
  <c r="H339" i="1"/>
  <c r="E339" i="1" s="1"/>
  <c r="H338" i="1"/>
  <c r="E338" i="1" s="1"/>
  <c r="H337" i="1"/>
  <c r="E337" i="1" s="1"/>
  <c r="H336" i="1"/>
  <c r="E336" i="1" s="1"/>
  <c r="H335" i="1"/>
  <c r="E335" i="1" s="1"/>
  <c r="H334" i="1"/>
  <c r="E334" i="1" s="1"/>
  <c r="H333" i="1"/>
  <c r="E333" i="1" s="1"/>
  <c r="H332" i="1"/>
  <c r="E332" i="1" s="1"/>
  <c r="H331" i="1"/>
  <c r="E331" i="1" s="1"/>
  <c r="H330" i="1"/>
  <c r="E330" i="1" s="1"/>
  <c r="H329" i="1"/>
  <c r="E329" i="1" s="1"/>
  <c r="H328" i="1"/>
  <c r="E328" i="1" s="1"/>
  <c r="H327" i="1"/>
  <c r="E327" i="1" s="1"/>
  <c r="H326" i="1"/>
  <c r="E326" i="1" s="1"/>
  <c r="H325" i="1"/>
  <c r="E325" i="1" s="1"/>
  <c r="H324" i="1"/>
  <c r="E324" i="1" s="1"/>
  <c r="H323" i="1"/>
  <c r="E323" i="1" s="1"/>
  <c r="H322" i="1"/>
  <c r="E322" i="1" s="1"/>
  <c r="H321" i="1"/>
  <c r="E321" i="1" s="1"/>
  <c r="H320" i="1"/>
  <c r="E320" i="1" s="1"/>
  <c r="H319" i="1"/>
  <c r="E319" i="1" s="1"/>
  <c r="H318" i="1"/>
  <c r="E318" i="1" s="1"/>
  <c r="H317" i="1"/>
  <c r="E317" i="1" s="1"/>
  <c r="H316" i="1"/>
  <c r="E316" i="1" s="1"/>
  <c r="H315" i="1"/>
  <c r="E315" i="1" s="1"/>
  <c r="H314" i="1"/>
  <c r="E314" i="1" s="1"/>
  <c r="H313" i="1"/>
  <c r="E313" i="1" s="1"/>
  <c r="H312" i="1"/>
  <c r="E312" i="1" s="1"/>
  <c r="H311" i="1"/>
  <c r="E311" i="1" s="1"/>
  <c r="H310" i="1"/>
  <c r="E310" i="1" s="1"/>
  <c r="H309" i="1"/>
  <c r="E309" i="1" s="1"/>
  <c r="H308" i="1"/>
  <c r="E308" i="1" s="1"/>
  <c r="H307" i="1"/>
  <c r="E307" i="1" s="1"/>
  <c r="H306" i="1"/>
  <c r="E306" i="1" s="1"/>
  <c r="H305" i="1"/>
  <c r="E305" i="1" s="1"/>
  <c r="H304" i="1"/>
  <c r="E304" i="1" s="1"/>
  <c r="H303" i="1"/>
  <c r="E303" i="1" s="1"/>
  <c r="H302" i="1"/>
  <c r="E302" i="1" s="1"/>
  <c r="H301" i="1"/>
  <c r="E301" i="1" s="1"/>
  <c r="H300" i="1"/>
  <c r="E300" i="1" s="1"/>
  <c r="H299" i="1"/>
  <c r="E299" i="1" s="1"/>
  <c r="H298" i="1"/>
  <c r="E298" i="1" s="1"/>
  <c r="H297" i="1"/>
  <c r="E297" i="1" s="1"/>
  <c r="H296" i="1"/>
  <c r="E296" i="1" s="1"/>
  <c r="H295" i="1"/>
  <c r="E295" i="1" s="1"/>
  <c r="H294" i="1"/>
  <c r="E294" i="1" s="1"/>
  <c r="H293" i="1"/>
  <c r="E293" i="1" s="1"/>
  <c r="H292" i="1"/>
  <c r="E292" i="1" s="1"/>
  <c r="H291" i="1"/>
  <c r="E291" i="1" s="1"/>
  <c r="H290" i="1"/>
  <c r="E290" i="1" s="1"/>
  <c r="H289" i="1"/>
  <c r="E289" i="1" s="1"/>
  <c r="H288" i="1"/>
  <c r="E288" i="1" s="1"/>
  <c r="H287" i="1"/>
  <c r="E287" i="1" s="1"/>
  <c r="H286" i="1"/>
  <c r="E286" i="1" s="1"/>
  <c r="H285" i="1"/>
  <c r="E285" i="1" s="1"/>
  <c r="H284" i="1"/>
  <c r="E284" i="1" s="1"/>
  <c r="H283" i="1"/>
  <c r="E283" i="1" s="1"/>
  <c r="H282" i="1"/>
  <c r="E282" i="1" s="1"/>
  <c r="H281" i="1"/>
  <c r="E281" i="1" s="1"/>
  <c r="H280" i="1"/>
  <c r="E280" i="1" s="1"/>
  <c r="H279" i="1"/>
  <c r="E279" i="1" s="1"/>
  <c r="H278" i="1"/>
  <c r="E278" i="1" s="1"/>
  <c r="H277" i="1"/>
  <c r="E277" i="1" s="1"/>
  <c r="H276" i="1"/>
  <c r="E276" i="1" s="1"/>
  <c r="H275" i="1"/>
  <c r="E275" i="1" s="1"/>
  <c r="H274" i="1"/>
  <c r="E274" i="1" s="1"/>
  <c r="H273" i="1"/>
  <c r="E273" i="1" s="1"/>
  <c r="H272" i="1"/>
  <c r="E272" i="1" s="1"/>
  <c r="H271" i="1"/>
  <c r="E271" i="1" s="1"/>
  <c r="H270" i="1"/>
  <c r="E270" i="1" s="1"/>
  <c r="H269" i="1"/>
  <c r="E269" i="1" s="1"/>
  <c r="H268" i="1"/>
  <c r="E268" i="1" s="1"/>
  <c r="H267" i="1"/>
  <c r="E267" i="1" s="1"/>
  <c r="H266" i="1"/>
  <c r="E266" i="1" s="1"/>
  <c r="H265" i="1"/>
  <c r="E265" i="1" s="1"/>
  <c r="H264" i="1"/>
  <c r="E264" i="1" s="1"/>
  <c r="H263" i="1"/>
  <c r="E263" i="1" s="1"/>
  <c r="H262" i="1"/>
  <c r="E262" i="1" s="1"/>
  <c r="H261" i="1"/>
  <c r="E261" i="1" s="1"/>
  <c r="H260" i="1"/>
  <c r="E260" i="1" s="1"/>
  <c r="H259" i="1"/>
  <c r="E259" i="1" s="1"/>
  <c r="H258" i="1"/>
  <c r="E258" i="1" s="1"/>
  <c r="H257" i="1"/>
  <c r="E257" i="1" s="1"/>
  <c r="H256" i="1"/>
  <c r="E256" i="1" s="1"/>
  <c r="H255" i="1"/>
  <c r="E255" i="1" s="1"/>
  <c r="H254" i="1"/>
  <c r="E254" i="1" s="1"/>
  <c r="H253" i="1"/>
  <c r="E253" i="1" s="1"/>
  <c r="H252" i="1"/>
  <c r="E252" i="1" s="1"/>
  <c r="H251" i="1"/>
  <c r="E251" i="1" s="1"/>
  <c r="H250" i="1"/>
  <c r="E250" i="1" s="1"/>
  <c r="H249" i="1"/>
  <c r="E249" i="1" s="1"/>
  <c r="H248" i="1"/>
  <c r="E248" i="1" s="1"/>
  <c r="H247" i="1"/>
  <c r="E247" i="1" s="1"/>
  <c r="H246" i="1"/>
  <c r="E246" i="1" s="1"/>
  <c r="H245" i="1"/>
  <c r="E245" i="1" s="1"/>
  <c r="H244" i="1"/>
  <c r="E244" i="1" s="1"/>
  <c r="H243" i="1"/>
  <c r="E243" i="1" s="1"/>
  <c r="H242" i="1"/>
  <c r="E242" i="1" s="1"/>
  <c r="H241" i="1"/>
  <c r="E241" i="1" s="1"/>
  <c r="H240" i="1"/>
  <c r="E240" i="1" s="1"/>
  <c r="H239" i="1"/>
  <c r="E239" i="1" s="1"/>
  <c r="H238" i="1"/>
  <c r="E238" i="1" s="1"/>
  <c r="H237" i="1"/>
  <c r="E237" i="1" s="1"/>
  <c r="H236" i="1"/>
  <c r="E236" i="1" s="1"/>
  <c r="H235" i="1"/>
  <c r="E235" i="1" s="1"/>
  <c r="H234" i="1"/>
  <c r="E234" i="1" s="1"/>
  <c r="H233" i="1"/>
  <c r="E233" i="1" s="1"/>
  <c r="H232" i="1"/>
  <c r="E232" i="1" s="1"/>
  <c r="H231" i="1"/>
  <c r="E231" i="1" s="1"/>
  <c r="H230" i="1"/>
  <c r="E230" i="1" s="1"/>
  <c r="H229" i="1"/>
  <c r="E229" i="1" s="1"/>
  <c r="H228" i="1"/>
  <c r="E228" i="1" s="1"/>
  <c r="H227" i="1"/>
  <c r="E227" i="1" s="1"/>
  <c r="H226" i="1"/>
  <c r="E226" i="1" s="1"/>
  <c r="H225" i="1"/>
  <c r="E225" i="1" s="1"/>
  <c r="H224" i="1"/>
  <c r="E224" i="1" s="1"/>
  <c r="H223" i="1"/>
  <c r="E223" i="1" s="1"/>
  <c r="H222" i="1"/>
  <c r="E222" i="1" s="1"/>
  <c r="H221" i="1"/>
  <c r="E221" i="1" s="1"/>
  <c r="H220" i="1"/>
  <c r="E220" i="1" s="1"/>
  <c r="H219" i="1"/>
  <c r="E219" i="1" s="1"/>
  <c r="H218" i="1"/>
  <c r="E218" i="1" s="1"/>
  <c r="H217" i="1"/>
  <c r="E217" i="1" s="1"/>
  <c r="H216" i="1"/>
  <c r="E216" i="1" s="1"/>
  <c r="H215" i="1"/>
  <c r="E215" i="1" s="1"/>
  <c r="H214" i="1"/>
  <c r="E214" i="1" s="1"/>
  <c r="H213" i="1"/>
  <c r="E213" i="1" s="1"/>
  <c r="H212" i="1"/>
  <c r="E212" i="1" s="1"/>
  <c r="H211" i="1"/>
  <c r="E211" i="1" s="1"/>
  <c r="H210" i="1"/>
  <c r="E210" i="1" s="1"/>
  <c r="H209" i="1"/>
  <c r="E209" i="1" s="1"/>
  <c r="H208" i="1"/>
  <c r="E208" i="1" s="1"/>
  <c r="H207" i="1"/>
  <c r="E207" i="1" s="1"/>
  <c r="H206" i="1"/>
  <c r="E206" i="1" s="1"/>
  <c r="H205" i="1"/>
  <c r="E205" i="1" s="1"/>
  <c r="H204" i="1"/>
  <c r="E204" i="1" s="1"/>
  <c r="H203" i="1"/>
  <c r="E203" i="1" s="1"/>
  <c r="H202" i="1"/>
  <c r="E202" i="1" s="1"/>
  <c r="H201" i="1"/>
  <c r="E201" i="1" s="1"/>
  <c r="H200" i="1"/>
  <c r="E200" i="1" s="1"/>
  <c r="H199" i="1"/>
  <c r="E199" i="1" s="1"/>
  <c r="H198" i="1"/>
  <c r="E198" i="1" s="1"/>
  <c r="H197" i="1"/>
  <c r="E197" i="1" s="1"/>
  <c r="H196" i="1"/>
  <c r="E196" i="1" s="1"/>
  <c r="H195" i="1"/>
  <c r="E195" i="1" s="1"/>
  <c r="H194" i="1"/>
  <c r="E194" i="1" s="1"/>
  <c r="H193" i="1"/>
  <c r="E193" i="1" s="1"/>
  <c r="H192" i="1"/>
  <c r="E192" i="1" s="1"/>
  <c r="H191" i="1"/>
  <c r="E191" i="1" s="1"/>
  <c r="H190" i="1"/>
  <c r="E190" i="1" s="1"/>
  <c r="H189" i="1"/>
  <c r="E189" i="1" s="1"/>
  <c r="H188" i="1"/>
  <c r="E188" i="1" s="1"/>
  <c r="H187" i="1"/>
  <c r="E187" i="1" s="1"/>
  <c r="H186" i="1"/>
  <c r="E186" i="1" s="1"/>
  <c r="H185" i="1"/>
  <c r="E185" i="1" s="1"/>
  <c r="H184" i="1"/>
  <c r="E184" i="1" s="1"/>
  <c r="H183" i="1"/>
  <c r="E183" i="1" s="1"/>
  <c r="H182" i="1"/>
  <c r="E182" i="1" s="1"/>
  <c r="H181" i="1"/>
  <c r="E181" i="1" s="1"/>
  <c r="H180" i="1"/>
  <c r="E180" i="1" s="1"/>
  <c r="H179" i="1"/>
  <c r="E179" i="1" s="1"/>
  <c r="H178" i="1"/>
  <c r="E178" i="1" s="1"/>
  <c r="H177" i="1"/>
  <c r="E177" i="1" s="1"/>
  <c r="H176" i="1"/>
  <c r="E176" i="1" s="1"/>
  <c r="H175" i="1"/>
  <c r="E175" i="1" s="1"/>
  <c r="H174" i="1"/>
  <c r="E174" i="1" s="1"/>
  <c r="H173" i="1"/>
  <c r="E173" i="1" s="1"/>
  <c r="H172" i="1"/>
  <c r="E172" i="1" s="1"/>
  <c r="H171" i="1"/>
  <c r="E171" i="1" s="1"/>
  <c r="H170" i="1"/>
  <c r="E170" i="1" s="1"/>
  <c r="H169" i="1"/>
  <c r="E169" i="1" s="1"/>
  <c r="H168" i="1"/>
  <c r="E168" i="1" s="1"/>
  <c r="H167" i="1"/>
  <c r="E167" i="1" s="1"/>
  <c r="H166" i="1"/>
  <c r="E166" i="1" s="1"/>
  <c r="H165" i="1"/>
  <c r="E165" i="1" s="1"/>
  <c r="H164" i="1"/>
  <c r="E164" i="1" s="1"/>
  <c r="H163" i="1"/>
  <c r="E163" i="1" s="1"/>
  <c r="H162" i="1"/>
  <c r="E162" i="1" s="1"/>
  <c r="H161" i="1"/>
  <c r="E161" i="1" s="1"/>
  <c r="H160" i="1"/>
  <c r="E160" i="1" s="1"/>
  <c r="H159" i="1"/>
  <c r="E159" i="1" s="1"/>
  <c r="H158" i="1"/>
  <c r="E158" i="1" s="1"/>
  <c r="H157" i="1"/>
  <c r="E157" i="1" s="1"/>
  <c r="H156" i="1"/>
  <c r="E156" i="1" s="1"/>
  <c r="H155" i="1"/>
  <c r="E155" i="1" s="1"/>
  <c r="H154" i="1"/>
  <c r="E154" i="1" s="1"/>
  <c r="H153" i="1"/>
  <c r="E153" i="1" s="1"/>
  <c r="H152" i="1"/>
  <c r="E152" i="1" s="1"/>
  <c r="H151" i="1"/>
  <c r="E151" i="1" s="1"/>
  <c r="H150" i="1"/>
  <c r="E150" i="1" s="1"/>
  <c r="H149" i="1"/>
  <c r="E149" i="1" s="1"/>
  <c r="H148" i="1"/>
  <c r="E148" i="1" s="1"/>
  <c r="H147" i="1"/>
  <c r="E147" i="1" s="1"/>
  <c r="H146" i="1"/>
  <c r="E146" i="1" s="1"/>
  <c r="H145" i="1"/>
  <c r="E145" i="1" s="1"/>
  <c r="H144" i="1"/>
  <c r="E144" i="1" s="1"/>
  <c r="H143" i="1"/>
  <c r="E143" i="1" s="1"/>
  <c r="H142" i="1"/>
  <c r="E142" i="1" s="1"/>
  <c r="H141" i="1"/>
  <c r="E141" i="1" s="1"/>
  <c r="H140" i="1"/>
  <c r="E140" i="1" s="1"/>
  <c r="H139" i="1"/>
  <c r="E139" i="1" s="1"/>
  <c r="H138" i="1"/>
  <c r="E138" i="1" s="1"/>
  <c r="H137" i="1"/>
  <c r="E137" i="1" s="1"/>
  <c r="H136" i="1"/>
  <c r="E136" i="1" s="1"/>
  <c r="H135" i="1"/>
  <c r="E135" i="1" s="1"/>
  <c r="H134" i="1"/>
  <c r="E134" i="1" s="1"/>
  <c r="H133" i="1"/>
  <c r="E133" i="1" s="1"/>
  <c r="H132" i="1"/>
  <c r="E132" i="1" s="1"/>
  <c r="H131" i="1"/>
  <c r="E131" i="1" s="1"/>
  <c r="H130" i="1"/>
  <c r="E130" i="1" s="1"/>
  <c r="H129" i="1"/>
  <c r="E129" i="1" s="1"/>
  <c r="H128" i="1"/>
  <c r="E128" i="1" s="1"/>
  <c r="H127" i="1"/>
  <c r="E127" i="1" s="1"/>
  <c r="H126" i="1"/>
  <c r="E126" i="1" s="1"/>
  <c r="H125" i="1"/>
  <c r="E125" i="1" s="1"/>
  <c r="H124" i="1"/>
  <c r="E124" i="1" s="1"/>
  <c r="H123" i="1"/>
  <c r="E123" i="1" s="1"/>
  <c r="H122" i="1"/>
  <c r="E122" i="1" s="1"/>
  <c r="H121" i="1"/>
  <c r="E121" i="1" s="1"/>
  <c r="H120" i="1"/>
  <c r="E120" i="1" s="1"/>
  <c r="H119" i="1"/>
  <c r="E119" i="1" s="1"/>
  <c r="H118" i="1"/>
  <c r="E118" i="1" s="1"/>
  <c r="H117" i="1"/>
  <c r="E117" i="1" s="1"/>
  <c r="H116" i="1"/>
  <c r="E116" i="1" s="1"/>
  <c r="H115" i="1"/>
  <c r="E115" i="1" s="1"/>
  <c r="H114" i="1"/>
  <c r="E114" i="1" s="1"/>
  <c r="H113" i="1"/>
  <c r="E113" i="1" s="1"/>
  <c r="H112" i="1"/>
  <c r="E112" i="1" s="1"/>
  <c r="H111" i="1"/>
  <c r="E111" i="1" s="1"/>
  <c r="H110" i="1"/>
  <c r="E110" i="1" s="1"/>
  <c r="H109" i="1"/>
  <c r="E109" i="1" s="1"/>
  <c r="H108" i="1"/>
  <c r="E108" i="1" s="1"/>
  <c r="H107" i="1"/>
  <c r="E107" i="1" s="1"/>
  <c r="H106" i="1"/>
  <c r="E106" i="1" s="1"/>
  <c r="H105" i="1"/>
  <c r="E105" i="1" s="1"/>
  <c r="H104" i="1"/>
  <c r="E104" i="1" s="1"/>
  <c r="H103" i="1"/>
  <c r="E103" i="1" s="1"/>
  <c r="H102" i="1"/>
  <c r="E102" i="1" s="1"/>
  <c r="H101" i="1"/>
  <c r="E101" i="1" s="1"/>
  <c r="H100" i="1"/>
  <c r="E100" i="1" s="1"/>
  <c r="H99" i="1"/>
  <c r="E99" i="1" s="1"/>
  <c r="H98" i="1"/>
  <c r="E98" i="1" s="1"/>
  <c r="H97" i="1"/>
  <c r="E97" i="1" s="1"/>
  <c r="H96" i="1"/>
  <c r="E96" i="1" s="1"/>
  <c r="H95" i="1"/>
  <c r="E95" i="1" s="1"/>
  <c r="H94" i="1"/>
  <c r="E94" i="1" s="1"/>
  <c r="H93" i="1"/>
  <c r="E93" i="1" s="1"/>
  <c r="H92" i="1"/>
  <c r="E92" i="1" s="1"/>
  <c r="H91" i="1"/>
  <c r="E91" i="1" s="1"/>
  <c r="H90" i="1"/>
  <c r="E90" i="1" s="1"/>
  <c r="H89" i="1"/>
  <c r="E89" i="1" s="1"/>
  <c r="H88" i="1"/>
  <c r="E88" i="1" s="1"/>
  <c r="H87" i="1"/>
  <c r="E87" i="1" s="1"/>
  <c r="H86" i="1"/>
  <c r="E86" i="1" s="1"/>
  <c r="H85" i="1"/>
  <c r="E85" i="1" s="1"/>
  <c r="H84" i="1"/>
  <c r="E84" i="1" s="1"/>
  <c r="H83" i="1"/>
  <c r="E83" i="1" s="1"/>
  <c r="H82" i="1"/>
  <c r="E82" i="1" s="1"/>
  <c r="H81" i="1"/>
  <c r="E81" i="1" s="1"/>
  <c r="H80" i="1"/>
  <c r="E80" i="1" s="1"/>
  <c r="H79" i="1"/>
  <c r="E79" i="1" s="1"/>
  <c r="H78" i="1"/>
  <c r="E78" i="1" s="1"/>
  <c r="H77" i="1"/>
  <c r="E77" i="1" s="1"/>
  <c r="H76" i="1"/>
  <c r="E76" i="1" s="1"/>
  <c r="H75" i="1"/>
  <c r="E75" i="1" s="1"/>
  <c r="H74" i="1"/>
  <c r="E74" i="1" s="1"/>
  <c r="H73" i="1"/>
  <c r="E73" i="1" s="1"/>
  <c r="H72" i="1"/>
  <c r="E72" i="1" s="1"/>
  <c r="H71" i="1"/>
  <c r="E71" i="1" s="1"/>
  <c r="H70" i="1"/>
  <c r="E70" i="1" s="1"/>
  <c r="H69" i="1"/>
  <c r="E69" i="1" s="1"/>
  <c r="H68" i="1"/>
  <c r="E68" i="1" s="1"/>
  <c r="H67" i="1"/>
  <c r="E67" i="1" s="1"/>
  <c r="H66" i="1"/>
  <c r="E66" i="1" s="1"/>
  <c r="H65" i="1"/>
  <c r="E65" i="1" s="1"/>
  <c r="H64" i="1"/>
  <c r="E64" i="1" s="1"/>
  <c r="H63" i="1"/>
  <c r="E63" i="1" s="1"/>
  <c r="H62" i="1"/>
  <c r="E62" i="1" s="1"/>
  <c r="H61" i="1"/>
  <c r="E61" i="1" s="1"/>
  <c r="H60" i="1"/>
  <c r="E60" i="1" s="1"/>
  <c r="H59" i="1"/>
  <c r="E59" i="1" s="1"/>
  <c r="H58" i="1"/>
  <c r="E58" i="1" s="1"/>
  <c r="H57" i="1"/>
  <c r="E57" i="1" s="1"/>
  <c r="H56" i="1"/>
  <c r="E56" i="1" s="1"/>
  <c r="H55" i="1"/>
  <c r="E55" i="1" s="1"/>
  <c r="H54" i="1"/>
  <c r="E54" i="1" s="1"/>
  <c r="H53" i="1"/>
  <c r="E53" i="1" s="1"/>
  <c r="H52" i="1"/>
  <c r="E52" i="1" s="1"/>
  <c r="F52" i="1" s="1"/>
  <c r="H51" i="1"/>
  <c r="E51" i="1" s="1"/>
  <c r="H50" i="1"/>
  <c r="E50" i="1" s="1"/>
  <c r="H49" i="1"/>
  <c r="E49" i="1" s="1"/>
  <c r="H48" i="1"/>
  <c r="E48" i="1" s="1"/>
  <c r="H47" i="1"/>
  <c r="E47" i="1" s="1"/>
  <c r="H46" i="1"/>
  <c r="E46" i="1" s="1"/>
  <c r="H45" i="1"/>
  <c r="E45" i="1" s="1"/>
  <c r="H44" i="1"/>
  <c r="E44" i="1" s="1"/>
  <c r="H43" i="1"/>
  <c r="E43" i="1" s="1"/>
  <c r="H42" i="1"/>
  <c r="E42" i="1" s="1"/>
  <c r="H41" i="1"/>
  <c r="E41" i="1" s="1"/>
  <c r="H40" i="1"/>
  <c r="E40" i="1" s="1"/>
  <c r="H39" i="1"/>
  <c r="E39" i="1" s="1"/>
  <c r="H38" i="1"/>
  <c r="E38" i="1" s="1"/>
  <c r="H37" i="1"/>
  <c r="E37" i="1" s="1"/>
  <c r="H36" i="1"/>
  <c r="E36" i="1" s="1"/>
  <c r="H35" i="1"/>
  <c r="E35" i="1" s="1"/>
  <c r="H34" i="1"/>
  <c r="E34" i="1" s="1"/>
  <c r="H33" i="1"/>
  <c r="E33" i="1" s="1"/>
  <c r="H32" i="1"/>
  <c r="E32" i="1" s="1"/>
  <c r="H31" i="1"/>
  <c r="E31" i="1" s="1"/>
  <c r="H30" i="1"/>
  <c r="E30" i="1" s="1"/>
  <c r="H29" i="1"/>
  <c r="E29" i="1" s="1"/>
  <c r="H28" i="1"/>
  <c r="E28" i="1" s="1"/>
  <c r="H27" i="1"/>
  <c r="E27" i="1" s="1"/>
  <c r="H26" i="1"/>
  <c r="E26" i="1" s="1"/>
  <c r="H25" i="1"/>
  <c r="E25" i="1" s="1"/>
  <c r="H24" i="1"/>
  <c r="E24" i="1" s="1"/>
  <c r="H23" i="1"/>
  <c r="E23" i="1" s="1"/>
  <c r="H22" i="1"/>
  <c r="E22" i="1" s="1"/>
  <c r="H21" i="1"/>
  <c r="E21" i="1" s="1"/>
  <c r="H20" i="1"/>
  <c r="E20" i="1" s="1"/>
  <c r="F20" i="1" s="1"/>
  <c r="H19" i="1"/>
  <c r="E19" i="1" s="1"/>
  <c r="H18" i="1"/>
  <c r="E18" i="1" s="1"/>
  <c r="H17" i="1"/>
  <c r="E17" i="1" s="1"/>
  <c r="H16" i="1"/>
  <c r="E16" i="1" s="1"/>
  <c r="H15" i="1"/>
  <c r="E15" i="1" s="1"/>
  <c r="D15" i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D367" i="1" s="1"/>
  <c r="D368" i="1" s="1"/>
  <c r="D369" i="1" s="1"/>
  <c r="D370" i="1" s="1"/>
  <c r="D371" i="1" s="1"/>
  <c r="D372" i="1" s="1"/>
  <c r="D373" i="1" s="1"/>
  <c r="D374" i="1" s="1"/>
  <c r="D375" i="1" s="1"/>
  <c r="D376" i="1" s="1"/>
  <c r="D377" i="1" s="1"/>
  <c r="D378" i="1" s="1"/>
  <c r="D379" i="1" s="1"/>
  <c r="D380" i="1" s="1"/>
  <c r="D381" i="1" s="1"/>
  <c r="D382" i="1" s="1"/>
  <c r="D383" i="1" s="1"/>
  <c r="D384" i="1" s="1"/>
  <c r="D385" i="1" s="1"/>
  <c r="D386" i="1" s="1"/>
  <c r="D387" i="1" s="1"/>
  <c r="D388" i="1" s="1"/>
  <c r="D389" i="1" s="1"/>
  <c r="D390" i="1" s="1"/>
  <c r="D391" i="1" s="1"/>
  <c r="D392" i="1" s="1"/>
  <c r="D393" i="1" s="1"/>
  <c r="D394" i="1" s="1"/>
  <c r="D395" i="1" s="1"/>
  <c r="D396" i="1" s="1"/>
  <c r="D397" i="1" s="1"/>
  <c r="D398" i="1" s="1"/>
  <c r="D399" i="1" s="1"/>
  <c r="D400" i="1" s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 s="1"/>
  <c r="D414" i="1" s="1"/>
  <c r="D415" i="1" s="1"/>
  <c r="D416" i="1" s="1"/>
  <c r="D417" i="1" s="1"/>
  <c r="D418" i="1" s="1"/>
  <c r="D419" i="1" s="1"/>
  <c r="D420" i="1" s="1"/>
  <c r="D421" i="1" s="1"/>
  <c r="D422" i="1" s="1"/>
  <c r="D423" i="1" s="1"/>
  <c r="D424" i="1" s="1"/>
  <c r="D425" i="1" s="1"/>
  <c r="D426" i="1" s="1"/>
  <c r="D427" i="1" s="1"/>
  <c r="D428" i="1" s="1"/>
  <c r="D429" i="1" s="1"/>
  <c r="D430" i="1" s="1"/>
  <c r="D431" i="1" s="1"/>
  <c r="D432" i="1" s="1"/>
  <c r="D433" i="1" s="1"/>
  <c r="D434" i="1" s="1"/>
  <c r="D435" i="1" s="1"/>
  <c r="D436" i="1" s="1"/>
  <c r="D437" i="1" s="1"/>
  <c r="D438" i="1" s="1"/>
  <c r="D439" i="1" s="1"/>
  <c r="D440" i="1" s="1"/>
  <c r="D441" i="1" s="1"/>
  <c r="D442" i="1" s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D461" i="1" s="1"/>
  <c r="D462" i="1" s="1"/>
  <c r="D463" i="1" s="1"/>
  <c r="D464" i="1" s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 s="1"/>
  <c r="D481" i="1" s="1"/>
  <c r="D482" i="1" s="1"/>
  <c r="D483" i="1" s="1"/>
  <c r="D484" i="1" s="1"/>
  <c r="D485" i="1" s="1"/>
  <c r="D486" i="1" s="1"/>
  <c r="D487" i="1" s="1"/>
  <c r="D488" i="1" s="1"/>
  <c r="D489" i="1" s="1"/>
  <c r="D490" i="1" s="1"/>
  <c r="D491" i="1" s="1"/>
  <c r="D492" i="1" s="1"/>
  <c r="D493" i="1" s="1"/>
  <c r="D494" i="1" s="1"/>
  <c r="D495" i="1" s="1"/>
  <c r="D496" i="1" s="1"/>
  <c r="D497" i="1" s="1"/>
  <c r="D498" i="1" s="1"/>
  <c r="D499" i="1" s="1"/>
  <c r="D500" i="1" s="1"/>
  <c r="D501" i="1" s="1"/>
  <c r="D502" i="1" s="1"/>
  <c r="D503" i="1" s="1"/>
  <c r="D504" i="1" s="1"/>
  <c r="D505" i="1" s="1"/>
  <c r="D506" i="1" s="1"/>
  <c r="D507" i="1" s="1"/>
  <c r="D508" i="1" s="1"/>
  <c r="D509" i="1" s="1"/>
  <c r="D510" i="1" s="1"/>
  <c r="D511" i="1" s="1"/>
  <c r="D512" i="1" s="1"/>
  <c r="D513" i="1" s="1"/>
  <c r="D514" i="1" s="1"/>
  <c r="C15" i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B17" i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E7" i="5" l="1"/>
  <c r="M6" i="5"/>
  <c r="O6" i="5" s="1"/>
  <c r="N6" i="5"/>
  <c r="P6" i="5" s="1"/>
  <c r="N5" i="5"/>
  <c r="P5" i="5" s="1"/>
  <c r="Q5" i="5" s="1"/>
  <c r="R5" i="5" s="1"/>
  <c r="C11" i="4"/>
  <c r="F76" i="1"/>
  <c r="A13" i="2"/>
  <c r="D147" i="2"/>
  <c r="E147" i="2" s="1"/>
  <c r="D179" i="2"/>
  <c r="E179" i="2" s="1"/>
  <c r="D203" i="2"/>
  <c r="E203" i="2" s="1"/>
  <c r="D211" i="2"/>
  <c r="E211" i="2" s="1"/>
  <c r="D259" i="2"/>
  <c r="E259" i="2" s="1"/>
  <c r="D291" i="2"/>
  <c r="E291" i="2" s="1"/>
  <c r="D323" i="2"/>
  <c r="E323" i="2" s="1"/>
  <c r="D355" i="2"/>
  <c r="E355" i="2" s="1"/>
  <c r="D419" i="2"/>
  <c r="E419" i="2" s="1"/>
  <c r="D491" i="2"/>
  <c r="E491" i="2" s="1"/>
  <c r="D499" i="2"/>
  <c r="E499" i="2" s="1"/>
  <c r="D996" i="2"/>
  <c r="E996" i="2" s="1"/>
  <c r="K5" i="2"/>
  <c r="K4" i="2"/>
  <c r="K2" i="2"/>
  <c r="K3" i="2"/>
  <c r="D87" i="2"/>
  <c r="E87" i="2" s="1"/>
  <c r="D151" i="2"/>
  <c r="E151" i="2" s="1"/>
  <c r="D175" i="2"/>
  <c r="E175" i="2" s="1"/>
  <c r="D183" i="2"/>
  <c r="E183" i="2" s="1"/>
  <c r="D207" i="2"/>
  <c r="E207" i="2" s="1"/>
  <c r="D223" i="2"/>
  <c r="E223" i="2" s="1"/>
  <c r="D231" i="2"/>
  <c r="E231" i="2" s="1"/>
  <c r="D327" i="2"/>
  <c r="E327" i="2" s="1"/>
  <c r="D367" i="2"/>
  <c r="E367" i="2" s="1"/>
  <c r="D375" i="2"/>
  <c r="E375" i="2" s="1"/>
  <c r="D391" i="2"/>
  <c r="E391" i="2" s="1"/>
  <c r="D463" i="2"/>
  <c r="E463" i="2" s="1"/>
  <c r="D559" i="2"/>
  <c r="E559" i="2" s="1"/>
  <c r="D575" i="2"/>
  <c r="E575" i="2" s="1"/>
  <c r="D591" i="2"/>
  <c r="E591" i="2" s="1"/>
  <c r="D615" i="2"/>
  <c r="E615" i="2" s="1"/>
  <c r="D623" i="2"/>
  <c r="E623" i="2" s="1"/>
  <c r="D647" i="2"/>
  <c r="E647" i="2" s="1"/>
  <c r="D655" i="2"/>
  <c r="E655" i="2" s="1"/>
  <c r="D679" i="2"/>
  <c r="E679" i="2" s="1"/>
  <c r="D711" i="2"/>
  <c r="E711" i="2" s="1"/>
  <c r="D719" i="2"/>
  <c r="E719" i="2" s="1"/>
  <c r="D743" i="2"/>
  <c r="E743" i="2" s="1"/>
  <c r="D88" i="2"/>
  <c r="E88" i="2" s="1"/>
  <c r="D112" i="2"/>
  <c r="E112" i="2" s="1"/>
  <c r="D128" i="2"/>
  <c r="E128" i="2" s="1"/>
  <c r="D184" i="2"/>
  <c r="E184" i="2" s="1"/>
  <c r="D224" i="2"/>
  <c r="E224" i="2" s="1"/>
  <c r="D248" i="2"/>
  <c r="E248" i="2" s="1"/>
  <c r="D360" i="2"/>
  <c r="E360" i="2" s="1"/>
  <c r="D432" i="2"/>
  <c r="E432" i="2" s="1"/>
  <c r="D536" i="2"/>
  <c r="E536" i="2" s="1"/>
  <c r="D560" i="2"/>
  <c r="E560" i="2" s="1"/>
  <c r="D17" i="2"/>
  <c r="E17" i="2" s="1"/>
  <c r="D25" i="2"/>
  <c r="E25" i="2" s="1"/>
  <c r="D33" i="2"/>
  <c r="E33" i="2" s="1"/>
  <c r="D49" i="2"/>
  <c r="E49" i="2" s="1"/>
  <c r="D57" i="2"/>
  <c r="E57" i="2" s="1"/>
  <c r="D65" i="2"/>
  <c r="E65" i="2" s="1"/>
  <c r="D81" i="2"/>
  <c r="E81" i="2" s="1"/>
  <c r="D113" i="2"/>
  <c r="E113" i="2" s="1"/>
  <c r="D121" i="2"/>
  <c r="E121" i="2" s="1"/>
  <c r="D145" i="2"/>
  <c r="E145" i="2" s="1"/>
  <c r="D153" i="2"/>
  <c r="E153" i="2" s="1"/>
  <c r="D201" i="2"/>
  <c r="E201" i="2" s="1"/>
  <c r="D225" i="2"/>
  <c r="E225" i="2" s="1"/>
  <c r="D257" i="2"/>
  <c r="E257" i="2" s="1"/>
  <c r="D289" i="2"/>
  <c r="E289" i="2" s="1"/>
  <c r="D345" i="2"/>
  <c r="E345" i="2" s="1"/>
  <c r="D457" i="2"/>
  <c r="E457" i="2" s="1"/>
  <c r="D505" i="2"/>
  <c r="E505" i="2" s="1"/>
  <c r="D18" i="2"/>
  <c r="E18" i="2" s="1"/>
  <c r="D42" i="2"/>
  <c r="E42" i="2" s="1"/>
  <c r="D50" i="2"/>
  <c r="E50" i="2" s="1"/>
  <c r="D82" i="2"/>
  <c r="E82" i="2" s="1"/>
  <c r="D90" i="2"/>
  <c r="E90" i="2" s="1"/>
  <c r="D106" i="2"/>
  <c r="E106" i="2" s="1"/>
  <c r="D114" i="2"/>
  <c r="E114" i="2" s="1"/>
  <c r="D122" i="2"/>
  <c r="E122" i="2" s="1"/>
  <c r="D138" i="2"/>
  <c r="E138" i="2" s="1"/>
  <c r="D146" i="2"/>
  <c r="E146" i="2" s="1"/>
  <c r="D394" i="2"/>
  <c r="E394" i="2" s="1"/>
  <c r="D426" i="2"/>
  <c r="E426" i="2" s="1"/>
  <c r="D442" i="2"/>
  <c r="E442" i="2" s="1"/>
  <c r="D133" i="2"/>
  <c r="E133" i="2" s="1"/>
  <c r="D293" i="2"/>
  <c r="E293" i="2" s="1"/>
  <c r="D325" i="2"/>
  <c r="E325" i="2" s="1"/>
  <c r="D341" i="2"/>
  <c r="E341" i="2" s="1"/>
  <c r="D349" i="2"/>
  <c r="E349" i="2" s="1"/>
  <c r="D381" i="2"/>
  <c r="E381" i="2" s="1"/>
  <c r="D397" i="2"/>
  <c r="E397" i="2" s="1"/>
  <c r="D206" i="2"/>
  <c r="E206" i="2" s="1"/>
  <c r="D270" i="2"/>
  <c r="E270" i="2" s="1"/>
  <c r="D414" i="2"/>
  <c r="E414" i="2" s="1"/>
  <c r="D815" i="2"/>
  <c r="E815" i="2" s="1"/>
  <c r="K8" i="2"/>
  <c r="K7" i="2"/>
  <c r="D616" i="2"/>
  <c r="E616" i="2" s="1"/>
  <c r="D648" i="2"/>
  <c r="E648" i="2" s="1"/>
  <c r="D656" i="2"/>
  <c r="E656" i="2" s="1"/>
  <c r="D680" i="2"/>
  <c r="E680" i="2" s="1"/>
  <c r="D704" i="2"/>
  <c r="E704" i="2" s="1"/>
  <c r="D808" i="2"/>
  <c r="E808" i="2" s="1"/>
  <c r="D840" i="2"/>
  <c r="E840" i="2" s="1"/>
  <c r="D880" i="2"/>
  <c r="E880" i="2" s="1"/>
  <c r="D896" i="2"/>
  <c r="E896" i="2" s="1"/>
  <c r="D904" i="2"/>
  <c r="E904" i="2" s="1"/>
  <c r="D912" i="2"/>
  <c r="E912" i="2" s="1"/>
  <c r="D538" i="2"/>
  <c r="E538" i="2" s="1"/>
  <c r="D562" i="2"/>
  <c r="E562" i="2" s="1"/>
  <c r="D570" i="2"/>
  <c r="E570" i="2" s="1"/>
  <c r="D618" i="2"/>
  <c r="E618" i="2" s="1"/>
  <c r="D626" i="2"/>
  <c r="E626" i="2" s="1"/>
  <c r="D634" i="2"/>
  <c r="E634" i="2" s="1"/>
  <c r="D531" i="2"/>
  <c r="E531" i="2" s="1"/>
  <c r="D579" i="2"/>
  <c r="E579" i="2" s="1"/>
  <c r="D587" i="2"/>
  <c r="E587" i="2" s="1"/>
  <c r="D627" i="2"/>
  <c r="E627" i="2" s="1"/>
  <c r="D635" i="2"/>
  <c r="E635" i="2" s="1"/>
  <c r="D691" i="2"/>
  <c r="E691" i="2" s="1"/>
  <c r="D699" i="2"/>
  <c r="E699" i="2" s="1"/>
  <c r="D755" i="2"/>
  <c r="E755" i="2" s="1"/>
  <c r="D787" i="2"/>
  <c r="E787" i="2" s="1"/>
  <c r="D883" i="2"/>
  <c r="E883" i="2" s="1"/>
  <c r="D899" i="2"/>
  <c r="E899" i="2" s="1"/>
  <c r="D847" i="2"/>
  <c r="E847" i="2" s="1"/>
  <c r="D871" i="2"/>
  <c r="E871" i="2" s="1"/>
  <c r="D903" i="2"/>
  <c r="E903" i="2" s="1"/>
  <c r="D911" i="2"/>
  <c r="E911" i="2" s="1"/>
  <c r="D935" i="2"/>
  <c r="E935" i="2" s="1"/>
  <c r="D967" i="2"/>
  <c r="E967" i="2" s="1"/>
  <c r="D999" i="2"/>
  <c r="E999" i="2" s="1"/>
  <c r="D1007" i="2"/>
  <c r="E1007" i="2" s="1"/>
  <c r="D690" i="2"/>
  <c r="E690" i="2" s="1"/>
  <c r="D730" i="2"/>
  <c r="E730" i="2" s="1"/>
  <c r="D762" i="2"/>
  <c r="E762" i="2" s="1"/>
  <c r="D786" i="2"/>
  <c r="E786" i="2" s="1"/>
  <c r="D794" i="2"/>
  <c r="E794" i="2" s="1"/>
  <c r="D818" i="2"/>
  <c r="E818" i="2" s="1"/>
  <c r="D826" i="2"/>
  <c r="E826" i="2" s="1"/>
  <c r="D874" i="2"/>
  <c r="E874" i="2" s="1"/>
  <c r="D882" i="2"/>
  <c r="E882" i="2" s="1"/>
  <c r="D986" i="2"/>
  <c r="E986" i="2" s="1"/>
  <c r="D645" i="2"/>
  <c r="E645" i="2" s="1"/>
  <c r="D669" i="2"/>
  <c r="E669" i="2" s="1"/>
  <c r="D853" i="2"/>
  <c r="E853" i="2" s="1"/>
  <c r="D893" i="2"/>
  <c r="E893" i="2" s="1"/>
  <c r="D542" i="2"/>
  <c r="E542" i="2" s="1"/>
  <c r="D598" i="2"/>
  <c r="E598" i="2" s="1"/>
  <c r="D638" i="2"/>
  <c r="E638" i="2" s="1"/>
  <c r="D670" i="2"/>
  <c r="E670" i="2" s="1"/>
  <c r="D702" i="2"/>
  <c r="E702" i="2" s="1"/>
  <c r="D710" i="2"/>
  <c r="E710" i="2" s="1"/>
  <c r="D726" i="2"/>
  <c r="E726" i="2" s="1"/>
  <c r="D734" i="2"/>
  <c r="E734" i="2" s="1"/>
  <c r="D926" i="2"/>
  <c r="E926" i="2" s="1"/>
  <c r="D990" i="2"/>
  <c r="E990" i="2" s="1"/>
  <c r="D933" i="2"/>
  <c r="E933" i="2" s="1"/>
  <c r="D949" i="2"/>
  <c r="E949" i="2" s="1"/>
  <c r="D965" i="2"/>
  <c r="E965" i="2" s="1"/>
  <c r="D928" i="2"/>
  <c r="E928" i="2" s="1"/>
  <c r="D960" i="2"/>
  <c r="E960" i="2" s="1"/>
  <c r="D968" i="2"/>
  <c r="E968" i="2" s="1"/>
  <c r="D992" i="2"/>
  <c r="E992" i="2" s="1"/>
  <c r="D117" i="2"/>
  <c r="E117" i="2" s="1"/>
  <c r="D205" i="2"/>
  <c r="E205" i="2" s="1"/>
  <c r="D233" i="2"/>
  <c r="E233" i="2" s="1"/>
  <c r="D271" i="2"/>
  <c r="E271" i="2" s="1"/>
  <c r="D357" i="2"/>
  <c r="E357" i="2" s="1"/>
  <c r="D386" i="2"/>
  <c r="E386" i="2" s="1"/>
  <c r="D416" i="2"/>
  <c r="E416" i="2" s="1"/>
  <c r="D452" i="2"/>
  <c r="E452" i="2" s="1"/>
  <c r="D520" i="2"/>
  <c r="E520" i="2" s="1"/>
  <c r="D551" i="2"/>
  <c r="E551" i="2" s="1"/>
  <c r="D620" i="2"/>
  <c r="E620" i="2" s="1"/>
  <c r="D643" i="2"/>
  <c r="E643" i="2" s="1"/>
  <c r="D717" i="2"/>
  <c r="E717" i="2" s="1"/>
  <c r="D725" i="2"/>
  <c r="E725" i="2" s="1"/>
  <c r="D842" i="2"/>
  <c r="E842" i="2" s="1"/>
  <c r="D850" i="2"/>
  <c r="E850" i="2" s="1"/>
  <c r="D857" i="2"/>
  <c r="E857" i="2" s="1"/>
  <c r="D865" i="2"/>
  <c r="E865" i="2" s="1"/>
  <c r="D971" i="2"/>
  <c r="E971" i="2" s="1"/>
  <c r="D19" i="2"/>
  <c r="E19" i="2" s="1"/>
  <c r="D27" i="2"/>
  <c r="E27" i="2" s="1"/>
  <c r="D35" i="2"/>
  <c r="E35" i="2" s="1"/>
  <c r="D43" i="2"/>
  <c r="E43" i="2" s="1"/>
  <c r="D51" i="2"/>
  <c r="E51" i="2" s="1"/>
  <c r="D59" i="2"/>
  <c r="E59" i="2" s="1"/>
  <c r="D67" i="2"/>
  <c r="E67" i="2" s="1"/>
  <c r="D75" i="2"/>
  <c r="E75" i="2" s="1"/>
  <c r="D83" i="2"/>
  <c r="E83" i="2" s="1"/>
  <c r="D96" i="2"/>
  <c r="E96" i="2" s="1"/>
  <c r="D104" i="2"/>
  <c r="E104" i="2" s="1"/>
  <c r="D111" i="2"/>
  <c r="E111" i="2" s="1"/>
  <c r="D118" i="2"/>
  <c r="E118" i="2" s="1"/>
  <c r="D126" i="2"/>
  <c r="E126" i="2" s="1"/>
  <c r="D140" i="2"/>
  <c r="E140" i="2" s="1"/>
  <c r="D162" i="2"/>
  <c r="E162" i="2" s="1"/>
  <c r="D170" i="2"/>
  <c r="E170" i="2" s="1"/>
  <c r="D177" i="2"/>
  <c r="E177" i="2" s="1"/>
  <c r="D191" i="2"/>
  <c r="E191" i="2" s="1"/>
  <c r="D199" i="2"/>
  <c r="E199" i="2" s="1"/>
  <c r="D212" i="2"/>
  <c r="E212" i="2" s="1"/>
  <c r="D220" i="2"/>
  <c r="E220" i="2" s="1"/>
  <c r="D227" i="2"/>
  <c r="E227" i="2" s="1"/>
  <c r="D234" i="2"/>
  <c r="E234" i="2" s="1"/>
  <c r="D242" i="2"/>
  <c r="E242" i="2" s="1"/>
  <c r="D250" i="2"/>
  <c r="E250" i="2" s="1"/>
  <c r="D264" i="2"/>
  <c r="E264" i="2" s="1"/>
  <c r="D272" i="2"/>
  <c r="E272" i="2" s="1"/>
  <c r="D280" i="2"/>
  <c r="E280" i="2" s="1"/>
  <c r="D301" i="2"/>
  <c r="E301" i="2" s="1"/>
  <c r="D309" i="2"/>
  <c r="E309" i="2" s="1"/>
  <c r="D317" i="2"/>
  <c r="E317" i="2" s="1"/>
  <c r="D324" i="2"/>
  <c r="E324" i="2" s="1"/>
  <c r="D330" i="2"/>
  <c r="E330" i="2" s="1"/>
  <c r="D338" i="2"/>
  <c r="E338" i="2" s="1"/>
  <c r="D351" i="2"/>
  <c r="E351" i="2" s="1"/>
  <c r="D358" i="2"/>
  <c r="E358" i="2" s="1"/>
  <c r="D366" i="2"/>
  <c r="E366" i="2" s="1"/>
  <c r="D373" i="2"/>
  <c r="E373" i="2" s="1"/>
  <c r="D380" i="2"/>
  <c r="E380" i="2" s="1"/>
  <c r="D387" i="2"/>
  <c r="E387" i="2" s="1"/>
  <c r="D401" i="2"/>
  <c r="E401" i="2" s="1"/>
  <c r="D409" i="2"/>
  <c r="E409" i="2" s="1"/>
  <c r="D417" i="2"/>
  <c r="E417" i="2" s="1"/>
  <c r="D424" i="2"/>
  <c r="E424" i="2" s="1"/>
  <c r="D431" i="2"/>
  <c r="E431" i="2" s="1"/>
  <c r="D438" i="2"/>
  <c r="E438" i="2" s="1"/>
  <c r="D445" i="2"/>
  <c r="E445" i="2" s="1"/>
  <c r="D453" i="2"/>
  <c r="E453" i="2" s="1"/>
  <c r="D460" i="2"/>
  <c r="E460" i="2" s="1"/>
  <c r="D467" i="2"/>
  <c r="E467" i="2" s="1"/>
  <c r="D475" i="2"/>
  <c r="E475" i="2" s="1"/>
  <c r="D483" i="2"/>
  <c r="E483" i="2" s="1"/>
  <c r="D498" i="2"/>
  <c r="E498" i="2" s="1"/>
  <c r="D513" i="2"/>
  <c r="E513" i="2" s="1"/>
  <c r="D521" i="2"/>
  <c r="E521" i="2" s="1"/>
  <c r="D529" i="2"/>
  <c r="E529" i="2" s="1"/>
  <c r="D544" i="2"/>
  <c r="E544" i="2" s="1"/>
  <c r="D552" i="2"/>
  <c r="E552" i="2" s="1"/>
  <c r="D621" i="2"/>
  <c r="E621" i="2" s="1"/>
  <c r="D629" i="2"/>
  <c r="E629" i="2" s="1"/>
  <c r="D636" i="2"/>
  <c r="E636" i="2" s="1"/>
  <c r="D703" i="2"/>
  <c r="E703" i="2" s="1"/>
  <c r="D811" i="2"/>
  <c r="E811" i="2" s="1"/>
  <c r="D819" i="2"/>
  <c r="E819" i="2" s="1"/>
  <c r="D827" i="2"/>
  <c r="E827" i="2" s="1"/>
  <c r="D835" i="2"/>
  <c r="E835" i="2" s="1"/>
  <c r="D843" i="2"/>
  <c r="E843" i="2" s="1"/>
  <c r="D851" i="2"/>
  <c r="E851" i="2" s="1"/>
  <c r="D858" i="2"/>
  <c r="E858" i="2" s="1"/>
  <c r="D964" i="2"/>
  <c r="E964" i="2" s="1"/>
  <c r="D288" i="2"/>
  <c r="E288" i="2" s="1"/>
  <c r="D103" i="2"/>
  <c r="E103" i="2" s="1"/>
  <c r="D198" i="2"/>
  <c r="E198" i="2" s="1"/>
  <c r="D226" i="2"/>
  <c r="E226" i="2" s="1"/>
  <c r="D263" i="2"/>
  <c r="E263" i="2" s="1"/>
  <c r="D344" i="2"/>
  <c r="E344" i="2" s="1"/>
  <c r="D379" i="2"/>
  <c r="E379" i="2" s="1"/>
  <c r="D408" i="2"/>
  <c r="E408" i="2" s="1"/>
  <c r="D466" i="2"/>
  <c r="E466" i="2" s="1"/>
  <c r="D497" i="2"/>
  <c r="E497" i="2" s="1"/>
  <c r="D597" i="2"/>
  <c r="E597" i="2" s="1"/>
  <c r="D628" i="2"/>
  <c r="E628" i="2" s="1"/>
  <c r="D20" i="2"/>
  <c r="E20" i="2" s="1"/>
  <c r="D28" i="2"/>
  <c r="E28" i="2" s="1"/>
  <c r="D36" i="2"/>
  <c r="E36" i="2" s="1"/>
  <c r="D44" i="2"/>
  <c r="E44" i="2" s="1"/>
  <c r="D52" i="2"/>
  <c r="E52" i="2" s="1"/>
  <c r="D60" i="2"/>
  <c r="E60" i="2" s="1"/>
  <c r="D68" i="2"/>
  <c r="E68" i="2" s="1"/>
  <c r="D76" i="2"/>
  <c r="E76" i="2" s="1"/>
  <c r="D84" i="2"/>
  <c r="E84" i="2" s="1"/>
  <c r="D119" i="2"/>
  <c r="E119" i="2" s="1"/>
  <c r="D127" i="2"/>
  <c r="E127" i="2" s="1"/>
  <c r="D141" i="2"/>
  <c r="E141" i="2" s="1"/>
  <c r="D148" i="2"/>
  <c r="E148" i="2" s="1"/>
  <c r="D155" i="2"/>
  <c r="E155" i="2" s="1"/>
  <c r="D171" i="2"/>
  <c r="E171" i="2" s="1"/>
  <c r="D178" i="2"/>
  <c r="E178" i="2" s="1"/>
  <c r="D192" i="2"/>
  <c r="E192" i="2" s="1"/>
  <c r="D200" i="2"/>
  <c r="E200" i="2" s="1"/>
  <c r="D213" i="2"/>
  <c r="E213" i="2" s="1"/>
  <c r="D221" i="2"/>
  <c r="E221" i="2" s="1"/>
  <c r="D228" i="2"/>
  <c r="E228" i="2" s="1"/>
  <c r="D235" i="2"/>
  <c r="E235" i="2" s="1"/>
  <c r="D243" i="2"/>
  <c r="E243" i="2" s="1"/>
  <c r="D251" i="2"/>
  <c r="E251" i="2" s="1"/>
  <c r="D258" i="2"/>
  <c r="E258" i="2" s="1"/>
  <c r="D273" i="2"/>
  <c r="E273" i="2" s="1"/>
  <c r="D281" i="2"/>
  <c r="E281" i="2" s="1"/>
  <c r="D294" i="2"/>
  <c r="E294" i="2" s="1"/>
  <c r="D302" i="2"/>
  <c r="E302" i="2" s="1"/>
  <c r="D318" i="2"/>
  <c r="E318" i="2" s="1"/>
  <c r="D331" i="2"/>
  <c r="E331" i="2" s="1"/>
  <c r="D339" i="2"/>
  <c r="E339" i="2" s="1"/>
  <c r="D352" i="2"/>
  <c r="E352" i="2" s="1"/>
  <c r="D374" i="2"/>
  <c r="E374" i="2" s="1"/>
  <c r="E388" i="2"/>
  <c r="D395" i="2"/>
  <c r="E395" i="2" s="1"/>
  <c r="D402" i="2"/>
  <c r="E402" i="2" s="1"/>
  <c r="D410" i="2"/>
  <c r="E410" i="2" s="1"/>
  <c r="D418" i="2"/>
  <c r="E418" i="2" s="1"/>
  <c r="D425" i="2"/>
  <c r="E425" i="2" s="1"/>
  <c r="D439" i="2"/>
  <c r="E439" i="2" s="1"/>
  <c r="D454" i="2"/>
  <c r="E454" i="2" s="1"/>
  <c r="D461" i="2"/>
  <c r="E461" i="2" s="1"/>
  <c r="D468" i="2"/>
  <c r="E468" i="2" s="1"/>
  <c r="E476" i="2"/>
  <c r="D484" i="2"/>
  <c r="E484" i="2" s="1"/>
  <c r="D514" i="2"/>
  <c r="E514" i="2" s="1"/>
  <c r="D522" i="2"/>
  <c r="E522" i="2" s="1"/>
  <c r="D537" i="2"/>
  <c r="E537" i="2" s="1"/>
  <c r="D545" i="2"/>
  <c r="E545" i="2" s="1"/>
  <c r="D553" i="2"/>
  <c r="E553" i="2" s="1"/>
  <c r="D606" i="2"/>
  <c r="E606" i="2" s="1"/>
  <c r="D614" i="2"/>
  <c r="E614" i="2" s="1"/>
  <c r="D653" i="2"/>
  <c r="E653" i="2" s="1"/>
  <c r="D660" i="2"/>
  <c r="E660" i="2" s="1"/>
  <c r="D668" i="2"/>
  <c r="E668" i="2" s="1"/>
  <c r="D674" i="2"/>
  <c r="E674" i="2" s="1"/>
  <c r="D681" i="2"/>
  <c r="E681" i="2" s="1"/>
  <c r="D689" i="2"/>
  <c r="E689" i="2" s="1"/>
  <c r="D697" i="2"/>
  <c r="E697" i="2" s="1"/>
  <c r="D788" i="2"/>
  <c r="E788" i="2" s="1"/>
  <c r="D796" i="2"/>
  <c r="E796" i="2" s="1"/>
  <c r="D804" i="2"/>
  <c r="E804" i="2" s="1"/>
  <c r="D812" i="2"/>
  <c r="E812" i="2" s="1"/>
  <c r="D820" i="2"/>
  <c r="E820" i="2" s="1"/>
  <c r="D828" i="2"/>
  <c r="E828" i="2" s="1"/>
  <c r="D836" i="2"/>
  <c r="E836" i="2" s="1"/>
  <c r="D957" i="2"/>
  <c r="E957" i="2" s="1"/>
  <c r="D506" i="2"/>
  <c r="E506" i="2" s="1"/>
  <c r="D95" i="2"/>
  <c r="E95" i="2" s="1"/>
  <c r="D110" i="2"/>
  <c r="E110" i="2" s="1"/>
  <c r="D132" i="2"/>
  <c r="E132" i="2" s="1"/>
  <c r="D169" i="2"/>
  <c r="E169" i="2" s="1"/>
  <c r="D190" i="2"/>
  <c r="E190" i="2" s="1"/>
  <c r="D219" i="2"/>
  <c r="E219" i="2" s="1"/>
  <c r="D249" i="2"/>
  <c r="E249" i="2" s="1"/>
  <c r="D308" i="2"/>
  <c r="E308" i="2" s="1"/>
  <c r="D430" i="2"/>
  <c r="E430" i="2" s="1"/>
  <c r="D528" i="2"/>
  <c r="E528" i="2" s="1"/>
  <c r="D873" i="2"/>
  <c r="E873" i="2" s="1"/>
  <c r="D13" i="2"/>
  <c r="E13" i="2" s="1"/>
  <c r="D21" i="2"/>
  <c r="E21" i="2" s="1"/>
  <c r="D29" i="2"/>
  <c r="E29" i="2" s="1"/>
  <c r="D37" i="2"/>
  <c r="E37" i="2" s="1"/>
  <c r="D45" i="2"/>
  <c r="E45" i="2" s="1"/>
  <c r="D53" i="2"/>
  <c r="E53" i="2" s="1"/>
  <c r="D61" i="2"/>
  <c r="E61" i="2" s="1"/>
  <c r="D69" i="2"/>
  <c r="E69" i="2" s="1"/>
  <c r="D77" i="2"/>
  <c r="E77" i="2" s="1"/>
  <c r="D85" i="2"/>
  <c r="E85" i="2" s="1"/>
  <c r="D120" i="2"/>
  <c r="E120" i="2" s="1"/>
  <c r="D134" i="2"/>
  <c r="E134" i="2" s="1"/>
  <c r="D142" i="2"/>
  <c r="E142" i="2" s="1"/>
  <c r="D149" i="2"/>
  <c r="E149" i="2" s="1"/>
  <c r="D156" i="2"/>
  <c r="E156" i="2" s="1"/>
  <c r="D164" i="2"/>
  <c r="E164" i="2" s="1"/>
  <c r="D172" i="2"/>
  <c r="E172" i="2" s="1"/>
  <c r="D185" i="2"/>
  <c r="E185" i="2" s="1"/>
  <c r="D193" i="2"/>
  <c r="E193" i="2" s="1"/>
  <c r="D214" i="2"/>
  <c r="E214" i="2" s="1"/>
  <c r="D222" i="2"/>
  <c r="E222" i="2" s="1"/>
  <c r="D229" i="2"/>
  <c r="E229" i="2" s="1"/>
  <c r="D236" i="2"/>
  <c r="E236" i="2" s="1"/>
  <c r="D244" i="2"/>
  <c r="E244" i="2" s="1"/>
  <c r="D252" i="2"/>
  <c r="E252" i="2" s="1"/>
  <c r="D266" i="2"/>
  <c r="E266" i="2" s="1"/>
  <c r="D274" i="2"/>
  <c r="E274" i="2" s="1"/>
  <c r="D282" i="2"/>
  <c r="E282" i="2" s="1"/>
  <c r="D295" i="2"/>
  <c r="E295" i="2" s="1"/>
  <c r="D303" i="2"/>
  <c r="E303" i="2" s="1"/>
  <c r="D311" i="2"/>
  <c r="E311" i="2" s="1"/>
  <c r="D319" i="2"/>
  <c r="E319" i="2" s="1"/>
  <c r="D332" i="2"/>
  <c r="E332" i="2" s="1"/>
  <c r="D340" i="2"/>
  <c r="E340" i="2" s="1"/>
  <c r="D346" i="2"/>
  <c r="E346" i="2" s="1"/>
  <c r="D353" i="2"/>
  <c r="E353" i="2" s="1"/>
  <c r="D389" i="2"/>
  <c r="E389" i="2" s="1"/>
  <c r="D396" i="2"/>
  <c r="E396" i="2" s="1"/>
  <c r="D403" i="2"/>
  <c r="E403" i="2" s="1"/>
  <c r="D411" i="2"/>
  <c r="E411" i="2" s="1"/>
  <c r="D440" i="2"/>
  <c r="E440" i="2" s="1"/>
  <c r="D447" i="2"/>
  <c r="E447" i="2" s="1"/>
  <c r="D455" i="2"/>
  <c r="E455" i="2" s="1"/>
  <c r="D462" i="2"/>
  <c r="E462" i="2" s="1"/>
  <c r="D469" i="2"/>
  <c r="E469" i="2" s="1"/>
  <c r="D477" i="2"/>
  <c r="E477" i="2" s="1"/>
  <c r="D485" i="2"/>
  <c r="E485" i="2" s="1"/>
  <c r="D492" i="2"/>
  <c r="E492" i="2" s="1"/>
  <c r="D500" i="2"/>
  <c r="E500" i="2" s="1"/>
  <c r="D507" i="2"/>
  <c r="E507" i="2" s="1"/>
  <c r="D515" i="2"/>
  <c r="E515" i="2" s="1"/>
  <c r="D523" i="2"/>
  <c r="E523" i="2" s="1"/>
  <c r="D578" i="2"/>
  <c r="E578" i="2" s="1"/>
  <c r="D599" i="2"/>
  <c r="E599" i="2" s="1"/>
  <c r="D607" i="2"/>
  <c r="E607" i="2" s="1"/>
  <c r="D646" i="2"/>
  <c r="E646" i="2" s="1"/>
  <c r="D712" i="2"/>
  <c r="E712" i="2" s="1"/>
  <c r="D720" i="2"/>
  <c r="E720" i="2" s="1"/>
  <c r="D727" i="2"/>
  <c r="E727" i="2" s="1"/>
  <c r="D735" i="2"/>
  <c r="E735" i="2" s="1"/>
  <c r="D750" i="2"/>
  <c r="E750" i="2" s="1"/>
  <c r="D758" i="2"/>
  <c r="E758" i="2" s="1"/>
  <c r="D765" i="2"/>
  <c r="E765" i="2" s="1"/>
  <c r="D773" i="2"/>
  <c r="E773" i="2" s="1"/>
  <c r="D781" i="2"/>
  <c r="E781" i="2" s="1"/>
  <c r="D789" i="2"/>
  <c r="E789" i="2" s="1"/>
  <c r="D797" i="2"/>
  <c r="E797" i="2" s="1"/>
  <c r="D805" i="2"/>
  <c r="E805" i="2" s="1"/>
  <c r="D950" i="2"/>
  <c r="E950" i="2" s="1"/>
  <c r="D958" i="2"/>
  <c r="E958" i="2" s="1"/>
  <c r="D89" i="2"/>
  <c r="E89" i="2" s="1"/>
  <c r="D310" i="2"/>
  <c r="E310" i="2" s="1"/>
  <c r="D530" i="2"/>
  <c r="E530" i="2" s="1"/>
  <c r="D139" i="2"/>
  <c r="E139" i="2" s="1"/>
  <c r="D287" i="2"/>
  <c r="E287" i="2" s="1"/>
  <c r="D14" i="2"/>
  <c r="E14" i="2" s="1"/>
  <c r="D22" i="2"/>
  <c r="E22" i="2" s="1"/>
  <c r="D30" i="2"/>
  <c r="E30" i="2" s="1"/>
  <c r="D38" i="2"/>
  <c r="E38" i="2" s="1"/>
  <c r="D46" i="2"/>
  <c r="E46" i="2" s="1"/>
  <c r="D54" i="2"/>
  <c r="E54" i="2" s="1"/>
  <c r="D62" i="2"/>
  <c r="E62" i="2" s="1"/>
  <c r="D70" i="2"/>
  <c r="E70" i="2" s="1"/>
  <c r="D78" i="2"/>
  <c r="E78" i="2" s="1"/>
  <c r="D86" i="2"/>
  <c r="E86" i="2" s="1"/>
  <c r="D91" i="2"/>
  <c r="E91" i="2" s="1"/>
  <c r="D99" i="2"/>
  <c r="E99" i="2" s="1"/>
  <c r="D135" i="2"/>
  <c r="E135" i="2" s="1"/>
  <c r="D143" i="2"/>
  <c r="E143" i="2" s="1"/>
  <c r="D150" i="2"/>
  <c r="E150" i="2" s="1"/>
  <c r="D157" i="2"/>
  <c r="E157" i="2" s="1"/>
  <c r="D165" i="2"/>
  <c r="E165" i="2" s="1"/>
  <c r="D173" i="2"/>
  <c r="E173" i="2" s="1"/>
  <c r="D186" i="2"/>
  <c r="E186" i="2" s="1"/>
  <c r="D194" i="2"/>
  <c r="E194" i="2" s="1"/>
  <c r="D202" i="2"/>
  <c r="E202" i="2" s="1"/>
  <c r="D208" i="2"/>
  <c r="E208" i="2" s="1"/>
  <c r="D215" i="2"/>
  <c r="E215" i="2" s="1"/>
  <c r="D230" i="2"/>
  <c r="E230" i="2" s="1"/>
  <c r="D237" i="2"/>
  <c r="E237" i="2" s="1"/>
  <c r="D245" i="2"/>
  <c r="E245" i="2" s="1"/>
  <c r="D253" i="2"/>
  <c r="E253" i="2" s="1"/>
  <c r="D267" i="2"/>
  <c r="E267" i="2" s="1"/>
  <c r="D275" i="2"/>
  <c r="E275" i="2" s="1"/>
  <c r="D283" i="2"/>
  <c r="E283" i="2" s="1"/>
  <c r="D290" i="2"/>
  <c r="E290" i="2" s="1"/>
  <c r="D296" i="2"/>
  <c r="E296" i="2" s="1"/>
  <c r="D304" i="2"/>
  <c r="E304" i="2" s="1"/>
  <c r="D320" i="2"/>
  <c r="E320" i="2" s="1"/>
  <c r="D326" i="2"/>
  <c r="E326" i="2" s="1"/>
  <c r="D333" i="2"/>
  <c r="E333" i="2" s="1"/>
  <c r="D347" i="2"/>
  <c r="E347" i="2" s="1"/>
  <c r="D354" i="2"/>
  <c r="E354" i="2" s="1"/>
  <c r="D361" i="2"/>
  <c r="E361" i="2" s="1"/>
  <c r="D368" i="2"/>
  <c r="E368" i="2" s="1"/>
  <c r="D382" i="2"/>
  <c r="E382" i="2" s="1"/>
  <c r="D390" i="2"/>
  <c r="E390" i="2" s="1"/>
  <c r="D404" i="2"/>
  <c r="E404" i="2" s="1"/>
  <c r="D412" i="2"/>
  <c r="E412" i="2" s="1"/>
  <c r="D433" i="2"/>
  <c r="E433" i="2" s="1"/>
  <c r="D441" i="2"/>
  <c r="E441" i="2" s="1"/>
  <c r="D448" i="2"/>
  <c r="E448" i="2" s="1"/>
  <c r="D456" i="2"/>
  <c r="E456" i="2" s="1"/>
  <c r="D470" i="2"/>
  <c r="E470" i="2" s="1"/>
  <c r="D563" i="2"/>
  <c r="E563" i="2" s="1"/>
  <c r="D571" i="2"/>
  <c r="E571" i="2" s="1"/>
  <c r="D593" i="2"/>
  <c r="E593" i="2" s="1"/>
  <c r="D600" i="2"/>
  <c r="E600" i="2" s="1"/>
  <c r="D639" i="2"/>
  <c r="E639" i="2" s="1"/>
  <c r="D705" i="2"/>
  <c r="E705" i="2" s="1"/>
  <c r="D713" i="2"/>
  <c r="E713" i="2" s="1"/>
  <c r="D721" i="2"/>
  <c r="E721" i="2" s="1"/>
  <c r="D728" i="2"/>
  <c r="E728" i="2" s="1"/>
  <c r="D736" i="2"/>
  <c r="E736" i="2" s="1"/>
  <c r="D751" i="2"/>
  <c r="E751" i="2" s="1"/>
  <c r="D759" i="2"/>
  <c r="E759" i="2" s="1"/>
  <c r="D766" i="2"/>
  <c r="E766" i="2" s="1"/>
  <c r="D774" i="2"/>
  <c r="E774" i="2" s="1"/>
  <c r="D782" i="2"/>
  <c r="E782" i="2" s="1"/>
  <c r="D929" i="2"/>
  <c r="E929" i="2" s="1"/>
  <c r="D936" i="2"/>
  <c r="E936" i="2" s="1"/>
  <c r="D943" i="2"/>
  <c r="E943" i="2" s="1"/>
  <c r="D951" i="2"/>
  <c r="E951" i="2" s="1"/>
  <c r="D26" i="2"/>
  <c r="E26" i="2" s="1"/>
  <c r="D58" i="2"/>
  <c r="E58" i="2" s="1"/>
  <c r="D154" i="2"/>
  <c r="E154" i="2" s="1"/>
  <c r="D312" i="2"/>
  <c r="E312" i="2" s="1"/>
  <c r="D350" i="2"/>
  <c r="E350" i="2" s="1"/>
  <c r="D979" i="2"/>
  <c r="E979" i="2" s="1"/>
  <c r="D15" i="2"/>
  <c r="E15" i="2" s="1"/>
  <c r="D23" i="2"/>
  <c r="E23" i="2" s="1"/>
  <c r="D31" i="2"/>
  <c r="E31" i="2" s="1"/>
  <c r="D39" i="2"/>
  <c r="E39" i="2" s="1"/>
  <c r="D47" i="2"/>
  <c r="E47" i="2" s="1"/>
  <c r="D55" i="2"/>
  <c r="E55" i="2" s="1"/>
  <c r="D63" i="2"/>
  <c r="E63" i="2" s="1"/>
  <c r="D71" i="2"/>
  <c r="E71" i="2" s="1"/>
  <c r="D79" i="2"/>
  <c r="E79" i="2" s="1"/>
  <c r="D92" i="2"/>
  <c r="E92" i="2" s="1"/>
  <c r="D100" i="2"/>
  <c r="E100" i="2" s="1"/>
  <c r="D107" i="2"/>
  <c r="E107" i="2" s="1"/>
  <c r="D136" i="2"/>
  <c r="E136" i="2" s="1"/>
  <c r="D144" i="2"/>
  <c r="E144" i="2" s="1"/>
  <c r="D158" i="2"/>
  <c r="E158" i="2" s="1"/>
  <c r="D166" i="2"/>
  <c r="E166" i="2" s="1"/>
  <c r="D174" i="2"/>
  <c r="E174" i="2" s="1"/>
  <c r="D180" i="2"/>
  <c r="E180" i="2" s="1"/>
  <c r="D187" i="2"/>
  <c r="E187" i="2" s="1"/>
  <c r="D195" i="2"/>
  <c r="E195" i="2" s="1"/>
  <c r="D209" i="2"/>
  <c r="E209" i="2" s="1"/>
  <c r="D216" i="2"/>
  <c r="E216" i="2" s="1"/>
  <c r="D238" i="2"/>
  <c r="E238" i="2" s="1"/>
  <c r="D254" i="2"/>
  <c r="E254" i="2" s="1"/>
  <c r="D260" i="2"/>
  <c r="E260" i="2" s="1"/>
  <c r="D268" i="2"/>
  <c r="E268" i="2" s="1"/>
  <c r="D276" i="2"/>
  <c r="E276" i="2" s="1"/>
  <c r="D284" i="2"/>
  <c r="E284" i="2" s="1"/>
  <c r="D297" i="2"/>
  <c r="E297" i="2" s="1"/>
  <c r="D305" i="2"/>
  <c r="E305" i="2" s="1"/>
  <c r="D313" i="2"/>
  <c r="E313" i="2" s="1"/>
  <c r="D321" i="2"/>
  <c r="E321" i="2" s="1"/>
  <c r="D334" i="2"/>
  <c r="E334" i="2" s="1"/>
  <c r="D348" i="2"/>
  <c r="E348" i="2" s="1"/>
  <c r="D362" i="2"/>
  <c r="E362" i="2" s="1"/>
  <c r="D369" i="2"/>
  <c r="E369" i="2" s="1"/>
  <c r="D376" i="2"/>
  <c r="E376" i="2" s="1"/>
  <c r="D383" i="2"/>
  <c r="E383" i="2" s="1"/>
  <c r="D405" i="2"/>
  <c r="E405" i="2" s="1"/>
  <c r="D413" i="2"/>
  <c r="E413" i="2" s="1"/>
  <c r="E420" i="2"/>
  <c r="D427" i="2"/>
  <c r="E427" i="2" s="1"/>
  <c r="D434" i="2"/>
  <c r="E434" i="2" s="1"/>
  <c r="D449" i="2"/>
  <c r="E449" i="2" s="1"/>
  <c r="D471" i="2"/>
  <c r="E471" i="2" s="1"/>
  <c r="D479" i="2"/>
  <c r="E479" i="2" s="1"/>
  <c r="D487" i="2"/>
  <c r="E487" i="2" s="1"/>
  <c r="D494" i="2"/>
  <c r="E494" i="2" s="1"/>
  <c r="D502" i="2"/>
  <c r="E502" i="2" s="1"/>
  <c r="D509" i="2"/>
  <c r="E509" i="2" s="1"/>
  <c r="D517" i="2"/>
  <c r="E517" i="2" s="1"/>
  <c r="D525" i="2"/>
  <c r="E525" i="2" s="1"/>
  <c r="D533" i="2"/>
  <c r="E533" i="2" s="1"/>
  <c r="D540" i="2"/>
  <c r="E540" i="2" s="1"/>
  <c r="D548" i="2"/>
  <c r="E548" i="2" s="1"/>
  <c r="D556" i="2"/>
  <c r="E556" i="2" s="1"/>
  <c r="D594" i="2"/>
  <c r="E594" i="2" s="1"/>
  <c r="D625" i="2"/>
  <c r="E625" i="2" s="1"/>
  <c r="D633" i="2"/>
  <c r="E633" i="2" s="1"/>
  <c r="D663" i="2"/>
  <c r="E663" i="2" s="1"/>
  <c r="D684" i="2"/>
  <c r="E684" i="2" s="1"/>
  <c r="D692" i="2"/>
  <c r="E692" i="2" s="1"/>
  <c r="D706" i="2"/>
  <c r="E706" i="2" s="1"/>
  <c r="D914" i="2"/>
  <c r="E914" i="2" s="1"/>
  <c r="D922" i="2"/>
  <c r="E922" i="2" s="1"/>
  <c r="D930" i="2"/>
  <c r="E930" i="2" s="1"/>
  <c r="D937" i="2"/>
  <c r="E937" i="2" s="1"/>
  <c r="D944" i="2"/>
  <c r="E944" i="2" s="1"/>
  <c r="D1000" i="2"/>
  <c r="E1000" i="2" s="1"/>
  <c r="D1008" i="2"/>
  <c r="E1008" i="2" s="1"/>
  <c r="D97" i="2"/>
  <c r="E97" i="2" s="1"/>
  <c r="D129" i="2"/>
  <c r="E129" i="2" s="1"/>
  <c r="D161" i="2"/>
  <c r="E161" i="2" s="1"/>
  <c r="D246" i="2"/>
  <c r="E246" i="2" s="1"/>
  <c r="D329" i="2"/>
  <c r="E329" i="2" s="1"/>
  <c r="D444" i="2"/>
  <c r="E444" i="2" s="1"/>
  <c r="D241" i="2"/>
  <c r="E241" i="2" s="1"/>
  <c r="D300" i="2"/>
  <c r="E300" i="2" s="1"/>
  <c r="D365" i="2"/>
  <c r="E365" i="2" s="1"/>
  <c r="D490" i="2"/>
  <c r="E490" i="2" s="1"/>
  <c r="D987" i="2"/>
  <c r="E987" i="2" s="1"/>
  <c r="D16" i="2"/>
  <c r="E16" i="2" s="1"/>
  <c r="D24" i="2"/>
  <c r="E24" i="2" s="1"/>
  <c r="D32" i="2"/>
  <c r="E32" i="2" s="1"/>
  <c r="D40" i="2"/>
  <c r="E40" i="2" s="1"/>
  <c r="D48" i="2"/>
  <c r="E48" i="2" s="1"/>
  <c r="D56" i="2"/>
  <c r="E56" i="2" s="1"/>
  <c r="D64" i="2"/>
  <c r="E64" i="2" s="1"/>
  <c r="D72" i="2"/>
  <c r="E72" i="2" s="1"/>
  <c r="D80" i="2"/>
  <c r="E80" i="2" s="1"/>
  <c r="D93" i="2"/>
  <c r="E93" i="2" s="1"/>
  <c r="D101" i="2"/>
  <c r="E101" i="2" s="1"/>
  <c r="D108" i="2"/>
  <c r="E108" i="2" s="1"/>
  <c r="D115" i="2"/>
  <c r="E115" i="2" s="1"/>
  <c r="D123" i="2"/>
  <c r="E123" i="2" s="1"/>
  <c r="D159" i="2"/>
  <c r="E159" i="2" s="1"/>
  <c r="D167" i="2"/>
  <c r="E167" i="2" s="1"/>
  <c r="D181" i="2"/>
  <c r="E181" i="2" s="1"/>
  <c r="D188" i="2"/>
  <c r="E188" i="2" s="1"/>
  <c r="D196" i="2"/>
  <c r="E196" i="2" s="1"/>
  <c r="D210" i="2"/>
  <c r="E210" i="2" s="1"/>
  <c r="D217" i="2"/>
  <c r="E217" i="2" s="1"/>
  <c r="D239" i="2"/>
  <c r="E239" i="2" s="1"/>
  <c r="D247" i="2"/>
  <c r="E247" i="2" s="1"/>
  <c r="D255" i="2"/>
  <c r="E255" i="2" s="1"/>
  <c r="D261" i="2"/>
  <c r="E261" i="2" s="1"/>
  <c r="D269" i="2"/>
  <c r="E269" i="2" s="1"/>
  <c r="D277" i="2"/>
  <c r="E277" i="2" s="1"/>
  <c r="D285" i="2"/>
  <c r="E285" i="2" s="1"/>
  <c r="D298" i="2"/>
  <c r="E298" i="2" s="1"/>
  <c r="D306" i="2"/>
  <c r="E306" i="2" s="1"/>
  <c r="D314" i="2"/>
  <c r="E314" i="2" s="1"/>
  <c r="D322" i="2"/>
  <c r="E322" i="2" s="1"/>
  <c r="D342" i="2"/>
  <c r="E342" i="2" s="1"/>
  <c r="D363" i="2"/>
  <c r="E363" i="2" s="1"/>
  <c r="D370" i="2"/>
  <c r="E370" i="2" s="1"/>
  <c r="D377" i="2"/>
  <c r="E377" i="2" s="1"/>
  <c r="D384" i="2"/>
  <c r="E384" i="2" s="1"/>
  <c r="D392" i="2"/>
  <c r="E392" i="2" s="1"/>
  <c r="D398" i="2"/>
  <c r="E398" i="2" s="1"/>
  <c r="D406" i="2"/>
  <c r="E406" i="2" s="1"/>
  <c r="D421" i="2"/>
  <c r="E421" i="2" s="1"/>
  <c r="D428" i="2"/>
  <c r="E428" i="2" s="1"/>
  <c r="D435" i="2"/>
  <c r="E435" i="2" s="1"/>
  <c r="D450" i="2"/>
  <c r="E450" i="2" s="1"/>
  <c r="D464" i="2"/>
  <c r="E464" i="2" s="1"/>
  <c r="D472" i="2"/>
  <c r="E472" i="2" s="1"/>
  <c r="D480" i="2"/>
  <c r="E480" i="2" s="1"/>
  <c r="D488" i="2"/>
  <c r="E488" i="2" s="1"/>
  <c r="D495" i="2"/>
  <c r="E495" i="2" s="1"/>
  <c r="D503" i="2"/>
  <c r="E503" i="2" s="1"/>
  <c r="D510" i="2"/>
  <c r="E510" i="2" s="1"/>
  <c r="D518" i="2"/>
  <c r="E518" i="2" s="1"/>
  <c r="D526" i="2"/>
  <c r="E526" i="2" s="1"/>
  <c r="D649" i="2"/>
  <c r="E649" i="2" s="1"/>
  <c r="D664" i="2"/>
  <c r="E664" i="2" s="1"/>
  <c r="D677" i="2"/>
  <c r="E677" i="2" s="1"/>
  <c r="D685" i="2"/>
  <c r="E685" i="2" s="1"/>
  <c r="D693" i="2"/>
  <c r="E693" i="2" s="1"/>
  <c r="D886" i="2"/>
  <c r="E886" i="2" s="1"/>
  <c r="D907" i="2"/>
  <c r="E907" i="2" s="1"/>
  <c r="D915" i="2"/>
  <c r="E915" i="2" s="1"/>
  <c r="D923" i="2"/>
  <c r="E923" i="2" s="1"/>
  <c r="D993" i="2"/>
  <c r="E993" i="2" s="1"/>
  <c r="D1001" i="2"/>
  <c r="E1001" i="2" s="1"/>
  <c r="D1009" i="2"/>
  <c r="E1009" i="2" s="1"/>
  <c r="D34" i="2"/>
  <c r="E34" i="2" s="1"/>
  <c r="D66" i="2"/>
  <c r="E66" i="2" s="1"/>
  <c r="D98" i="2"/>
  <c r="E98" i="2" s="1"/>
  <c r="D130" i="2"/>
  <c r="E130" i="2" s="1"/>
  <c r="D163" i="2"/>
  <c r="E163" i="2" s="1"/>
  <c r="D335" i="2"/>
  <c r="E335" i="2" s="1"/>
  <c r="D446" i="2"/>
  <c r="E446" i="2" s="1"/>
  <c r="D700" i="2"/>
  <c r="E700" i="2" s="1"/>
  <c r="D125" i="2"/>
  <c r="E125" i="2" s="1"/>
  <c r="D176" i="2"/>
  <c r="E176" i="2" s="1"/>
  <c r="D279" i="2"/>
  <c r="E279" i="2" s="1"/>
  <c r="D316" i="2"/>
  <c r="E316" i="2" s="1"/>
  <c r="D337" i="2"/>
  <c r="E337" i="2" s="1"/>
  <c r="D372" i="2"/>
  <c r="E372" i="2" s="1"/>
  <c r="D400" i="2"/>
  <c r="E400" i="2" s="1"/>
  <c r="D423" i="2"/>
  <c r="E423" i="2" s="1"/>
  <c r="D437" i="2"/>
  <c r="E437" i="2" s="1"/>
  <c r="D459" i="2"/>
  <c r="E459" i="2" s="1"/>
  <c r="D482" i="2"/>
  <c r="E482" i="2" s="1"/>
  <c r="D512" i="2"/>
  <c r="E512" i="2" s="1"/>
  <c r="D543" i="2"/>
  <c r="E543" i="2" s="1"/>
  <c r="D567" i="2"/>
  <c r="E567" i="2" s="1"/>
  <c r="D74" i="2"/>
  <c r="E74" i="2" s="1"/>
  <c r="D94" i="2"/>
  <c r="E94" i="2" s="1"/>
  <c r="D102" i="2"/>
  <c r="E102" i="2" s="1"/>
  <c r="D109" i="2"/>
  <c r="E109" i="2" s="1"/>
  <c r="D116" i="2"/>
  <c r="E116" i="2" s="1"/>
  <c r="D124" i="2"/>
  <c r="E124" i="2" s="1"/>
  <c r="D131" i="2"/>
  <c r="E131" i="2" s="1"/>
  <c r="D152" i="2"/>
  <c r="E152" i="2" s="1"/>
  <c r="D160" i="2"/>
  <c r="E160" i="2" s="1"/>
  <c r="D168" i="2"/>
  <c r="E168" i="2" s="1"/>
  <c r="D189" i="2"/>
  <c r="E189" i="2" s="1"/>
  <c r="D197" i="2"/>
  <c r="E197" i="2" s="1"/>
  <c r="D204" i="2"/>
  <c r="E204" i="2" s="1"/>
  <c r="D218" i="2"/>
  <c r="E218" i="2" s="1"/>
  <c r="D232" i="2"/>
  <c r="E232" i="2" s="1"/>
  <c r="D240" i="2"/>
  <c r="E240" i="2" s="1"/>
  <c r="D256" i="2"/>
  <c r="E256" i="2" s="1"/>
  <c r="D262" i="2"/>
  <c r="E262" i="2" s="1"/>
  <c r="D278" i="2"/>
  <c r="E278" i="2" s="1"/>
  <c r="D286" i="2"/>
  <c r="E286" i="2" s="1"/>
  <c r="D292" i="2"/>
  <c r="E292" i="2" s="1"/>
  <c r="D299" i="2"/>
  <c r="E299" i="2" s="1"/>
  <c r="D307" i="2"/>
  <c r="E307" i="2" s="1"/>
  <c r="D315" i="2"/>
  <c r="E315" i="2" s="1"/>
  <c r="D328" i="2"/>
  <c r="E328" i="2" s="1"/>
  <c r="D336" i="2"/>
  <c r="E336" i="2" s="1"/>
  <c r="D343" i="2"/>
  <c r="E343" i="2" s="1"/>
  <c r="D356" i="2"/>
  <c r="E356" i="2" s="1"/>
  <c r="D364" i="2"/>
  <c r="E364" i="2" s="1"/>
  <c r="D371" i="2"/>
  <c r="E371" i="2" s="1"/>
  <c r="D378" i="2"/>
  <c r="E378" i="2" s="1"/>
  <c r="D385" i="2"/>
  <c r="E385" i="2" s="1"/>
  <c r="D393" i="2"/>
  <c r="E393" i="2" s="1"/>
  <c r="D399" i="2"/>
  <c r="E399" i="2" s="1"/>
  <c r="D407" i="2"/>
  <c r="E407" i="2" s="1"/>
  <c r="D415" i="2"/>
  <c r="E415" i="2" s="1"/>
  <c r="D422" i="2"/>
  <c r="E422" i="2" s="1"/>
  <c r="D429" i="2"/>
  <c r="E429" i="2" s="1"/>
  <c r="D436" i="2"/>
  <c r="E436" i="2" s="1"/>
  <c r="D443" i="2"/>
  <c r="E443" i="2" s="1"/>
  <c r="D451" i="2"/>
  <c r="E451" i="2" s="1"/>
  <c r="D458" i="2"/>
  <c r="E458" i="2" s="1"/>
  <c r="D465" i="2"/>
  <c r="E465" i="2" s="1"/>
  <c r="D473" i="2"/>
  <c r="E473" i="2" s="1"/>
  <c r="D481" i="2"/>
  <c r="E481" i="2" s="1"/>
  <c r="D489" i="2"/>
  <c r="E489" i="2" s="1"/>
  <c r="D496" i="2"/>
  <c r="E496" i="2" s="1"/>
  <c r="D504" i="2"/>
  <c r="E504" i="2" s="1"/>
  <c r="D511" i="2"/>
  <c r="E511" i="2" s="1"/>
  <c r="D519" i="2"/>
  <c r="E519" i="2" s="1"/>
  <c r="D527" i="2"/>
  <c r="E527" i="2" s="1"/>
  <c r="D566" i="2"/>
  <c r="E566" i="2" s="1"/>
  <c r="D574" i="2"/>
  <c r="E574" i="2" s="1"/>
  <c r="D611" i="2"/>
  <c r="E611" i="2" s="1"/>
  <c r="D642" i="2"/>
  <c r="E642" i="2" s="1"/>
  <c r="D650" i="2"/>
  <c r="E650" i="2" s="1"/>
  <c r="D864" i="2"/>
  <c r="E864" i="2" s="1"/>
  <c r="D872" i="2"/>
  <c r="E872" i="2" s="1"/>
  <c r="D879" i="2"/>
  <c r="E879" i="2" s="1"/>
  <c r="D887" i="2"/>
  <c r="E887" i="2" s="1"/>
  <c r="D894" i="2"/>
  <c r="E894" i="2" s="1"/>
  <c r="E900" i="2"/>
  <c r="D908" i="2"/>
  <c r="E908" i="2" s="1"/>
  <c r="D978" i="2"/>
  <c r="E978" i="2" s="1"/>
  <c r="D994" i="2"/>
  <c r="E994" i="2" s="1"/>
  <c r="D41" i="2"/>
  <c r="E41" i="2" s="1"/>
  <c r="D73" i="2"/>
  <c r="E73" i="2" s="1"/>
  <c r="D105" i="2"/>
  <c r="E105" i="2" s="1"/>
  <c r="D137" i="2"/>
  <c r="E137" i="2" s="1"/>
  <c r="D182" i="2"/>
  <c r="E182" i="2" s="1"/>
  <c r="D265" i="2"/>
  <c r="E265" i="2" s="1"/>
  <c r="D359" i="2"/>
  <c r="E359" i="2" s="1"/>
  <c r="D474" i="2"/>
  <c r="E474" i="2" s="1"/>
  <c r="D584" i="2"/>
  <c r="E584" i="2" s="1"/>
  <c r="D732" i="2"/>
  <c r="E732" i="2" s="1"/>
  <c r="D568" i="2"/>
  <c r="E568" i="2" s="1"/>
  <c r="D581" i="2"/>
  <c r="E581" i="2" s="1"/>
  <c r="D588" i="2"/>
  <c r="E588" i="2" s="1"/>
  <c r="D601" i="2"/>
  <c r="E601" i="2" s="1"/>
  <c r="D608" i="2"/>
  <c r="E608" i="2" s="1"/>
  <c r="D622" i="2"/>
  <c r="E622" i="2" s="1"/>
  <c r="D630" i="2"/>
  <c r="E630" i="2" s="1"/>
  <c r="D637" i="2"/>
  <c r="E637" i="2" s="1"/>
  <c r="E644" i="2"/>
  <c r="D651" i="2"/>
  <c r="E651" i="2" s="1"/>
  <c r="D657" i="2"/>
  <c r="E657" i="2" s="1"/>
  <c r="D665" i="2"/>
  <c r="E665" i="2" s="1"/>
  <c r="D671" i="2"/>
  <c r="E671" i="2" s="1"/>
  <c r="D678" i="2"/>
  <c r="E678" i="2" s="1"/>
  <c r="D686" i="2"/>
  <c r="E686" i="2" s="1"/>
  <c r="D694" i="2"/>
  <c r="E694" i="2" s="1"/>
  <c r="D701" i="2"/>
  <c r="E701" i="2" s="1"/>
  <c r="D707" i="2"/>
  <c r="E707" i="2" s="1"/>
  <c r="D714" i="2"/>
  <c r="E714" i="2" s="1"/>
  <c r="D729" i="2"/>
  <c r="E729" i="2" s="1"/>
  <c r="D737" i="2"/>
  <c r="E737" i="2" s="1"/>
  <c r="D752" i="2"/>
  <c r="E752" i="2" s="1"/>
  <c r="D760" i="2"/>
  <c r="E760" i="2" s="1"/>
  <c r="D767" i="2"/>
  <c r="E767" i="2" s="1"/>
  <c r="D790" i="2"/>
  <c r="E790" i="2" s="1"/>
  <c r="D806" i="2"/>
  <c r="E806" i="2" s="1"/>
  <c r="D813" i="2"/>
  <c r="E813" i="2" s="1"/>
  <c r="D821" i="2"/>
  <c r="E821" i="2" s="1"/>
  <c r="D829" i="2"/>
  <c r="E829" i="2" s="1"/>
  <c r="D837" i="2"/>
  <c r="E837" i="2" s="1"/>
  <c r="D844" i="2"/>
  <c r="E844" i="2" s="1"/>
  <c r="D852" i="2"/>
  <c r="E852" i="2" s="1"/>
  <c r="D859" i="2"/>
  <c r="E859" i="2" s="1"/>
  <c r="D866" i="2"/>
  <c r="E866" i="2" s="1"/>
  <c r="D888" i="2"/>
  <c r="E888" i="2" s="1"/>
  <c r="D895" i="2"/>
  <c r="E895" i="2" s="1"/>
  <c r="D901" i="2"/>
  <c r="E901" i="2" s="1"/>
  <c r="D909" i="2"/>
  <c r="E909" i="2" s="1"/>
  <c r="D916" i="2"/>
  <c r="E916" i="2" s="1"/>
  <c r="D931" i="2"/>
  <c r="E931" i="2" s="1"/>
  <c r="D938" i="2"/>
  <c r="E938" i="2" s="1"/>
  <c r="D945" i="2"/>
  <c r="E945" i="2" s="1"/>
  <c r="D952" i="2"/>
  <c r="E952" i="2" s="1"/>
  <c r="D959" i="2"/>
  <c r="E959" i="2" s="1"/>
  <c r="D980" i="2"/>
  <c r="E980" i="2" s="1"/>
  <c r="E988" i="2"/>
  <c r="D995" i="2"/>
  <c r="E995" i="2" s="1"/>
  <c r="D1002" i="2"/>
  <c r="E1002" i="2" s="1"/>
  <c r="D1010" i="2"/>
  <c r="E1010" i="2" s="1"/>
  <c r="D478" i="2"/>
  <c r="E478" i="2" s="1"/>
  <c r="D546" i="2"/>
  <c r="E546" i="2" s="1"/>
  <c r="D554" i="2"/>
  <c r="E554" i="2" s="1"/>
  <c r="D561" i="2"/>
  <c r="E561" i="2" s="1"/>
  <c r="D569" i="2"/>
  <c r="E569" i="2" s="1"/>
  <c r="D576" i="2"/>
  <c r="E576" i="2" s="1"/>
  <c r="D582" i="2"/>
  <c r="E582" i="2" s="1"/>
  <c r="D589" i="2"/>
  <c r="E589" i="2" s="1"/>
  <c r="D609" i="2"/>
  <c r="E609" i="2" s="1"/>
  <c r="D631" i="2"/>
  <c r="E631" i="2" s="1"/>
  <c r="D672" i="2"/>
  <c r="E672" i="2" s="1"/>
  <c r="D695" i="2"/>
  <c r="E695" i="2" s="1"/>
  <c r="E708" i="2"/>
  <c r="D715" i="2"/>
  <c r="E715" i="2" s="1"/>
  <c r="D738" i="2"/>
  <c r="E738" i="2" s="1"/>
  <c r="D745" i="2"/>
  <c r="E745" i="2" s="1"/>
  <c r="D753" i="2"/>
  <c r="E753" i="2" s="1"/>
  <c r="D761" i="2"/>
  <c r="E761" i="2" s="1"/>
  <c r="D768" i="2"/>
  <c r="E768" i="2" s="1"/>
  <c r="D784" i="2"/>
  <c r="E784" i="2" s="1"/>
  <c r="D791" i="2"/>
  <c r="E791" i="2" s="1"/>
  <c r="D799" i="2"/>
  <c r="E799" i="2" s="1"/>
  <c r="D814" i="2"/>
  <c r="E814" i="2" s="1"/>
  <c r="D822" i="2"/>
  <c r="E822" i="2" s="1"/>
  <c r="D838" i="2"/>
  <c r="E838" i="2" s="1"/>
  <c r="D845" i="2"/>
  <c r="E845" i="2" s="1"/>
  <c r="D867" i="2"/>
  <c r="E867" i="2" s="1"/>
  <c r="D881" i="2"/>
  <c r="E881" i="2" s="1"/>
  <c r="D889" i="2"/>
  <c r="E889" i="2" s="1"/>
  <c r="D902" i="2"/>
  <c r="E902" i="2" s="1"/>
  <c r="D910" i="2"/>
  <c r="E910" i="2" s="1"/>
  <c r="D917" i="2"/>
  <c r="E917" i="2" s="1"/>
  <c r="D925" i="2"/>
  <c r="E925" i="2" s="1"/>
  <c r="E932" i="2"/>
  <c r="D939" i="2"/>
  <c r="E939" i="2" s="1"/>
  <c r="D953" i="2"/>
  <c r="E953" i="2" s="1"/>
  <c r="D966" i="2"/>
  <c r="E966" i="2" s="1"/>
  <c r="D973" i="2"/>
  <c r="E973" i="2" s="1"/>
  <c r="D981" i="2"/>
  <c r="E981" i="2" s="1"/>
  <c r="D989" i="2"/>
  <c r="E989" i="2" s="1"/>
  <c r="D1003" i="2"/>
  <c r="E1003" i="2" s="1"/>
  <c r="D595" i="2"/>
  <c r="E595" i="2" s="1"/>
  <c r="D486" i="2"/>
  <c r="E486" i="2" s="1"/>
  <c r="D493" i="2"/>
  <c r="E493" i="2" s="1"/>
  <c r="D501" i="2"/>
  <c r="E501" i="2" s="1"/>
  <c r="E508" i="2"/>
  <c r="D524" i="2"/>
  <c r="E524" i="2" s="1"/>
  <c r="D532" i="2"/>
  <c r="E532" i="2" s="1"/>
  <c r="D539" i="2"/>
  <c r="E539" i="2" s="1"/>
  <c r="D547" i="2"/>
  <c r="E547" i="2" s="1"/>
  <c r="D555" i="2"/>
  <c r="E555" i="2" s="1"/>
  <c r="D577" i="2"/>
  <c r="E577" i="2" s="1"/>
  <c r="D590" i="2"/>
  <c r="E590" i="2" s="1"/>
  <c r="D603" i="2"/>
  <c r="E603" i="2" s="1"/>
  <c r="D610" i="2"/>
  <c r="E610" i="2" s="1"/>
  <c r="D617" i="2"/>
  <c r="E617" i="2" s="1"/>
  <c r="D624" i="2"/>
  <c r="E624" i="2" s="1"/>
  <c r="D632" i="2"/>
  <c r="E632" i="2" s="1"/>
  <c r="D667" i="2"/>
  <c r="E667" i="2" s="1"/>
  <c r="D673" i="2"/>
  <c r="E673" i="2" s="1"/>
  <c r="D688" i="2"/>
  <c r="E688" i="2" s="1"/>
  <c r="D696" i="2"/>
  <c r="E696" i="2" s="1"/>
  <c r="D709" i="2"/>
  <c r="E709" i="2" s="1"/>
  <c r="D716" i="2"/>
  <c r="E716" i="2" s="1"/>
  <c r="D724" i="2"/>
  <c r="E724" i="2" s="1"/>
  <c r="D731" i="2"/>
  <c r="E731" i="2" s="1"/>
  <c r="D739" i="2"/>
  <c r="E739" i="2" s="1"/>
  <c r="D746" i="2"/>
  <c r="E746" i="2" s="1"/>
  <c r="D769" i="2"/>
  <c r="E769" i="2" s="1"/>
  <c r="D777" i="2"/>
  <c r="E777" i="2" s="1"/>
  <c r="D785" i="2"/>
  <c r="E785" i="2" s="1"/>
  <c r="D792" i="2"/>
  <c r="E792" i="2" s="1"/>
  <c r="D800" i="2"/>
  <c r="E800" i="2" s="1"/>
  <c r="D823" i="2"/>
  <c r="E823" i="2" s="1"/>
  <c r="D831" i="2"/>
  <c r="E831" i="2" s="1"/>
  <c r="D846" i="2"/>
  <c r="E846" i="2" s="1"/>
  <c r="D875" i="2"/>
  <c r="E875" i="2" s="1"/>
  <c r="D918" i="2"/>
  <c r="E918" i="2" s="1"/>
  <c r="D974" i="2"/>
  <c r="E974" i="2" s="1"/>
  <c r="D982" i="2"/>
  <c r="E982" i="2" s="1"/>
  <c r="D1004" i="2"/>
  <c r="E1004" i="2" s="1"/>
  <c r="D516" i="2"/>
  <c r="E516" i="2" s="1"/>
  <c r="D602" i="2"/>
  <c r="E602" i="2" s="1"/>
  <c r="D658" i="2"/>
  <c r="E658" i="2" s="1"/>
  <c r="D687" i="2"/>
  <c r="E687" i="2" s="1"/>
  <c r="D798" i="2"/>
  <c r="E798" i="2" s="1"/>
  <c r="E740" i="2"/>
  <c r="D747" i="2"/>
  <c r="E747" i="2" s="1"/>
  <c r="D770" i="2"/>
  <c r="E770" i="2" s="1"/>
  <c r="D778" i="2"/>
  <c r="E778" i="2" s="1"/>
  <c r="D793" i="2"/>
  <c r="E793" i="2" s="1"/>
  <c r="D801" i="2"/>
  <c r="E801" i="2" s="1"/>
  <c r="D816" i="2"/>
  <c r="E816" i="2" s="1"/>
  <c r="D824" i="2"/>
  <c r="E824" i="2" s="1"/>
  <c r="D832" i="2"/>
  <c r="E832" i="2" s="1"/>
  <c r="D854" i="2"/>
  <c r="E854" i="2" s="1"/>
  <c r="D861" i="2"/>
  <c r="E861" i="2" s="1"/>
  <c r="D869" i="2"/>
  <c r="E869" i="2" s="1"/>
  <c r="D876" i="2"/>
  <c r="E876" i="2" s="1"/>
  <c r="D891" i="2"/>
  <c r="E891" i="2" s="1"/>
  <c r="D897" i="2"/>
  <c r="E897" i="2" s="1"/>
  <c r="D919" i="2"/>
  <c r="E919" i="2" s="1"/>
  <c r="D927" i="2"/>
  <c r="E927" i="2" s="1"/>
  <c r="D948" i="2"/>
  <c r="E948" i="2" s="1"/>
  <c r="D955" i="2"/>
  <c r="E955" i="2" s="1"/>
  <c r="D961" i="2"/>
  <c r="E961" i="2" s="1"/>
  <c r="D983" i="2"/>
  <c r="E983" i="2" s="1"/>
  <c r="D991" i="2"/>
  <c r="E991" i="2" s="1"/>
  <c r="D997" i="2"/>
  <c r="E997" i="2" s="1"/>
  <c r="D1005" i="2"/>
  <c r="E1005" i="2" s="1"/>
  <c r="D659" i="2"/>
  <c r="E659" i="2" s="1"/>
  <c r="D744" i="2"/>
  <c r="E744" i="2" s="1"/>
  <c r="D775" i="2"/>
  <c r="E775" i="2" s="1"/>
  <c r="D830" i="2"/>
  <c r="E830" i="2" s="1"/>
  <c r="D890" i="2"/>
  <c r="E890" i="2" s="1"/>
  <c r="D946" i="2"/>
  <c r="E946" i="2" s="1"/>
  <c r="D975" i="2"/>
  <c r="E975" i="2" s="1"/>
  <c r="D534" i="2"/>
  <c r="E534" i="2" s="1"/>
  <c r="D541" i="2"/>
  <c r="E541" i="2" s="1"/>
  <c r="D549" i="2"/>
  <c r="E549" i="2" s="1"/>
  <c r="D557" i="2"/>
  <c r="E557" i="2" s="1"/>
  <c r="D564" i="2"/>
  <c r="E564" i="2" s="1"/>
  <c r="E572" i="2"/>
  <c r="D585" i="2"/>
  <c r="E585" i="2" s="1"/>
  <c r="D640" i="2"/>
  <c r="E640" i="2" s="1"/>
  <c r="D654" i="2"/>
  <c r="E654" i="2" s="1"/>
  <c r="D661" i="2"/>
  <c r="E661" i="2" s="1"/>
  <c r="D675" i="2"/>
  <c r="E675" i="2" s="1"/>
  <c r="D682" i="2"/>
  <c r="E682" i="2" s="1"/>
  <c r="D718" i="2"/>
  <c r="E718" i="2" s="1"/>
  <c r="D733" i="2"/>
  <c r="E733" i="2" s="1"/>
  <c r="D741" i="2"/>
  <c r="E741" i="2" s="1"/>
  <c r="D748" i="2"/>
  <c r="E748" i="2" s="1"/>
  <c r="D756" i="2"/>
  <c r="E756" i="2" s="1"/>
  <c r="D763" i="2"/>
  <c r="E763" i="2" s="1"/>
  <c r="D771" i="2"/>
  <c r="E771" i="2" s="1"/>
  <c r="D779" i="2"/>
  <c r="E779" i="2" s="1"/>
  <c r="D802" i="2"/>
  <c r="E802" i="2" s="1"/>
  <c r="D809" i="2"/>
  <c r="E809" i="2" s="1"/>
  <c r="D817" i="2"/>
  <c r="E817" i="2" s="1"/>
  <c r="D825" i="2"/>
  <c r="E825" i="2" s="1"/>
  <c r="D833" i="2"/>
  <c r="E833" i="2" s="1"/>
  <c r="D848" i="2"/>
  <c r="E848" i="2" s="1"/>
  <c r="D855" i="2"/>
  <c r="E855" i="2" s="1"/>
  <c r="D870" i="2"/>
  <c r="E870" i="2" s="1"/>
  <c r="D877" i="2"/>
  <c r="E877" i="2" s="1"/>
  <c r="D884" i="2"/>
  <c r="E884" i="2" s="1"/>
  <c r="D898" i="2"/>
  <c r="E898" i="2" s="1"/>
  <c r="D905" i="2"/>
  <c r="E905" i="2" s="1"/>
  <c r="D920" i="2"/>
  <c r="E920" i="2" s="1"/>
  <c r="D934" i="2"/>
  <c r="E934" i="2" s="1"/>
  <c r="D941" i="2"/>
  <c r="E941" i="2" s="1"/>
  <c r="D962" i="2"/>
  <c r="E962" i="2" s="1"/>
  <c r="D969" i="2"/>
  <c r="E969" i="2" s="1"/>
  <c r="D976" i="2"/>
  <c r="E976" i="2" s="1"/>
  <c r="D984" i="2"/>
  <c r="E984" i="2" s="1"/>
  <c r="D998" i="2"/>
  <c r="E998" i="2" s="1"/>
  <c r="D1006" i="2"/>
  <c r="E1006" i="2" s="1"/>
  <c r="D666" i="2"/>
  <c r="E666" i="2" s="1"/>
  <c r="D722" i="2"/>
  <c r="E722" i="2" s="1"/>
  <c r="D776" i="2"/>
  <c r="E776" i="2" s="1"/>
  <c r="D807" i="2"/>
  <c r="E807" i="2" s="1"/>
  <c r="D862" i="2"/>
  <c r="E862" i="2" s="1"/>
  <c r="D892" i="2"/>
  <c r="E892" i="2" s="1"/>
  <c r="D947" i="2"/>
  <c r="E947" i="2" s="1"/>
  <c r="D535" i="2"/>
  <c r="E535" i="2" s="1"/>
  <c r="D550" i="2"/>
  <c r="E550" i="2" s="1"/>
  <c r="D558" i="2"/>
  <c r="E558" i="2" s="1"/>
  <c r="D565" i="2"/>
  <c r="E565" i="2" s="1"/>
  <c r="D573" i="2"/>
  <c r="E573" i="2" s="1"/>
  <c r="D586" i="2"/>
  <c r="E586" i="2" s="1"/>
  <c r="D592" i="2"/>
  <c r="E592" i="2" s="1"/>
  <c r="D605" i="2"/>
  <c r="E605" i="2" s="1"/>
  <c r="D613" i="2"/>
  <c r="E613" i="2" s="1"/>
  <c r="D619" i="2"/>
  <c r="E619" i="2" s="1"/>
  <c r="D641" i="2"/>
  <c r="E641" i="2" s="1"/>
  <c r="D662" i="2"/>
  <c r="E662" i="2" s="1"/>
  <c r="D683" i="2"/>
  <c r="E683" i="2" s="1"/>
  <c r="D742" i="2"/>
  <c r="E742" i="2" s="1"/>
  <c r="D749" i="2"/>
  <c r="E749" i="2" s="1"/>
  <c r="D757" i="2"/>
  <c r="E757" i="2" s="1"/>
  <c r="E764" i="2"/>
  <c r="E772" i="2"/>
  <c r="D780" i="2"/>
  <c r="E780" i="2" s="1"/>
  <c r="D795" i="2"/>
  <c r="E795" i="2" s="1"/>
  <c r="D803" i="2"/>
  <c r="E803" i="2" s="1"/>
  <c r="D810" i="2"/>
  <c r="E810" i="2" s="1"/>
  <c r="D834" i="2"/>
  <c r="E834" i="2" s="1"/>
  <c r="D841" i="2"/>
  <c r="E841" i="2" s="1"/>
  <c r="D849" i="2"/>
  <c r="E849" i="2" s="1"/>
  <c r="D856" i="2"/>
  <c r="E856" i="2" s="1"/>
  <c r="D863" i="2"/>
  <c r="E863" i="2" s="1"/>
  <c r="D878" i="2"/>
  <c r="E878" i="2" s="1"/>
  <c r="D885" i="2"/>
  <c r="E885" i="2" s="1"/>
  <c r="D906" i="2"/>
  <c r="E906" i="2" s="1"/>
  <c r="D913" i="2"/>
  <c r="E913" i="2" s="1"/>
  <c r="D921" i="2"/>
  <c r="E921" i="2" s="1"/>
  <c r="D942" i="2"/>
  <c r="E942" i="2" s="1"/>
  <c r="D963" i="2"/>
  <c r="E963" i="2" s="1"/>
  <c r="D970" i="2"/>
  <c r="E970" i="2" s="1"/>
  <c r="D977" i="2"/>
  <c r="E977" i="2" s="1"/>
  <c r="D985" i="2"/>
  <c r="E985" i="2" s="1"/>
  <c r="D583" i="2"/>
  <c r="E583" i="2" s="1"/>
  <c r="D612" i="2"/>
  <c r="E612" i="2" s="1"/>
  <c r="D698" i="2"/>
  <c r="E698" i="2" s="1"/>
  <c r="D723" i="2"/>
  <c r="E723" i="2" s="1"/>
  <c r="D754" i="2"/>
  <c r="E754" i="2" s="1"/>
  <c r="D783" i="2"/>
  <c r="E783" i="2" s="1"/>
  <c r="D839" i="2"/>
  <c r="E839" i="2" s="1"/>
  <c r="D868" i="2"/>
  <c r="E868" i="2" s="1"/>
  <c r="D924" i="2"/>
  <c r="E924" i="2" s="1"/>
  <c r="D954" i="2"/>
  <c r="E954" i="2" s="1"/>
  <c r="D1011" i="2"/>
  <c r="E1011" i="2" s="1"/>
  <c r="E12" i="2"/>
  <c r="F36" i="1"/>
  <c r="F100" i="1"/>
  <c r="F28" i="1"/>
  <c r="D5" i="1"/>
  <c r="D6" i="1"/>
  <c r="F75" i="1"/>
  <c r="F91" i="1"/>
  <c r="F155" i="1"/>
  <c r="F19" i="1"/>
  <c r="F27" i="1"/>
  <c r="F35" i="1"/>
  <c r="F43" i="1"/>
  <c r="F51" i="1"/>
  <c r="F59" i="1"/>
  <c r="F67" i="1"/>
  <c r="F83" i="1"/>
  <c r="F99" i="1"/>
  <c r="F107" i="1"/>
  <c r="F115" i="1"/>
  <c r="F123" i="1"/>
  <c r="F131" i="1"/>
  <c r="F139" i="1"/>
  <c r="F147" i="1"/>
  <c r="F163" i="1"/>
  <c r="F171" i="1"/>
  <c r="F179" i="1"/>
  <c r="F187" i="1"/>
  <c r="F195" i="1"/>
  <c r="F203" i="1"/>
  <c r="F211" i="1"/>
  <c r="F196" i="1"/>
  <c r="F109" i="1"/>
  <c r="F230" i="1"/>
  <c r="F112" i="1"/>
  <c r="F136" i="1"/>
  <c r="F220" i="1"/>
  <c r="F121" i="1"/>
  <c r="F133" i="1"/>
  <c r="F165" i="1"/>
  <c r="F181" i="1"/>
  <c r="F237" i="1"/>
  <c r="F134" i="1"/>
  <c r="F222" i="1"/>
  <c r="F15" i="1"/>
  <c r="F47" i="1"/>
  <c r="F167" i="1"/>
  <c r="F183" i="1"/>
  <c r="F215" i="1"/>
  <c r="F141" i="1"/>
  <c r="F30" i="1"/>
  <c r="F102" i="1"/>
  <c r="F142" i="1"/>
  <c r="F182" i="1"/>
  <c r="F96" i="1"/>
  <c r="F120" i="1"/>
  <c r="F192" i="1"/>
  <c r="F260" i="1"/>
  <c r="F145" i="1"/>
  <c r="F169" i="1"/>
  <c r="F217" i="1"/>
  <c r="F241" i="1"/>
  <c r="F34" i="1"/>
  <c r="F82" i="1"/>
  <c r="F130" i="1"/>
  <c r="F170" i="1"/>
  <c r="F194" i="1"/>
  <c r="F227" i="1"/>
  <c r="F243" i="1"/>
  <c r="F259" i="1"/>
  <c r="F68" i="1"/>
  <c r="F84" i="1"/>
  <c r="F124" i="1"/>
  <c r="F140" i="1"/>
  <c r="F156" i="1"/>
  <c r="F172" i="1"/>
  <c r="F188" i="1"/>
  <c r="F204" i="1"/>
  <c r="F236" i="1"/>
  <c r="F252" i="1"/>
  <c r="F268" i="1"/>
  <c r="F219" i="1"/>
  <c r="F251" i="1"/>
  <c r="F267" i="1"/>
  <c r="F44" i="1"/>
  <c r="F60" i="1"/>
  <c r="F92" i="1"/>
  <c r="F108" i="1"/>
  <c r="F116" i="1"/>
  <c r="F132" i="1"/>
  <c r="F148" i="1"/>
  <c r="F164" i="1"/>
  <c r="F180" i="1"/>
  <c r="F212" i="1"/>
  <c r="F228" i="1"/>
  <c r="F244" i="1"/>
  <c r="F235" i="1"/>
  <c r="F37" i="1"/>
  <c r="F77" i="1"/>
  <c r="F149" i="1"/>
  <c r="F213" i="1"/>
  <c r="F245" i="1"/>
  <c r="F38" i="1"/>
  <c r="F78" i="1"/>
  <c r="F110" i="1"/>
  <c r="F166" i="1"/>
  <c r="F198" i="1"/>
  <c r="F246" i="1"/>
  <c r="F23" i="1"/>
  <c r="F31" i="1"/>
  <c r="F39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75" i="1"/>
  <c r="F191" i="1"/>
  <c r="F199" i="1"/>
  <c r="F207" i="1"/>
  <c r="F223" i="1"/>
  <c r="F231" i="1"/>
  <c r="F239" i="1"/>
  <c r="F247" i="1"/>
  <c r="F255" i="1"/>
  <c r="F263" i="1"/>
  <c r="F21" i="1"/>
  <c r="F61" i="1"/>
  <c r="F93" i="1"/>
  <c r="F117" i="1"/>
  <c r="F173" i="1"/>
  <c r="F205" i="1"/>
  <c r="F62" i="1"/>
  <c r="F86" i="1"/>
  <c r="F126" i="1"/>
  <c r="F150" i="1"/>
  <c r="F214" i="1"/>
  <c r="F254" i="1"/>
  <c r="F16" i="1"/>
  <c r="F32" i="1"/>
  <c r="F48" i="1"/>
  <c r="F56" i="1"/>
  <c r="F64" i="1"/>
  <c r="F72" i="1"/>
  <c r="F80" i="1"/>
  <c r="F88" i="1"/>
  <c r="F104" i="1"/>
  <c r="F128" i="1"/>
  <c r="F144" i="1"/>
  <c r="F152" i="1"/>
  <c r="F160" i="1"/>
  <c r="F168" i="1"/>
  <c r="F176" i="1"/>
  <c r="F184" i="1"/>
  <c r="F200" i="1"/>
  <c r="F208" i="1"/>
  <c r="F216" i="1"/>
  <c r="F224" i="1"/>
  <c r="F232" i="1"/>
  <c r="F240" i="1"/>
  <c r="F248" i="1"/>
  <c r="F256" i="1"/>
  <c r="F264" i="1"/>
  <c r="F45" i="1"/>
  <c r="F69" i="1"/>
  <c r="F101" i="1"/>
  <c r="F189" i="1"/>
  <c r="F229" i="1"/>
  <c r="F253" i="1"/>
  <c r="F46" i="1"/>
  <c r="F70" i="1"/>
  <c r="F174" i="1"/>
  <c r="F206" i="1"/>
  <c r="F238" i="1"/>
  <c r="F262" i="1"/>
  <c r="F24" i="1"/>
  <c r="F40" i="1"/>
  <c r="F17" i="1"/>
  <c r="F25" i="1"/>
  <c r="F33" i="1"/>
  <c r="F41" i="1"/>
  <c r="F49" i="1"/>
  <c r="F57" i="1"/>
  <c r="F65" i="1"/>
  <c r="F73" i="1"/>
  <c r="F81" i="1"/>
  <c r="F89" i="1"/>
  <c r="F97" i="1"/>
  <c r="F105" i="1"/>
  <c r="F113" i="1"/>
  <c r="F129" i="1"/>
  <c r="F137" i="1"/>
  <c r="F153" i="1"/>
  <c r="F161" i="1"/>
  <c r="F177" i="1"/>
  <c r="F185" i="1"/>
  <c r="F193" i="1"/>
  <c r="F201" i="1"/>
  <c r="F209" i="1"/>
  <c r="F225" i="1"/>
  <c r="F233" i="1"/>
  <c r="F249" i="1"/>
  <c r="F257" i="1"/>
  <c r="F265" i="1"/>
  <c r="F29" i="1"/>
  <c r="F53" i="1"/>
  <c r="F85" i="1"/>
  <c r="F125" i="1"/>
  <c r="F157" i="1"/>
  <c r="F197" i="1"/>
  <c r="F221" i="1"/>
  <c r="F261" i="1"/>
  <c r="F22" i="1"/>
  <c r="F54" i="1"/>
  <c r="F94" i="1"/>
  <c r="F118" i="1"/>
  <c r="F158" i="1"/>
  <c r="F190" i="1"/>
  <c r="F18" i="1"/>
  <c r="F26" i="1"/>
  <c r="F42" i="1"/>
  <c r="F50" i="1"/>
  <c r="F58" i="1"/>
  <c r="F66" i="1"/>
  <c r="F74" i="1"/>
  <c r="F90" i="1"/>
  <c r="F98" i="1"/>
  <c r="F106" i="1"/>
  <c r="F114" i="1"/>
  <c r="F122" i="1"/>
  <c r="F138" i="1"/>
  <c r="F146" i="1"/>
  <c r="F154" i="1"/>
  <c r="F162" i="1"/>
  <c r="F178" i="1"/>
  <c r="F186" i="1"/>
  <c r="F202" i="1"/>
  <c r="F210" i="1"/>
  <c r="F218" i="1"/>
  <c r="F226" i="1"/>
  <c r="F234" i="1"/>
  <c r="F242" i="1"/>
  <c r="F250" i="1"/>
  <c r="F258" i="1"/>
  <c r="F266" i="1"/>
  <c r="C269" i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F364" i="1" s="1"/>
  <c r="Q6" i="5" l="1"/>
  <c r="R6" i="5" s="1"/>
  <c r="M7" i="5"/>
  <c r="O7" i="5" s="1"/>
  <c r="E8" i="5"/>
  <c r="C12" i="4"/>
  <c r="A14" i="2"/>
  <c r="E2" i="2"/>
  <c r="E1" i="2"/>
  <c r="B12" i="2"/>
  <c r="B13" i="2" s="1"/>
  <c r="G16" i="1"/>
  <c r="F269" i="1"/>
  <c r="G269" i="1" s="1"/>
  <c r="F287" i="1"/>
  <c r="F346" i="1"/>
  <c r="F304" i="1"/>
  <c r="F301" i="1"/>
  <c r="F315" i="1"/>
  <c r="F351" i="1"/>
  <c r="F279" i="1"/>
  <c r="F342" i="1"/>
  <c r="F294" i="1"/>
  <c r="F345" i="1"/>
  <c r="F310" i="1"/>
  <c r="F303" i="1"/>
  <c r="F307" i="1"/>
  <c r="F283" i="1"/>
  <c r="F270" i="1"/>
  <c r="F337" i="1"/>
  <c r="F358" i="1"/>
  <c r="F276" i="1"/>
  <c r="F329" i="1"/>
  <c r="F330" i="1"/>
  <c r="F289" i="1"/>
  <c r="F331" i="1"/>
  <c r="F314" i="1"/>
  <c r="F275" i="1"/>
  <c r="F295" i="1"/>
  <c r="F291" i="1"/>
  <c r="F338" i="1"/>
  <c r="F321" i="1"/>
  <c r="F312" i="1"/>
  <c r="F300" i="1"/>
  <c r="F296" i="1"/>
  <c r="F322" i="1"/>
  <c r="F326" i="1"/>
  <c r="F313" i="1"/>
  <c r="F286" i="1"/>
  <c r="F288" i="1"/>
  <c r="F271" i="1"/>
  <c r="F348" i="1"/>
  <c r="F298" i="1"/>
  <c r="F333" i="1"/>
  <c r="F305" i="1"/>
  <c r="F317" i="1"/>
  <c r="F344" i="1"/>
  <c r="F280" i="1"/>
  <c r="F335" i="1"/>
  <c r="F349" i="1"/>
  <c r="F340" i="1"/>
  <c r="F332" i="1"/>
  <c r="F355" i="1"/>
  <c r="F356" i="1"/>
  <c r="F306" i="1"/>
  <c r="F341" i="1"/>
  <c r="F352" i="1"/>
  <c r="F343" i="1"/>
  <c r="F290" i="1"/>
  <c r="F293" i="1"/>
  <c r="F297" i="1"/>
  <c r="F285" i="1"/>
  <c r="F336" i="1"/>
  <c r="F272" i="1"/>
  <c r="F327" i="1"/>
  <c r="F334" i="1"/>
  <c r="F309" i="1"/>
  <c r="F324" i="1"/>
  <c r="F316" i="1"/>
  <c r="F339" i="1"/>
  <c r="F362" i="1"/>
  <c r="F282" i="1"/>
  <c r="F350" i="1"/>
  <c r="F361" i="1"/>
  <c r="F281" i="1"/>
  <c r="F328" i="1"/>
  <c r="F357" i="1"/>
  <c r="F319" i="1"/>
  <c r="F302" i="1"/>
  <c r="F277" i="1"/>
  <c r="F308" i="1"/>
  <c r="F363" i="1"/>
  <c r="F284" i="1"/>
  <c r="F323" i="1"/>
  <c r="F360" i="1"/>
  <c r="F359" i="1"/>
  <c r="F354" i="1"/>
  <c r="F274" i="1"/>
  <c r="F318" i="1"/>
  <c r="F353" i="1"/>
  <c r="F273" i="1"/>
  <c r="F320" i="1"/>
  <c r="F325" i="1"/>
  <c r="F311" i="1"/>
  <c r="F278" i="1"/>
  <c r="F292" i="1"/>
  <c r="F347" i="1"/>
  <c r="F299" i="1"/>
  <c r="G15" i="1"/>
  <c r="G18" i="1"/>
  <c r="G27" i="1"/>
  <c r="G67" i="1"/>
  <c r="C365" i="1"/>
  <c r="F365" i="1" s="1"/>
  <c r="G17" i="1"/>
  <c r="G138" i="1"/>
  <c r="G23" i="1"/>
  <c r="G48" i="1"/>
  <c r="G218" i="1"/>
  <c r="G19" i="1"/>
  <c r="G249" i="1"/>
  <c r="G20" i="1"/>
  <c r="G145" i="1"/>
  <c r="G25" i="1"/>
  <c r="G94" i="1"/>
  <c r="G130" i="1"/>
  <c r="G180" i="1"/>
  <c r="G129" i="1"/>
  <c r="G179" i="1"/>
  <c r="G136" i="1"/>
  <c r="G201" i="1"/>
  <c r="G177" i="1"/>
  <c r="G108" i="1"/>
  <c r="G202" i="1"/>
  <c r="G31" i="1"/>
  <c r="G113" i="1"/>
  <c r="G40" i="1"/>
  <c r="G163" i="1"/>
  <c r="G99" i="1"/>
  <c r="G76" i="1"/>
  <c r="G266" i="1"/>
  <c r="G264" i="1"/>
  <c r="G126" i="1"/>
  <c r="G178" i="1"/>
  <c r="G247" i="1"/>
  <c r="G216" i="1"/>
  <c r="G118" i="1"/>
  <c r="G215" i="1"/>
  <c r="G158" i="1"/>
  <c r="G81" i="1"/>
  <c r="G263" i="1"/>
  <c r="G200" i="1"/>
  <c r="G72" i="1"/>
  <c r="G199" i="1"/>
  <c r="G232" i="1"/>
  <c r="G142" i="1"/>
  <c r="G104" i="1"/>
  <c r="G231" i="1"/>
  <c r="G248" i="1"/>
  <c r="G134" i="1"/>
  <c r="G65" i="1"/>
  <c r="G56" i="1"/>
  <c r="G233" i="1"/>
  <c r="G97" i="1"/>
  <c r="G131" i="1"/>
  <c r="G57" i="1"/>
  <c r="G140" i="1"/>
  <c r="G217" i="1"/>
  <c r="G35" i="1"/>
  <c r="G115" i="1"/>
  <c r="G41" i="1"/>
  <c r="G161" i="1"/>
  <c r="G156" i="1"/>
  <c r="G250" i="1"/>
  <c r="G49" i="1"/>
  <c r="G147" i="1"/>
  <c r="G83" i="1"/>
  <c r="G190" i="1"/>
  <c r="G234" i="1"/>
  <c r="G265" i="1"/>
  <c r="G22" i="1"/>
  <c r="G37" i="1"/>
  <c r="G42" i="1"/>
  <c r="G50" i="1"/>
  <c r="G58" i="1"/>
  <c r="G175" i="1"/>
  <c r="G159" i="1"/>
  <c r="G143" i="1"/>
  <c r="G127" i="1"/>
  <c r="G111" i="1"/>
  <c r="G95" i="1"/>
  <c r="G79" i="1"/>
  <c r="G63" i="1"/>
  <c r="G176" i="1"/>
  <c r="G132" i="1"/>
  <c r="G100" i="1"/>
  <c r="G68" i="1"/>
  <c r="G160" i="1"/>
  <c r="G122" i="1"/>
  <c r="G114" i="1"/>
  <c r="G106" i="1"/>
  <c r="G262" i="1"/>
  <c r="G246" i="1"/>
  <c r="G230" i="1"/>
  <c r="G214" i="1"/>
  <c r="G198" i="1"/>
  <c r="G261" i="1"/>
  <c r="G245" i="1"/>
  <c r="G229" i="1"/>
  <c r="G213" i="1"/>
  <c r="G197" i="1"/>
  <c r="G28" i="1"/>
  <c r="G189" i="1"/>
  <c r="G109" i="1"/>
  <c r="G128" i="1"/>
  <c r="G98" i="1"/>
  <c r="G244" i="1"/>
  <c r="G227" i="1"/>
  <c r="G51" i="1"/>
  <c r="G125" i="1"/>
  <c r="G174" i="1"/>
  <c r="G110" i="1"/>
  <c r="G196" i="1"/>
  <c r="G195" i="1"/>
  <c r="G34" i="1"/>
  <c r="G21" i="1"/>
  <c r="G44" i="1"/>
  <c r="G52" i="1"/>
  <c r="G187" i="1"/>
  <c r="G171" i="1"/>
  <c r="G155" i="1"/>
  <c r="G139" i="1"/>
  <c r="G123" i="1"/>
  <c r="G107" i="1"/>
  <c r="G91" i="1"/>
  <c r="G75" i="1"/>
  <c r="G59" i="1"/>
  <c r="G172" i="1"/>
  <c r="G124" i="1"/>
  <c r="G92" i="1"/>
  <c r="G60" i="1"/>
  <c r="G164" i="1"/>
  <c r="G102" i="1"/>
  <c r="G86" i="1"/>
  <c r="G82" i="1"/>
  <c r="G258" i="1"/>
  <c r="G242" i="1"/>
  <c r="G226" i="1"/>
  <c r="G210" i="1"/>
  <c r="G194" i="1"/>
  <c r="G257" i="1"/>
  <c r="G241" i="1"/>
  <c r="G225" i="1"/>
  <c r="G209" i="1"/>
  <c r="G193" i="1"/>
  <c r="G43" i="1"/>
  <c r="G141" i="1"/>
  <c r="G61" i="1"/>
  <c r="G162" i="1"/>
  <c r="G212" i="1"/>
  <c r="G26" i="1"/>
  <c r="G30" i="1"/>
  <c r="G53" i="1"/>
  <c r="G169" i="1"/>
  <c r="G137" i="1"/>
  <c r="G121" i="1"/>
  <c r="G105" i="1"/>
  <c r="G89" i="1"/>
  <c r="G73" i="1"/>
  <c r="G186" i="1"/>
  <c r="G170" i="1"/>
  <c r="G120" i="1"/>
  <c r="G88" i="1"/>
  <c r="G150" i="1"/>
  <c r="G166" i="1"/>
  <c r="G90" i="1"/>
  <c r="G74" i="1"/>
  <c r="G70" i="1"/>
  <c r="G256" i="1"/>
  <c r="G240" i="1"/>
  <c r="G224" i="1"/>
  <c r="G208" i="1"/>
  <c r="G192" i="1"/>
  <c r="G255" i="1"/>
  <c r="G239" i="1"/>
  <c r="G223" i="1"/>
  <c r="G207" i="1"/>
  <c r="G191" i="1"/>
  <c r="G36" i="1"/>
  <c r="G157" i="1"/>
  <c r="G77" i="1"/>
  <c r="G64" i="1"/>
  <c r="G228" i="1"/>
  <c r="G243" i="1"/>
  <c r="G32" i="1"/>
  <c r="G45" i="1"/>
  <c r="G185" i="1"/>
  <c r="G153" i="1"/>
  <c r="G24" i="1"/>
  <c r="G38" i="1"/>
  <c r="G46" i="1"/>
  <c r="G54" i="1"/>
  <c r="G183" i="1"/>
  <c r="G167" i="1"/>
  <c r="G151" i="1"/>
  <c r="G135" i="1"/>
  <c r="G119" i="1"/>
  <c r="G103" i="1"/>
  <c r="G87" i="1"/>
  <c r="G71" i="1"/>
  <c r="G184" i="1"/>
  <c r="G148" i="1"/>
  <c r="G116" i="1"/>
  <c r="G84" i="1"/>
  <c r="G152" i="1"/>
  <c r="G168" i="1"/>
  <c r="G78" i="1"/>
  <c r="G62" i="1"/>
  <c r="G254" i="1"/>
  <c r="G238" i="1"/>
  <c r="G222" i="1"/>
  <c r="G206" i="1"/>
  <c r="G253" i="1"/>
  <c r="G237" i="1"/>
  <c r="G221" i="1"/>
  <c r="G205" i="1"/>
  <c r="G29" i="1"/>
  <c r="G173" i="1"/>
  <c r="G93" i="1"/>
  <c r="G96" i="1"/>
  <c r="G260" i="1"/>
  <c r="G259" i="1"/>
  <c r="G211" i="1"/>
  <c r="G33" i="1"/>
  <c r="G39" i="1"/>
  <c r="G47" i="1"/>
  <c r="G55" i="1"/>
  <c r="G181" i="1"/>
  <c r="G165" i="1"/>
  <c r="G149" i="1"/>
  <c r="G133" i="1"/>
  <c r="G117" i="1"/>
  <c r="G101" i="1"/>
  <c r="G85" i="1"/>
  <c r="G69" i="1"/>
  <c r="G182" i="1"/>
  <c r="G144" i="1"/>
  <c r="G112" i="1"/>
  <c r="G80" i="1"/>
  <c r="G154" i="1"/>
  <c r="G188" i="1"/>
  <c r="G66" i="1"/>
  <c r="G146" i="1"/>
  <c r="G268" i="1"/>
  <c r="G252" i="1"/>
  <c r="G236" i="1"/>
  <c r="G220" i="1"/>
  <c r="G204" i="1"/>
  <c r="G267" i="1"/>
  <c r="G251" i="1"/>
  <c r="G235" i="1"/>
  <c r="G219" i="1"/>
  <c r="G203" i="1"/>
  <c r="E9" i="5" l="1"/>
  <c r="M8" i="5"/>
  <c r="O8" i="5" s="1"/>
  <c r="N8" i="5"/>
  <c r="P8" i="5" s="1"/>
  <c r="N7" i="5"/>
  <c r="P7" i="5" s="1"/>
  <c r="Q7" i="5" s="1"/>
  <c r="R7" i="5" s="1"/>
  <c r="A15" i="2"/>
  <c r="B14" i="2"/>
  <c r="G270" i="1"/>
  <c r="G275" i="1"/>
  <c r="G283" i="1"/>
  <c r="G326" i="1"/>
  <c r="G271" i="1"/>
  <c r="G278" i="1"/>
  <c r="G361" i="1"/>
  <c r="G319" i="1"/>
  <c r="G360" i="1"/>
  <c r="G290" i="1"/>
  <c r="G289" i="1"/>
  <c r="G286" i="1"/>
  <c r="G284" i="1"/>
  <c r="G285" i="1"/>
  <c r="G357" i="1"/>
  <c r="G344" i="1"/>
  <c r="G299" i="1"/>
  <c r="G358" i="1"/>
  <c r="G338" i="1"/>
  <c r="G353" i="1"/>
  <c r="G342" i="1"/>
  <c r="G301" i="1"/>
  <c r="G308" i="1"/>
  <c r="G300" i="1"/>
  <c r="G335" i="1"/>
  <c r="G359" i="1"/>
  <c r="G312" i="1"/>
  <c r="G341" i="1"/>
  <c r="G351" i="1"/>
  <c r="G274" i="1"/>
  <c r="G331" i="1"/>
  <c r="G306" i="1"/>
  <c r="G276" i="1"/>
  <c r="G277" i="1"/>
  <c r="G336" i="1"/>
  <c r="G355" i="1"/>
  <c r="G272" i="1"/>
  <c r="G273" i="1"/>
  <c r="G333" i="1"/>
  <c r="G281" i="1"/>
  <c r="G337" i="1"/>
  <c r="G315" i="1"/>
  <c r="G302" i="1"/>
  <c r="G328" i="1"/>
  <c r="G311" i="1"/>
  <c r="G349" i="1"/>
  <c r="G356" i="1"/>
  <c r="G287" i="1"/>
  <c r="G339" i="1"/>
  <c r="G340" i="1"/>
  <c r="G303" i="1"/>
  <c r="G316" i="1"/>
  <c r="G325" i="1"/>
  <c r="G327" i="1"/>
  <c r="G288" i="1"/>
  <c r="G318" i="1"/>
  <c r="G304" i="1"/>
  <c r="G354" i="1"/>
  <c r="G305" i="1"/>
  <c r="G345" i="1"/>
  <c r="G295" i="1"/>
  <c r="G292" i="1"/>
  <c r="G330" i="1"/>
  <c r="G352" i="1"/>
  <c r="G291" i="1"/>
  <c r="G307" i="1"/>
  <c r="G350" i="1"/>
  <c r="G293" i="1"/>
  <c r="G334" i="1"/>
  <c r="G314" i="1"/>
  <c r="G348" i="1"/>
  <c r="G310" i="1"/>
  <c r="G294" i="1"/>
  <c r="G322" i="1"/>
  <c r="G323" i="1"/>
  <c r="G296" i="1"/>
  <c r="G329" i="1"/>
  <c r="G280" i="1"/>
  <c r="G317" i="1"/>
  <c r="G321" i="1"/>
  <c r="G324" i="1"/>
  <c r="G297" i="1"/>
  <c r="G362" i="1"/>
  <c r="G363" i="1"/>
  <c r="G282" i="1"/>
  <c r="G332" i="1"/>
  <c r="G346" i="1"/>
  <c r="G320" i="1"/>
  <c r="G343" i="1"/>
  <c r="G313" i="1"/>
  <c r="G309" i="1"/>
  <c r="G298" i="1"/>
  <c r="G279" i="1"/>
  <c r="G347" i="1"/>
  <c r="C366" i="1"/>
  <c r="F366" i="1" s="1"/>
  <c r="G365" i="1"/>
  <c r="G364" i="1"/>
  <c r="Q8" i="5" l="1"/>
  <c r="R8" i="5" s="1"/>
  <c r="M9" i="5"/>
  <c r="O9" i="5" s="1"/>
  <c r="E10" i="5"/>
  <c r="A16" i="2"/>
  <c r="B15" i="2"/>
  <c r="C367" i="1"/>
  <c r="F367" i="1" s="1"/>
  <c r="G366" i="1"/>
  <c r="E11" i="5" l="1"/>
  <c r="M10" i="5"/>
  <c r="O10" i="5" s="1"/>
  <c r="N9" i="5"/>
  <c r="P9" i="5" s="1"/>
  <c r="Q9" i="5" s="1"/>
  <c r="R9" i="5" s="1"/>
  <c r="A17" i="2"/>
  <c r="B16" i="2"/>
  <c r="C368" i="1"/>
  <c r="F368" i="1" s="1"/>
  <c r="M11" i="5" l="1"/>
  <c r="O11" i="5" s="1"/>
  <c r="E12" i="5"/>
  <c r="N10" i="5"/>
  <c r="P10" i="5" s="1"/>
  <c r="Q10" i="5" s="1"/>
  <c r="R10" i="5" s="1"/>
  <c r="A18" i="2"/>
  <c r="B17" i="2"/>
  <c r="G367" i="1"/>
  <c r="C369" i="1"/>
  <c r="F369" i="1" s="1"/>
  <c r="E13" i="5" l="1"/>
  <c r="M12" i="5"/>
  <c r="O12" i="5" s="1"/>
  <c r="N12" i="5"/>
  <c r="P12" i="5" s="1"/>
  <c r="N11" i="5"/>
  <c r="P11" i="5" s="1"/>
  <c r="Q11" i="5" s="1"/>
  <c r="R11" i="5" s="1"/>
  <c r="A19" i="2"/>
  <c r="B18" i="2"/>
  <c r="C370" i="1"/>
  <c r="F370" i="1" s="1"/>
  <c r="G369" i="1"/>
  <c r="G368" i="1"/>
  <c r="Q12" i="5" l="1"/>
  <c r="R12" i="5" s="1"/>
  <c r="E14" i="5"/>
  <c r="M13" i="5"/>
  <c r="O13" i="5" s="1"/>
  <c r="A20" i="2"/>
  <c r="B19" i="2"/>
  <c r="C371" i="1"/>
  <c r="F371" i="1" s="1"/>
  <c r="M14" i="5" l="1"/>
  <c r="O14" i="5" s="1"/>
  <c r="E15" i="5"/>
  <c r="N13" i="5"/>
  <c r="P13" i="5" s="1"/>
  <c r="Q13" i="5" s="1"/>
  <c r="R13" i="5" s="1"/>
  <c r="A21" i="2"/>
  <c r="B20" i="2"/>
  <c r="G370" i="1"/>
  <c r="C372" i="1"/>
  <c r="F372" i="1" s="1"/>
  <c r="E16" i="5" l="1"/>
  <c r="M15" i="5"/>
  <c r="O15" i="5" s="1"/>
  <c r="N15" i="5"/>
  <c r="P15" i="5" s="1"/>
  <c r="N14" i="5"/>
  <c r="P14" i="5" s="1"/>
  <c r="Q14" i="5" s="1"/>
  <c r="R14" i="5" s="1"/>
  <c r="A22" i="2"/>
  <c r="B21" i="2"/>
  <c r="G371" i="1"/>
  <c r="C373" i="1"/>
  <c r="F373" i="1" s="1"/>
  <c r="Q15" i="5" l="1"/>
  <c r="R15" i="5" s="1"/>
  <c r="E17" i="5"/>
  <c r="M16" i="5"/>
  <c r="O16" i="5" s="1"/>
  <c r="A23" i="2"/>
  <c r="B22" i="2"/>
  <c r="G372" i="1"/>
  <c r="C374" i="1"/>
  <c r="F374" i="1" s="1"/>
  <c r="G373" i="1"/>
  <c r="M17" i="5" l="1"/>
  <c r="O17" i="5" s="1"/>
  <c r="E18" i="5"/>
  <c r="N16" i="5"/>
  <c r="P16" i="5" s="1"/>
  <c r="Q16" i="5" s="1"/>
  <c r="R16" i="5" s="1"/>
  <c r="A24" i="2"/>
  <c r="B23" i="2"/>
  <c r="C375" i="1"/>
  <c r="F375" i="1" s="1"/>
  <c r="G374" i="1"/>
  <c r="M18" i="5" l="1"/>
  <c r="O18" i="5" s="1"/>
  <c r="E19" i="5"/>
  <c r="N18" i="5"/>
  <c r="P18" i="5" s="1"/>
  <c r="N17" i="5"/>
  <c r="P17" i="5" s="1"/>
  <c r="Q17" i="5" s="1"/>
  <c r="R17" i="5" s="1"/>
  <c r="A25" i="2"/>
  <c r="B24" i="2"/>
  <c r="C376" i="1"/>
  <c r="F376" i="1" s="1"/>
  <c r="G375" i="1"/>
  <c r="E20" i="5" l="1"/>
  <c r="M19" i="5"/>
  <c r="O19" i="5" s="1"/>
  <c r="Q18" i="5"/>
  <c r="R18" i="5" s="1"/>
  <c r="A26" i="2"/>
  <c r="B25" i="2"/>
  <c r="C377" i="1"/>
  <c r="F377" i="1" s="1"/>
  <c r="G376" i="1"/>
  <c r="N19" i="5" l="1"/>
  <c r="P19" i="5" s="1"/>
  <c r="Q19" i="5" s="1"/>
  <c r="R19" i="5" s="1"/>
  <c r="M20" i="5"/>
  <c r="O20" i="5" s="1"/>
  <c r="E21" i="5"/>
  <c r="A27" i="2"/>
  <c r="B26" i="2"/>
  <c r="C378" i="1"/>
  <c r="F378" i="1" s="1"/>
  <c r="G377" i="1"/>
  <c r="M21" i="5" l="1"/>
  <c r="O21" i="5" s="1"/>
  <c r="E22" i="5"/>
  <c r="N21" i="5"/>
  <c r="P21" i="5" s="1"/>
  <c r="N20" i="5"/>
  <c r="P20" i="5" s="1"/>
  <c r="Q20" i="5" s="1"/>
  <c r="R20" i="5" s="1"/>
  <c r="A28" i="2"/>
  <c r="B27" i="2"/>
  <c r="C379" i="1"/>
  <c r="F379" i="1" s="1"/>
  <c r="G378" i="1"/>
  <c r="E23" i="5" l="1"/>
  <c r="M22" i="5"/>
  <c r="O22" i="5" s="1"/>
  <c r="Q21" i="5"/>
  <c r="R21" i="5" s="1"/>
  <c r="A29" i="2"/>
  <c r="B28" i="2"/>
  <c r="C380" i="1"/>
  <c r="F380" i="1" s="1"/>
  <c r="G379" i="1"/>
  <c r="N22" i="5" l="1"/>
  <c r="P22" i="5" s="1"/>
  <c r="Q22" i="5" s="1"/>
  <c r="R22" i="5" s="1"/>
  <c r="M23" i="5"/>
  <c r="O23" i="5" s="1"/>
  <c r="E24" i="5"/>
  <c r="A30" i="2"/>
  <c r="B29" i="2"/>
  <c r="C381" i="1"/>
  <c r="F381" i="1" s="1"/>
  <c r="G380" i="1"/>
  <c r="M24" i="5" l="1"/>
  <c r="O24" i="5" s="1"/>
  <c r="E25" i="5"/>
  <c r="N23" i="5"/>
  <c r="P23" i="5" s="1"/>
  <c r="Q23" i="5" s="1"/>
  <c r="R23" i="5" s="1"/>
  <c r="A31" i="2"/>
  <c r="B30" i="2"/>
  <c r="C382" i="1"/>
  <c r="F382" i="1" s="1"/>
  <c r="G381" i="1"/>
  <c r="E26" i="5" l="1"/>
  <c r="M25" i="5"/>
  <c r="O25" i="5" s="1"/>
  <c r="N24" i="5"/>
  <c r="P24" i="5" s="1"/>
  <c r="Q24" i="5" s="1"/>
  <c r="R24" i="5" s="1"/>
  <c r="A32" i="2"/>
  <c r="B31" i="2"/>
  <c r="C383" i="1"/>
  <c r="F383" i="1" s="1"/>
  <c r="G382" i="1"/>
  <c r="N25" i="5" l="1"/>
  <c r="P25" i="5" s="1"/>
  <c r="Q25" i="5" s="1"/>
  <c r="R25" i="5" s="1"/>
  <c r="M26" i="5"/>
  <c r="O26" i="5" s="1"/>
  <c r="E27" i="5"/>
  <c r="A33" i="2"/>
  <c r="B32" i="2"/>
  <c r="C384" i="1"/>
  <c r="F384" i="1" s="1"/>
  <c r="G383" i="1"/>
  <c r="M27" i="5" l="1"/>
  <c r="O27" i="5" s="1"/>
  <c r="E28" i="5"/>
  <c r="N26" i="5"/>
  <c r="P26" i="5" s="1"/>
  <c r="Q26" i="5" s="1"/>
  <c r="R26" i="5" s="1"/>
  <c r="A34" i="2"/>
  <c r="B33" i="2"/>
  <c r="C385" i="1"/>
  <c r="F385" i="1" s="1"/>
  <c r="G384" i="1"/>
  <c r="E29" i="5" l="1"/>
  <c r="M28" i="5"/>
  <c r="O28" i="5" s="1"/>
  <c r="N28" i="5"/>
  <c r="P28" i="5" s="1"/>
  <c r="N27" i="5"/>
  <c r="P27" i="5" s="1"/>
  <c r="Q27" i="5" s="1"/>
  <c r="R27" i="5" s="1"/>
  <c r="A35" i="2"/>
  <c r="B34" i="2"/>
  <c r="C386" i="1"/>
  <c r="F386" i="1" s="1"/>
  <c r="G385" i="1"/>
  <c r="Q28" i="5" l="1"/>
  <c r="R28" i="5" s="1"/>
  <c r="M29" i="5"/>
  <c r="O29" i="5" s="1"/>
  <c r="E30" i="5"/>
  <c r="A36" i="2"/>
  <c r="B35" i="2"/>
  <c r="C387" i="1"/>
  <c r="F387" i="1" s="1"/>
  <c r="G386" i="1"/>
  <c r="M30" i="5" l="1"/>
  <c r="O30" i="5" s="1"/>
  <c r="E31" i="5"/>
  <c r="N29" i="5"/>
  <c r="P29" i="5" s="1"/>
  <c r="Q29" i="5" s="1"/>
  <c r="R29" i="5" s="1"/>
  <c r="A37" i="2"/>
  <c r="B36" i="2"/>
  <c r="C388" i="1"/>
  <c r="F388" i="1" s="1"/>
  <c r="G387" i="1"/>
  <c r="E32" i="5" l="1"/>
  <c r="M31" i="5"/>
  <c r="O31" i="5" s="1"/>
  <c r="N31" i="5"/>
  <c r="P31" i="5" s="1"/>
  <c r="N30" i="5"/>
  <c r="P30" i="5" s="1"/>
  <c r="Q30" i="5" s="1"/>
  <c r="R30" i="5" s="1"/>
  <c r="A38" i="2"/>
  <c r="B37" i="2"/>
  <c r="C389" i="1"/>
  <c r="F389" i="1" s="1"/>
  <c r="G388" i="1"/>
  <c r="Q31" i="5" l="1"/>
  <c r="R31" i="5" s="1"/>
  <c r="E33" i="5"/>
  <c r="M32" i="5"/>
  <c r="O32" i="5" s="1"/>
  <c r="A39" i="2"/>
  <c r="B38" i="2"/>
  <c r="C390" i="1"/>
  <c r="F390" i="1" s="1"/>
  <c r="G389" i="1"/>
  <c r="N32" i="5" l="1"/>
  <c r="P32" i="5" s="1"/>
  <c r="Q32" i="5" s="1"/>
  <c r="R32" i="5" s="1"/>
  <c r="M33" i="5"/>
  <c r="O33" i="5" s="1"/>
  <c r="E34" i="5"/>
  <c r="A40" i="2"/>
  <c r="B39" i="2"/>
  <c r="C391" i="1"/>
  <c r="F391" i="1" s="1"/>
  <c r="G390" i="1"/>
  <c r="M34" i="5" l="1"/>
  <c r="O34" i="5" s="1"/>
  <c r="E35" i="5"/>
  <c r="N34" i="5"/>
  <c r="P34" i="5" s="1"/>
  <c r="N33" i="5"/>
  <c r="P33" i="5" s="1"/>
  <c r="Q33" i="5" s="1"/>
  <c r="R33" i="5" s="1"/>
  <c r="A41" i="2"/>
  <c r="B40" i="2"/>
  <c r="C392" i="1"/>
  <c r="F392" i="1" s="1"/>
  <c r="G391" i="1"/>
  <c r="E36" i="5" l="1"/>
  <c r="M35" i="5"/>
  <c r="O35" i="5" s="1"/>
  <c r="Q34" i="5"/>
  <c r="R34" i="5" s="1"/>
  <c r="A42" i="2"/>
  <c r="B41" i="2"/>
  <c r="C393" i="1"/>
  <c r="F393" i="1" s="1"/>
  <c r="G392" i="1"/>
  <c r="N35" i="5" l="1"/>
  <c r="P35" i="5" s="1"/>
  <c r="Q35" i="5" s="1"/>
  <c r="R35" i="5" s="1"/>
  <c r="M36" i="5"/>
  <c r="O36" i="5" s="1"/>
  <c r="E37" i="5"/>
  <c r="A43" i="2"/>
  <c r="B42" i="2"/>
  <c r="C394" i="1"/>
  <c r="F394" i="1" s="1"/>
  <c r="G393" i="1"/>
  <c r="Q36" i="5" l="1"/>
  <c r="R36" i="5" s="1"/>
  <c r="N36" i="5"/>
  <c r="P36" i="5" s="1"/>
  <c r="M37" i="5"/>
  <c r="O37" i="5" s="1"/>
  <c r="E38" i="5"/>
  <c r="N37" i="5"/>
  <c r="P37" i="5" s="1"/>
  <c r="A44" i="2"/>
  <c r="B43" i="2"/>
  <c r="C395" i="1"/>
  <c r="F395" i="1" s="1"/>
  <c r="G394" i="1"/>
  <c r="E39" i="5" l="1"/>
  <c r="M38" i="5"/>
  <c r="O38" i="5" s="1"/>
  <c r="Q37" i="5"/>
  <c r="R37" i="5" s="1"/>
  <c r="A45" i="2"/>
  <c r="B44" i="2"/>
  <c r="C396" i="1"/>
  <c r="F396" i="1" s="1"/>
  <c r="G395" i="1"/>
  <c r="N38" i="5" l="1"/>
  <c r="P38" i="5" s="1"/>
  <c r="Q38" i="5" s="1"/>
  <c r="R38" i="5" s="1"/>
  <c r="M39" i="5"/>
  <c r="O39" i="5" s="1"/>
  <c r="E40" i="5"/>
  <c r="A46" i="2"/>
  <c r="B45" i="2"/>
  <c r="C397" i="1"/>
  <c r="F397" i="1" s="1"/>
  <c r="G396" i="1"/>
  <c r="M40" i="5" l="1"/>
  <c r="O40" i="5" s="1"/>
  <c r="E41" i="5"/>
  <c r="N39" i="5"/>
  <c r="P39" i="5" s="1"/>
  <c r="Q39" i="5" s="1"/>
  <c r="R39" i="5" s="1"/>
  <c r="A47" i="2"/>
  <c r="B46" i="2"/>
  <c r="C398" i="1"/>
  <c r="F398" i="1" s="1"/>
  <c r="G397" i="1"/>
  <c r="E42" i="5" l="1"/>
  <c r="M41" i="5"/>
  <c r="O41" i="5" s="1"/>
  <c r="N40" i="5"/>
  <c r="P40" i="5" s="1"/>
  <c r="Q40" i="5" s="1"/>
  <c r="R40" i="5" s="1"/>
  <c r="A48" i="2"/>
  <c r="B47" i="2"/>
  <c r="C399" i="1"/>
  <c r="F399" i="1" s="1"/>
  <c r="G398" i="1"/>
  <c r="N41" i="5" l="1"/>
  <c r="P41" i="5" s="1"/>
  <c r="Q41" i="5" s="1"/>
  <c r="R41" i="5" s="1"/>
  <c r="M42" i="5"/>
  <c r="O42" i="5" s="1"/>
  <c r="E43" i="5"/>
  <c r="A49" i="2"/>
  <c r="B48" i="2"/>
  <c r="C400" i="1"/>
  <c r="F400" i="1" s="1"/>
  <c r="G399" i="1"/>
  <c r="M43" i="5" l="1"/>
  <c r="O43" i="5" s="1"/>
  <c r="E44" i="5"/>
  <c r="N42" i="5"/>
  <c r="P42" i="5" s="1"/>
  <c r="Q42" i="5" s="1"/>
  <c r="R42" i="5" s="1"/>
  <c r="A50" i="2"/>
  <c r="B49" i="2"/>
  <c r="C401" i="1"/>
  <c r="F401" i="1" s="1"/>
  <c r="G400" i="1"/>
  <c r="E45" i="5" l="1"/>
  <c r="M44" i="5"/>
  <c r="O44" i="5" s="1"/>
  <c r="N44" i="5"/>
  <c r="P44" i="5" s="1"/>
  <c r="N43" i="5"/>
  <c r="P43" i="5" s="1"/>
  <c r="Q43" i="5" s="1"/>
  <c r="R43" i="5" s="1"/>
  <c r="A51" i="2"/>
  <c r="B50" i="2"/>
  <c r="C402" i="1"/>
  <c r="F402" i="1" s="1"/>
  <c r="G401" i="1"/>
  <c r="E46" i="5" l="1"/>
  <c r="M45" i="5"/>
  <c r="O45" i="5" s="1"/>
  <c r="Q44" i="5"/>
  <c r="R44" i="5" s="1"/>
  <c r="A52" i="2"/>
  <c r="B51" i="2"/>
  <c r="C403" i="1"/>
  <c r="F403" i="1" s="1"/>
  <c r="G402" i="1"/>
  <c r="N45" i="5" l="1"/>
  <c r="P45" i="5" s="1"/>
  <c r="Q45" i="5" s="1"/>
  <c r="R45" i="5" s="1"/>
  <c r="M46" i="5"/>
  <c r="O46" i="5" s="1"/>
  <c r="E47" i="5"/>
  <c r="A53" i="2"/>
  <c r="B52" i="2"/>
  <c r="C404" i="1"/>
  <c r="F404" i="1" s="1"/>
  <c r="G403" i="1"/>
  <c r="E48" i="5" l="1"/>
  <c r="M47" i="5"/>
  <c r="O47" i="5" s="1"/>
  <c r="N47" i="5"/>
  <c r="P47" i="5" s="1"/>
  <c r="N46" i="5"/>
  <c r="P46" i="5" s="1"/>
  <c r="Q46" i="5" s="1"/>
  <c r="R46" i="5" s="1"/>
  <c r="A54" i="2"/>
  <c r="B53" i="2"/>
  <c r="C405" i="1"/>
  <c r="F405" i="1" s="1"/>
  <c r="G404" i="1"/>
  <c r="Q47" i="5" l="1"/>
  <c r="R47" i="5" s="1"/>
  <c r="E49" i="5"/>
  <c r="M48" i="5"/>
  <c r="O48" i="5" s="1"/>
  <c r="A55" i="2"/>
  <c r="B54" i="2"/>
  <c r="C406" i="1"/>
  <c r="F406" i="1" s="1"/>
  <c r="G405" i="1"/>
  <c r="N48" i="5" l="1"/>
  <c r="P48" i="5" s="1"/>
  <c r="Q48" i="5" s="1"/>
  <c r="R48" i="5" s="1"/>
  <c r="E50" i="5"/>
  <c r="M49" i="5"/>
  <c r="O49" i="5" s="1"/>
  <c r="A56" i="2"/>
  <c r="B55" i="2"/>
  <c r="C407" i="1"/>
  <c r="F407" i="1" s="1"/>
  <c r="G406" i="1"/>
  <c r="E51" i="5" l="1"/>
  <c r="M50" i="5"/>
  <c r="O50" i="5" s="1"/>
  <c r="N49" i="5"/>
  <c r="P49" i="5" s="1"/>
  <c r="Q49" i="5" s="1"/>
  <c r="R49" i="5" s="1"/>
  <c r="A57" i="2"/>
  <c r="B56" i="2"/>
  <c r="C408" i="1"/>
  <c r="F408" i="1" s="1"/>
  <c r="G407" i="1"/>
  <c r="N50" i="5" l="1"/>
  <c r="P50" i="5" s="1"/>
  <c r="Q50" i="5" s="1"/>
  <c r="R50" i="5" s="1"/>
  <c r="E52" i="5"/>
  <c r="M51" i="5"/>
  <c r="O51" i="5" s="1"/>
  <c r="A58" i="2"/>
  <c r="B57" i="2"/>
  <c r="C409" i="1"/>
  <c r="F409" i="1" s="1"/>
  <c r="G408" i="1"/>
  <c r="E53" i="5" l="1"/>
  <c r="M52" i="5"/>
  <c r="O52" i="5" s="1"/>
  <c r="N51" i="5"/>
  <c r="P51" i="5" s="1"/>
  <c r="Q51" i="5" s="1"/>
  <c r="R51" i="5" s="1"/>
  <c r="A59" i="2"/>
  <c r="B58" i="2"/>
  <c r="C410" i="1"/>
  <c r="F410" i="1" s="1"/>
  <c r="G409" i="1"/>
  <c r="N52" i="5" l="1"/>
  <c r="P52" i="5" s="1"/>
  <c r="Q52" i="5" s="1"/>
  <c r="R52" i="5" s="1"/>
  <c r="M53" i="5"/>
  <c r="O53" i="5" s="1"/>
  <c r="E54" i="5"/>
  <c r="A60" i="2"/>
  <c r="B59" i="2"/>
  <c r="C411" i="1"/>
  <c r="F411" i="1" s="1"/>
  <c r="G410" i="1"/>
  <c r="E55" i="5" l="1"/>
  <c r="M54" i="5"/>
  <c r="O54" i="5" s="1"/>
  <c r="N54" i="5"/>
  <c r="P54" i="5" s="1"/>
  <c r="N53" i="5"/>
  <c r="P53" i="5" s="1"/>
  <c r="Q53" i="5" s="1"/>
  <c r="R53" i="5" s="1"/>
  <c r="A61" i="2"/>
  <c r="B60" i="2"/>
  <c r="C412" i="1"/>
  <c r="F412" i="1" s="1"/>
  <c r="G411" i="1"/>
  <c r="Q54" i="5" l="1"/>
  <c r="R54" i="5" s="1"/>
  <c r="M55" i="5"/>
  <c r="O55" i="5" s="1"/>
  <c r="E56" i="5"/>
  <c r="A62" i="2"/>
  <c r="B61" i="2"/>
  <c r="C413" i="1"/>
  <c r="F413" i="1" s="1"/>
  <c r="G412" i="1"/>
  <c r="E57" i="5" l="1"/>
  <c r="M56" i="5"/>
  <c r="O56" i="5" s="1"/>
  <c r="N55" i="5"/>
  <c r="P55" i="5" s="1"/>
  <c r="Q55" i="5" s="1"/>
  <c r="R55" i="5" s="1"/>
  <c r="A63" i="2"/>
  <c r="B62" i="2"/>
  <c r="C414" i="1"/>
  <c r="F414" i="1" s="1"/>
  <c r="G413" i="1"/>
  <c r="N56" i="5" l="1"/>
  <c r="P56" i="5" s="1"/>
  <c r="Q56" i="5" s="1"/>
  <c r="R56" i="5" s="1"/>
  <c r="E58" i="5"/>
  <c r="M57" i="5"/>
  <c r="O57" i="5" s="1"/>
  <c r="A64" i="2"/>
  <c r="B63" i="2"/>
  <c r="C415" i="1"/>
  <c r="F415" i="1" s="1"/>
  <c r="G414" i="1"/>
  <c r="E59" i="5" l="1"/>
  <c r="M58" i="5"/>
  <c r="O58" i="5" s="1"/>
  <c r="N57" i="5"/>
  <c r="P57" i="5" s="1"/>
  <c r="Q57" i="5" s="1"/>
  <c r="R57" i="5" s="1"/>
  <c r="A65" i="2"/>
  <c r="B64" i="2"/>
  <c r="C416" i="1"/>
  <c r="F416" i="1" s="1"/>
  <c r="G415" i="1"/>
  <c r="N58" i="5" l="1"/>
  <c r="P58" i="5" s="1"/>
  <c r="Q58" i="5" s="1"/>
  <c r="R58" i="5" s="1"/>
  <c r="E60" i="5"/>
  <c r="M59" i="5"/>
  <c r="O59" i="5" s="1"/>
  <c r="A66" i="2"/>
  <c r="B65" i="2"/>
  <c r="C417" i="1"/>
  <c r="F417" i="1" s="1"/>
  <c r="G416" i="1"/>
  <c r="E61" i="5" l="1"/>
  <c r="M60" i="5"/>
  <c r="O60" i="5" s="1"/>
  <c r="N59" i="5"/>
  <c r="P59" i="5" s="1"/>
  <c r="Q59" i="5" s="1"/>
  <c r="R59" i="5" s="1"/>
  <c r="A67" i="2"/>
  <c r="B66" i="2"/>
  <c r="C418" i="1"/>
  <c r="F418" i="1" s="1"/>
  <c r="G417" i="1"/>
  <c r="N60" i="5" l="1"/>
  <c r="P60" i="5" s="1"/>
  <c r="Q60" i="5" s="1"/>
  <c r="R60" i="5" s="1"/>
  <c r="E62" i="5"/>
  <c r="M61" i="5"/>
  <c r="O61" i="5" s="1"/>
  <c r="A68" i="2"/>
  <c r="B67" i="2"/>
  <c r="C419" i="1"/>
  <c r="F419" i="1" s="1"/>
  <c r="G418" i="1"/>
  <c r="E63" i="5" l="1"/>
  <c r="M62" i="5"/>
  <c r="O62" i="5" s="1"/>
  <c r="N62" i="5"/>
  <c r="P62" i="5" s="1"/>
  <c r="N61" i="5"/>
  <c r="P61" i="5" s="1"/>
  <c r="Q61" i="5" s="1"/>
  <c r="R61" i="5" s="1"/>
  <c r="A69" i="2"/>
  <c r="B68" i="2"/>
  <c r="C420" i="1"/>
  <c r="F420" i="1" s="1"/>
  <c r="G419" i="1"/>
  <c r="N63" i="5" l="1"/>
  <c r="P63" i="5" s="1"/>
  <c r="M63" i="5"/>
  <c r="O63" i="5" s="1"/>
  <c r="E64" i="5"/>
  <c r="Q62" i="5"/>
  <c r="R62" i="5" s="1"/>
  <c r="A70" i="2"/>
  <c r="B69" i="2"/>
  <c r="C421" i="1"/>
  <c r="F421" i="1" s="1"/>
  <c r="G420" i="1"/>
  <c r="E65" i="5" l="1"/>
  <c r="M64" i="5"/>
  <c r="O64" i="5" s="1"/>
  <c r="Q63" i="5"/>
  <c r="R63" i="5" s="1"/>
  <c r="A71" i="2"/>
  <c r="B70" i="2"/>
  <c r="C422" i="1"/>
  <c r="F422" i="1" s="1"/>
  <c r="G421" i="1"/>
  <c r="N64" i="5" l="1"/>
  <c r="P64" i="5" s="1"/>
  <c r="Q64" i="5" s="1"/>
  <c r="R64" i="5" s="1"/>
  <c r="E66" i="5"/>
  <c r="M65" i="5"/>
  <c r="O65" i="5" s="1"/>
  <c r="A72" i="2"/>
  <c r="B71" i="2"/>
  <c r="C423" i="1"/>
  <c r="F423" i="1" s="1"/>
  <c r="G422" i="1"/>
  <c r="N65" i="5" l="1"/>
  <c r="P65" i="5" s="1"/>
  <c r="Q65" i="5" s="1"/>
  <c r="R65" i="5" s="1"/>
  <c r="E67" i="5"/>
  <c r="M66" i="5"/>
  <c r="O66" i="5" s="1"/>
  <c r="A73" i="2"/>
  <c r="B72" i="2"/>
  <c r="C424" i="1"/>
  <c r="F424" i="1" s="1"/>
  <c r="G423" i="1"/>
  <c r="N66" i="5" l="1"/>
  <c r="P66" i="5" s="1"/>
  <c r="Q66" i="5" s="1"/>
  <c r="R66" i="5" s="1"/>
  <c r="E68" i="5"/>
  <c r="M67" i="5"/>
  <c r="O67" i="5" s="1"/>
  <c r="A74" i="2"/>
  <c r="B73" i="2"/>
  <c r="C425" i="1"/>
  <c r="F425" i="1" s="1"/>
  <c r="G424" i="1"/>
  <c r="E69" i="5" l="1"/>
  <c r="M68" i="5"/>
  <c r="O68" i="5" s="1"/>
  <c r="N68" i="5"/>
  <c r="P68" i="5" s="1"/>
  <c r="N67" i="5"/>
  <c r="P67" i="5" s="1"/>
  <c r="Q67" i="5"/>
  <c r="R67" i="5" s="1"/>
  <c r="A75" i="2"/>
  <c r="B74" i="2"/>
  <c r="C426" i="1"/>
  <c r="F426" i="1" s="1"/>
  <c r="G425" i="1"/>
  <c r="Q68" i="5" l="1"/>
  <c r="R68" i="5" s="1"/>
  <c r="M69" i="5"/>
  <c r="O69" i="5" s="1"/>
  <c r="E70" i="5"/>
  <c r="A76" i="2"/>
  <c r="B75" i="2"/>
  <c r="C427" i="1"/>
  <c r="F427" i="1" s="1"/>
  <c r="G426" i="1"/>
  <c r="E71" i="5" l="1"/>
  <c r="M70" i="5"/>
  <c r="O70" i="5" s="1"/>
  <c r="N69" i="5"/>
  <c r="P69" i="5" s="1"/>
  <c r="Q69" i="5" s="1"/>
  <c r="R69" i="5" s="1"/>
  <c r="A77" i="2"/>
  <c r="B76" i="2"/>
  <c r="C428" i="1"/>
  <c r="F428" i="1" s="1"/>
  <c r="G427" i="1"/>
  <c r="N70" i="5" l="1"/>
  <c r="P70" i="5" s="1"/>
  <c r="Q70" i="5" s="1"/>
  <c r="R70" i="5" s="1"/>
  <c r="E72" i="5"/>
  <c r="M71" i="5"/>
  <c r="O71" i="5" s="1"/>
  <c r="A78" i="2"/>
  <c r="B77" i="2"/>
  <c r="C429" i="1"/>
  <c r="F429" i="1" s="1"/>
  <c r="G428" i="1"/>
  <c r="E73" i="5" l="1"/>
  <c r="M72" i="5"/>
  <c r="O72" i="5" s="1"/>
  <c r="N71" i="5"/>
  <c r="P71" i="5" s="1"/>
  <c r="Q71" i="5" s="1"/>
  <c r="R71" i="5" s="1"/>
  <c r="A79" i="2"/>
  <c r="B78" i="2"/>
  <c r="C430" i="1"/>
  <c r="F430" i="1" s="1"/>
  <c r="G429" i="1"/>
  <c r="E74" i="5" l="1"/>
  <c r="M73" i="5"/>
  <c r="O73" i="5" s="1"/>
  <c r="N72" i="5"/>
  <c r="P72" i="5" s="1"/>
  <c r="Q72" i="5" s="1"/>
  <c r="R72" i="5" s="1"/>
  <c r="A80" i="2"/>
  <c r="B79" i="2"/>
  <c r="C431" i="1"/>
  <c r="F431" i="1" s="1"/>
  <c r="G430" i="1"/>
  <c r="E75" i="5" l="1"/>
  <c r="M74" i="5"/>
  <c r="O74" i="5" s="1"/>
  <c r="N73" i="5"/>
  <c r="P73" i="5" s="1"/>
  <c r="Q73" i="5" s="1"/>
  <c r="R73" i="5" s="1"/>
  <c r="A81" i="2"/>
  <c r="B80" i="2"/>
  <c r="C432" i="1"/>
  <c r="F432" i="1" s="1"/>
  <c r="G431" i="1"/>
  <c r="M75" i="5" l="1"/>
  <c r="O75" i="5" s="1"/>
  <c r="E76" i="5"/>
  <c r="N74" i="5"/>
  <c r="P74" i="5" s="1"/>
  <c r="Q74" i="5" s="1"/>
  <c r="R74" i="5" s="1"/>
  <c r="A82" i="2"/>
  <c r="B81" i="2"/>
  <c r="C433" i="1"/>
  <c r="F433" i="1" s="1"/>
  <c r="G432" i="1"/>
  <c r="E77" i="5" l="1"/>
  <c r="M76" i="5"/>
  <c r="O76" i="5" s="1"/>
  <c r="N75" i="5"/>
  <c r="P75" i="5" s="1"/>
  <c r="Q75" i="5" s="1"/>
  <c r="R75" i="5" s="1"/>
  <c r="A83" i="2"/>
  <c r="B82" i="2"/>
  <c r="C434" i="1"/>
  <c r="F434" i="1" s="1"/>
  <c r="G433" i="1"/>
  <c r="N76" i="5" l="1"/>
  <c r="P76" i="5" s="1"/>
  <c r="Q76" i="5" s="1"/>
  <c r="R76" i="5" s="1"/>
  <c r="N77" i="5"/>
  <c r="P77" i="5" s="1"/>
  <c r="E78" i="5"/>
  <c r="M77" i="5"/>
  <c r="O77" i="5" s="1"/>
  <c r="A84" i="2"/>
  <c r="B83" i="2"/>
  <c r="C435" i="1"/>
  <c r="F435" i="1" s="1"/>
  <c r="G434" i="1"/>
  <c r="Q77" i="5" l="1"/>
  <c r="R77" i="5" s="1"/>
  <c r="E79" i="5"/>
  <c r="M78" i="5"/>
  <c r="O78" i="5" s="1"/>
  <c r="A85" i="2"/>
  <c r="B84" i="2"/>
  <c r="C436" i="1"/>
  <c r="F436" i="1" s="1"/>
  <c r="G435" i="1"/>
  <c r="N78" i="5" l="1"/>
  <c r="P78" i="5" s="1"/>
  <c r="Q78" i="5" s="1"/>
  <c r="R78" i="5" s="1"/>
  <c r="E80" i="5"/>
  <c r="M79" i="5"/>
  <c r="O79" i="5" s="1"/>
  <c r="A86" i="2"/>
  <c r="B85" i="2"/>
  <c r="C437" i="1"/>
  <c r="F437" i="1" s="1"/>
  <c r="G436" i="1"/>
  <c r="E81" i="5" l="1"/>
  <c r="N80" i="5"/>
  <c r="P80" i="5" s="1"/>
  <c r="M80" i="5"/>
  <c r="O80" i="5" s="1"/>
  <c r="N79" i="5"/>
  <c r="P79" i="5" s="1"/>
  <c r="Q79" i="5" s="1"/>
  <c r="R79" i="5" s="1"/>
  <c r="A87" i="2"/>
  <c r="B86" i="2"/>
  <c r="C438" i="1"/>
  <c r="F438" i="1" s="1"/>
  <c r="G437" i="1"/>
  <c r="Q80" i="5" l="1"/>
  <c r="R80" i="5" s="1"/>
  <c r="E82" i="5"/>
  <c r="M81" i="5"/>
  <c r="O81" i="5" s="1"/>
  <c r="A88" i="2"/>
  <c r="B87" i="2"/>
  <c r="C439" i="1"/>
  <c r="F439" i="1" s="1"/>
  <c r="G438" i="1"/>
  <c r="E83" i="5" l="1"/>
  <c r="M82" i="5"/>
  <c r="O82" i="5" s="1"/>
  <c r="N81" i="5"/>
  <c r="P81" i="5" s="1"/>
  <c r="Q81" i="5" s="1"/>
  <c r="R81" i="5" s="1"/>
  <c r="A89" i="2"/>
  <c r="B88" i="2"/>
  <c r="C440" i="1"/>
  <c r="F440" i="1" s="1"/>
  <c r="G439" i="1"/>
  <c r="N82" i="5" l="1"/>
  <c r="P82" i="5" s="1"/>
  <c r="E84" i="5"/>
  <c r="M83" i="5"/>
  <c r="O83" i="5" s="1"/>
  <c r="Q82" i="5"/>
  <c r="R82" i="5" s="1"/>
  <c r="A90" i="2"/>
  <c r="B89" i="2"/>
  <c r="C441" i="1"/>
  <c r="F441" i="1" s="1"/>
  <c r="G440" i="1"/>
  <c r="E85" i="5" l="1"/>
  <c r="M84" i="5"/>
  <c r="O84" i="5" s="1"/>
  <c r="N83" i="5"/>
  <c r="P83" i="5" s="1"/>
  <c r="Q83" i="5" s="1"/>
  <c r="R83" i="5" s="1"/>
  <c r="A91" i="2"/>
  <c r="B90" i="2"/>
  <c r="C442" i="1"/>
  <c r="F442" i="1" s="1"/>
  <c r="G441" i="1"/>
  <c r="M85" i="5" l="1"/>
  <c r="O85" i="5" s="1"/>
  <c r="E86" i="5"/>
  <c r="N84" i="5"/>
  <c r="P84" i="5" s="1"/>
  <c r="Q84" i="5" s="1"/>
  <c r="R84" i="5" s="1"/>
  <c r="A92" i="2"/>
  <c r="B91" i="2"/>
  <c r="C443" i="1"/>
  <c r="F443" i="1" s="1"/>
  <c r="G442" i="1"/>
  <c r="N85" i="5" l="1"/>
  <c r="P85" i="5" s="1"/>
  <c r="Q85" i="5" s="1"/>
  <c r="R85" i="5" s="1"/>
  <c r="E87" i="5"/>
  <c r="M86" i="5"/>
  <c r="O86" i="5" s="1"/>
  <c r="A93" i="2"/>
  <c r="B92" i="2"/>
  <c r="C444" i="1"/>
  <c r="F444" i="1" s="1"/>
  <c r="G443" i="1"/>
  <c r="N86" i="5" l="1"/>
  <c r="P86" i="5" s="1"/>
  <c r="Q86" i="5"/>
  <c r="R86" i="5" s="1"/>
  <c r="E88" i="5"/>
  <c r="M87" i="5"/>
  <c r="O87" i="5" s="1"/>
  <c r="A94" i="2"/>
  <c r="B93" i="2"/>
  <c r="C445" i="1"/>
  <c r="F445" i="1" s="1"/>
  <c r="G444" i="1"/>
  <c r="E89" i="5" l="1"/>
  <c r="M88" i="5"/>
  <c r="O88" i="5" s="1"/>
  <c r="N87" i="5"/>
  <c r="P87" i="5" s="1"/>
  <c r="Q87" i="5"/>
  <c r="R87" i="5" s="1"/>
  <c r="A95" i="2"/>
  <c r="B94" i="2"/>
  <c r="C446" i="1"/>
  <c r="F446" i="1" s="1"/>
  <c r="G445" i="1"/>
  <c r="N88" i="5" l="1"/>
  <c r="P88" i="5" s="1"/>
  <c r="Q88" i="5"/>
  <c r="R88" i="5" s="1"/>
  <c r="E90" i="5"/>
  <c r="M89" i="5"/>
  <c r="O89" i="5" s="1"/>
  <c r="A96" i="2"/>
  <c r="B95" i="2"/>
  <c r="C447" i="1"/>
  <c r="F447" i="1" s="1"/>
  <c r="G446" i="1"/>
  <c r="N89" i="5" l="1"/>
  <c r="P89" i="5" s="1"/>
  <c r="Q89" i="5" s="1"/>
  <c r="R89" i="5" s="1"/>
  <c r="E91" i="5"/>
  <c r="M90" i="5"/>
  <c r="O90" i="5" s="1"/>
  <c r="A97" i="2"/>
  <c r="B96" i="2"/>
  <c r="C448" i="1"/>
  <c r="F448" i="1" s="1"/>
  <c r="G447" i="1"/>
  <c r="N90" i="5" l="1"/>
  <c r="P90" i="5" s="1"/>
  <c r="Q90" i="5" s="1"/>
  <c r="R90" i="5" s="1"/>
  <c r="E92" i="5"/>
  <c r="M91" i="5"/>
  <c r="O91" i="5" s="1"/>
  <c r="A98" i="2"/>
  <c r="B97" i="2"/>
  <c r="C449" i="1"/>
  <c r="F449" i="1" s="1"/>
  <c r="G448" i="1"/>
  <c r="E93" i="5" l="1"/>
  <c r="M92" i="5"/>
  <c r="O92" i="5" s="1"/>
  <c r="N91" i="5"/>
  <c r="P91" i="5" s="1"/>
  <c r="Q91" i="5" s="1"/>
  <c r="R91" i="5" s="1"/>
  <c r="A99" i="2"/>
  <c r="B98" i="2"/>
  <c r="C450" i="1"/>
  <c r="F450" i="1" s="1"/>
  <c r="G449" i="1"/>
  <c r="N92" i="5" l="1"/>
  <c r="P92" i="5" s="1"/>
  <c r="M93" i="5"/>
  <c r="O93" i="5" s="1"/>
  <c r="E94" i="5"/>
  <c r="Q92" i="5"/>
  <c r="R92" i="5" s="1"/>
  <c r="A100" i="2"/>
  <c r="B99" i="2"/>
  <c r="C451" i="1"/>
  <c r="F451" i="1" s="1"/>
  <c r="G450" i="1"/>
  <c r="E95" i="5" l="1"/>
  <c r="M94" i="5"/>
  <c r="O94" i="5" s="1"/>
  <c r="N93" i="5"/>
  <c r="P93" i="5" s="1"/>
  <c r="Q93" i="5" s="1"/>
  <c r="R93" i="5" s="1"/>
  <c r="A101" i="2"/>
  <c r="B100" i="2"/>
  <c r="C452" i="1"/>
  <c r="F452" i="1" s="1"/>
  <c r="G451" i="1"/>
  <c r="N94" i="5" l="1"/>
  <c r="P94" i="5" s="1"/>
  <c r="Q94" i="5" s="1"/>
  <c r="R94" i="5" s="1"/>
  <c r="M95" i="5"/>
  <c r="O95" i="5" s="1"/>
  <c r="E96" i="5"/>
  <c r="A102" i="2"/>
  <c r="B101" i="2"/>
  <c r="C453" i="1"/>
  <c r="F453" i="1" s="1"/>
  <c r="G452" i="1"/>
  <c r="E97" i="5" l="1"/>
  <c r="M96" i="5"/>
  <c r="O96" i="5" s="1"/>
  <c r="N95" i="5"/>
  <c r="P95" i="5" s="1"/>
  <c r="Q95" i="5" s="1"/>
  <c r="R95" i="5" s="1"/>
  <c r="A103" i="2"/>
  <c r="B102" i="2"/>
  <c r="C454" i="1"/>
  <c r="F454" i="1" s="1"/>
  <c r="G453" i="1"/>
  <c r="N96" i="5" l="1"/>
  <c r="P96" i="5" s="1"/>
  <c r="Q96" i="5" s="1"/>
  <c r="R96" i="5" s="1"/>
  <c r="M97" i="5"/>
  <c r="O97" i="5" s="1"/>
  <c r="E98" i="5"/>
  <c r="A104" i="2"/>
  <c r="B103" i="2"/>
  <c r="C455" i="1"/>
  <c r="F455" i="1" s="1"/>
  <c r="G454" i="1"/>
  <c r="E99" i="5" l="1"/>
  <c r="M98" i="5"/>
  <c r="O98" i="5" s="1"/>
  <c r="N97" i="5"/>
  <c r="P97" i="5" s="1"/>
  <c r="Q97" i="5" s="1"/>
  <c r="R97" i="5" s="1"/>
  <c r="A105" i="2"/>
  <c r="B104" i="2"/>
  <c r="C456" i="1"/>
  <c r="F456" i="1" s="1"/>
  <c r="G455" i="1"/>
  <c r="N98" i="5" l="1"/>
  <c r="P98" i="5" s="1"/>
  <c r="Q98" i="5" s="1"/>
  <c r="R98" i="5" s="1"/>
  <c r="M99" i="5"/>
  <c r="O99" i="5" s="1"/>
  <c r="E100" i="5"/>
  <c r="A106" i="2"/>
  <c r="B105" i="2"/>
  <c r="C457" i="1"/>
  <c r="F457" i="1" s="1"/>
  <c r="G456" i="1"/>
  <c r="E101" i="5" l="1"/>
  <c r="M100" i="5"/>
  <c r="O100" i="5" s="1"/>
  <c r="N99" i="5"/>
  <c r="P99" i="5" s="1"/>
  <c r="Q99" i="5" s="1"/>
  <c r="R99" i="5" s="1"/>
  <c r="A107" i="2"/>
  <c r="B106" i="2"/>
  <c r="C458" i="1"/>
  <c r="F458" i="1" s="1"/>
  <c r="G457" i="1"/>
  <c r="N100" i="5" l="1"/>
  <c r="P100" i="5" s="1"/>
  <c r="Q100" i="5" s="1"/>
  <c r="R100" i="5" s="1"/>
  <c r="M101" i="5"/>
  <c r="O101" i="5" s="1"/>
  <c r="E102" i="5"/>
  <c r="A108" i="2"/>
  <c r="B107" i="2"/>
  <c r="C459" i="1"/>
  <c r="F459" i="1" s="1"/>
  <c r="G458" i="1"/>
  <c r="E103" i="5" l="1"/>
  <c r="M102" i="5"/>
  <c r="O102" i="5" s="1"/>
  <c r="N101" i="5"/>
  <c r="P101" i="5" s="1"/>
  <c r="Q101" i="5" s="1"/>
  <c r="R101" i="5" s="1"/>
  <c r="A109" i="2"/>
  <c r="B108" i="2"/>
  <c r="C460" i="1"/>
  <c r="F460" i="1" s="1"/>
  <c r="G459" i="1"/>
  <c r="N102" i="5" l="1"/>
  <c r="P102" i="5" s="1"/>
  <c r="Q102" i="5" s="1"/>
  <c r="R102" i="5" s="1"/>
  <c r="N103" i="5"/>
  <c r="P103" i="5" s="1"/>
  <c r="M103" i="5"/>
  <c r="O103" i="5" s="1"/>
  <c r="E104" i="5"/>
  <c r="A110" i="2"/>
  <c r="B109" i="2"/>
  <c r="C461" i="1"/>
  <c r="F461" i="1" s="1"/>
  <c r="G460" i="1"/>
  <c r="E105" i="5" l="1"/>
  <c r="M104" i="5"/>
  <c r="O104" i="5" s="1"/>
  <c r="Q103" i="5"/>
  <c r="R103" i="5" s="1"/>
  <c r="A111" i="2"/>
  <c r="B110" i="2"/>
  <c r="C462" i="1"/>
  <c r="F462" i="1" s="1"/>
  <c r="G461" i="1"/>
  <c r="N104" i="5" l="1"/>
  <c r="P104" i="5" s="1"/>
  <c r="Q104" i="5" s="1"/>
  <c r="R104" i="5" s="1"/>
  <c r="M105" i="5"/>
  <c r="O105" i="5" s="1"/>
  <c r="E106" i="5"/>
  <c r="A112" i="2"/>
  <c r="B111" i="2"/>
  <c r="C463" i="1"/>
  <c r="F463" i="1" s="1"/>
  <c r="G462" i="1"/>
  <c r="E107" i="5" l="1"/>
  <c r="M106" i="5"/>
  <c r="O106" i="5" s="1"/>
  <c r="N105" i="5"/>
  <c r="P105" i="5" s="1"/>
  <c r="Q105" i="5" s="1"/>
  <c r="R105" i="5" s="1"/>
  <c r="A113" i="2"/>
  <c r="B112" i="2"/>
  <c r="C464" i="1"/>
  <c r="F464" i="1" s="1"/>
  <c r="G463" i="1"/>
  <c r="N106" i="5" l="1"/>
  <c r="P106" i="5" s="1"/>
  <c r="Q106" i="5" s="1"/>
  <c r="R106" i="5" s="1"/>
  <c r="M107" i="5"/>
  <c r="O107" i="5" s="1"/>
  <c r="E108" i="5"/>
  <c r="A114" i="2"/>
  <c r="B113" i="2"/>
  <c r="C465" i="1"/>
  <c r="F465" i="1" s="1"/>
  <c r="G464" i="1"/>
  <c r="E109" i="5" l="1"/>
  <c r="M108" i="5"/>
  <c r="O108" i="5" s="1"/>
  <c r="N107" i="5"/>
  <c r="P107" i="5" s="1"/>
  <c r="Q107" i="5" s="1"/>
  <c r="R107" i="5" s="1"/>
  <c r="A115" i="2"/>
  <c r="B114" i="2"/>
  <c r="C466" i="1"/>
  <c r="F466" i="1" s="1"/>
  <c r="G465" i="1"/>
  <c r="N108" i="5" l="1"/>
  <c r="P108" i="5" s="1"/>
  <c r="Q108" i="5" s="1"/>
  <c r="R108" i="5" s="1"/>
  <c r="M109" i="5"/>
  <c r="O109" i="5" s="1"/>
  <c r="E110" i="5"/>
  <c r="A116" i="2"/>
  <c r="B115" i="2"/>
  <c r="C467" i="1"/>
  <c r="F467" i="1" s="1"/>
  <c r="G466" i="1"/>
  <c r="E111" i="5" l="1"/>
  <c r="M110" i="5"/>
  <c r="O110" i="5" s="1"/>
  <c r="N109" i="5"/>
  <c r="P109" i="5" s="1"/>
  <c r="Q109" i="5" s="1"/>
  <c r="R109" i="5" s="1"/>
  <c r="A117" i="2"/>
  <c r="B116" i="2"/>
  <c r="C468" i="1"/>
  <c r="F468" i="1" s="1"/>
  <c r="G467" i="1"/>
  <c r="N110" i="5" l="1"/>
  <c r="P110" i="5" s="1"/>
  <c r="Q110" i="5" s="1"/>
  <c r="R110" i="5" s="1"/>
  <c r="M111" i="5"/>
  <c r="O111" i="5" s="1"/>
  <c r="E112" i="5"/>
  <c r="A118" i="2"/>
  <c r="B117" i="2"/>
  <c r="C469" i="1"/>
  <c r="F469" i="1" s="1"/>
  <c r="G468" i="1"/>
  <c r="E113" i="5" l="1"/>
  <c r="M112" i="5"/>
  <c r="O112" i="5" s="1"/>
  <c r="N111" i="5"/>
  <c r="P111" i="5" s="1"/>
  <c r="Q111" i="5" s="1"/>
  <c r="R111" i="5" s="1"/>
  <c r="A119" i="2"/>
  <c r="B118" i="2"/>
  <c r="C470" i="1"/>
  <c r="F470" i="1" s="1"/>
  <c r="G469" i="1"/>
  <c r="N112" i="5" l="1"/>
  <c r="P112" i="5" s="1"/>
  <c r="Q112" i="5" s="1"/>
  <c r="R112" i="5" s="1"/>
  <c r="M113" i="5"/>
  <c r="O113" i="5" s="1"/>
  <c r="E114" i="5"/>
  <c r="A120" i="2"/>
  <c r="B119" i="2"/>
  <c r="C471" i="1"/>
  <c r="F471" i="1" s="1"/>
  <c r="G470" i="1"/>
  <c r="E115" i="5" l="1"/>
  <c r="M114" i="5"/>
  <c r="O114" i="5" s="1"/>
  <c r="N113" i="5"/>
  <c r="P113" i="5" s="1"/>
  <c r="Q113" i="5" s="1"/>
  <c r="R113" i="5" s="1"/>
  <c r="A121" i="2"/>
  <c r="B120" i="2"/>
  <c r="C472" i="1"/>
  <c r="F472" i="1" s="1"/>
  <c r="G471" i="1"/>
  <c r="N114" i="5" l="1"/>
  <c r="P114" i="5" s="1"/>
  <c r="Q114" i="5" s="1"/>
  <c r="R114" i="5" s="1"/>
  <c r="M115" i="5"/>
  <c r="O115" i="5" s="1"/>
  <c r="E116" i="5"/>
  <c r="A122" i="2"/>
  <c r="B121" i="2"/>
  <c r="C473" i="1"/>
  <c r="F473" i="1" s="1"/>
  <c r="G472" i="1"/>
  <c r="E117" i="5" l="1"/>
  <c r="N116" i="5"/>
  <c r="P116" i="5" s="1"/>
  <c r="M116" i="5"/>
  <c r="O116" i="5" s="1"/>
  <c r="N115" i="5"/>
  <c r="P115" i="5" s="1"/>
  <c r="Q115" i="5"/>
  <c r="R115" i="5" s="1"/>
  <c r="A123" i="2"/>
  <c r="B122" i="2"/>
  <c r="C474" i="1"/>
  <c r="F474" i="1" s="1"/>
  <c r="G473" i="1"/>
  <c r="Q116" i="5" l="1"/>
  <c r="R116" i="5" s="1"/>
  <c r="M117" i="5"/>
  <c r="O117" i="5" s="1"/>
  <c r="E118" i="5"/>
  <c r="A124" i="2"/>
  <c r="B123" i="2"/>
  <c r="C475" i="1"/>
  <c r="F475" i="1" s="1"/>
  <c r="G474" i="1"/>
  <c r="E119" i="5" l="1"/>
  <c r="N118" i="5"/>
  <c r="P118" i="5" s="1"/>
  <c r="M118" i="5"/>
  <c r="O118" i="5" s="1"/>
  <c r="N117" i="5"/>
  <c r="P117" i="5" s="1"/>
  <c r="Q117" i="5" s="1"/>
  <c r="R117" i="5" s="1"/>
  <c r="A125" i="2"/>
  <c r="B124" i="2"/>
  <c r="C476" i="1"/>
  <c r="F476" i="1" s="1"/>
  <c r="G475" i="1"/>
  <c r="Q118" i="5" l="1"/>
  <c r="R118" i="5" s="1"/>
  <c r="M119" i="5"/>
  <c r="O119" i="5" s="1"/>
  <c r="E120" i="5"/>
  <c r="A126" i="2"/>
  <c r="B125" i="2"/>
  <c r="C477" i="1"/>
  <c r="F477" i="1" s="1"/>
  <c r="G476" i="1"/>
  <c r="E121" i="5" l="1"/>
  <c r="M120" i="5"/>
  <c r="O120" i="5" s="1"/>
  <c r="N119" i="5"/>
  <c r="P119" i="5" s="1"/>
  <c r="Q119" i="5" s="1"/>
  <c r="R119" i="5" s="1"/>
  <c r="A127" i="2"/>
  <c r="B126" i="2"/>
  <c r="C478" i="1"/>
  <c r="F478" i="1" s="1"/>
  <c r="G477" i="1"/>
  <c r="N120" i="5" l="1"/>
  <c r="P120" i="5" s="1"/>
  <c r="Q120" i="5" s="1"/>
  <c r="R120" i="5" s="1"/>
  <c r="M121" i="5"/>
  <c r="O121" i="5" s="1"/>
  <c r="E122" i="5"/>
  <c r="A128" i="2"/>
  <c r="B127" i="2"/>
  <c r="C479" i="1"/>
  <c r="F479" i="1" s="1"/>
  <c r="G478" i="1"/>
  <c r="E123" i="5" l="1"/>
  <c r="M122" i="5"/>
  <c r="O122" i="5" s="1"/>
  <c r="N121" i="5"/>
  <c r="P121" i="5" s="1"/>
  <c r="Q121" i="5" s="1"/>
  <c r="R121" i="5" s="1"/>
  <c r="A129" i="2"/>
  <c r="B128" i="2"/>
  <c r="C480" i="1"/>
  <c r="F480" i="1" s="1"/>
  <c r="G479" i="1"/>
  <c r="N122" i="5" l="1"/>
  <c r="P122" i="5" s="1"/>
  <c r="Q122" i="5" s="1"/>
  <c r="R122" i="5" s="1"/>
  <c r="M123" i="5"/>
  <c r="O123" i="5" s="1"/>
  <c r="E124" i="5"/>
  <c r="A130" i="2"/>
  <c r="B129" i="2"/>
  <c r="C481" i="1"/>
  <c r="F481" i="1" s="1"/>
  <c r="G480" i="1"/>
  <c r="E125" i="5" l="1"/>
  <c r="M124" i="5"/>
  <c r="O124" i="5" s="1"/>
  <c r="N123" i="5"/>
  <c r="P123" i="5" s="1"/>
  <c r="Q123" i="5" s="1"/>
  <c r="R123" i="5" s="1"/>
  <c r="A131" i="2"/>
  <c r="B130" i="2"/>
  <c r="C482" i="1"/>
  <c r="F482" i="1" s="1"/>
  <c r="G481" i="1"/>
  <c r="N124" i="5" l="1"/>
  <c r="P124" i="5" s="1"/>
  <c r="Q124" i="5" s="1"/>
  <c r="R124" i="5" s="1"/>
  <c r="M125" i="5"/>
  <c r="O125" i="5" s="1"/>
  <c r="E126" i="5"/>
  <c r="A132" i="2"/>
  <c r="B131" i="2"/>
  <c r="C483" i="1"/>
  <c r="F483" i="1" s="1"/>
  <c r="G482" i="1"/>
  <c r="E127" i="5" l="1"/>
  <c r="M126" i="5"/>
  <c r="O126" i="5" s="1"/>
  <c r="N125" i="5"/>
  <c r="P125" i="5" s="1"/>
  <c r="Q125" i="5" s="1"/>
  <c r="R125" i="5" s="1"/>
  <c r="A133" i="2"/>
  <c r="B132" i="2"/>
  <c r="C484" i="1"/>
  <c r="F484" i="1" s="1"/>
  <c r="G483" i="1"/>
  <c r="N126" i="5" l="1"/>
  <c r="P126" i="5" s="1"/>
  <c r="Q126" i="5"/>
  <c r="R126" i="5" s="1"/>
  <c r="M127" i="5"/>
  <c r="O127" i="5" s="1"/>
  <c r="E128" i="5"/>
  <c r="A134" i="2"/>
  <c r="B133" i="2"/>
  <c r="C485" i="1"/>
  <c r="F485" i="1" s="1"/>
  <c r="G484" i="1"/>
  <c r="E129" i="5" l="1"/>
  <c r="M128" i="5"/>
  <c r="O128" i="5" s="1"/>
  <c r="N127" i="5"/>
  <c r="P127" i="5" s="1"/>
  <c r="Q127" i="5" s="1"/>
  <c r="R127" i="5" s="1"/>
  <c r="A135" i="2"/>
  <c r="B134" i="2"/>
  <c r="C486" i="1"/>
  <c r="F486" i="1" s="1"/>
  <c r="G485" i="1"/>
  <c r="M129" i="5" l="1"/>
  <c r="O129" i="5" s="1"/>
  <c r="E130" i="5"/>
  <c r="N128" i="5"/>
  <c r="P128" i="5" s="1"/>
  <c r="Q128" i="5" s="1"/>
  <c r="R128" i="5" s="1"/>
  <c r="A136" i="2"/>
  <c r="B135" i="2"/>
  <c r="C487" i="1"/>
  <c r="F487" i="1" s="1"/>
  <c r="G486" i="1"/>
  <c r="E131" i="5" l="1"/>
  <c r="M130" i="5"/>
  <c r="O130" i="5" s="1"/>
  <c r="N129" i="5"/>
  <c r="P129" i="5" s="1"/>
  <c r="Q129" i="5"/>
  <c r="R129" i="5" s="1"/>
  <c r="A137" i="2"/>
  <c r="B136" i="2"/>
  <c r="C488" i="1"/>
  <c r="F488" i="1" s="1"/>
  <c r="G487" i="1"/>
  <c r="N130" i="5" l="1"/>
  <c r="P130" i="5" s="1"/>
  <c r="Q130" i="5" s="1"/>
  <c r="R130" i="5" s="1"/>
  <c r="M131" i="5"/>
  <c r="O131" i="5" s="1"/>
  <c r="E132" i="5"/>
  <c r="A138" i="2"/>
  <c r="B137" i="2"/>
  <c r="C489" i="1"/>
  <c r="F489" i="1" s="1"/>
  <c r="G488" i="1"/>
  <c r="E133" i="5" l="1"/>
  <c r="M132" i="5"/>
  <c r="O132" i="5" s="1"/>
  <c r="Q131" i="5"/>
  <c r="R131" i="5" s="1"/>
  <c r="N131" i="5"/>
  <c r="P131" i="5" s="1"/>
  <c r="A139" i="2"/>
  <c r="B138" i="2"/>
  <c r="C490" i="1"/>
  <c r="F490" i="1" s="1"/>
  <c r="G489" i="1"/>
  <c r="N132" i="5" l="1"/>
  <c r="P132" i="5" s="1"/>
  <c r="Q132" i="5" s="1"/>
  <c r="R132" i="5" s="1"/>
  <c r="M133" i="5"/>
  <c r="O133" i="5" s="1"/>
  <c r="E134" i="5"/>
  <c r="A140" i="2"/>
  <c r="B139" i="2"/>
  <c r="C491" i="1"/>
  <c r="F491" i="1" s="1"/>
  <c r="G490" i="1"/>
  <c r="E135" i="5" l="1"/>
  <c r="N134" i="5"/>
  <c r="P134" i="5" s="1"/>
  <c r="M134" i="5"/>
  <c r="O134" i="5" s="1"/>
  <c r="N133" i="5"/>
  <c r="P133" i="5" s="1"/>
  <c r="Q133" i="5" s="1"/>
  <c r="R133" i="5" s="1"/>
  <c r="A141" i="2"/>
  <c r="B140" i="2"/>
  <c r="C492" i="1"/>
  <c r="F492" i="1" s="1"/>
  <c r="G491" i="1"/>
  <c r="Q134" i="5" l="1"/>
  <c r="R134" i="5" s="1"/>
  <c r="M135" i="5"/>
  <c r="O135" i="5" s="1"/>
  <c r="E136" i="5"/>
  <c r="A142" i="2"/>
  <c r="B141" i="2"/>
  <c r="C493" i="1"/>
  <c r="F493" i="1" s="1"/>
  <c r="G492" i="1"/>
  <c r="E137" i="5" l="1"/>
  <c r="M136" i="5"/>
  <c r="O136" i="5" s="1"/>
  <c r="N135" i="5"/>
  <c r="P135" i="5" s="1"/>
  <c r="Q135" i="5" s="1"/>
  <c r="R135" i="5" s="1"/>
  <c r="A143" i="2"/>
  <c r="B142" i="2"/>
  <c r="C494" i="1"/>
  <c r="F494" i="1" s="1"/>
  <c r="G493" i="1"/>
  <c r="N136" i="5" l="1"/>
  <c r="P136" i="5" s="1"/>
  <c r="Q136" i="5"/>
  <c r="R136" i="5" s="1"/>
  <c r="M137" i="5"/>
  <c r="O137" i="5" s="1"/>
  <c r="E138" i="5"/>
  <c r="A144" i="2"/>
  <c r="B143" i="2"/>
  <c r="C495" i="1"/>
  <c r="F495" i="1" s="1"/>
  <c r="G494" i="1"/>
  <c r="E139" i="5" l="1"/>
  <c r="M138" i="5"/>
  <c r="O138" i="5" s="1"/>
  <c r="N137" i="5"/>
  <c r="P137" i="5" s="1"/>
  <c r="Q137" i="5" s="1"/>
  <c r="R137" i="5" s="1"/>
  <c r="A145" i="2"/>
  <c r="B144" i="2"/>
  <c r="C496" i="1"/>
  <c r="F496" i="1" s="1"/>
  <c r="G495" i="1"/>
  <c r="M139" i="5" l="1"/>
  <c r="O139" i="5" s="1"/>
  <c r="E140" i="5"/>
  <c r="N138" i="5"/>
  <c r="P138" i="5" s="1"/>
  <c r="Q138" i="5" s="1"/>
  <c r="R138" i="5" s="1"/>
  <c r="A146" i="2"/>
  <c r="B145" i="2"/>
  <c r="C497" i="1"/>
  <c r="F497" i="1" s="1"/>
  <c r="G496" i="1"/>
  <c r="E141" i="5" l="1"/>
  <c r="M140" i="5"/>
  <c r="O140" i="5" s="1"/>
  <c r="N139" i="5"/>
  <c r="P139" i="5" s="1"/>
  <c r="Q139" i="5" s="1"/>
  <c r="R139" i="5" s="1"/>
  <c r="A147" i="2"/>
  <c r="B146" i="2"/>
  <c r="C498" i="1"/>
  <c r="F498" i="1" s="1"/>
  <c r="G497" i="1"/>
  <c r="N140" i="5" l="1"/>
  <c r="P140" i="5" s="1"/>
  <c r="Q140" i="5"/>
  <c r="R140" i="5" s="1"/>
  <c r="M141" i="5"/>
  <c r="O141" i="5" s="1"/>
  <c r="E142" i="5"/>
  <c r="A148" i="2"/>
  <c r="B147" i="2"/>
  <c r="C499" i="1"/>
  <c r="F499" i="1" s="1"/>
  <c r="G498" i="1"/>
  <c r="E143" i="5" l="1"/>
  <c r="M142" i="5"/>
  <c r="O142" i="5" s="1"/>
  <c r="N141" i="5"/>
  <c r="P141" i="5" s="1"/>
  <c r="Q141" i="5" s="1"/>
  <c r="R141" i="5" s="1"/>
  <c r="A149" i="2"/>
  <c r="B148" i="2"/>
  <c r="C500" i="1"/>
  <c r="F500" i="1" s="1"/>
  <c r="G499" i="1"/>
  <c r="N142" i="5" l="1"/>
  <c r="P142" i="5" s="1"/>
  <c r="Q142" i="5" s="1"/>
  <c r="R142" i="5" s="1"/>
  <c r="N143" i="5"/>
  <c r="P143" i="5" s="1"/>
  <c r="M143" i="5"/>
  <c r="O143" i="5" s="1"/>
  <c r="E144" i="5"/>
  <c r="A150" i="2"/>
  <c r="B149" i="2"/>
  <c r="C501" i="1"/>
  <c r="F501" i="1" s="1"/>
  <c r="G500" i="1"/>
  <c r="E145" i="5" l="1"/>
  <c r="M144" i="5"/>
  <c r="O144" i="5" s="1"/>
  <c r="Q143" i="5"/>
  <c r="R143" i="5" s="1"/>
  <c r="A151" i="2"/>
  <c r="B150" i="2"/>
  <c r="C502" i="1"/>
  <c r="F502" i="1" s="1"/>
  <c r="G501" i="1"/>
  <c r="N144" i="5" l="1"/>
  <c r="P144" i="5" s="1"/>
  <c r="Q144" i="5" s="1"/>
  <c r="R144" i="5" s="1"/>
  <c r="M145" i="5"/>
  <c r="O145" i="5" s="1"/>
  <c r="E146" i="5"/>
  <c r="A152" i="2"/>
  <c r="B151" i="2"/>
  <c r="C503" i="1"/>
  <c r="F503" i="1" s="1"/>
  <c r="G502" i="1"/>
  <c r="E147" i="5" l="1"/>
  <c r="M146" i="5"/>
  <c r="O146" i="5" s="1"/>
  <c r="N145" i="5"/>
  <c r="P145" i="5" s="1"/>
  <c r="Q145" i="5" s="1"/>
  <c r="R145" i="5" s="1"/>
  <c r="A153" i="2"/>
  <c r="B152" i="2"/>
  <c r="C504" i="1"/>
  <c r="F504" i="1" s="1"/>
  <c r="G503" i="1"/>
  <c r="N146" i="5" l="1"/>
  <c r="P146" i="5" s="1"/>
  <c r="Q146" i="5" s="1"/>
  <c r="R146" i="5" s="1"/>
  <c r="M147" i="5"/>
  <c r="O147" i="5" s="1"/>
  <c r="E148" i="5"/>
  <c r="A154" i="2"/>
  <c r="B153" i="2"/>
  <c r="C505" i="1"/>
  <c r="F505" i="1" s="1"/>
  <c r="G504" i="1"/>
  <c r="E149" i="5" l="1"/>
  <c r="N148" i="5"/>
  <c r="P148" i="5" s="1"/>
  <c r="M148" i="5"/>
  <c r="O148" i="5" s="1"/>
  <c r="N147" i="5"/>
  <c r="P147" i="5" s="1"/>
  <c r="Q147" i="5" s="1"/>
  <c r="R147" i="5" s="1"/>
  <c r="A155" i="2"/>
  <c r="B154" i="2"/>
  <c r="C506" i="1"/>
  <c r="F506" i="1" s="1"/>
  <c r="G505" i="1"/>
  <c r="Q148" i="5" l="1"/>
  <c r="R148" i="5" s="1"/>
  <c r="M149" i="5"/>
  <c r="O149" i="5" s="1"/>
  <c r="E150" i="5"/>
  <c r="A156" i="2"/>
  <c r="B155" i="2"/>
  <c r="C507" i="1"/>
  <c r="F507" i="1" s="1"/>
  <c r="G506" i="1"/>
  <c r="E151" i="5" l="1"/>
  <c r="M150" i="5"/>
  <c r="O150" i="5" s="1"/>
  <c r="N149" i="5"/>
  <c r="P149" i="5" s="1"/>
  <c r="Q149" i="5" s="1"/>
  <c r="R149" i="5" s="1"/>
  <c r="A157" i="2"/>
  <c r="B156" i="2"/>
  <c r="C508" i="1"/>
  <c r="F508" i="1" s="1"/>
  <c r="G507" i="1"/>
  <c r="N150" i="5" l="1"/>
  <c r="P150" i="5" s="1"/>
  <c r="Q150" i="5" s="1"/>
  <c r="R150" i="5" s="1"/>
  <c r="M151" i="5"/>
  <c r="O151" i="5" s="1"/>
  <c r="E152" i="5"/>
  <c r="A158" i="2"/>
  <c r="B157" i="2"/>
  <c r="C509" i="1"/>
  <c r="F509" i="1" s="1"/>
  <c r="G508" i="1"/>
  <c r="N151" i="5" l="1"/>
  <c r="P151" i="5" s="1"/>
  <c r="Q151" i="5" s="1"/>
  <c r="R151" i="5" s="1"/>
  <c r="E153" i="5"/>
  <c r="M152" i="5"/>
  <c r="O152" i="5" s="1"/>
  <c r="A159" i="2"/>
  <c r="B158" i="2"/>
  <c r="C510" i="1"/>
  <c r="F510" i="1" s="1"/>
  <c r="G509" i="1"/>
  <c r="M153" i="5" l="1"/>
  <c r="O153" i="5" s="1"/>
  <c r="E154" i="5"/>
  <c r="N152" i="5"/>
  <c r="P152" i="5" s="1"/>
  <c r="Q152" i="5" s="1"/>
  <c r="R152" i="5" s="1"/>
  <c r="A160" i="2"/>
  <c r="B159" i="2"/>
  <c r="C511" i="1"/>
  <c r="F511" i="1" s="1"/>
  <c r="G510" i="1"/>
  <c r="E155" i="5" l="1"/>
  <c r="M154" i="5"/>
  <c r="O154" i="5" s="1"/>
  <c r="N153" i="5"/>
  <c r="P153" i="5" s="1"/>
  <c r="Q153" i="5" s="1"/>
  <c r="R153" i="5" s="1"/>
  <c r="A161" i="2"/>
  <c r="B160" i="2"/>
  <c r="C512" i="1"/>
  <c r="F512" i="1" s="1"/>
  <c r="G511" i="1"/>
  <c r="N154" i="5" l="1"/>
  <c r="P154" i="5" s="1"/>
  <c r="Q154" i="5" s="1"/>
  <c r="R154" i="5" s="1"/>
  <c r="M155" i="5"/>
  <c r="O155" i="5" s="1"/>
  <c r="E156" i="5"/>
  <c r="A162" i="2"/>
  <c r="B161" i="2"/>
  <c r="C513" i="1"/>
  <c r="F513" i="1" s="1"/>
  <c r="G512" i="1"/>
  <c r="E157" i="5" l="1"/>
  <c r="M156" i="5"/>
  <c r="O156" i="5" s="1"/>
  <c r="N155" i="5"/>
  <c r="P155" i="5" s="1"/>
  <c r="Q155" i="5" s="1"/>
  <c r="R155" i="5" s="1"/>
  <c r="A163" i="2"/>
  <c r="B162" i="2"/>
  <c r="C514" i="1"/>
  <c r="F514" i="1" s="1"/>
  <c r="D11" i="1" s="1"/>
  <c r="G513" i="1"/>
  <c r="N156" i="5" l="1"/>
  <c r="P156" i="5" s="1"/>
  <c r="Q156" i="5" s="1"/>
  <c r="R156" i="5" s="1"/>
  <c r="M157" i="5"/>
  <c r="O157" i="5" s="1"/>
  <c r="E158" i="5"/>
  <c r="A164" i="2"/>
  <c r="B163" i="2"/>
  <c r="D10" i="1"/>
  <c r="E159" i="5" l="1"/>
  <c r="M158" i="5"/>
  <c r="O158" i="5" s="1"/>
  <c r="N157" i="5"/>
  <c r="P157" i="5" s="1"/>
  <c r="Q157" i="5" s="1"/>
  <c r="R157" i="5" s="1"/>
  <c r="A165" i="2"/>
  <c r="B164" i="2"/>
  <c r="G514" i="1"/>
  <c r="D4" i="1" s="1"/>
  <c r="N158" i="5" l="1"/>
  <c r="P158" i="5" s="1"/>
  <c r="Q158" i="5" s="1"/>
  <c r="R158" i="5" s="1"/>
  <c r="M159" i="5"/>
  <c r="O159" i="5" s="1"/>
  <c r="E160" i="5"/>
  <c r="A166" i="2"/>
  <c r="B165" i="2"/>
  <c r="D12" i="1"/>
  <c r="E161" i="5" l="1"/>
  <c r="M160" i="5"/>
  <c r="O160" i="5" s="1"/>
  <c r="N159" i="5"/>
  <c r="P159" i="5" s="1"/>
  <c r="Q159" i="5" s="1"/>
  <c r="R159" i="5" s="1"/>
  <c r="A167" i="2"/>
  <c r="B166" i="2"/>
  <c r="N160" i="5" l="1"/>
  <c r="P160" i="5" s="1"/>
  <c r="Q160" i="5" s="1"/>
  <c r="R160" i="5" s="1"/>
  <c r="M161" i="5"/>
  <c r="O161" i="5" s="1"/>
  <c r="E162" i="5"/>
  <c r="A168" i="2"/>
  <c r="B167" i="2"/>
  <c r="E163" i="5" l="1"/>
  <c r="M162" i="5"/>
  <c r="O162" i="5" s="1"/>
  <c r="N161" i="5"/>
  <c r="P161" i="5" s="1"/>
  <c r="Q161" i="5" s="1"/>
  <c r="R161" i="5" s="1"/>
  <c r="A169" i="2"/>
  <c r="B168" i="2"/>
  <c r="N162" i="5" l="1"/>
  <c r="P162" i="5" s="1"/>
  <c r="Q162" i="5" s="1"/>
  <c r="R162" i="5" s="1"/>
  <c r="M163" i="5"/>
  <c r="O163" i="5" s="1"/>
  <c r="E164" i="5"/>
  <c r="A170" i="2"/>
  <c r="B169" i="2"/>
  <c r="E165" i="5" l="1"/>
  <c r="M164" i="5"/>
  <c r="O164" i="5" s="1"/>
  <c r="N163" i="5"/>
  <c r="P163" i="5" s="1"/>
  <c r="Q163" i="5" s="1"/>
  <c r="R163" i="5" s="1"/>
  <c r="A171" i="2"/>
  <c r="B170" i="2"/>
  <c r="N164" i="5" l="1"/>
  <c r="P164" i="5" s="1"/>
  <c r="Q164" i="5" s="1"/>
  <c r="R164" i="5" s="1"/>
  <c r="M165" i="5"/>
  <c r="O165" i="5" s="1"/>
  <c r="E166" i="5"/>
  <c r="A172" i="2"/>
  <c r="B171" i="2"/>
  <c r="E167" i="5" l="1"/>
  <c r="M166" i="5"/>
  <c r="O166" i="5" s="1"/>
  <c r="N165" i="5"/>
  <c r="P165" i="5" s="1"/>
  <c r="Q165" i="5" s="1"/>
  <c r="R165" i="5" s="1"/>
  <c r="A173" i="2"/>
  <c r="B172" i="2"/>
  <c r="N166" i="5" l="1"/>
  <c r="P166" i="5" s="1"/>
  <c r="Q166" i="5" s="1"/>
  <c r="R166" i="5" s="1"/>
  <c r="M167" i="5"/>
  <c r="O167" i="5" s="1"/>
  <c r="E168" i="5"/>
  <c r="A174" i="2"/>
  <c r="B173" i="2"/>
  <c r="E169" i="5" l="1"/>
  <c r="M168" i="5"/>
  <c r="O168" i="5" s="1"/>
  <c r="N167" i="5"/>
  <c r="P167" i="5" s="1"/>
  <c r="Q167" i="5" s="1"/>
  <c r="R167" i="5" s="1"/>
  <c r="A175" i="2"/>
  <c r="B174" i="2"/>
  <c r="N168" i="5" l="1"/>
  <c r="P168" i="5" s="1"/>
  <c r="Q168" i="5" s="1"/>
  <c r="R168" i="5" s="1"/>
  <c r="M169" i="5"/>
  <c r="O169" i="5" s="1"/>
  <c r="E170" i="5"/>
  <c r="A176" i="2"/>
  <c r="B175" i="2"/>
  <c r="E171" i="5" l="1"/>
  <c r="M170" i="5"/>
  <c r="O170" i="5" s="1"/>
  <c r="N169" i="5"/>
  <c r="P169" i="5" s="1"/>
  <c r="Q169" i="5" s="1"/>
  <c r="R169" i="5" s="1"/>
  <c r="A177" i="2"/>
  <c r="B176" i="2"/>
  <c r="N170" i="5" l="1"/>
  <c r="P170" i="5" s="1"/>
  <c r="Q170" i="5" s="1"/>
  <c r="R170" i="5" s="1"/>
  <c r="M171" i="5"/>
  <c r="O171" i="5" s="1"/>
  <c r="E172" i="5"/>
  <c r="A178" i="2"/>
  <c r="B177" i="2"/>
  <c r="E173" i="5" l="1"/>
  <c r="M172" i="5"/>
  <c r="O172" i="5" s="1"/>
  <c r="N171" i="5"/>
  <c r="P171" i="5" s="1"/>
  <c r="Q171" i="5" s="1"/>
  <c r="R171" i="5" s="1"/>
  <c r="A179" i="2"/>
  <c r="B178" i="2"/>
  <c r="N172" i="5" l="1"/>
  <c r="P172" i="5" s="1"/>
  <c r="Q172" i="5" s="1"/>
  <c r="R172" i="5" s="1"/>
  <c r="M173" i="5"/>
  <c r="O173" i="5" s="1"/>
  <c r="E174" i="5"/>
  <c r="A180" i="2"/>
  <c r="B179" i="2"/>
  <c r="E175" i="5" l="1"/>
  <c r="M174" i="5"/>
  <c r="O174" i="5" s="1"/>
  <c r="N173" i="5"/>
  <c r="P173" i="5" s="1"/>
  <c r="Q173" i="5" s="1"/>
  <c r="R173" i="5" s="1"/>
  <c r="A181" i="2"/>
  <c r="B180" i="2"/>
  <c r="N174" i="5" l="1"/>
  <c r="P174" i="5" s="1"/>
  <c r="Q174" i="5" s="1"/>
  <c r="R174" i="5" s="1"/>
  <c r="M175" i="5"/>
  <c r="O175" i="5" s="1"/>
  <c r="E176" i="5"/>
  <c r="A182" i="2"/>
  <c r="B181" i="2"/>
  <c r="E177" i="5" l="1"/>
  <c r="M176" i="5"/>
  <c r="O176" i="5" s="1"/>
  <c r="N175" i="5"/>
  <c r="P175" i="5" s="1"/>
  <c r="Q175" i="5" s="1"/>
  <c r="R175" i="5" s="1"/>
  <c r="A183" i="2"/>
  <c r="B182" i="2"/>
  <c r="N176" i="5" l="1"/>
  <c r="P176" i="5" s="1"/>
  <c r="Q176" i="5" s="1"/>
  <c r="R176" i="5" s="1"/>
  <c r="M177" i="5"/>
  <c r="O177" i="5" s="1"/>
  <c r="E178" i="5"/>
  <c r="A184" i="2"/>
  <c r="B183" i="2"/>
  <c r="E179" i="5" l="1"/>
  <c r="M178" i="5"/>
  <c r="O178" i="5" s="1"/>
  <c r="N177" i="5"/>
  <c r="P177" i="5" s="1"/>
  <c r="Q177" i="5" s="1"/>
  <c r="R177" i="5" s="1"/>
  <c r="A185" i="2"/>
  <c r="B184" i="2"/>
  <c r="N178" i="5" l="1"/>
  <c r="P178" i="5" s="1"/>
  <c r="Q178" i="5" s="1"/>
  <c r="R178" i="5" s="1"/>
  <c r="M179" i="5"/>
  <c r="O179" i="5" s="1"/>
  <c r="E180" i="5"/>
  <c r="A186" i="2"/>
  <c r="B185" i="2"/>
  <c r="E181" i="5" l="1"/>
  <c r="M180" i="5"/>
  <c r="O180" i="5" s="1"/>
  <c r="N179" i="5"/>
  <c r="P179" i="5" s="1"/>
  <c r="Q179" i="5" s="1"/>
  <c r="R179" i="5" s="1"/>
  <c r="A187" i="2"/>
  <c r="B186" i="2"/>
  <c r="N180" i="5" l="1"/>
  <c r="P180" i="5" s="1"/>
  <c r="Q180" i="5" s="1"/>
  <c r="R180" i="5" s="1"/>
  <c r="M181" i="5"/>
  <c r="O181" i="5" s="1"/>
  <c r="N181" i="5"/>
  <c r="P181" i="5" s="1"/>
  <c r="E182" i="5"/>
  <c r="A188" i="2"/>
  <c r="B187" i="2"/>
  <c r="M182" i="5" l="1"/>
  <c r="O182" i="5" s="1"/>
  <c r="E183" i="5"/>
  <c r="Q181" i="5"/>
  <c r="R181" i="5" s="1"/>
  <c r="A189" i="2"/>
  <c r="B188" i="2"/>
  <c r="M183" i="5" l="1"/>
  <c r="O183" i="5" s="1"/>
  <c r="E184" i="5"/>
  <c r="N183" i="5"/>
  <c r="P183" i="5" s="1"/>
  <c r="N182" i="5"/>
  <c r="P182" i="5" s="1"/>
  <c r="Q182" i="5" s="1"/>
  <c r="R182" i="5" s="1"/>
  <c r="A190" i="2"/>
  <c r="B189" i="2"/>
  <c r="M184" i="5" l="1"/>
  <c r="O184" i="5" s="1"/>
  <c r="E185" i="5"/>
  <c r="Q183" i="5"/>
  <c r="R183" i="5" s="1"/>
  <c r="A191" i="2"/>
  <c r="B190" i="2"/>
  <c r="M185" i="5" l="1"/>
  <c r="O185" i="5" s="1"/>
  <c r="E186" i="5"/>
  <c r="N184" i="5"/>
  <c r="P184" i="5" s="1"/>
  <c r="Q184" i="5" s="1"/>
  <c r="R184" i="5" s="1"/>
  <c r="A192" i="2"/>
  <c r="B191" i="2"/>
  <c r="E187" i="5" l="1"/>
  <c r="M186" i="5"/>
  <c r="O186" i="5" s="1"/>
  <c r="N185" i="5"/>
  <c r="P185" i="5" s="1"/>
  <c r="Q185" i="5" s="1"/>
  <c r="R185" i="5" s="1"/>
  <c r="A193" i="2"/>
  <c r="B192" i="2"/>
  <c r="N186" i="5" l="1"/>
  <c r="P186" i="5" s="1"/>
  <c r="Q186" i="5" s="1"/>
  <c r="R186" i="5" s="1"/>
  <c r="M187" i="5"/>
  <c r="O187" i="5" s="1"/>
  <c r="E188" i="5"/>
  <c r="A194" i="2"/>
  <c r="B193" i="2"/>
  <c r="E189" i="5" l="1"/>
  <c r="M188" i="5"/>
  <c r="O188" i="5" s="1"/>
  <c r="N187" i="5"/>
  <c r="P187" i="5" s="1"/>
  <c r="Q187" i="5" s="1"/>
  <c r="R187" i="5" s="1"/>
  <c r="A195" i="2"/>
  <c r="B194" i="2"/>
  <c r="N188" i="5" l="1"/>
  <c r="P188" i="5" s="1"/>
  <c r="Q188" i="5" s="1"/>
  <c r="R188" i="5" s="1"/>
  <c r="M189" i="5"/>
  <c r="O189" i="5" s="1"/>
  <c r="E190" i="5"/>
  <c r="A196" i="2"/>
  <c r="B195" i="2"/>
  <c r="E191" i="5" l="1"/>
  <c r="M190" i="5"/>
  <c r="O190" i="5" s="1"/>
  <c r="N189" i="5"/>
  <c r="P189" i="5" s="1"/>
  <c r="Q189" i="5" s="1"/>
  <c r="R189" i="5" s="1"/>
  <c r="A197" i="2"/>
  <c r="B196" i="2"/>
  <c r="N190" i="5" l="1"/>
  <c r="P190" i="5" s="1"/>
  <c r="Q190" i="5" s="1"/>
  <c r="R190" i="5" s="1"/>
  <c r="M191" i="5"/>
  <c r="O191" i="5" s="1"/>
  <c r="E192" i="5"/>
  <c r="A198" i="2"/>
  <c r="B197" i="2"/>
  <c r="E193" i="5" l="1"/>
  <c r="M192" i="5"/>
  <c r="O192" i="5" s="1"/>
  <c r="N191" i="5"/>
  <c r="P191" i="5" s="1"/>
  <c r="Q191" i="5" s="1"/>
  <c r="R191" i="5" s="1"/>
  <c r="A199" i="2"/>
  <c r="B198" i="2"/>
  <c r="N192" i="5" l="1"/>
  <c r="P192" i="5" s="1"/>
  <c r="Q192" i="5" s="1"/>
  <c r="R192" i="5" s="1"/>
  <c r="M193" i="5"/>
  <c r="O193" i="5" s="1"/>
  <c r="E194" i="5"/>
  <c r="A200" i="2"/>
  <c r="B199" i="2"/>
  <c r="E195" i="5" l="1"/>
  <c r="M194" i="5"/>
  <c r="O194" i="5" s="1"/>
  <c r="N193" i="5"/>
  <c r="P193" i="5" s="1"/>
  <c r="Q193" i="5" s="1"/>
  <c r="R193" i="5" s="1"/>
  <c r="A201" i="2"/>
  <c r="B200" i="2"/>
  <c r="N194" i="5" l="1"/>
  <c r="P194" i="5" s="1"/>
  <c r="Q194" i="5" s="1"/>
  <c r="R194" i="5" s="1"/>
  <c r="M195" i="5"/>
  <c r="O195" i="5" s="1"/>
  <c r="E196" i="5"/>
  <c r="A202" i="2"/>
  <c r="B201" i="2"/>
  <c r="E197" i="5" l="1"/>
  <c r="M196" i="5"/>
  <c r="O196" i="5" s="1"/>
  <c r="N195" i="5"/>
  <c r="P195" i="5" s="1"/>
  <c r="Q195" i="5" s="1"/>
  <c r="R195" i="5" s="1"/>
  <c r="A203" i="2"/>
  <c r="B202" i="2"/>
  <c r="N196" i="5" l="1"/>
  <c r="P196" i="5" s="1"/>
  <c r="Q196" i="5" s="1"/>
  <c r="R196" i="5" s="1"/>
  <c r="M197" i="5"/>
  <c r="O197" i="5" s="1"/>
  <c r="E198" i="5"/>
  <c r="A204" i="2"/>
  <c r="B203" i="2"/>
  <c r="E199" i="5" l="1"/>
  <c r="M198" i="5"/>
  <c r="O198" i="5" s="1"/>
  <c r="N197" i="5"/>
  <c r="P197" i="5" s="1"/>
  <c r="Q197" i="5" s="1"/>
  <c r="R197" i="5" s="1"/>
  <c r="A205" i="2"/>
  <c r="B204" i="2"/>
  <c r="N198" i="5" l="1"/>
  <c r="P198" i="5" s="1"/>
  <c r="Q198" i="5" s="1"/>
  <c r="R198" i="5" s="1"/>
  <c r="M199" i="5"/>
  <c r="O199" i="5" s="1"/>
  <c r="E200" i="5"/>
  <c r="A206" i="2"/>
  <c r="B205" i="2"/>
  <c r="E201" i="5" l="1"/>
  <c r="M200" i="5"/>
  <c r="O200" i="5" s="1"/>
  <c r="N199" i="5"/>
  <c r="P199" i="5" s="1"/>
  <c r="Q199" i="5" s="1"/>
  <c r="R199" i="5" s="1"/>
  <c r="A207" i="2"/>
  <c r="B206" i="2"/>
  <c r="N200" i="5" l="1"/>
  <c r="P200" i="5" s="1"/>
  <c r="Q200" i="5" s="1"/>
  <c r="R200" i="5" s="1"/>
  <c r="M201" i="5"/>
  <c r="O201" i="5" s="1"/>
  <c r="E202" i="5"/>
  <c r="A208" i="2"/>
  <c r="B207" i="2"/>
  <c r="E203" i="5" l="1"/>
  <c r="M202" i="5"/>
  <c r="O202" i="5" s="1"/>
  <c r="N201" i="5"/>
  <c r="P201" i="5" s="1"/>
  <c r="Q201" i="5" s="1"/>
  <c r="R201" i="5" s="1"/>
  <c r="A209" i="2"/>
  <c r="B208" i="2"/>
  <c r="N202" i="5" l="1"/>
  <c r="P202" i="5" s="1"/>
  <c r="Q202" i="5" s="1"/>
  <c r="R202" i="5" s="1"/>
  <c r="M203" i="5"/>
  <c r="O203" i="5" s="1"/>
  <c r="E204" i="5"/>
  <c r="A210" i="2"/>
  <c r="B209" i="2"/>
  <c r="E205" i="5" l="1"/>
  <c r="M204" i="5"/>
  <c r="O204" i="5" s="1"/>
  <c r="N203" i="5"/>
  <c r="P203" i="5" s="1"/>
  <c r="Q203" i="5" s="1"/>
  <c r="R203" i="5" s="1"/>
  <c r="A211" i="2"/>
  <c r="B210" i="2"/>
  <c r="N204" i="5" l="1"/>
  <c r="P204" i="5" s="1"/>
  <c r="Q204" i="5" s="1"/>
  <c r="R204" i="5" s="1"/>
  <c r="M205" i="5"/>
  <c r="O205" i="5" s="1"/>
  <c r="E206" i="5"/>
  <c r="A212" i="2"/>
  <c r="B211" i="2"/>
  <c r="E207" i="5" l="1"/>
  <c r="M206" i="5"/>
  <c r="O206" i="5" s="1"/>
  <c r="N205" i="5"/>
  <c r="P205" i="5" s="1"/>
  <c r="Q205" i="5" s="1"/>
  <c r="R205" i="5" s="1"/>
  <c r="A213" i="2"/>
  <c r="B212" i="2"/>
  <c r="N206" i="5" l="1"/>
  <c r="P206" i="5" s="1"/>
  <c r="Q206" i="5" s="1"/>
  <c r="R206" i="5" s="1"/>
  <c r="M207" i="5"/>
  <c r="O207" i="5" s="1"/>
  <c r="E208" i="5"/>
  <c r="A214" i="2"/>
  <c r="B213" i="2"/>
  <c r="E209" i="5" l="1"/>
  <c r="M208" i="5"/>
  <c r="O208" i="5" s="1"/>
  <c r="N207" i="5"/>
  <c r="P207" i="5" s="1"/>
  <c r="Q207" i="5" s="1"/>
  <c r="R207" i="5" s="1"/>
  <c r="A215" i="2"/>
  <c r="B214" i="2"/>
  <c r="N208" i="5" l="1"/>
  <c r="P208" i="5" s="1"/>
  <c r="Q208" i="5" s="1"/>
  <c r="R208" i="5" s="1"/>
  <c r="M209" i="5"/>
  <c r="O209" i="5" s="1"/>
  <c r="E210" i="5"/>
  <c r="A216" i="2"/>
  <c r="B215" i="2"/>
  <c r="E211" i="5" l="1"/>
  <c r="M210" i="5"/>
  <c r="O210" i="5" s="1"/>
  <c r="N209" i="5"/>
  <c r="P209" i="5" s="1"/>
  <c r="Q209" i="5" s="1"/>
  <c r="R209" i="5" s="1"/>
  <c r="A217" i="2"/>
  <c r="B216" i="2"/>
  <c r="N210" i="5" l="1"/>
  <c r="P210" i="5" s="1"/>
  <c r="Q210" i="5" s="1"/>
  <c r="R210" i="5" s="1"/>
  <c r="M211" i="5"/>
  <c r="O211" i="5" s="1"/>
  <c r="E212" i="5"/>
  <c r="A218" i="2"/>
  <c r="B217" i="2"/>
  <c r="E213" i="5" l="1"/>
  <c r="M212" i="5"/>
  <c r="O212" i="5" s="1"/>
  <c r="N211" i="5"/>
  <c r="P211" i="5" s="1"/>
  <c r="Q211" i="5" s="1"/>
  <c r="R211" i="5" s="1"/>
  <c r="A219" i="2"/>
  <c r="B218" i="2"/>
  <c r="N212" i="5" l="1"/>
  <c r="P212" i="5" s="1"/>
  <c r="Q212" i="5" s="1"/>
  <c r="R212" i="5" s="1"/>
  <c r="M213" i="5"/>
  <c r="O213" i="5" s="1"/>
  <c r="E214" i="5"/>
  <c r="A220" i="2"/>
  <c r="B219" i="2"/>
  <c r="E215" i="5" l="1"/>
  <c r="M214" i="5"/>
  <c r="O214" i="5" s="1"/>
  <c r="N213" i="5"/>
  <c r="P213" i="5" s="1"/>
  <c r="Q213" i="5" s="1"/>
  <c r="R213" i="5" s="1"/>
  <c r="A221" i="2"/>
  <c r="B220" i="2"/>
  <c r="N214" i="5" l="1"/>
  <c r="P214" i="5" s="1"/>
  <c r="Q214" i="5" s="1"/>
  <c r="R214" i="5" s="1"/>
  <c r="M215" i="5"/>
  <c r="O215" i="5" s="1"/>
  <c r="E216" i="5"/>
  <c r="A222" i="2"/>
  <c r="B221" i="2"/>
  <c r="E217" i="5" l="1"/>
  <c r="M216" i="5"/>
  <c r="O216" i="5" s="1"/>
  <c r="N216" i="5"/>
  <c r="P216" i="5" s="1"/>
  <c r="N215" i="5"/>
  <c r="P215" i="5" s="1"/>
  <c r="Q215" i="5" s="1"/>
  <c r="R215" i="5" s="1"/>
  <c r="A223" i="2"/>
  <c r="B222" i="2"/>
  <c r="Q216" i="5" l="1"/>
  <c r="R216" i="5" s="1"/>
  <c r="M217" i="5"/>
  <c r="O217" i="5" s="1"/>
  <c r="E218" i="5"/>
  <c r="A224" i="2"/>
  <c r="B223" i="2"/>
  <c r="E219" i="5" l="1"/>
  <c r="M218" i="5"/>
  <c r="O218" i="5" s="1"/>
  <c r="N217" i="5"/>
  <c r="P217" i="5" s="1"/>
  <c r="Q217" i="5" s="1"/>
  <c r="R217" i="5" s="1"/>
  <c r="A225" i="2"/>
  <c r="B224" i="2"/>
  <c r="N218" i="5" l="1"/>
  <c r="P218" i="5" s="1"/>
  <c r="Q218" i="5" s="1"/>
  <c r="R218" i="5" s="1"/>
  <c r="M219" i="5"/>
  <c r="O219" i="5" s="1"/>
  <c r="E220" i="5"/>
  <c r="A226" i="2"/>
  <c r="B225" i="2"/>
  <c r="E221" i="5" l="1"/>
  <c r="M220" i="5"/>
  <c r="O220" i="5" s="1"/>
  <c r="N219" i="5"/>
  <c r="P219" i="5" s="1"/>
  <c r="Q219" i="5" s="1"/>
  <c r="R219" i="5" s="1"/>
  <c r="A227" i="2"/>
  <c r="B226" i="2"/>
  <c r="N220" i="5" l="1"/>
  <c r="P220" i="5" s="1"/>
  <c r="Q220" i="5" s="1"/>
  <c r="R220" i="5" s="1"/>
  <c r="M221" i="5"/>
  <c r="O221" i="5" s="1"/>
  <c r="E222" i="5"/>
  <c r="A228" i="2"/>
  <c r="B227" i="2"/>
  <c r="E223" i="5" l="1"/>
  <c r="M222" i="5"/>
  <c r="O222" i="5" s="1"/>
  <c r="N221" i="5"/>
  <c r="P221" i="5" s="1"/>
  <c r="Q221" i="5" s="1"/>
  <c r="R221" i="5" s="1"/>
  <c r="A229" i="2"/>
  <c r="B228" i="2"/>
  <c r="N222" i="5" l="1"/>
  <c r="P222" i="5" s="1"/>
  <c r="Q222" i="5" s="1"/>
  <c r="R222" i="5" s="1"/>
  <c r="M223" i="5"/>
  <c r="O223" i="5" s="1"/>
  <c r="E224" i="5"/>
  <c r="A230" i="2"/>
  <c r="B229" i="2"/>
  <c r="E225" i="5" l="1"/>
  <c r="M224" i="5"/>
  <c r="O224" i="5" s="1"/>
  <c r="N223" i="5"/>
  <c r="P223" i="5" s="1"/>
  <c r="Q223" i="5" s="1"/>
  <c r="R223" i="5" s="1"/>
  <c r="A231" i="2"/>
  <c r="B230" i="2"/>
  <c r="N224" i="5" l="1"/>
  <c r="P224" i="5" s="1"/>
  <c r="Q224" i="5" s="1"/>
  <c r="R224" i="5" s="1"/>
  <c r="M225" i="5"/>
  <c r="O225" i="5" s="1"/>
  <c r="E226" i="5"/>
  <c r="A232" i="2"/>
  <c r="B231" i="2"/>
  <c r="E227" i="5" l="1"/>
  <c r="M226" i="5"/>
  <c r="O226" i="5" s="1"/>
  <c r="N225" i="5"/>
  <c r="P225" i="5" s="1"/>
  <c r="Q225" i="5" s="1"/>
  <c r="R225" i="5" s="1"/>
  <c r="A233" i="2"/>
  <c r="B232" i="2"/>
  <c r="N226" i="5" l="1"/>
  <c r="P226" i="5" s="1"/>
  <c r="Q226" i="5" s="1"/>
  <c r="R226" i="5" s="1"/>
  <c r="M227" i="5"/>
  <c r="O227" i="5" s="1"/>
  <c r="E228" i="5"/>
  <c r="A234" i="2"/>
  <c r="B233" i="2"/>
  <c r="E229" i="5" l="1"/>
  <c r="M228" i="5"/>
  <c r="O228" i="5" s="1"/>
  <c r="N227" i="5"/>
  <c r="P227" i="5" s="1"/>
  <c r="Q227" i="5" s="1"/>
  <c r="R227" i="5" s="1"/>
  <c r="A235" i="2"/>
  <c r="B234" i="2"/>
  <c r="N228" i="5" l="1"/>
  <c r="P228" i="5" s="1"/>
  <c r="Q228" i="5" s="1"/>
  <c r="R228" i="5" s="1"/>
  <c r="M229" i="5"/>
  <c r="O229" i="5" s="1"/>
  <c r="E230" i="5"/>
  <c r="A236" i="2"/>
  <c r="B235" i="2"/>
  <c r="E231" i="5" l="1"/>
  <c r="M230" i="5"/>
  <c r="O230" i="5" s="1"/>
  <c r="N229" i="5"/>
  <c r="P229" i="5" s="1"/>
  <c r="Q229" i="5" s="1"/>
  <c r="R229" i="5" s="1"/>
  <c r="A237" i="2"/>
  <c r="B236" i="2"/>
  <c r="N230" i="5" l="1"/>
  <c r="P230" i="5" s="1"/>
  <c r="Q230" i="5" s="1"/>
  <c r="R230" i="5" s="1"/>
  <c r="M231" i="5"/>
  <c r="O231" i="5" s="1"/>
  <c r="E232" i="5"/>
  <c r="A238" i="2"/>
  <c r="B237" i="2"/>
  <c r="E233" i="5" l="1"/>
  <c r="M232" i="5"/>
  <c r="O232" i="5" s="1"/>
  <c r="N231" i="5"/>
  <c r="P231" i="5" s="1"/>
  <c r="Q231" i="5" s="1"/>
  <c r="R231" i="5" s="1"/>
  <c r="A239" i="2"/>
  <c r="B238" i="2"/>
  <c r="N232" i="5" l="1"/>
  <c r="P232" i="5" s="1"/>
  <c r="Q232" i="5" s="1"/>
  <c r="R232" i="5" s="1"/>
  <c r="M233" i="5"/>
  <c r="O233" i="5" s="1"/>
  <c r="E234" i="5"/>
  <c r="A240" i="2"/>
  <c r="B239" i="2"/>
  <c r="E235" i="5" l="1"/>
  <c r="M234" i="5"/>
  <c r="O234" i="5" s="1"/>
  <c r="N233" i="5"/>
  <c r="P233" i="5" s="1"/>
  <c r="Q233" i="5" s="1"/>
  <c r="R233" i="5" s="1"/>
  <c r="A241" i="2"/>
  <c r="B240" i="2"/>
  <c r="N234" i="5" l="1"/>
  <c r="P234" i="5" s="1"/>
  <c r="Q234" i="5" s="1"/>
  <c r="R234" i="5" s="1"/>
  <c r="M235" i="5"/>
  <c r="O235" i="5" s="1"/>
  <c r="E236" i="5"/>
  <c r="A242" i="2"/>
  <c r="B241" i="2"/>
  <c r="E237" i="5" l="1"/>
  <c r="M236" i="5"/>
  <c r="O236" i="5" s="1"/>
  <c r="N235" i="5"/>
  <c r="P235" i="5" s="1"/>
  <c r="Q235" i="5" s="1"/>
  <c r="R235" i="5" s="1"/>
  <c r="A243" i="2"/>
  <c r="B242" i="2"/>
  <c r="N236" i="5" l="1"/>
  <c r="P236" i="5" s="1"/>
  <c r="Q236" i="5" s="1"/>
  <c r="R236" i="5" s="1"/>
  <c r="M237" i="5"/>
  <c r="O237" i="5" s="1"/>
  <c r="E238" i="5"/>
  <c r="A244" i="2"/>
  <c r="B243" i="2"/>
  <c r="E239" i="5" l="1"/>
  <c r="M238" i="5"/>
  <c r="O238" i="5" s="1"/>
  <c r="N238" i="5"/>
  <c r="P238" i="5" s="1"/>
  <c r="N237" i="5"/>
  <c r="P237" i="5" s="1"/>
  <c r="Q237" i="5" s="1"/>
  <c r="R237" i="5" s="1"/>
  <c r="A245" i="2"/>
  <c r="B244" i="2"/>
  <c r="Q238" i="5" l="1"/>
  <c r="R238" i="5" s="1"/>
  <c r="M239" i="5"/>
  <c r="O239" i="5" s="1"/>
  <c r="E240" i="5"/>
  <c r="A246" i="2"/>
  <c r="B245" i="2"/>
  <c r="E241" i="5" l="1"/>
  <c r="M240" i="5"/>
  <c r="O240" i="5" s="1"/>
  <c r="N240" i="5"/>
  <c r="P240" i="5" s="1"/>
  <c r="N239" i="5"/>
  <c r="P239" i="5" s="1"/>
  <c r="Q239" i="5" s="1"/>
  <c r="R239" i="5" s="1"/>
  <c r="A247" i="2"/>
  <c r="B246" i="2"/>
  <c r="Q240" i="5" l="1"/>
  <c r="R240" i="5" s="1"/>
  <c r="M241" i="5"/>
  <c r="O241" i="5" s="1"/>
  <c r="E242" i="5"/>
  <c r="A248" i="2"/>
  <c r="B247" i="2"/>
  <c r="E243" i="5" l="1"/>
  <c r="M242" i="5"/>
  <c r="O242" i="5" s="1"/>
  <c r="N242" i="5"/>
  <c r="P242" i="5" s="1"/>
  <c r="N241" i="5"/>
  <c r="P241" i="5" s="1"/>
  <c r="Q241" i="5" s="1"/>
  <c r="R241" i="5" s="1"/>
  <c r="A249" i="2"/>
  <c r="B248" i="2"/>
  <c r="Q242" i="5" l="1"/>
  <c r="R242" i="5" s="1"/>
  <c r="M243" i="5"/>
  <c r="O243" i="5" s="1"/>
  <c r="E244" i="5"/>
  <c r="A250" i="2"/>
  <c r="B249" i="2"/>
  <c r="E245" i="5" l="1"/>
  <c r="M244" i="5"/>
  <c r="O244" i="5" s="1"/>
  <c r="N244" i="5"/>
  <c r="P244" i="5" s="1"/>
  <c r="N243" i="5"/>
  <c r="P243" i="5" s="1"/>
  <c r="Q243" i="5" s="1"/>
  <c r="R243" i="5" s="1"/>
  <c r="A251" i="2"/>
  <c r="B250" i="2"/>
  <c r="Q244" i="5" l="1"/>
  <c r="R244" i="5" s="1"/>
  <c r="M245" i="5"/>
  <c r="O245" i="5" s="1"/>
  <c r="E246" i="5"/>
  <c r="A252" i="2"/>
  <c r="B251" i="2"/>
  <c r="E247" i="5" l="1"/>
  <c r="M246" i="5"/>
  <c r="O246" i="5" s="1"/>
  <c r="N246" i="5"/>
  <c r="P246" i="5" s="1"/>
  <c r="N245" i="5"/>
  <c r="P245" i="5" s="1"/>
  <c r="Q245" i="5" s="1"/>
  <c r="R245" i="5" s="1"/>
  <c r="A253" i="2"/>
  <c r="B252" i="2"/>
  <c r="Q246" i="5" l="1"/>
  <c r="R246" i="5" s="1"/>
  <c r="M247" i="5"/>
  <c r="O247" i="5" s="1"/>
  <c r="E248" i="5"/>
  <c r="A254" i="2"/>
  <c r="B253" i="2"/>
  <c r="E249" i="5" l="1"/>
  <c r="M248" i="5"/>
  <c r="O248" i="5" s="1"/>
  <c r="N248" i="5"/>
  <c r="P248" i="5" s="1"/>
  <c r="N247" i="5"/>
  <c r="P247" i="5" s="1"/>
  <c r="Q247" i="5" s="1"/>
  <c r="R247" i="5" s="1"/>
  <c r="A255" i="2"/>
  <c r="B254" i="2"/>
  <c r="Q248" i="5" l="1"/>
  <c r="R248" i="5" s="1"/>
  <c r="M249" i="5"/>
  <c r="O249" i="5" s="1"/>
  <c r="E250" i="5"/>
  <c r="A256" i="2"/>
  <c r="B255" i="2"/>
  <c r="E251" i="5" l="1"/>
  <c r="M250" i="5"/>
  <c r="O250" i="5" s="1"/>
  <c r="N250" i="5"/>
  <c r="P250" i="5" s="1"/>
  <c r="N249" i="5"/>
  <c r="P249" i="5" s="1"/>
  <c r="Q249" i="5" s="1"/>
  <c r="R249" i="5" s="1"/>
  <c r="A257" i="2"/>
  <c r="B256" i="2"/>
  <c r="Q250" i="5" l="1"/>
  <c r="R250" i="5" s="1"/>
  <c r="M251" i="5"/>
  <c r="O251" i="5" s="1"/>
  <c r="E252" i="5"/>
  <c r="A258" i="2"/>
  <c r="B257" i="2"/>
  <c r="E253" i="5" l="1"/>
  <c r="M252" i="5"/>
  <c r="O252" i="5" s="1"/>
  <c r="N252" i="5"/>
  <c r="P252" i="5" s="1"/>
  <c r="N251" i="5"/>
  <c r="P251" i="5" s="1"/>
  <c r="Q251" i="5" s="1"/>
  <c r="R251" i="5" s="1"/>
  <c r="A259" i="2"/>
  <c r="B258" i="2"/>
  <c r="Q252" i="5" l="1"/>
  <c r="R252" i="5" s="1"/>
  <c r="M253" i="5"/>
  <c r="O253" i="5" s="1"/>
  <c r="E254" i="5"/>
  <c r="A260" i="2"/>
  <c r="B259" i="2"/>
  <c r="E255" i="5" l="1"/>
  <c r="M254" i="5"/>
  <c r="O254" i="5" s="1"/>
  <c r="N254" i="5"/>
  <c r="P254" i="5" s="1"/>
  <c r="N253" i="5"/>
  <c r="P253" i="5" s="1"/>
  <c r="Q253" i="5" s="1"/>
  <c r="R253" i="5" s="1"/>
  <c r="A261" i="2"/>
  <c r="B260" i="2"/>
  <c r="Q254" i="5" l="1"/>
  <c r="R254" i="5" s="1"/>
  <c r="M255" i="5"/>
  <c r="O255" i="5" s="1"/>
  <c r="E256" i="5"/>
  <c r="A262" i="2"/>
  <c r="B261" i="2"/>
  <c r="E257" i="5" l="1"/>
  <c r="M256" i="5"/>
  <c r="O256" i="5" s="1"/>
  <c r="N256" i="5"/>
  <c r="P256" i="5" s="1"/>
  <c r="N255" i="5"/>
  <c r="P255" i="5" s="1"/>
  <c r="Q255" i="5" s="1"/>
  <c r="R255" i="5" s="1"/>
  <c r="A263" i="2"/>
  <c r="B262" i="2"/>
  <c r="Q256" i="5" l="1"/>
  <c r="R256" i="5" s="1"/>
  <c r="M257" i="5"/>
  <c r="O257" i="5" s="1"/>
  <c r="E258" i="5"/>
  <c r="A264" i="2"/>
  <c r="B263" i="2"/>
  <c r="E259" i="5" l="1"/>
  <c r="M258" i="5"/>
  <c r="O258" i="5" s="1"/>
  <c r="N258" i="5"/>
  <c r="P258" i="5" s="1"/>
  <c r="N257" i="5"/>
  <c r="P257" i="5" s="1"/>
  <c r="Q257" i="5" s="1"/>
  <c r="R257" i="5" s="1"/>
  <c r="A265" i="2"/>
  <c r="B264" i="2"/>
  <c r="Q258" i="5" l="1"/>
  <c r="R258" i="5" s="1"/>
  <c r="M259" i="5"/>
  <c r="O259" i="5" s="1"/>
  <c r="E260" i="5"/>
  <c r="A266" i="2"/>
  <c r="B265" i="2"/>
  <c r="E261" i="5" l="1"/>
  <c r="M260" i="5"/>
  <c r="O260" i="5" s="1"/>
  <c r="N259" i="5"/>
  <c r="P259" i="5" s="1"/>
  <c r="Q259" i="5" s="1"/>
  <c r="R259" i="5" s="1"/>
  <c r="A267" i="2"/>
  <c r="B266" i="2"/>
  <c r="N260" i="5" l="1"/>
  <c r="P260" i="5" s="1"/>
  <c r="Q260" i="5" s="1"/>
  <c r="R260" i="5" s="1"/>
  <c r="M261" i="5"/>
  <c r="O261" i="5" s="1"/>
  <c r="E262" i="5"/>
  <c r="A268" i="2"/>
  <c r="B267" i="2"/>
  <c r="M262" i="5" l="1"/>
  <c r="O262" i="5" s="1"/>
  <c r="E263" i="5"/>
  <c r="N261" i="5"/>
  <c r="P261" i="5" s="1"/>
  <c r="Q261" i="5" s="1"/>
  <c r="R261" i="5" s="1"/>
  <c r="A269" i="2"/>
  <c r="B268" i="2"/>
  <c r="M263" i="5" l="1"/>
  <c r="O263" i="5" s="1"/>
  <c r="E264" i="5"/>
  <c r="N263" i="5"/>
  <c r="P263" i="5" s="1"/>
  <c r="N262" i="5"/>
  <c r="P262" i="5" s="1"/>
  <c r="Q262" i="5" s="1"/>
  <c r="R262" i="5" s="1"/>
  <c r="A270" i="2"/>
  <c r="B269" i="2"/>
  <c r="E265" i="5" l="1"/>
  <c r="M264" i="5"/>
  <c r="O264" i="5" s="1"/>
  <c r="Q263" i="5"/>
  <c r="R263" i="5" s="1"/>
  <c r="A271" i="2"/>
  <c r="B270" i="2"/>
  <c r="N264" i="5" l="1"/>
  <c r="P264" i="5" s="1"/>
  <c r="Q264" i="5" s="1"/>
  <c r="R264" i="5" s="1"/>
  <c r="M265" i="5"/>
  <c r="O265" i="5" s="1"/>
  <c r="E266" i="5"/>
  <c r="A272" i="2"/>
  <c r="B271" i="2"/>
  <c r="M266" i="5" l="1"/>
  <c r="O266" i="5" s="1"/>
  <c r="E267" i="5"/>
  <c r="N266" i="5"/>
  <c r="P266" i="5" s="1"/>
  <c r="N265" i="5"/>
  <c r="P265" i="5" s="1"/>
  <c r="Q265" i="5" s="1"/>
  <c r="R265" i="5" s="1"/>
  <c r="A273" i="2"/>
  <c r="B272" i="2"/>
  <c r="E268" i="5" l="1"/>
  <c r="M267" i="5"/>
  <c r="O267" i="5" s="1"/>
  <c r="Q266" i="5"/>
  <c r="R266" i="5" s="1"/>
  <c r="A274" i="2"/>
  <c r="B273" i="2"/>
  <c r="N267" i="5" l="1"/>
  <c r="P267" i="5" s="1"/>
  <c r="Q267" i="5" s="1"/>
  <c r="R267" i="5" s="1"/>
  <c r="M268" i="5"/>
  <c r="O268" i="5" s="1"/>
  <c r="E269" i="5"/>
  <c r="A275" i="2"/>
  <c r="B274" i="2"/>
  <c r="M269" i="5" l="1"/>
  <c r="O269" i="5" s="1"/>
  <c r="E270" i="5"/>
  <c r="N268" i="5"/>
  <c r="P268" i="5" s="1"/>
  <c r="Q268" i="5" s="1"/>
  <c r="R268" i="5" s="1"/>
  <c r="A276" i="2"/>
  <c r="B275" i="2"/>
  <c r="E271" i="5" l="1"/>
  <c r="M270" i="5"/>
  <c r="O270" i="5" s="1"/>
  <c r="N269" i="5"/>
  <c r="P269" i="5" s="1"/>
  <c r="Q269" i="5" s="1"/>
  <c r="R269" i="5" s="1"/>
  <c r="A277" i="2"/>
  <c r="B276" i="2"/>
  <c r="N270" i="5" l="1"/>
  <c r="P270" i="5" s="1"/>
  <c r="Q270" i="5" s="1"/>
  <c r="R270" i="5" s="1"/>
  <c r="M271" i="5"/>
  <c r="O271" i="5" s="1"/>
  <c r="E272" i="5"/>
  <c r="A278" i="2"/>
  <c r="B277" i="2"/>
  <c r="M272" i="5" l="1"/>
  <c r="O272" i="5" s="1"/>
  <c r="E273" i="5"/>
  <c r="N271" i="5"/>
  <c r="P271" i="5" s="1"/>
  <c r="Q271" i="5" s="1"/>
  <c r="R271" i="5" s="1"/>
  <c r="A279" i="2"/>
  <c r="B278" i="2"/>
  <c r="E274" i="5" l="1"/>
  <c r="M273" i="5"/>
  <c r="O273" i="5" s="1"/>
  <c r="N272" i="5"/>
  <c r="P272" i="5" s="1"/>
  <c r="Q272" i="5" s="1"/>
  <c r="R272" i="5" s="1"/>
  <c r="A280" i="2"/>
  <c r="B279" i="2"/>
  <c r="N273" i="5" l="1"/>
  <c r="P273" i="5" s="1"/>
  <c r="Q273" i="5" s="1"/>
  <c r="R273" i="5" s="1"/>
  <c r="M274" i="5"/>
  <c r="O274" i="5" s="1"/>
  <c r="E275" i="5"/>
  <c r="A281" i="2"/>
  <c r="B280" i="2"/>
  <c r="E276" i="5" l="1"/>
  <c r="M275" i="5"/>
  <c r="O275" i="5" s="1"/>
  <c r="N274" i="5"/>
  <c r="P274" i="5" s="1"/>
  <c r="Q274" i="5" s="1"/>
  <c r="R274" i="5" s="1"/>
  <c r="A282" i="2"/>
  <c r="B281" i="2"/>
  <c r="N275" i="5" l="1"/>
  <c r="P275" i="5" s="1"/>
  <c r="Q275" i="5" s="1"/>
  <c r="R275" i="5" s="1"/>
  <c r="M276" i="5"/>
  <c r="O276" i="5" s="1"/>
  <c r="E277" i="5"/>
  <c r="A283" i="2"/>
  <c r="B282" i="2"/>
  <c r="E278" i="5" l="1"/>
  <c r="M277" i="5"/>
  <c r="O277" i="5" s="1"/>
  <c r="N276" i="5"/>
  <c r="P276" i="5" s="1"/>
  <c r="Q276" i="5" s="1"/>
  <c r="R276" i="5" s="1"/>
  <c r="A284" i="2"/>
  <c r="B283" i="2"/>
  <c r="N277" i="5" l="1"/>
  <c r="P277" i="5" s="1"/>
  <c r="Q277" i="5" s="1"/>
  <c r="R277" i="5" s="1"/>
  <c r="M278" i="5"/>
  <c r="O278" i="5" s="1"/>
  <c r="E279" i="5"/>
  <c r="A285" i="2"/>
  <c r="B284" i="2"/>
  <c r="E280" i="5" l="1"/>
  <c r="M279" i="5"/>
  <c r="O279" i="5" s="1"/>
  <c r="N278" i="5"/>
  <c r="P278" i="5" s="1"/>
  <c r="Q278" i="5" s="1"/>
  <c r="R278" i="5" s="1"/>
  <c r="A286" i="2"/>
  <c r="B285" i="2"/>
  <c r="N279" i="5" l="1"/>
  <c r="P279" i="5" s="1"/>
  <c r="Q279" i="5" s="1"/>
  <c r="R279" i="5" s="1"/>
  <c r="M280" i="5"/>
  <c r="O280" i="5" s="1"/>
  <c r="E281" i="5"/>
  <c r="A287" i="2"/>
  <c r="B286" i="2"/>
  <c r="E282" i="5" l="1"/>
  <c r="M281" i="5"/>
  <c r="O281" i="5" s="1"/>
  <c r="N281" i="5"/>
  <c r="P281" i="5" s="1"/>
  <c r="N280" i="5"/>
  <c r="P280" i="5" s="1"/>
  <c r="Q280" i="5" s="1"/>
  <c r="R280" i="5" s="1"/>
  <c r="A288" i="2"/>
  <c r="B287" i="2"/>
  <c r="Q281" i="5" l="1"/>
  <c r="R281" i="5" s="1"/>
  <c r="E283" i="5"/>
  <c r="M282" i="5"/>
  <c r="O282" i="5" s="1"/>
  <c r="A289" i="2"/>
  <c r="B288" i="2"/>
  <c r="E284" i="5" l="1"/>
  <c r="M283" i="5"/>
  <c r="O283" i="5" s="1"/>
  <c r="N282" i="5"/>
  <c r="P282" i="5" s="1"/>
  <c r="Q282" i="5" s="1"/>
  <c r="R282" i="5" s="1"/>
  <c r="A290" i="2"/>
  <c r="B289" i="2"/>
  <c r="N283" i="5" l="1"/>
  <c r="P283" i="5" s="1"/>
  <c r="Q283" i="5" s="1"/>
  <c r="R283" i="5" s="1"/>
  <c r="E285" i="5"/>
  <c r="M284" i="5"/>
  <c r="O284" i="5" s="1"/>
  <c r="A291" i="2"/>
  <c r="B290" i="2"/>
  <c r="E286" i="5" l="1"/>
  <c r="M285" i="5"/>
  <c r="O285" i="5" s="1"/>
  <c r="N284" i="5"/>
  <c r="P284" i="5" s="1"/>
  <c r="Q284" i="5" s="1"/>
  <c r="R284" i="5" s="1"/>
  <c r="A292" i="2"/>
  <c r="B291" i="2"/>
  <c r="N285" i="5" l="1"/>
  <c r="P285" i="5" s="1"/>
  <c r="Q285" i="5" s="1"/>
  <c r="R285" i="5" s="1"/>
  <c r="E287" i="5"/>
  <c r="M286" i="5"/>
  <c r="O286" i="5" s="1"/>
  <c r="A293" i="2"/>
  <c r="B292" i="2"/>
  <c r="E288" i="5" l="1"/>
  <c r="M287" i="5"/>
  <c r="O287" i="5" s="1"/>
  <c r="N286" i="5"/>
  <c r="P286" i="5" s="1"/>
  <c r="Q286" i="5" s="1"/>
  <c r="R286" i="5" s="1"/>
  <c r="A294" i="2"/>
  <c r="B293" i="2"/>
  <c r="N287" i="5" l="1"/>
  <c r="P287" i="5" s="1"/>
  <c r="Q287" i="5" s="1"/>
  <c r="R287" i="5" s="1"/>
  <c r="E289" i="5"/>
  <c r="M288" i="5"/>
  <c r="O288" i="5" s="1"/>
  <c r="A295" i="2"/>
  <c r="B294" i="2"/>
  <c r="E290" i="5" l="1"/>
  <c r="M289" i="5"/>
  <c r="O289" i="5" s="1"/>
  <c r="N288" i="5"/>
  <c r="P288" i="5" s="1"/>
  <c r="Q288" i="5" s="1"/>
  <c r="R288" i="5" s="1"/>
  <c r="A296" i="2"/>
  <c r="B295" i="2"/>
  <c r="N289" i="5" l="1"/>
  <c r="P289" i="5" s="1"/>
  <c r="Q289" i="5" s="1"/>
  <c r="R289" i="5" s="1"/>
  <c r="E291" i="5"/>
  <c r="M290" i="5"/>
  <c r="O290" i="5" s="1"/>
  <c r="A297" i="2"/>
  <c r="B296" i="2"/>
  <c r="E292" i="5" l="1"/>
  <c r="M291" i="5"/>
  <c r="O291" i="5" s="1"/>
  <c r="N290" i="5"/>
  <c r="P290" i="5" s="1"/>
  <c r="Q290" i="5" s="1"/>
  <c r="R290" i="5" s="1"/>
  <c r="A298" i="2"/>
  <c r="B297" i="2"/>
  <c r="N291" i="5" l="1"/>
  <c r="P291" i="5" s="1"/>
  <c r="Q291" i="5" s="1"/>
  <c r="R291" i="5" s="1"/>
  <c r="E293" i="5"/>
  <c r="M292" i="5"/>
  <c r="O292" i="5" s="1"/>
  <c r="A299" i="2"/>
  <c r="B298" i="2"/>
  <c r="E294" i="5" l="1"/>
  <c r="M293" i="5"/>
  <c r="O293" i="5" s="1"/>
  <c r="N292" i="5"/>
  <c r="P292" i="5" s="1"/>
  <c r="Q292" i="5" s="1"/>
  <c r="R292" i="5" s="1"/>
  <c r="A300" i="2"/>
  <c r="B299" i="2"/>
  <c r="N293" i="5" l="1"/>
  <c r="P293" i="5" s="1"/>
  <c r="Q293" i="5" s="1"/>
  <c r="R293" i="5" s="1"/>
  <c r="E295" i="5"/>
  <c r="M294" i="5"/>
  <c r="O294" i="5" s="1"/>
  <c r="A301" i="2"/>
  <c r="B300" i="2"/>
  <c r="E296" i="5" l="1"/>
  <c r="M295" i="5"/>
  <c r="O295" i="5" s="1"/>
  <c r="N294" i="5"/>
  <c r="P294" i="5" s="1"/>
  <c r="Q294" i="5" s="1"/>
  <c r="R294" i="5" s="1"/>
  <c r="A302" i="2"/>
  <c r="B301" i="2"/>
  <c r="N295" i="5" l="1"/>
  <c r="P295" i="5" s="1"/>
  <c r="Q295" i="5" s="1"/>
  <c r="R295" i="5" s="1"/>
  <c r="E297" i="5"/>
  <c r="M296" i="5"/>
  <c r="O296" i="5" s="1"/>
  <c r="A303" i="2"/>
  <c r="B302" i="2"/>
  <c r="E298" i="5" l="1"/>
  <c r="M297" i="5"/>
  <c r="O297" i="5" s="1"/>
  <c r="N296" i="5"/>
  <c r="P296" i="5" s="1"/>
  <c r="Q296" i="5" s="1"/>
  <c r="R296" i="5" s="1"/>
  <c r="A304" i="2"/>
  <c r="B303" i="2"/>
  <c r="N297" i="5" l="1"/>
  <c r="P297" i="5" s="1"/>
  <c r="Q297" i="5" s="1"/>
  <c r="R297" i="5" s="1"/>
  <c r="E299" i="5"/>
  <c r="M298" i="5"/>
  <c r="O298" i="5" s="1"/>
  <c r="A305" i="2"/>
  <c r="B304" i="2"/>
  <c r="E300" i="5" l="1"/>
  <c r="M299" i="5"/>
  <c r="O299" i="5" s="1"/>
  <c r="N298" i="5"/>
  <c r="P298" i="5" s="1"/>
  <c r="Q298" i="5" s="1"/>
  <c r="R298" i="5" s="1"/>
  <c r="A306" i="2"/>
  <c r="B305" i="2"/>
  <c r="N299" i="5" l="1"/>
  <c r="P299" i="5" s="1"/>
  <c r="Q299" i="5" s="1"/>
  <c r="R299" i="5" s="1"/>
  <c r="E301" i="5"/>
  <c r="M300" i="5"/>
  <c r="O300" i="5" s="1"/>
  <c r="A307" i="2"/>
  <c r="B306" i="2"/>
  <c r="E302" i="5" l="1"/>
  <c r="M301" i="5"/>
  <c r="O301" i="5" s="1"/>
  <c r="N300" i="5"/>
  <c r="P300" i="5" s="1"/>
  <c r="Q300" i="5" s="1"/>
  <c r="R300" i="5" s="1"/>
  <c r="A308" i="2"/>
  <c r="B307" i="2"/>
  <c r="N301" i="5" l="1"/>
  <c r="P301" i="5" s="1"/>
  <c r="Q301" i="5" s="1"/>
  <c r="R301" i="5" s="1"/>
  <c r="E303" i="5"/>
  <c r="M302" i="5"/>
  <c r="O302" i="5" s="1"/>
  <c r="A309" i="2"/>
  <c r="B308" i="2"/>
  <c r="E304" i="5" l="1"/>
  <c r="M303" i="5"/>
  <c r="O303" i="5" s="1"/>
  <c r="N302" i="5"/>
  <c r="P302" i="5" s="1"/>
  <c r="Q302" i="5" s="1"/>
  <c r="R302" i="5" s="1"/>
  <c r="A310" i="2"/>
  <c r="B309" i="2"/>
  <c r="N303" i="5" l="1"/>
  <c r="P303" i="5" s="1"/>
  <c r="Q303" i="5" s="1"/>
  <c r="R303" i="5" s="1"/>
  <c r="E305" i="5"/>
  <c r="M304" i="5"/>
  <c r="O304" i="5" s="1"/>
  <c r="A311" i="2"/>
  <c r="B310" i="2"/>
  <c r="E306" i="5" l="1"/>
  <c r="M305" i="5"/>
  <c r="O305" i="5" s="1"/>
  <c r="N304" i="5"/>
  <c r="P304" i="5" s="1"/>
  <c r="Q304" i="5" s="1"/>
  <c r="R304" i="5" s="1"/>
  <c r="A312" i="2"/>
  <c r="B311" i="2"/>
  <c r="N305" i="5" l="1"/>
  <c r="P305" i="5" s="1"/>
  <c r="Q305" i="5" s="1"/>
  <c r="R305" i="5" s="1"/>
  <c r="E307" i="5"/>
  <c r="M306" i="5"/>
  <c r="O306" i="5" s="1"/>
  <c r="A313" i="2"/>
  <c r="B312" i="2"/>
  <c r="E308" i="5" l="1"/>
  <c r="M307" i="5"/>
  <c r="O307" i="5" s="1"/>
  <c r="N306" i="5"/>
  <c r="P306" i="5" s="1"/>
  <c r="Q306" i="5" s="1"/>
  <c r="R306" i="5" s="1"/>
  <c r="A314" i="2"/>
  <c r="B313" i="2"/>
  <c r="N307" i="5" l="1"/>
  <c r="P307" i="5" s="1"/>
  <c r="Q307" i="5" s="1"/>
  <c r="R307" i="5" s="1"/>
  <c r="E309" i="5"/>
  <c r="M308" i="5"/>
  <c r="O308" i="5" s="1"/>
  <c r="A315" i="2"/>
  <c r="B314" i="2"/>
  <c r="E310" i="5" l="1"/>
  <c r="M309" i="5"/>
  <c r="O309" i="5" s="1"/>
  <c r="N308" i="5"/>
  <c r="P308" i="5" s="1"/>
  <c r="Q308" i="5" s="1"/>
  <c r="R308" i="5" s="1"/>
  <c r="A316" i="2"/>
  <c r="B315" i="2"/>
  <c r="N309" i="5" l="1"/>
  <c r="P309" i="5" s="1"/>
  <c r="Q309" i="5" s="1"/>
  <c r="R309" i="5" s="1"/>
  <c r="E311" i="5"/>
  <c r="M310" i="5"/>
  <c r="O310" i="5" s="1"/>
  <c r="A317" i="2"/>
  <c r="B316" i="2"/>
  <c r="E312" i="5" l="1"/>
  <c r="M311" i="5"/>
  <c r="O311" i="5" s="1"/>
  <c r="N311" i="5"/>
  <c r="P311" i="5" s="1"/>
  <c r="N310" i="5"/>
  <c r="P310" i="5" s="1"/>
  <c r="Q310" i="5" s="1"/>
  <c r="R310" i="5" s="1"/>
  <c r="A318" i="2"/>
  <c r="B317" i="2"/>
  <c r="Q311" i="5" l="1"/>
  <c r="R311" i="5" s="1"/>
  <c r="M312" i="5"/>
  <c r="O312" i="5" s="1"/>
  <c r="E313" i="5"/>
  <c r="A319" i="2"/>
  <c r="B318" i="2"/>
  <c r="E314" i="5" l="1"/>
  <c r="M313" i="5"/>
  <c r="O313" i="5" s="1"/>
  <c r="N312" i="5"/>
  <c r="P312" i="5" s="1"/>
  <c r="Q312" i="5" s="1"/>
  <c r="R312" i="5" s="1"/>
  <c r="A320" i="2"/>
  <c r="B319" i="2"/>
  <c r="N313" i="5" l="1"/>
  <c r="P313" i="5" s="1"/>
  <c r="Q313" i="5" s="1"/>
  <c r="R313" i="5" s="1"/>
  <c r="E315" i="5"/>
  <c r="M314" i="5"/>
  <c r="O314" i="5" s="1"/>
  <c r="A321" i="2"/>
  <c r="B320" i="2"/>
  <c r="E316" i="5" l="1"/>
  <c r="M315" i="5"/>
  <c r="O315" i="5" s="1"/>
  <c r="N314" i="5"/>
  <c r="P314" i="5" s="1"/>
  <c r="Q314" i="5" s="1"/>
  <c r="R314" i="5" s="1"/>
  <c r="A322" i="2"/>
  <c r="B321" i="2"/>
  <c r="N315" i="5" l="1"/>
  <c r="P315" i="5" s="1"/>
  <c r="Q315" i="5" s="1"/>
  <c r="R315" i="5" s="1"/>
  <c r="E317" i="5"/>
  <c r="M316" i="5"/>
  <c r="O316" i="5" s="1"/>
  <c r="A323" i="2"/>
  <c r="B322" i="2"/>
  <c r="E318" i="5" l="1"/>
  <c r="M317" i="5"/>
  <c r="O317" i="5" s="1"/>
  <c r="N316" i="5"/>
  <c r="P316" i="5" s="1"/>
  <c r="Q316" i="5" s="1"/>
  <c r="R316" i="5" s="1"/>
  <c r="A324" i="2"/>
  <c r="B323" i="2"/>
  <c r="N317" i="5" l="1"/>
  <c r="P317" i="5" s="1"/>
  <c r="Q317" i="5" s="1"/>
  <c r="R317" i="5" s="1"/>
  <c r="M318" i="5"/>
  <c r="O318" i="5" s="1"/>
  <c r="E319" i="5"/>
  <c r="A325" i="2"/>
  <c r="B324" i="2"/>
  <c r="E320" i="5" l="1"/>
  <c r="M319" i="5"/>
  <c r="O319" i="5" s="1"/>
  <c r="N318" i="5"/>
  <c r="P318" i="5" s="1"/>
  <c r="Q318" i="5" s="1"/>
  <c r="R318" i="5" s="1"/>
  <c r="A326" i="2"/>
  <c r="B325" i="2"/>
  <c r="N319" i="5" l="1"/>
  <c r="P319" i="5" s="1"/>
  <c r="Q319" i="5" s="1"/>
  <c r="R319" i="5" s="1"/>
  <c r="M320" i="5"/>
  <c r="O320" i="5" s="1"/>
  <c r="E321" i="5"/>
  <c r="A327" i="2"/>
  <c r="B326" i="2"/>
  <c r="E322" i="5" l="1"/>
  <c r="M321" i="5"/>
  <c r="O321" i="5" s="1"/>
  <c r="N320" i="5"/>
  <c r="P320" i="5" s="1"/>
  <c r="Q320" i="5" s="1"/>
  <c r="R320" i="5" s="1"/>
  <c r="A328" i="2"/>
  <c r="B327" i="2"/>
  <c r="N321" i="5" l="1"/>
  <c r="P321" i="5" s="1"/>
  <c r="Q321" i="5" s="1"/>
  <c r="R321" i="5" s="1"/>
  <c r="E323" i="5"/>
  <c r="M322" i="5"/>
  <c r="O322" i="5" s="1"/>
  <c r="A329" i="2"/>
  <c r="B328" i="2"/>
  <c r="E324" i="5" l="1"/>
  <c r="M323" i="5"/>
  <c r="O323" i="5" s="1"/>
  <c r="N322" i="5"/>
  <c r="P322" i="5" s="1"/>
  <c r="Q322" i="5" s="1"/>
  <c r="R322" i="5" s="1"/>
  <c r="A330" i="2"/>
  <c r="B329" i="2"/>
  <c r="N323" i="5" l="1"/>
  <c r="P323" i="5" s="1"/>
  <c r="Q323" i="5" s="1"/>
  <c r="R323" i="5" s="1"/>
  <c r="E325" i="5"/>
  <c r="M324" i="5"/>
  <c r="O324" i="5" s="1"/>
  <c r="A331" i="2"/>
  <c r="B330" i="2"/>
  <c r="E326" i="5" l="1"/>
  <c r="M325" i="5"/>
  <c r="O325" i="5" s="1"/>
  <c r="N324" i="5"/>
  <c r="P324" i="5" s="1"/>
  <c r="Q324" i="5" s="1"/>
  <c r="R324" i="5" s="1"/>
  <c r="A332" i="2"/>
  <c r="B331" i="2"/>
  <c r="N325" i="5" l="1"/>
  <c r="P325" i="5" s="1"/>
  <c r="Q325" i="5" s="1"/>
  <c r="R325" i="5" s="1"/>
  <c r="M326" i="5"/>
  <c r="O326" i="5" s="1"/>
  <c r="E327" i="5"/>
  <c r="A333" i="2"/>
  <c r="B332" i="2"/>
  <c r="E328" i="5" l="1"/>
  <c r="M327" i="5"/>
  <c r="O327" i="5" s="1"/>
  <c r="N326" i="5"/>
  <c r="P326" i="5" s="1"/>
  <c r="Q326" i="5" s="1"/>
  <c r="R326" i="5" s="1"/>
  <c r="A334" i="2"/>
  <c r="B333" i="2"/>
  <c r="N327" i="5" l="1"/>
  <c r="P327" i="5" s="1"/>
  <c r="Q327" i="5" s="1"/>
  <c r="R327" i="5" s="1"/>
  <c r="E329" i="5"/>
  <c r="M328" i="5"/>
  <c r="O328" i="5" s="1"/>
  <c r="A335" i="2"/>
  <c r="B334" i="2"/>
  <c r="E330" i="5" l="1"/>
  <c r="M329" i="5"/>
  <c r="O329" i="5" s="1"/>
  <c r="N328" i="5"/>
  <c r="P328" i="5" s="1"/>
  <c r="Q328" i="5" s="1"/>
  <c r="R328" i="5" s="1"/>
  <c r="A336" i="2"/>
  <c r="B335" i="2"/>
  <c r="N329" i="5" l="1"/>
  <c r="P329" i="5" s="1"/>
  <c r="Q329" i="5" s="1"/>
  <c r="R329" i="5" s="1"/>
  <c r="M330" i="5"/>
  <c r="O330" i="5" s="1"/>
  <c r="E331" i="5"/>
  <c r="A337" i="2"/>
  <c r="B336" i="2"/>
  <c r="E332" i="5" l="1"/>
  <c r="M331" i="5"/>
  <c r="O331" i="5" s="1"/>
  <c r="N330" i="5"/>
  <c r="P330" i="5" s="1"/>
  <c r="Q330" i="5" s="1"/>
  <c r="R330" i="5" s="1"/>
  <c r="A338" i="2"/>
  <c r="B337" i="2"/>
  <c r="N331" i="5" l="1"/>
  <c r="P331" i="5" s="1"/>
  <c r="Q331" i="5" s="1"/>
  <c r="R331" i="5" s="1"/>
  <c r="E333" i="5"/>
  <c r="M332" i="5"/>
  <c r="O332" i="5" s="1"/>
  <c r="A339" i="2"/>
  <c r="B338" i="2"/>
  <c r="E334" i="5" l="1"/>
  <c r="M333" i="5"/>
  <c r="O333" i="5" s="1"/>
  <c r="N332" i="5"/>
  <c r="P332" i="5" s="1"/>
  <c r="Q332" i="5" s="1"/>
  <c r="R332" i="5" s="1"/>
  <c r="A340" i="2"/>
  <c r="B339" i="2"/>
  <c r="N333" i="5" l="1"/>
  <c r="P333" i="5" s="1"/>
  <c r="Q333" i="5" s="1"/>
  <c r="R333" i="5" s="1"/>
  <c r="E335" i="5"/>
  <c r="M334" i="5"/>
  <c r="O334" i="5" s="1"/>
  <c r="A341" i="2"/>
  <c r="B340" i="2"/>
  <c r="E336" i="5" l="1"/>
  <c r="M335" i="5"/>
  <c r="O335" i="5" s="1"/>
  <c r="N335" i="5"/>
  <c r="P335" i="5" s="1"/>
  <c r="N334" i="5"/>
  <c r="P334" i="5" s="1"/>
  <c r="Q334" i="5" s="1"/>
  <c r="R334" i="5" s="1"/>
  <c r="A342" i="2"/>
  <c r="B341" i="2"/>
  <c r="Q335" i="5" l="1"/>
  <c r="R335" i="5" s="1"/>
  <c r="M336" i="5"/>
  <c r="O336" i="5" s="1"/>
  <c r="E337" i="5"/>
  <c r="A343" i="2"/>
  <c r="B342" i="2"/>
  <c r="E338" i="5" l="1"/>
  <c r="M337" i="5"/>
  <c r="O337" i="5" s="1"/>
  <c r="N336" i="5"/>
  <c r="P336" i="5" s="1"/>
  <c r="Q336" i="5" s="1"/>
  <c r="R336" i="5" s="1"/>
  <c r="A344" i="2"/>
  <c r="B343" i="2"/>
  <c r="N337" i="5" l="1"/>
  <c r="P337" i="5" s="1"/>
  <c r="Q337" i="5" s="1"/>
  <c r="R337" i="5" s="1"/>
  <c r="E339" i="5"/>
  <c r="M338" i="5"/>
  <c r="O338" i="5" s="1"/>
  <c r="A345" i="2"/>
  <c r="B344" i="2"/>
  <c r="E340" i="5" l="1"/>
  <c r="M339" i="5"/>
  <c r="O339" i="5" s="1"/>
  <c r="N338" i="5"/>
  <c r="P338" i="5" s="1"/>
  <c r="Q338" i="5" s="1"/>
  <c r="R338" i="5" s="1"/>
  <c r="A346" i="2"/>
  <c r="B345" i="2"/>
  <c r="N339" i="5" l="1"/>
  <c r="P339" i="5" s="1"/>
  <c r="Q339" i="5" s="1"/>
  <c r="R339" i="5" s="1"/>
  <c r="E341" i="5"/>
  <c r="M340" i="5"/>
  <c r="O340" i="5" s="1"/>
  <c r="A347" i="2"/>
  <c r="B346" i="2"/>
  <c r="E342" i="5" l="1"/>
  <c r="M341" i="5"/>
  <c r="O341" i="5" s="1"/>
  <c r="N340" i="5"/>
  <c r="P340" i="5" s="1"/>
  <c r="Q340" i="5" s="1"/>
  <c r="R340" i="5" s="1"/>
  <c r="A348" i="2"/>
  <c r="B347" i="2"/>
  <c r="N341" i="5" l="1"/>
  <c r="P341" i="5" s="1"/>
  <c r="Q341" i="5" s="1"/>
  <c r="R341" i="5" s="1"/>
  <c r="M342" i="5"/>
  <c r="O342" i="5" s="1"/>
  <c r="E343" i="5"/>
  <c r="A349" i="2"/>
  <c r="B348" i="2"/>
  <c r="E344" i="5" l="1"/>
  <c r="M343" i="5"/>
  <c r="O343" i="5" s="1"/>
  <c r="N342" i="5"/>
  <c r="P342" i="5" s="1"/>
  <c r="Q342" i="5" s="1"/>
  <c r="R342" i="5" s="1"/>
  <c r="A350" i="2"/>
  <c r="B349" i="2"/>
  <c r="N343" i="5" l="1"/>
  <c r="P343" i="5" s="1"/>
  <c r="Q343" i="5" s="1"/>
  <c r="R343" i="5" s="1"/>
  <c r="E345" i="5"/>
  <c r="M344" i="5"/>
  <c r="O344" i="5" s="1"/>
  <c r="A351" i="2"/>
  <c r="B350" i="2"/>
  <c r="E346" i="5" l="1"/>
  <c r="M345" i="5"/>
  <c r="O345" i="5" s="1"/>
  <c r="N344" i="5"/>
  <c r="P344" i="5" s="1"/>
  <c r="Q344" i="5" s="1"/>
  <c r="R344" i="5" s="1"/>
  <c r="A352" i="2"/>
  <c r="B351" i="2"/>
  <c r="N345" i="5" l="1"/>
  <c r="P345" i="5" s="1"/>
  <c r="Q345" i="5" s="1"/>
  <c r="R345" i="5" s="1"/>
  <c r="M346" i="5"/>
  <c r="O346" i="5" s="1"/>
  <c r="E347" i="5"/>
  <c r="A353" i="2"/>
  <c r="B352" i="2"/>
  <c r="E348" i="5" l="1"/>
  <c r="M347" i="5"/>
  <c r="O347" i="5" s="1"/>
  <c r="N346" i="5"/>
  <c r="P346" i="5" s="1"/>
  <c r="Q346" i="5" s="1"/>
  <c r="R346" i="5" s="1"/>
  <c r="A354" i="2"/>
  <c r="B353" i="2"/>
  <c r="N347" i="5" l="1"/>
  <c r="P347" i="5" s="1"/>
  <c r="Q347" i="5" s="1"/>
  <c r="R347" i="5" s="1"/>
  <c r="E349" i="5"/>
  <c r="M348" i="5"/>
  <c r="O348" i="5" s="1"/>
  <c r="A355" i="2"/>
  <c r="B354" i="2"/>
  <c r="E350" i="5" l="1"/>
  <c r="M349" i="5"/>
  <c r="O349" i="5" s="1"/>
  <c r="N348" i="5"/>
  <c r="P348" i="5" s="1"/>
  <c r="Q348" i="5" s="1"/>
  <c r="R348" i="5" s="1"/>
  <c r="A356" i="2"/>
  <c r="B355" i="2"/>
  <c r="N349" i="5" l="1"/>
  <c r="P349" i="5" s="1"/>
  <c r="Q349" i="5" s="1"/>
  <c r="R349" i="5" s="1"/>
  <c r="E351" i="5"/>
  <c r="M350" i="5"/>
  <c r="O350" i="5" s="1"/>
  <c r="A357" i="2"/>
  <c r="B356" i="2"/>
  <c r="E352" i="5" l="1"/>
  <c r="M351" i="5"/>
  <c r="O351" i="5" s="1"/>
  <c r="N351" i="5"/>
  <c r="P351" i="5" s="1"/>
  <c r="N350" i="5"/>
  <c r="P350" i="5" s="1"/>
  <c r="Q350" i="5" s="1"/>
  <c r="R350" i="5" s="1"/>
  <c r="A358" i="2"/>
  <c r="B357" i="2"/>
  <c r="Q351" i="5" l="1"/>
  <c r="R351" i="5" s="1"/>
  <c r="M352" i="5"/>
  <c r="O352" i="5" s="1"/>
  <c r="E353" i="5"/>
  <c r="A359" i="2"/>
  <c r="B358" i="2"/>
  <c r="E354" i="5" l="1"/>
  <c r="M353" i="5"/>
  <c r="O353" i="5" s="1"/>
  <c r="N352" i="5"/>
  <c r="P352" i="5" s="1"/>
  <c r="Q352" i="5" s="1"/>
  <c r="R352" i="5" s="1"/>
  <c r="A360" i="2"/>
  <c r="B359" i="2"/>
  <c r="N353" i="5" l="1"/>
  <c r="P353" i="5" s="1"/>
  <c r="Q353" i="5" s="1"/>
  <c r="R353" i="5" s="1"/>
  <c r="E355" i="5"/>
  <c r="M354" i="5"/>
  <c r="O354" i="5" s="1"/>
  <c r="A361" i="2"/>
  <c r="B360" i="2"/>
  <c r="E356" i="5" l="1"/>
  <c r="M355" i="5"/>
  <c r="O355" i="5" s="1"/>
  <c r="N354" i="5"/>
  <c r="P354" i="5" s="1"/>
  <c r="Q354" i="5" s="1"/>
  <c r="R354" i="5" s="1"/>
  <c r="A362" i="2"/>
  <c r="B361" i="2"/>
  <c r="N355" i="5" l="1"/>
  <c r="P355" i="5" s="1"/>
  <c r="Q355" i="5" s="1"/>
  <c r="R355" i="5" s="1"/>
  <c r="E357" i="5"/>
  <c r="M356" i="5"/>
  <c r="O356" i="5" s="1"/>
  <c r="A363" i="2"/>
  <c r="B362" i="2"/>
  <c r="E358" i="5" l="1"/>
  <c r="M357" i="5"/>
  <c r="O357" i="5" s="1"/>
  <c r="N356" i="5"/>
  <c r="P356" i="5" s="1"/>
  <c r="Q356" i="5" s="1"/>
  <c r="R356" i="5" s="1"/>
  <c r="A364" i="2"/>
  <c r="B363" i="2"/>
  <c r="N357" i="5" l="1"/>
  <c r="P357" i="5" s="1"/>
  <c r="Q357" i="5" s="1"/>
  <c r="R357" i="5" s="1"/>
  <c r="M358" i="5"/>
  <c r="O358" i="5" s="1"/>
  <c r="E359" i="5"/>
  <c r="A365" i="2"/>
  <c r="B364" i="2"/>
  <c r="E360" i="5" l="1"/>
  <c r="M359" i="5"/>
  <c r="O359" i="5" s="1"/>
  <c r="N358" i="5"/>
  <c r="P358" i="5" s="1"/>
  <c r="Q358" i="5" s="1"/>
  <c r="R358" i="5" s="1"/>
  <c r="A366" i="2"/>
  <c r="B365" i="2"/>
  <c r="N359" i="5" l="1"/>
  <c r="P359" i="5" s="1"/>
  <c r="Q359" i="5" s="1"/>
  <c r="R359" i="5" s="1"/>
  <c r="E361" i="5"/>
  <c r="M360" i="5"/>
  <c r="O360" i="5" s="1"/>
  <c r="A367" i="2"/>
  <c r="B366" i="2"/>
  <c r="E362" i="5" l="1"/>
  <c r="M361" i="5"/>
  <c r="O361" i="5" s="1"/>
  <c r="N360" i="5"/>
  <c r="P360" i="5" s="1"/>
  <c r="Q360" i="5" s="1"/>
  <c r="R360" i="5" s="1"/>
  <c r="A368" i="2"/>
  <c r="B367" i="2"/>
  <c r="N361" i="5" l="1"/>
  <c r="P361" i="5" s="1"/>
  <c r="Q361" i="5" s="1"/>
  <c r="R361" i="5" s="1"/>
  <c r="E363" i="5"/>
  <c r="M362" i="5"/>
  <c r="O362" i="5" s="1"/>
  <c r="A369" i="2"/>
  <c r="B368" i="2"/>
  <c r="E364" i="5" l="1"/>
  <c r="M363" i="5"/>
  <c r="O363" i="5" s="1"/>
  <c r="N362" i="5"/>
  <c r="P362" i="5" s="1"/>
  <c r="Q362" i="5" s="1"/>
  <c r="R362" i="5" s="1"/>
  <c r="A370" i="2"/>
  <c r="B369" i="2"/>
  <c r="N363" i="5" l="1"/>
  <c r="P363" i="5" s="1"/>
  <c r="Q363" i="5" s="1"/>
  <c r="R363" i="5" s="1"/>
  <c r="E365" i="5"/>
  <c r="M364" i="5"/>
  <c r="O364" i="5" s="1"/>
  <c r="A371" i="2"/>
  <c r="B370" i="2"/>
  <c r="E366" i="5" l="1"/>
  <c r="M365" i="5"/>
  <c r="O365" i="5" s="1"/>
  <c r="N364" i="5"/>
  <c r="P364" i="5" s="1"/>
  <c r="Q364" i="5" s="1"/>
  <c r="R364" i="5" s="1"/>
  <c r="A372" i="2"/>
  <c r="B371" i="2"/>
  <c r="N365" i="5" l="1"/>
  <c r="P365" i="5" s="1"/>
  <c r="Q365" i="5" s="1"/>
  <c r="R365" i="5" s="1"/>
  <c r="E367" i="5"/>
  <c r="M366" i="5"/>
  <c r="O366" i="5" s="1"/>
  <c r="A373" i="2"/>
  <c r="B372" i="2"/>
  <c r="E368" i="5" l="1"/>
  <c r="M367" i="5"/>
  <c r="O367" i="5" s="1"/>
  <c r="N366" i="5"/>
  <c r="P366" i="5" s="1"/>
  <c r="Q366" i="5" s="1"/>
  <c r="R366" i="5" s="1"/>
  <c r="A374" i="2"/>
  <c r="B373" i="2"/>
  <c r="N367" i="5" l="1"/>
  <c r="P367" i="5" s="1"/>
  <c r="Q367" i="5" s="1"/>
  <c r="R367" i="5" s="1"/>
  <c r="E369" i="5"/>
  <c r="M368" i="5"/>
  <c r="O368" i="5" s="1"/>
  <c r="A375" i="2"/>
  <c r="B374" i="2"/>
  <c r="E370" i="5" l="1"/>
  <c r="M369" i="5"/>
  <c r="O369" i="5" s="1"/>
  <c r="N368" i="5"/>
  <c r="P368" i="5" s="1"/>
  <c r="Q368" i="5" s="1"/>
  <c r="R368" i="5" s="1"/>
  <c r="A376" i="2"/>
  <c r="B375" i="2"/>
  <c r="N369" i="5" l="1"/>
  <c r="P369" i="5" s="1"/>
  <c r="Q369" i="5" s="1"/>
  <c r="R369" i="5" s="1"/>
  <c r="E371" i="5"/>
  <c r="M370" i="5"/>
  <c r="O370" i="5" s="1"/>
  <c r="A377" i="2"/>
  <c r="B376" i="2"/>
  <c r="M371" i="5" l="1"/>
  <c r="O371" i="5" s="1"/>
  <c r="E372" i="5"/>
  <c r="N371" i="5"/>
  <c r="P371" i="5" s="1"/>
  <c r="N370" i="5"/>
  <c r="P370" i="5" s="1"/>
  <c r="Q370" i="5" s="1"/>
  <c r="R370" i="5" s="1"/>
  <c r="A378" i="2"/>
  <c r="B377" i="2"/>
  <c r="E373" i="5" l="1"/>
  <c r="M372" i="5"/>
  <c r="O372" i="5" s="1"/>
  <c r="Q371" i="5"/>
  <c r="R371" i="5" s="1"/>
  <c r="A379" i="2"/>
  <c r="B378" i="2"/>
  <c r="N372" i="5" l="1"/>
  <c r="P372" i="5" s="1"/>
  <c r="Q372" i="5" s="1"/>
  <c r="R372" i="5" s="1"/>
  <c r="E374" i="5"/>
  <c r="M373" i="5"/>
  <c r="O373" i="5" s="1"/>
  <c r="A380" i="2"/>
  <c r="B379" i="2"/>
  <c r="M374" i="5" l="1"/>
  <c r="O374" i="5" s="1"/>
  <c r="E375" i="5"/>
  <c r="N373" i="5"/>
  <c r="P373" i="5" s="1"/>
  <c r="Q373" i="5" s="1"/>
  <c r="R373" i="5" s="1"/>
  <c r="A381" i="2"/>
  <c r="B380" i="2"/>
  <c r="E376" i="5" l="1"/>
  <c r="M375" i="5"/>
  <c r="O375" i="5" s="1"/>
  <c r="N374" i="5"/>
  <c r="P374" i="5" s="1"/>
  <c r="Q374" i="5" s="1"/>
  <c r="R374" i="5" s="1"/>
  <c r="A382" i="2"/>
  <c r="B381" i="2"/>
  <c r="N375" i="5" l="1"/>
  <c r="P375" i="5" s="1"/>
  <c r="Q375" i="5" s="1"/>
  <c r="R375" i="5" s="1"/>
  <c r="M376" i="5"/>
  <c r="O376" i="5" s="1"/>
  <c r="E377" i="5"/>
  <c r="N376" i="5"/>
  <c r="P376" i="5" s="1"/>
  <c r="A383" i="2"/>
  <c r="B382" i="2"/>
  <c r="N377" i="5" l="1"/>
  <c r="P377" i="5" s="1"/>
  <c r="M377" i="5"/>
  <c r="O377" i="5" s="1"/>
  <c r="E378" i="5"/>
  <c r="Q376" i="5"/>
  <c r="R376" i="5" s="1"/>
  <c r="A384" i="2"/>
  <c r="B383" i="2"/>
  <c r="E379" i="5" l="1"/>
  <c r="M378" i="5"/>
  <c r="O378" i="5" s="1"/>
  <c r="Q377" i="5"/>
  <c r="R377" i="5" s="1"/>
  <c r="A385" i="2"/>
  <c r="B384" i="2"/>
  <c r="N378" i="5" l="1"/>
  <c r="P378" i="5" s="1"/>
  <c r="Q378" i="5" s="1"/>
  <c r="R378" i="5" s="1"/>
  <c r="M379" i="5"/>
  <c r="O379" i="5" s="1"/>
  <c r="E380" i="5"/>
  <c r="N379" i="5"/>
  <c r="P379" i="5" s="1"/>
  <c r="A386" i="2"/>
  <c r="B385" i="2"/>
  <c r="N380" i="5" l="1"/>
  <c r="P380" i="5" s="1"/>
  <c r="M380" i="5"/>
  <c r="O380" i="5" s="1"/>
  <c r="E381" i="5"/>
  <c r="Q379" i="5"/>
  <c r="R379" i="5" s="1"/>
  <c r="A387" i="2"/>
  <c r="B386" i="2"/>
  <c r="E382" i="5" l="1"/>
  <c r="M381" i="5"/>
  <c r="O381" i="5" s="1"/>
  <c r="Q380" i="5"/>
  <c r="R380" i="5" s="1"/>
  <c r="A388" i="2"/>
  <c r="B387" i="2"/>
  <c r="Q381" i="5" l="1"/>
  <c r="R381" i="5" s="1"/>
  <c r="N381" i="5"/>
  <c r="P381" i="5" s="1"/>
  <c r="M382" i="5"/>
  <c r="O382" i="5" s="1"/>
  <c r="E383" i="5"/>
  <c r="A389" i="2"/>
  <c r="B388" i="2"/>
  <c r="M383" i="5" l="1"/>
  <c r="O383" i="5" s="1"/>
  <c r="E384" i="5"/>
  <c r="N382" i="5"/>
  <c r="P382" i="5" s="1"/>
  <c r="Q382" i="5" s="1"/>
  <c r="R382" i="5" s="1"/>
  <c r="A390" i="2"/>
  <c r="B389" i="2"/>
  <c r="Q383" i="5" l="1"/>
  <c r="R383" i="5" s="1"/>
  <c r="M384" i="5"/>
  <c r="O384" i="5" s="1"/>
  <c r="E385" i="5"/>
  <c r="N384" i="5"/>
  <c r="P384" i="5" s="1"/>
  <c r="N383" i="5"/>
  <c r="P383" i="5" s="1"/>
  <c r="A391" i="2"/>
  <c r="B390" i="2"/>
  <c r="E386" i="5" l="1"/>
  <c r="M385" i="5"/>
  <c r="O385" i="5" s="1"/>
  <c r="Q384" i="5"/>
  <c r="R384" i="5" s="1"/>
  <c r="A392" i="2"/>
  <c r="B391" i="2"/>
  <c r="N385" i="5" l="1"/>
  <c r="P385" i="5" s="1"/>
  <c r="Q385" i="5" s="1"/>
  <c r="R385" i="5" s="1"/>
  <c r="N386" i="5"/>
  <c r="P386" i="5" s="1"/>
  <c r="E387" i="5"/>
  <c r="M386" i="5"/>
  <c r="O386" i="5" s="1"/>
  <c r="A393" i="2"/>
  <c r="B392" i="2"/>
  <c r="Q386" i="5" l="1"/>
  <c r="R386" i="5" s="1"/>
  <c r="M387" i="5"/>
  <c r="O387" i="5" s="1"/>
  <c r="E388" i="5"/>
  <c r="A394" i="2"/>
  <c r="B393" i="2"/>
  <c r="E389" i="5" l="1"/>
  <c r="M388" i="5"/>
  <c r="O388" i="5" s="1"/>
  <c r="N387" i="5"/>
  <c r="P387" i="5" s="1"/>
  <c r="Q387" i="5" s="1"/>
  <c r="R387" i="5" s="1"/>
  <c r="A395" i="2"/>
  <c r="B394" i="2"/>
  <c r="Q388" i="5" l="1"/>
  <c r="R388" i="5" s="1"/>
  <c r="N388" i="5"/>
  <c r="P388" i="5" s="1"/>
  <c r="E390" i="5"/>
  <c r="M389" i="5"/>
  <c r="O389" i="5" s="1"/>
  <c r="A396" i="2"/>
  <c r="B395" i="2"/>
  <c r="M390" i="5" l="1"/>
  <c r="O390" i="5" s="1"/>
  <c r="E391" i="5"/>
  <c r="N389" i="5"/>
  <c r="P389" i="5" s="1"/>
  <c r="Q389" i="5" s="1"/>
  <c r="R389" i="5" s="1"/>
  <c r="A397" i="2"/>
  <c r="B396" i="2"/>
  <c r="N390" i="5" l="1"/>
  <c r="P390" i="5" s="1"/>
  <c r="Q390" i="5" s="1"/>
  <c r="R390" i="5" s="1"/>
  <c r="E392" i="5"/>
  <c r="M391" i="5"/>
  <c r="O391" i="5" s="1"/>
  <c r="A398" i="2"/>
  <c r="B397" i="2"/>
  <c r="Q391" i="5" l="1"/>
  <c r="R391" i="5" s="1"/>
  <c r="N391" i="5"/>
  <c r="P391" i="5" s="1"/>
  <c r="M392" i="5"/>
  <c r="O392" i="5" s="1"/>
  <c r="E393" i="5"/>
  <c r="A399" i="2"/>
  <c r="B398" i="2"/>
  <c r="N393" i="5" l="1"/>
  <c r="P393" i="5" s="1"/>
  <c r="M393" i="5"/>
  <c r="O393" i="5" s="1"/>
  <c r="E394" i="5"/>
  <c r="N392" i="5"/>
  <c r="P392" i="5" s="1"/>
  <c r="Q392" i="5" s="1"/>
  <c r="R392" i="5" s="1"/>
  <c r="A400" i="2"/>
  <c r="B399" i="2"/>
  <c r="E395" i="5" l="1"/>
  <c r="M394" i="5"/>
  <c r="O394" i="5" s="1"/>
  <c r="Q393" i="5"/>
  <c r="R393" i="5" s="1"/>
  <c r="A401" i="2"/>
  <c r="B400" i="2"/>
  <c r="E396" i="5" l="1"/>
  <c r="M395" i="5"/>
  <c r="O395" i="5" s="1"/>
  <c r="N394" i="5"/>
  <c r="P394" i="5" s="1"/>
  <c r="Q394" i="5" s="1"/>
  <c r="R394" i="5" s="1"/>
  <c r="A402" i="2"/>
  <c r="B401" i="2"/>
  <c r="E397" i="5" l="1"/>
  <c r="M396" i="5"/>
  <c r="O396" i="5" s="1"/>
  <c r="N395" i="5"/>
  <c r="P395" i="5" s="1"/>
  <c r="Q395" i="5" s="1"/>
  <c r="R395" i="5" s="1"/>
  <c r="A403" i="2"/>
  <c r="B402" i="2"/>
  <c r="E398" i="5" l="1"/>
  <c r="M397" i="5"/>
  <c r="O397" i="5" s="1"/>
  <c r="N396" i="5"/>
  <c r="P396" i="5" s="1"/>
  <c r="Q396" i="5" s="1"/>
  <c r="R396" i="5" s="1"/>
  <c r="A404" i="2"/>
  <c r="B403" i="2"/>
  <c r="E399" i="5" l="1"/>
  <c r="M398" i="5"/>
  <c r="O398" i="5" s="1"/>
  <c r="N397" i="5"/>
  <c r="P397" i="5" s="1"/>
  <c r="Q397" i="5" s="1"/>
  <c r="R397" i="5" s="1"/>
  <c r="A405" i="2"/>
  <c r="B404" i="2"/>
  <c r="N398" i="5" l="1"/>
  <c r="P398" i="5" s="1"/>
  <c r="Q398" i="5" s="1"/>
  <c r="R398" i="5" s="1"/>
  <c r="E400" i="5"/>
  <c r="M399" i="5"/>
  <c r="O399" i="5" s="1"/>
  <c r="A406" i="2"/>
  <c r="B405" i="2"/>
  <c r="N399" i="5" l="1"/>
  <c r="P399" i="5" s="1"/>
  <c r="Q399" i="5"/>
  <c r="R399" i="5" s="1"/>
  <c r="E401" i="5"/>
  <c r="M400" i="5"/>
  <c r="O400" i="5" s="1"/>
  <c r="A407" i="2"/>
  <c r="B406" i="2"/>
  <c r="N400" i="5" l="1"/>
  <c r="P400" i="5" s="1"/>
  <c r="Q400" i="5" s="1"/>
  <c r="R400" i="5" s="1"/>
  <c r="E402" i="5"/>
  <c r="M401" i="5"/>
  <c r="O401" i="5" s="1"/>
  <c r="A408" i="2"/>
  <c r="B407" i="2"/>
  <c r="E403" i="5" l="1"/>
  <c r="M402" i="5"/>
  <c r="O402" i="5" s="1"/>
  <c r="N401" i="5"/>
  <c r="P401" i="5" s="1"/>
  <c r="Q401" i="5" s="1"/>
  <c r="R401" i="5" s="1"/>
  <c r="A409" i="2"/>
  <c r="B408" i="2"/>
  <c r="N402" i="5" l="1"/>
  <c r="P402" i="5" s="1"/>
  <c r="Q402" i="5" s="1"/>
  <c r="R402" i="5" s="1"/>
  <c r="E404" i="5"/>
  <c r="M403" i="5"/>
  <c r="O403" i="5" s="1"/>
  <c r="A410" i="2"/>
  <c r="B409" i="2"/>
  <c r="E405" i="5" l="1"/>
  <c r="M404" i="5"/>
  <c r="O404" i="5" s="1"/>
  <c r="N403" i="5"/>
  <c r="P403" i="5" s="1"/>
  <c r="Q403" i="5" s="1"/>
  <c r="R403" i="5" s="1"/>
  <c r="A411" i="2"/>
  <c r="B410" i="2"/>
  <c r="N404" i="5" l="1"/>
  <c r="P404" i="5" s="1"/>
  <c r="Q404" i="5" s="1"/>
  <c r="R404" i="5" s="1"/>
  <c r="E406" i="5"/>
  <c r="M405" i="5"/>
  <c r="O405" i="5" s="1"/>
  <c r="A412" i="2"/>
  <c r="B411" i="2"/>
  <c r="E407" i="5" l="1"/>
  <c r="M406" i="5"/>
  <c r="O406" i="5" s="1"/>
  <c r="N405" i="5"/>
  <c r="P405" i="5" s="1"/>
  <c r="Q405" i="5" s="1"/>
  <c r="R405" i="5" s="1"/>
  <c r="A413" i="2"/>
  <c r="B412" i="2"/>
  <c r="N406" i="5" l="1"/>
  <c r="P406" i="5" s="1"/>
  <c r="Q406" i="5" s="1"/>
  <c r="R406" i="5" s="1"/>
  <c r="E408" i="5"/>
  <c r="M407" i="5"/>
  <c r="O407" i="5" s="1"/>
  <c r="A414" i="2"/>
  <c r="B413" i="2"/>
  <c r="E409" i="5" l="1"/>
  <c r="M408" i="5"/>
  <c r="O408" i="5" s="1"/>
  <c r="N407" i="5"/>
  <c r="P407" i="5" s="1"/>
  <c r="Q407" i="5" s="1"/>
  <c r="R407" i="5" s="1"/>
  <c r="A415" i="2"/>
  <c r="B414" i="2"/>
  <c r="N408" i="5" l="1"/>
  <c r="P408" i="5" s="1"/>
  <c r="Q408" i="5" s="1"/>
  <c r="R408" i="5" s="1"/>
  <c r="E410" i="5"/>
  <c r="M409" i="5"/>
  <c r="O409" i="5" s="1"/>
  <c r="A416" i="2"/>
  <c r="B415" i="2"/>
  <c r="E411" i="5" l="1"/>
  <c r="M410" i="5"/>
  <c r="O410" i="5" s="1"/>
  <c r="N409" i="5"/>
  <c r="P409" i="5" s="1"/>
  <c r="Q409" i="5" s="1"/>
  <c r="R409" i="5" s="1"/>
  <c r="A417" i="2"/>
  <c r="B416" i="2"/>
  <c r="N410" i="5" l="1"/>
  <c r="P410" i="5" s="1"/>
  <c r="Q410" i="5" s="1"/>
  <c r="R410" i="5" s="1"/>
  <c r="E412" i="5"/>
  <c r="M411" i="5"/>
  <c r="O411" i="5" s="1"/>
  <c r="A418" i="2"/>
  <c r="B417" i="2"/>
  <c r="E413" i="5" l="1"/>
  <c r="M412" i="5"/>
  <c r="O412" i="5" s="1"/>
  <c r="N411" i="5"/>
  <c r="P411" i="5" s="1"/>
  <c r="Q411" i="5" s="1"/>
  <c r="R411" i="5" s="1"/>
  <c r="A419" i="2"/>
  <c r="B418" i="2"/>
  <c r="N412" i="5" l="1"/>
  <c r="P412" i="5" s="1"/>
  <c r="Q412" i="5" s="1"/>
  <c r="R412" i="5" s="1"/>
  <c r="E414" i="5"/>
  <c r="M413" i="5"/>
  <c r="O413" i="5" s="1"/>
  <c r="A420" i="2"/>
  <c r="B419" i="2"/>
  <c r="E415" i="5" l="1"/>
  <c r="M414" i="5"/>
  <c r="O414" i="5" s="1"/>
  <c r="N414" i="5"/>
  <c r="P414" i="5" s="1"/>
  <c r="N413" i="5"/>
  <c r="P413" i="5" s="1"/>
  <c r="Q413" i="5" s="1"/>
  <c r="R413" i="5" s="1"/>
  <c r="A421" i="2"/>
  <c r="B420" i="2"/>
  <c r="Q414" i="5" l="1"/>
  <c r="R414" i="5" s="1"/>
  <c r="E416" i="5"/>
  <c r="M415" i="5"/>
  <c r="O415" i="5" s="1"/>
  <c r="A422" i="2"/>
  <c r="B421" i="2"/>
  <c r="E417" i="5" l="1"/>
  <c r="M416" i="5"/>
  <c r="O416" i="5" s="1"/>
  <c r="N415" i="5"/>
  <c r="P415" i="5" s="1"/>
  <c r="Q415" i="5" s="1"/>
  <c r="R415" i="5" s="1"/>
  <c r="A423" i="2"/>
  <c r="B422" i="2"/>
  <c r="N416" i="5" l="1"/>
  <c r="P416" i="5" s="1"/>
  <c r="Q416" i="5" s="1"/>
  <c r="R416" i="5" s="1"/>
  <c r="E418" i="5"/>
  <c r="M417" i="5"/>
  <c r="O417" i="5" s="1"/>
  <c r="A424" i="2"/>
  <c r="B423" i="2"/>
  <c r="E419" i="5" l="1"/>
  <c r="M418" i="5"/>
  <c r="O418" i="5" s="1"/>
  <c r="N417" i="5"/>
  <c r="P417" i="5" s="1"/>
  <c r="Q417" i="5" s="1"/>
  <c r="R417" i="5" s="1"/>
  <c r="A425" i="2"/>
  <c r="B424" i="2"/>
  <c r="N418" i="5" l="1"/>
  <c r="P418" i="5" s="1"/>
  <c r="Q418" i="5" s="1"/>
  <c r="R418" i="5" s="1"/>
  <c r="M419" i="5"/>
  <c r="O419" i="5" s="1"/>
  <c r="E420" i="5"/>
  <c r="A426" i="2"/>
  <c r="B425" i="2"/>
  <c r="E421" i="5" l="1"/>
  <c r="M420" i="5"/>
  <c r="O420" i="5" s="1"/>
  <c r="N419" i="5"/>
  <c r="P419" i="5" s="1"/>
  <c r="Q419" i="5" s="1"/>
  <c r="R419" i="5" s="1"/>
  <c r="A427" i="2"/>
  <c r="B426" i="2"/>
  <c r="N420" i="5" l="1"/>
  <c r="P420" i="5" s="1"/>
  <c r="Q420" i="5" s="1"/>
  <c r="R420" i="5" s="1"/>
  <c r="M421" i="5"/>
  <c r="O421" i="5" s="1"/>
  <c r="E422" i="5"/>
  <c r="A428" i="2"/>
  <c r="B427" i="2"/>
  <c r="E423" i="5" l="1"/>
  <c r="M422" i="5"/>
  <c r="O422" i="5" s="1"/>
  <c r="N422" i="5"/>
  <c r="P422" i="5" s="1"/>
  <c r="N421" i="5"/>
  <c r="P421" i="5" s="1"/>
  <c r="Q421" i="5" s="1"/>
  <c r="R421" i="5" s="1"/>
  <c r="A429" i="2"/>
  <c r="B428" i="2"/>
  <c r="Q422" i="5" l="1"/>
  <c r="R422" i="5" s="1"/>
  <c r="M423" i="5"/>
  <c r="O423" i="5" s="1"/>
  <c r="E424" i="5"/>
  <c r="A430" i="2"/>
  <c r="B429" i="2"/>
  <c r="E425" i="5" l="1"/>
  <c r="M424" i="5"/>
  <c r="O424" i="5" s="1"/>
  <c r="N423" i="5"/>
  <c r="P423" i="5" s="1"/>
  <c r="Q423" i="5" s="1"/>
  <c r="R423" i="5" s="1"/>
  <c r="A431" i="2"/>
  <c r="B430" i="2"/>
  <c r="N424" i="5" l="1"/>
  <c r="P424" i="5" s="1"/>
  <c r="Q424" i="5" s="1"/>
  <c r="R424" i="5" s="1"/>
  <c r="M425" i="5"/>
  <c r="O425" i="5" s="1"/>
  <c r="E426" i="5"/>
  <c r="A432" i="2"/>
  <c r="B431" i="2"/>
  <c r="E427" i="5" l="1"/>
  <c r="M426" i="5"/>
  <c r="O426" i="5" s="1"/>
  <c r="N425" i="5"/>
  <c r="P425" i="5" s="1"/>
  <c r="Q425" i="5" s="1"/>
  <c r="R425" i="5" s="1"/>
  <c r="A433" i="2"/>
  <c r="B432" i="2"/>
  <c r="N426" i="5" l="1"/>
  <c r="P426" i="5" s="1"/>
  <c r="Q426" i="5" s="1"/>
  <c r="R426" i="5" s="1"/>
  <c r="M427" i="5"/>
  <c r="O427" i="5" s="1"/>
  <c r="E428" i="5"/>
  <c r="A434" i="2"/>
  <c r="B433" i="2"/>
  <c r="E429" i="5" l="1"/>
  <c r="M428" i="5"/>
  <c r="O428" i="5" s="1"/>
  <c r="N427" i="5"/>
  <c r="P427" i="5" s="1"/>
  <c r="Q427" i="5" s="1"/>
  <c r="R427" i="5" s="1"/>
  <c r="A435" i="2"/>
  <c r="B434" i="2"/>
  <c r="N428" i="5" l="1"/>
  <c r="P428" i="5" s="1"/>
  <c r="Q428" i="5" s="1"/>
  <c r="R428" i="5" s="1"/>
  <c r="M429" i="5"/>
  <c r="O429" i="5" s="1"/>
  <c r="E430" i="5"/>
  <c r="A436" i="2"/>
  <c r="B435" i="2"/>
  <c r="E431" i="5" l="1"/>
  <c r="M430" i="5"/>
  <c r="O430" i="5" s="1"/>
  <c r="N429" i="5"/>
  <c r="P429" i="5" s="1"/>
  <c r="Q429" i="5" s="1"/>
  <c r="R429" i="5" s="1"/>
  <c r="A437" i="2"/>
  <c r="B436" i="2"/>
  <c r="N430" i="5" l="1"/>
  <c r="P430" i="5" s="1"/>
  <c r="Q430" i="5" s="1"/>
  <c r="R430" i="5" s="1"/>
  <c r="M431" i="5"/>
  <c r="O431" i="5" s="1"/>
  <c r="E432" i="5"/>
  <c r="A438" i="2"/>
  <c r="B437" i="2"/>
  <c r="E433" i="5" l="1"/>
  <c r="M432" i="5"/>
  <c r="O432" i="5" s="1"/>
  <c r="N431" i="5"/>
  <c r="P431" i="5" s="1"/>
  <c r="Q431" i="5" s="1"/>
  <c r="R431" i="5" s="1"/>
  <c r="A439" i="2"/>
  <c r="B438" i="2"/>
  <c r="N432" i="5" l="1"/>
  <c r="P432" i="5" s="1"/>
  <c r="Q432" i="5" s="1"/>
  <c r="R432" i="5" s="1"/>
  <c r="M433" i="5"/>
  <c r="O433" i="5" s="1"/>
  <c r="E434" i="5"/>
  <c r="A440" i="2"/>
  <c r="B439" i="2"/>
  <c r="E435" i="5" l="1"/>
  <c r="M434" i="5"/>
  <c r="O434" i="5" s="1"/>
  <c r="N433" i="5"/>
  <c r="P433" i="5" s="1"/>
  <c r="Q433" i="5" s="1"/>
  <c r="R433" i="5" s="1"/>
  <c r="A441" i="2"/>
  <c r="B440" i="2"/>
  <c r="N434" i="5" l="1"/>
  <c r="P434" i="5" s="1"/>
  <c r="Q434" i="5" s="1"/>
  <c r="R434" i="5" s="1"/>
  <c r="M435" i="5"/>
  <c r="O435" i="5" s="1"/>
  <c r="E436" i="5"/>
  <c r="A442" i="2"/>
  <c r="B441" i="2"/>
  <c r="E437" i="5" l="1"/>
  <c r="M436" i="5"/>
  <c r="O436" i="5" s="1"/>
  <c r="N435" i="5"/>
  <c r="P435" i="5" s="1"/>
  <c r="Q435" i="5" s="1"/>
  <c r="R435" i="5" s="1"/>
  <c r="A443" i="2"/>
  <c r="B442" i="2"/>
  <c r="N436" i="5" l="1"/>
  <c r="P436" i="5" s="1"/>
  <c r="Q436" i="5" s="1"/>
  <c r="R436" i="5" s="1"/>
  <c r="M437" i="5"/>
  <c r="O437" i="5" s="1"/>
  <c r="E438" i="5"/>
  <c r="A444" i="2"/>
  <c r="B443" i="2"/>
  <c r="E439" i="5" l="1"/>
  <c r="M438" i="5"/>
  <c r="O438" i="5" s="1"/>
  <c r="N437" i="5"/>
  <c r="P437" i="5" s="1"/>
  <c r="Q437" i="5" s="1"/>
  <c r="R437" i="5" s="1"/>
  <c r="A445" i="2"/>
  <c r="B444" i="2"/>
  <c r="N438" i="5" l="1"/>
  <c r="P438" i="5" s="1"/>
  <c r="Q438" i="5" s="1"/>
  <c r="R438" i="5" s="1"/>
  <c r="M439" i="5"/>
  <c r="O439" i="5" s="1"/>
  <c r="E440" i="5"/>
  <c r="A446" i="2"/>
  <c r="B445" i="2"/>
  <c r="E441" i="5" l="1"/>
  <c r="M440" i="5"/>
  <c r="O440" i="5" s="1"/>
  <c r="Q439" i="5"/>
  <c r="R439" i="5" s="1"/>
  <c r="N439" i="5"/>
  <c r="P439" i="5" s="1"/>
  <c r="A447" i="2"/>
  <c r="B446" i="2"/>
  <c r="N440" i="5" l="1"/>
  <c r="P440" i="5" s="1"/>
  <c r="Q440" i="5" s="1"/>
  <c r="R440" i="5" s="1"/>
  <c r="M441" i="5"/>
  <c r="O441" i="5" s="1"/>
  <c r="E442" i="5"/>
  <c r="A448" i="2"/>
  <c r="B447" i="2"/>
  <c r="E443" i="5" l="1"/>
  <c r="M442" i="5"/>
  <c r="O442" i="5" s="1"/>
  <c r="N441" i="5"/>
  <c r="P441" i="5" s="1"/>
  <c r="Q441" i="5" s="1"/>
  <c r="R441" i="5" s="1"/>
  <c r="A449" i="2"/>
  <c r="B448" i="2"/>
  <c r="N442" i="5" l="1"/>
  <c r="P442" i="5" s="1"/>
  <c r="Q442" i="5" s="1"/>
  <c r="R442" i="5" s="1"/>
  <c r="M443" i="5"/>
  <c r="O443" i="5" s="1"/>
  <c r="E444" i="5"/>
  <c r="A450" i="2"/>
  <c r="B449" i="2"/>
  <c r="E445" i="5" l="1"/>
  <c r="M444" i="5"/>
  <c r="O444" i="5" s="1"/>
  <c r="N443" i="5"/>
  <c r="P443" i="5" s="1"/>
  <c r="Q443" i="5" s="1"/>
  <c r="R443" i="5" s="1"/>
  <c r="A451" i="2"/>
  <c r="B450" i="2"/>
  <c r="N444" i="5" l="1"/>
  <c r="P444" i="5" s="1"/>
  <c r="Q444" i="5" s="1"/>
  <c r="R444" i="5" s="1"/>
  <c r="M445" i="5"/>
  <c r="O445" i="5" s="1"/>
  <c r="E446" i="5"/>
  <c r="A452" i="2"/>
  <c r="B451" i="2"/>
  <c r="M446" i="5" l="1"/>
  <c r="O446" i="5" s="1"/>
  <c r="E447" i="5"/>
  <c r="N446" i="5"/>
  <c r="P446" i="5" s="1"/>
  <c r="N445" i="5"/>
  <c r="P445" i="5" s="1"/>
  <c r="Q445" i="5" s="1"/>
  <c r="R445" i="5" s="1"/>
  <c r="A453" i="2"/>
  <c r="B452" i="2"/>
  <c r="E448" i="5" l="1"/>
  <c r="M447" i="5"/>
  <c r="O447" i="5" s="1"/>
  <c r="Q446" i="5"/>
  <c r="R446" i="5" s="1"/>
  <c r="A454" i="2"/>
  <c r="B453" i="2"/>
  <c r="N447" i="5" l="1"/>
  <c r="P447" i="5" s="1"/>
  <c r="Q447" i="5" s="1"/>
  <c r="R447" i="5" s="1"/>
  <c r="M448" i="5"/>
  <c r="O448" i="5" s="1"/>
  <c r="E449" i="5"/>
  <c r="A455" i="2"/>
  <c r="B454" i="2"/>
  <c r="M449" i="5" l="1"/>
  <c r="O449" i="5" s="1"/>
  <c r="E450" i="5"/>
  <c r="N448" i="5"/>
  <c r="P448" i="5" s="1"/>
  <c r="Q448" i="5" s="1"/>
  <c r="R448" i="5" s="1"/>
  <c r="A456" i="2"/>
  <c r="B455" i="2"/>
  <c r="E451" i="5" l="1"/>
  <c r="M450" i="5"/>
  <c r="O450" i="5" s="1"/>
  <c r="N449" i="5"/>
  <c r="P449" i="5" s="1"/>
  <c r="Q449" i="5" s="1"/>
  <c r="R449" i="5" s="1"/>
  <c r="A457" i="2"/>
  <c r="B456" i="2"/>
  <c r="Q450" i="5" l="1"/>
  <c r="R450" i="5" s="1"/>
  <c r="N450" i="5"/>
  <c r="P450" i="5" s="1"/>
  <c r="E452" i="5"/>
  <c r="M451" i="5"/>
  <c r="O451" i="5" s="1"/>
  <c r="A458" i="2"/>
  <c r="B457" i="2"/>
  <c r="Q451" i="5" l="1"/>
  <c r="R451" i="5" s="1"/>
  <c r="M452" i="5"/>
  <c r="O452" i="5" s="1"/>
  <c r="E453" i="5"/>
  <c r="N451" i="5"/>
  <c r="P451" i="5" s="1"/>
  <c r="A459" i="2"/>
  <c r="B458" i="2"/>
  <c r="E454" i="5" l="1"/>
  <c r="M453" i="5"/>
  <c r="O453" i="5" s="1"/>
  <c r="N452" i="5"/>
  <c r="P452" i="5" s="1"/>
  <c r="Q452" i="5" s="1"/>
  <c r="R452" i="5" s="1"/>
  <c r="A460" i="2"/>
  <c r="B459" i="2"/>
  <c r="M454" i="5" l="1"/>
  <c r="O454" i="5" s="1"/>
  <c r="E455" i="5"/>
  <c r="N453" i="5"/>
  <c r="P453" i="5" s="1"/>
  <c r="Q453" i="5" s="1"/>
  <c r="R453" i="5" s="1"/>
  <c r="A461" i="2"/>
  <c r="B460" i="2"/>
  <c r="M455" i="5" l="1"/>
  <c r="O455" i="5" s="1"/>
  <c r="E456" i="5"/>
  <c r="N454" i="5"/>
  <c r="P454" i="5" s="1"/>
  <c r="Q454" i="5" s="1"/>
  <c r="R454" i="5" s="1"/>
  <c r="A462" i="2"/>
  <c r="B461" i="2"/>
  <c r="E457" i="5" l="1"/>
  <c r="M456" i="5"/>
  <c r="O456" i="5" s="1"/>
  <c r="N455" i="5"/>
  <c r="P455" i="5" s="1"/>
  <c r="Q455" i="5" s="1"/>
  <c r="R455" i="5" s="1"/>
  <c r="A463" i="2"/>
  <c r="B462" i="2"/>
  <c r="N456" i="5" l="1"/>
  <c r="P456" i="5" s="1"/>
  <c r="Q456" i="5" s="1"/>
  <c r="R456" i="5" s="1"/>
  <c r="M457" i="5"/>
  <c r="O457" i="5" s="1"/>
  <c r="E458" i="5"/>
  <c r="A464" i="2"/>
  <c r="B463" i="2"/>
  <c r="M458" i="5" l="1"/>
  <c r="O458" i="5" s="1"/>
  <c r="E459" i="5"/>
  <c r="N457" i="5"/>
  <c r="P457" i="5" s="1"/>
  <c r="Q457" i="5" s="1"/>
  <c r="R457" i="5" s="1"/>
  <c r="A465" i="2"/>
  <c r="B464" i="2"/>
  <c r="M459" i="5" l="1"/>
  <c r="O459" i="5" s="1"/>
  <c r="E460" i="5"/>
  <c r="N459" i="5"/>
  <c r="P459" i="5" s="1"/>
  <c r="N458" i="5"/>
  <c r="P458" i="5" s="1"/>
  <c r="Q458" i="5" s="1"/>
  <c r="R458" i="5" s="1"/>
  <c r="A466" i="2"/>
  <c r="B465" i="2"/>
  <c r="E461" i="5" l="1"/>
  <c r="M460" i="5"/>
  <c r="O460" i="5" s="1"/>
  <c r="Q459" i="5"/>
  <c r="R459" i="5" s="1"/>
  <c r="A467" i="2"/>
  <c r="B466" i="2"/>
  <c r="N460" i="5" l="1"/>
  <c r="P460" i="5" s="1"/>
  <c r="Q460" i="5" s="1"/>
  <c r="R460" i="5" s="1"/>
  <c r="M461" i="5"/>
  <c r="O461" i="5" s="1"/>
  <c r="E462" i="5"/>
  <c r="A468" i="2"/>
  <c r="B467" i="2"/>
  <c r="M462" i="5" l="1"/>
  <c r="O462" i="5" s="1"/>
  <c r="E463" i="5"/>
  <c r="N462" i="5"/>
  <c r="P462" i="5" s="1"/>
  <c r="N461" i="5"/>
  <c r="P461" i="5" s="1"/>
  <c r="Q461" i="5" s="1"/>
  <c r="R461" i="5" s="1"/>
  <c r="A469" i="2"/>
  <c r="B468" i="2"/>
  <c r="E464" i="5" l="1"/>
  <c r="M463" i="5"/>
  <c r="O463" i="5" s="1"/>
  <c r="Q462" i="5"/>
  <c r="R462" i="5" s="1"/>
  <c r="A470" i="2"/>
  <c r="B469" i="2"/>
  <c r="N463" i="5" l="1"/>
  <c r="P463" i="5" s="1"/>
  <c r="Q463" i="5" s="1"/>
  <c r="R463" i="5" s="1"/>
  <c r="E465" i="5"/>
  <c r="M464" i="5"/>
  <c r="O464" i="5" s="1"/>
  <c r="A471" i="2"/>
  <c r="B470" i="2"/>
  <c r="N464" i="5" l="1"/>
  <c r="P464" i="5" s="1"/>
  <c r="Q464" i="5" s="1"/>
  <c r="R464" i="5" s="1"/>
  <c r="E466" i="5"/>
  <c r="M465" i="5"/>
  <c r="O465" i="5" s="1"/>
  <c r="A472" i="2"/>
  <c r="B471" i="2"/>
  <c r="N465" i="5" l="1"/>
  <c r="P465" i="5" s="1"/>
  <c r="Q465" i="5" s="1"/>
  <c r="R465" i="5" s="1"/>
  <c r="M466" i="5"/>
  <c r="O466" i="5" s="1"/>
  <c r="E467" i="5"/>
  <c r="A473" i="2"/>
  <c r="B472" i="2"/>
  <c r="E468" i="5" l="1"/>
  <c r="M467" i="5"/>
  <c r="O467" i="5" s="1"/>
  <c r="N466" i="5"/>
  <c r="P466" i="5" s="1"/>
  <c r="Q466" i="5" s="1"/>
  <c r="R466" i="5" s="1"/>
  <c r="A474" i="2"/>
  <c r="B473" i="2"/>
  <c r="N467" i="5" l="1"/>
  <c r="P467" i="5" s="1"/>
  <c r="Q467" i="5" s="1"/>
  <c r="R467" i="5" s="1"/>
  <c r="M468" i="5"/>
  <c r="O468" i="5" s="1"/>
  <c r="E469" i="5"/>
  <c r="A475" i="2"/>
  <c r="B474" i="2"/>
  <c r="E470" i="5" l="1"/>
  <c r="M469" i="5"/>
  <c r="O469" i="5" s="1"/>
  <c r="N468" i="5"/>
  <c r="P468" i="5" s="1"/>
  <c r="Q468" i="5" s="1"/>
  <c r="R468" i="5" s="1"/>
  <c r="A476" i="2"/>
  <c r="B475" i="2"/>
  <c r="N469" i="5" l="1"/>
  <c r="P469" i="5" s="1"/>
  <c r="Q469" i="5" s="1"/>
  <c r="R469" i="5" s="1"/>
  <c r="E471" i="5"/>
  <c r="M470" i="5"/>
  <c r="O470" i="5" s="1"/>
  <c r="A477" i="2"/>
  <c r="B476" i="2"/>
  <c r="N470" i="5" l="1"/>
  <c r="P470" i="5" s="1"/>
  <c r="Q470" i="5" s="1"/>
  <c r="R470" i="5" s="1"/>
  <c r="E472" i="5"/>
  <c r="M471" i="5"/>
  <c r="O471" i="5" s="1"/>
  <c r="A478" i="2"/>
  <c r="B477" i="2"/>
  <c r="N471" i="5" l="1"/>
  <c r="P471" i="5" s="1"/>
  <c r="Q471" i="5" s="1"/>
  <c r="R471" i="5" s="1"/>
  <c r="E473" i="5"/>
  <c r="M472" i="5"/>
  <c r="O472" i="5" s="1"/>
  <c r="A479" i="2"/>
  <c r="B478" i="2"/>
  <c r="N472" i="5" l="1"/>
  <c r="P472" i="5" s="1"/>
  <c r="Q472" i="5" s="1"/>
  <c r="R472" i="5" s="1"/>
  <c r="E474" i="5"/>
  <c r="M473" i="5"/>
  <c r="O473" i="5" s="1"/>
  <c r="A480" i="2"/>
  <c r="B479" i="2"/>
  <c r="N473" i="5" l="1"/>
  <c r="P473" i="5" s="1"/>
  <c r="Q473" i="5" s="1"/>
  <c r="R473" i="5" s="1"/>
  <c r="M474" i="5"/>
  <c r="O474" i="5" s="1"/>
  <c r="E475" i="5"/>
  <c r="A481" i="2"/>
  <c r="B480" i="2"/>
  <c r="E476" i="5" l="1"/>
  <c r="M475" i="5"/>
  <c r="O475" i="5" s="1"/>
  <c r="N474" i="5"/>
  <c r="P474" i="5" s="1"/>
  <c r="Q474" i="5" s="1"/>
  <c r="R474" i="5" s="1"/>
  <c r="A482" i="2"/>
  <c r="B481" i="2"/>
  <c r="N475" i="5" l="1"/>
  <c r="P475" i="5" s="1"/>
  <c r="Q475" i="5" s="1"/>
  <c r="R475" i="5" s="1"/>
  <c r="M476" i="5"/>
  <c r="O476" i="5" s="1"/>
  <c r="E477" i="5"/>
  <c r="A483" i="2"/>
  <c r="B482" i="2"/>
  <c r="E478" i="5" l="1"/>
  <c r="M477" i="5"/>
  <c r="O477" i="5" s="1"/>
  <c r="N476" i="5"/>
  <c r="P476" i="5" s="1"/>
  <c r="Q476" i="5" s="1"/>
  <c r="R476" i="5" s="1"/>
  <c r="A484" i="2"/>
  <c r="B483" i="2"/>
  <c r="N477" i="5" l="1"/>
  <c r="P477" i="5" s="1"/>
  <c r="Q477" i="5" s="1"/>
  <c r="R477" i="5" s="1"/>
  <c r="E479" i="5"/>
  <c r="M478" i="5"/>
  <c r="O478" i="5" s="1"/>
  <c r="A485" i="2"/>
  <c r="B484" i="2"/>
  <c r="N478" i="5" l="1"/>
  <c r="P478" i="5" s="1"/>
  <c r="Q478" i="5" s="1"/>
  <c r="R478" i="5" s="1"/>
  <c r="E480" i="5"/>
  <c r="M479" i="5"/>
  <c r="O479" i="5" s="1"/>
  <c r="A486" i="2"/>
  <c r="B485" i="2"/>
  <c r="N479" i="5" l="1"/>
  <c r="P479" i="5" s="1"/>
  <c r="Q479" i="5" s="1"/>
  <c r="R479" i="5" s="1"/>
  <c r="E481" i="5"/>
  <c r="M480" i="5"/>
  <c r="O480" i="5" s="1"/>
  <c r="A487" i="2"/>
  <c r="B486" i="2"/>
  <c r="N480" i="5" l="1"/>
  <c r="P480" i="5" s="1"/>
  <c r="Q480" i="5" s="1"/>
  <c r="R480" i="5" s="1"/>
  <c r="E482" i="5"/>
  <c r="M481" i="5"/>
  <c r="O481" i="5" s="1"/>
  <c r="A488" i="2"/>
  <c r="B487" i="2"/>
  <c r="N481" i="5" l="1"/>
  <c r="P481" i="5" s="1"/>
  <c r="Q481" i="5" s="1"/>
  <c r="R481" i="5" s="1"/>
  <c r="M482" i="5"/>
  <c r="O482" i="5" s="1"/>
  <c r="E483" i="5"/>
  <c r="A489" i="2"/>
  <c r="B488" i="2"/>
  <c r="E484" i="5" l="1"/>
  <c r="M483" i="5"/>
  <c r="O483" i="5" s="1"/>
  <c r="N482" i="5"/>
  <c r="P482" i="5" s="1"/>
  <c r="Q482" i="5" s="1"/>
  <c r="R482" i="5" s="1"/>
  <c r="A490" i="2"/>
  <c r="B489" i="2"/>
  <c r="N483" i="5" l="1"/>
  <c r="P483" i="5" s="1"/>
  <c r="Q483" i="5" s="1"/>
  <c r="R483" i="5" s="1"/>
  <c r="M484" i="5"/>
  <c r="O484" i="5" s="1"/>
  <c r="E485" i="5"/>
  <c r="A491" i="2"/>
  <c r="B490" i="2"/>
  <c r="E486" i="5" l="1"/>
  <c r="M485" i="5"/>
  <c r="O485" i="5" s="1"/>
  <c r="N484" i="5"/>
  <c r="P484" i="5" s="1"/>
  <c r="Q484" i="5" s="1"/>
  <c r="R484" i="5" s="1"/>
  <c r="A492" i="2"/>
  <c r="B491" i="2"/>
  <c r="Q485" i="5" l="1"/>
  <c r="R485" i="5" s="1"/>
  <c r="N485" i="5"/>
  <c r="P485" i="5" s="1"/>
  <c r="E487" i="5"/>
  <c r="M486" i="5"/>
  <c r="O486" i="5" s="1"/>
  <c r="A493" i="2"/>
  <c r="B492" i="2"/>
  <c r="Q486" i="5" l="1"/>
  <c r="R486" i="5" s="1"/>
  <c r="N486" i="5"/>
  <c r="P486" i="5" s="1"/>
  <c r="E488" i="5"/>
  <c r="M487" i="5"/>
  <c r="O487" i="5" s="1"/>
  <c r="A494" i="2"/>
  <c r="B493" i="2"/>
  <c r="Q487" i="5" l="1"/>
  <c r="R487" i="5" s="1"/>
  <c r="N487" i="5"/>
  <c r="P487" i="5" s="1"/>
  <c r="E489" i="5"/>
  <c r="M488" i="5"/>
  <c r="O488" i="5" s="1"/>
  <c r="A495" i="2"/>
  <c r="B494" i="2"/>
  <c r="Q488" i="5" l="1"/>
  <c r="R488" i="5" s="1"/>
  <c r="E490" i="5"/>
  <c r="M489" i="5"/>
  <c r="O489" i="5" s="1"/>
  <c r="N488" i="5"/>
  <c r="P488" i="5" s="1"/>
  <c r="A496" i="2"/>
  <c r="B495" i="2"/>
  <c r="Q489" i="5" l="1"/>
  <c r="R489" i="5" s="1"/>
  <c r="N489" i="5"/>
  <c r="P489" i="5" s="1"/>
  <c r="E491" i="5"/>
  <c r="M490" i="5"/>
  <c r="O490" i="5" s="1"/>
  <c r="A497" i="2"/>
  <c r="B496" i="2"/>
  <c r="Q490" i="5" l="1"/>
  <c r="R490" i="5" s="1"/>
  <c r="E492" i="5"/>
  <c r="M491" i="5"/>
  <c r="O491" i="5" s="1"/>
  <c r="N490" i="5"/>
  <c r="P490" i="5" s="1"/>
  <c r="A498" i="2"/>
  <c r="B497" i="2"/>
  <c r="Q491" i="5" l="1"/>
  <c r="R491" i="5" s="1"/>
  <c r="N491" i="5"/>
  <c r="P491" i="5" s="1"/>
  <c r="E493" i="5"/>
  <c r="M492" i="5"/>
  <c r="O492" i="5" s="1"/>
  <c r="A499" i="2"/>
  <c r="B498" i="2"/>
  <c r="Q492" i="5" l="1"/>
  <c r="R492" i="5" s="1"/>
  <c r="E494" i="5"/>
  <c r="M493" i="5"/>
  <c r="O493" i="5" s="1"/>
  <c r="N492" i="5"/>
  <c r="P492" i="5" s="1"/>
  <c r="A500" i="2"/>
  <c r="B499" i="2"/>
  <c r="Q493" i="5" l="1"/>
  <c r="R493" i="5" s="1"/>
  <c r="N493" i="5"/>
  <c r="P493" i="5" s="1"/>
  <c r="E495" i="5"/>
  <c r="M494" i="5"/>
  <c r="O494" i="5" s="1"/>
  <c r="A501" i="2"/>
  <c r="B500" i="2"/>
  <c r="Q494" i="5" l="1"/>
  <c r="R494" i="5" s="1"/>
  <c r="E496" i="5"/>
  <c r="M495" i="5"/>
  <c r="O495" i="5" s="1"/>
  <c r="N494" i="5"/>
  <c r="P494" i="5" s="1"/>
  <c r="A502" i="2"/>
  <c r="B501" i="2"/>
  <c r="Q495" i="5" l="1"/>
  <c r="R495" i="5" s="1"/>
  <c r="N495" i="5"/>
  <c r="P495" i="5" s="1"/>
  <c r="E497" i="5"/>
  <c r="M496" i="5"/>
  <c r="O496" i="5" s="1"/>
  <c r="A503" i="2"/>
  <c r="B502" i="2"/>
  <c r="Q496" i="5" l="1"/>
  <c r="R496" i="5" s="1"/>
  <c r="E498" i="5"/>
  <c r="M497" i="5"/>
  <c r="O497" i="5" s="1"/>
  <c r="N496" i="5"/>
  <c r="P496" i="5" s="1"/>
  <c r="A504" i="2"/>
  <c r="B503" i="2"/>
  <c r="Q497" i="5" l="1"/>
  <c r="R497" i="5" s="1"/>
  <c r="N497" i="5"/>
  <c r="P497" i="5" s="1"/>
  <c r="E499" i="5"/>
  <c r="M498" i="5"/>
  <c r="O498" i="5" s="1"/>
  <c r="A505" i="2"/>
  <c r="B504" i="2"/>
  <c r="Q498" i="5" l="1"/>
  <c r="R498" i="5" s="1"/>
  <c r="E500" i="5"/>
  <c r="M499" i="5"/>
  <c r="O499" i="5" s="1"/>
  <c r="N498" i="5"/>
  <c r="P498" i="5" s="1"/>
  <c r="A506" i="2"/>
  <c r="B505" i="2"/>
  <c r="Q499" i="5" l="1"/>
  <c r="R499" i="5" s="1"/>
  <c r="N499" i="5"/>
  <c r="P499" i="5" s="1"/>
  <c r="E501" i="5"/>
  <c r="M500" i="5"/>
  <c r="O500" i="5" s="1"/>
  <c r="A507" i="2"/>
  <c r="B506" i="2"/>
  <c r="Q500" i="5" l="1"/>
  <c r="R500" i="5" s="1"/>
  <c r="E502" i="5"/>
  <c r="M501" i="5"/>
  <c r="O501" i="5" s="1"/>
  <c r="N500" i="5"/>
  <c r="P500" i="5" s="1"/>
  <c r="A508" i="2"/>
  <c r="B507" i="2"/>
  <c r="Q501" i="5" l="1"/>
  <c r="R501" i="5" s="1"/>
  <c r="N501" i="5"/>
  <c r="P501" i="5" s="1"/>
  <c r="E503" i="5"/>
  <c r="M502" i="5"/>
  <c r="O502" i="5" s="1"/>
  <c r="A509" i="2"/>
  <c r="B508" i="2"/>
  <c r="Q502" i="5" l="1"/>
  <c r="R502" i="5" s="1"/>
  <c r="E504" i="5"/>
  <c r="M503" i="5"/>
  <c r="O503" i="5" s="1"/>
  <c r="N502" i="5"/>
  <c r="P502" i="5" s="1"/>
  <c r="A510" i="2"/>
  <c r="B509" i="2"/>
  <c r="Q503" i="5" l="1"/>
  <c r="R503" i="5" s="1"/>
  <c r="N503" i="5"/>
  <c r="P503" i="5" s="1"/>
  <c r="E505" i="5"/>
  <c r="M504" i="5"/>
  <c r="O504" i="5" s="1"/>
  <c r="A511" i="2"/>
  <c r="B510" i="2"/>
  <c r="Q504" i="5" l="1"/>
  <c r="R504" i="5" s="1"/>
  <c r="E506" i="5"/>
  <c r="M505" i="5"/>
  <c r="O505" i="5" s="1"/>
  <c r="N504" i="5"/>
  <c r="P504" i="5" s="1"/>
  <c r="A512" i="2"/>
  <c r="B511" i="2"/>
  <c r="Q505" i="5" l="1"/>
  <c r="R505" i="5" s="1"/>
  <c r="N505" i="5"/>
  <c r="P505" i="5" s="1"/>
  <c r="M506" i="5"/>
  <c r="O506" i="5" s="1"/>
  <c r="E507" i="5"/>
  <c r="A513" i="2"/>
  <c r="B512" i="2"/>
  <c r="E508" i="5" l="1"/>
  <c r="M507" i="5"/>
  <c r="O507" i="5" s="1"/>
  <c r="N507" i="5"/>
  <c r="P507" i="5" s="1"/>
  <c r="N506" i="5"/>
  <c r="P506" i="5" s="1"/>
  <c r="Q506" i="5" s="1"/>
  <c r="R506" i="5" s="1"/>
  <c r="A514" i="2"/>
  <c r="B513" i="2"/>
  <c r="Q507" i="5" l="1"/>
  <c r="R507" i="5" s="1"/>
  <c r="M508" i="5"/>
  <c r="O508" i="5" s="1"/>
  <c r="E509" i="5"/>
  <c r="A515" i="2"/>
  <c r="B514" i="2"/>
  <c r="E510" i="5" l="1"/>
  <c r="M509" i="5"/>
  <c r="O509" i="5" s="1"/>
  <c r="N508" i="5"/>
  <c r="P508" i="5" s="1"/>
  <c r="Q508" i="5" s="1"/>
  <c r="R508" i="5" s="1"/>
  <c r="A516" i="2"/>
  <c r="B515" i="2"/>
  <c r="Q509" i="5" l="1"/>
  <c r="R509" i="5" s="1"/>
  <c r="N509" i="5"/>
  <c r="P509" i="5" s="1"/>
  <c r="M510" i="5"/>
  <c r="O510" i="5" s="1"/>
  <c r="E511" i="5"/>
  <c r="A517" i="2"/>
  <c r="B516" i="2"/>
  <c r="E512" i="5" l="1"/>
  <c r="M511" i="5"/>
  <c r="O511" i="5" s="1"/>
  <c r="N510" i="5"/>
  <c r="P510" i="5" s="1"/>
  <c r="Q510" i="5" s="1"/>
  <c r="R510" i="5" s="1"/>
  <c r="A518" i="2"/>
  <c r="B517" i="2"/>
  <c r="N511" i="5" l="1"/>
  <c r="P511" i="5" s="1"/>
  <c r="Q511" i="5" s="1"/>
  <c r="R511" i="5" s="1"/>
  <c r="M512" i="5"/>
  <c r="O512" i="5" s="1"/>
  <c r="E513" i="5"/>
  <c r="A519" i="2"/>
  <c r="B518" i="2"/>
  <c r="E514" i="5" l="1"/>
  <c r="M513" i="5"/>
  <c r="O513" i="5" s="1"/>
  <c r="N512" i="5"/>
  <c r="P512" i="5" s="1"/>
  <c r="Q512" i="5" s="1"/>
  <c r="R512" i="5" s="1"/>
  <c r="A520" i="2"/>
  <c r="B519" i="2"/>
  <c r="Q513" i="5" l="1"/>
  <c r="R513" i="5" s="1"/>
  <c r="N513" i="5"/>
  <c r="P513" i="5" s="1"/>
  <c r="M514" i="5"/>
  <c r="O514" i="5" s="1"/>
  <c r="E515" i="5"/>
  <c r="A521" i="2"/>
  <c r="B520" i="2"/>
  <c r="E516" i="5" l="1"/>
  <c r="M515" i="5"/>
  <c r="O515" i="5" s="1"/>
  <c r="N514" i="5"/>
  <c r="P514" i="5" s="1"/>
  <c r="Q514" i="5" s="1"/>
  <c r="R514" i="5" s="1"/>
  <c r="A522" i="2"/>
  <c r="B521" i="2"/>
  <c r="Q515" i="5" l="1"/>
  <c r="R515" i="5" s="1"/>
  <c r="N515" i="5"/>
  <c r="P515" i="5" s="1"/>
  <c r="M516" i="5"/>
  <c r="O516" i="5" s="1"/>
  <c r="E517" i="5"/>
  <c r="A523" i="2"/>
  <c r="B522" i="2"/>
  <c r="E518" i="5" l="1"/>
  <c r="M517" i="5"/>
  <c r="O517" i="5" s="1"/>
  <c r="N516" i="5"/>
  <c r="P516" i="5" s="1"/>
  <c r="Q516" i="5" s="1"/>
  <c r="R516" i="5" s="1"/>
  <c r="A524" i="2"/>
  <c r="B523" i="2"/>
  <c r="Q517" i="5" l="1"/>
  <c r="R517" i="5" s="1"/>
  <c r="N517" i="5"/>
  <c r="P517" i="5" s="1"/>
  <c r="M518" i="5"/>
  <c r="O518" i="5" s="1"/>
  <c r="E519" i="5"/>
  <c r="A525" i="2"/>
  <c r="B524" i="2"/>
  <c r="E520" i="5" l="1"/>
  <c r="M519" i="5"/>
  <c r="O519" i="5" s="1"/>
  <c r="N518" i="5"/>
  <c r="P518" i="5" s="1"/>
  <c r="Q518" i="5" s="1"/>
  <c r="R518" i="5" s="1"/>
  <c r="A526" i="2"/>
  <c r="B525" i="2"/>
  <c r="Q519" i="5" l="1"/>
  <c r="R519" i="5" s="1"/>
  <c r="N519" i="5"/>
  <c r="P519" i="5" s="1"/>
  <c r="M520" i="5"/>
  <c r="O520" i="5" s="1"/>
  <c r="E521" i="5"/>
  <c r="A527" i="2"/>
  <c r="B526" i="2"/>
  <c r="E522" i="5" l="1"/>
  <c r="M521" i="5"/>
  <c r="O521" i="5" s="1"/>
  <c r="N520" i="5"/>
  <c r="P520" i="5" s="1"/>
  <c r="Q520" i="5" s="1"/>
  <c r="R520" i="5" s="1"/>
  <c r="A528" i="2"/>
  <c r="B527" i="2"/>
  <c r="M522" i="5" l="1"/>
  <c r="O522" i="5" s="1"/>
  <c r="E523" i="5"/>
  <c r="N521" i="5"/>
  <c r="P521" i="5" s="1"/>
  <c r="Q521" i="5" s="1"/>
  <c r="R521" i="5" s="1"/>
  <c r="A529" i="2"/>
  <c r="B528" i="2"/>
  <c r="E524" i="5" l="1"/>
  <c r="M523" i="5"/>
  <c r="O523" i="5" s="1"/>
  <c r="N523" i="5"/>
  <c r="P523" i="5" s="1"/>
  <c r="N522" i="5"/>
  <c r="P522" i="5" s="1"/>
  <c r="Q522" i="5" s="1"/>
  <c r="R522" i="5" s="1"/>
  <c r="A530" i="2"/>
  <c r="B529" i="2"/>
  <c r="Q523" i="5" l="1"/>
  <c r="R523" i="5" s="1"/>
  <c r="M524" i="5"/>
  <c r="O524" i="5" s="1"/>
  <c r="E525" i="5"/>
  <c r="A531" i="2"/>
  <c r="B530" i="2"/>
  <c r="N524" i="5" l="1"/>
  <c r="P524" i="5" s="1"/>
  <c r="Q524" i="5" s="1"/>
  <c r="R524" i="5" s="1"/>
  <c r="E526" i="5"/>
  <c r="M525" i="5"/>
  <c r="O525" i="5" s="1"/>
  <c r="A532" i="2"/>
  <c r="B531" i="2"/>
  <c r="Q525" i="5" l="1"/>
  <c r="R525" i="5" s="1"/>
  <c r="N525" i="5"/>
  <c r="P525" i="5" s="1"/>
  <c r="M526" i="5"/>
  <c r="O526" i="5" s="1"/>
  <c r="E527" i="5"/>
  <c r="A533" i="2"/>
  <c r="B532" i="2"/>
  <c r="E528" i="5" l="1"/>
  <c r="M527" i="5"/>
  <c r="O527" i="5" s="1"/>
  <c r="N526" i="5"/>
  <c r="P526" i="5" s="1"/>
  <c r="Q526" i="5" s="1"/>
  <c r="R526" i="5" s="1"/>
  <c r="A534" i="2"/>
  <c r="B533" i="2"/>
  <c r="N527" i="5" l="1"/>
  <c r="P527" i="5" s="1"/>
  <c r="Q527" i="5" s="1"/>
  <c r="R527" i="5" s="1"/>
  <c r="M528" i="5"/>
  <c r="O528" i="5" s="1"/>
  <c r="E529" i="5"/>
  <c r="A535" i="2"/>
  <c r="B534" i="2"/>
  <c r="E530" i="5" l="1"/>
  <c r="M529" i="5"/>
  <c r="O529" i="5" s="1"/>
  <c r="N528" i="5"/>
  <c r="P528" i="5" s="1"/>
  <c r="Q528" i="5"/>
  <c r="R528" i="5" s="1"/>
  <c r="A536" i="2"/>
  <c r="B535" i="2"/>
  <c r="N530" i="5" l="1"/>
  <c r="P530" i="5" s="1"/>
  <c r="M530" i="5"/>
  <c r="O530" i="5" s="1"/>
  <c r="E531" i="5"/>
  <c r="N529" i="5"/>
  <c r="P529" i="5" s="1"/>
  <c r="Q529" i="5" s="1"/>
  <c r="R529" i="5" s="1"/>
  <c r="A537" i="2"/>
  <c r="B536" i="2"/>
  <c r="M531" i="5" l="1"/>
  <c r="O531" i="5" s="1"/>
  <c r="E532" i="5"/>
  <c r="Q530" i="5"/>
  <c r="R530" i="5" s="1"/>
  <c r="A538" i="2"/>
  <c r="B537" i="2"/>
  <c r="E533" i="5" l="1"/>
  <c r="M532" i="5"/>
  <c r="O532" i="5" s="1"/>
  <c r="N532" i="5"/>
  <c r="P532" i="5" s="1"/>
  <c r="N531" i="5"/>
  <c r="P531" i="5" s="1"/>
  <c r="Q531" i="5" s="1"/>
  <c r="R531" i="5" s="1"/>
  <c r="A539" i="2"/>
  <c r="B538" i="2"/>
  <c r="Q532" i="5" l="1"/>
  <c r="R532" i="5" s="1"/>
  <c r="M533" i="5"/>
  <c r="O533" i="5" s="1"/>
  <c r="E534" i="5"/>
  <c r="A540" i="2"/>
  <c r="B539" i="2"/>
  <c r="N534" i="5" l="1"/>
  <c r="P534" i="5" s="1"/>
  <c r="M534" i="5"/>
  <c r="O534" i="5" s="1"/>
  <c r="E535" i="5"/>
  <c r="N533" i="5"/>
  <c r="P533" i="5" s="1"/>
  <c r="Q533" i="5" s="1"/>
  <c r="R533" i="5" s="1"/>
  <c r="A541" i="2"/>
  <c r="B540" i="2"/>
  <c r="E536" i="5" l="1"/>
  <c r="M535" i="5"/>
  <c r="O535" i="5" s="1"/>
  <c r="N535" i="5"/>
  <c r="P535" i="5" s="1"/>
  <c r="Q534" i="5"/>
  <c r="R534" i="5" s="1"/>
  <c r="A542" i="2"/>
  <c r="B541" i="2"/>
  <c r="Q535" i="5" l="1"/>
  <c r="R535" i="5" s="1"/>
  <c r="E537" i="5"/>
  <c r="M536" i="5"/>
  <c r="O536" i="5" s="1"/>
  <c r="A543" i="2"/>
  <c r="B542" i="2"/>
  <c r="M537" i="5" l="1"/>
  <c r="O537" i="5" s="1"/>
  <c r="E538" i="5"/>
  <c r="N536" i="5"/>
  <c r="P536" i="5" s="1"/>
  <c r="Q536" i="5" s="1"/>
  <c r="R536" i="5" s="1"/>
  <c r="A544" i="2"/>
  <c r="B543" i="2"/>
  <c r="M538" i="5" l="1"/>
  <c r="O538" i="5" s="1"/>
  <c r="E539" i="5"/>
  <c r="N538" i="5"/>
  <c r="P538" i="5" s="1"/>
  <c r="N537" i="5"/>
  <c r="P537" i="5" s="1"/>
  <c r="Q537" i="5" s="1"/>
  <c r="R537" i="5" s="1"/>
  <c r="A545" i="2"/>
  <c r="B544" i="2"/>
  <c r="E540" i="5" l="1"/>
  <c r="M539" i="5"/>
  <c r="O539" i="5" s="1"/>
  <c r="Q538" i="5"/>
  <c r="R538" i="5" s="1"/>
  <c r="A546" i="2"/>
  <c r="B545" i="2"/>
  <c r="E541" i="5" l="1"/>
  <c r="M540" i="5"/>
  <c r="O540" i="5" s="1"/>
  <c r="N539" i="5"/>
  <c r="P539" i="5" s="1"/>
  <c r="Q539" i="5" s="1"/>
  <c r="R539" i="5" s="1"/>
  <c r="A547" i="2"/>
  <c r="B546" i="2"/>
  <c r="N540" i="5" l="1"/>
  <c r="P540" i="5" s="1"/>
  <c r="Q540" i="5" s="1"/>
  <c r="R540" i="5" s="1"/>
  <c r="M541" i="5"/>
  <c r="O541" i="5" s="1"/>
  <c r="E542" i="5"/>
  <c r="A548" i="2"/>
  <c r="B547" i="2"/>
  <c r="E543" i="5" l="1"/>
  <c r="M542" i="5"/>
  <c r="O542" i="5" s="1"/>
  <c r="N541" i="5"/>
  <c r="P541" i="5" s="1"/>
  <c r="Q541" i="5" s="1"/>
  <c r="R541" i="5" s="1"/>
  <c r="A549" i="2"/>
  <c r="B548" i="2"/>
  <c r="N542" i="5" l="1"/>
  <c r="P542" i="5" s="1"/>
  <c r="Q542" i="5" s="1"/>
  <c r="R542" i="5" s="1"/>
  <c r="M543" i="5"/>
  <c r="O543" i="5" s="1"/>
  <c r="E544" i="5"/>
  <c r="N543" i="5"/>
  <c r="P543" i="5" s="1"/>
  <c r="A550" i="2"/>
  <c r="B549" i="2"/>
  <c r="E545" i="5" l="1"/>
  <c r="M544" i="5"/>
  <c r="O544" i="5" s="1"/>
  <c r="N544" i="5"/>
  <c r="P544" i="5" s="1"/>
  <c r="Q543" i="5"/>
  <c r="R543" i="5" s="1"/>
  <c r="A551" i="2"/>
  <c r="B550" i="2"/>
  <c r="Q544" i="5" l="1"/>
  <c r="R544" i="5" s="1"/>
  <c r="E546" i="5"/>
  <c r="M545" i="5"/>
  <c r="O545" i="5" s="1"/>
  <c r="A552" i="2"/>
  <c r="B551" i="2"/>
  <c r="E547" i="5" l="1"/>
  <c r="M546" i="5"/>
  <c r="O546" i="5" s="1"/>
  <c r="N546" i="5"/>
  <c r="P546" i="5" s="1"/>
  <c r="N545" i="5"/>
  <c r="P545" i="5" s="1"/>
  <c r="Q545" i="5" s="1"/>
  <c r="R545" i="5" s="1"/>
  <c r="A553" i="2"/>
  <c r="B552" i="2"/>
  <c r="Q546" i="5" l="1"/>
  <c r="R546" i="5" s="1"/>
  <c r="E548" i="5"/>
  <c r="M547" i="5"/>
  <c r="O547" i="5" s="1"/>
  <c r="A554" i="2"/>
  <c r="B553" i="2"/>
  <c r="E549" i="5" l="1"/>
  <c r="M548" i="5"/>
  <c r="O548" i="5" s="1"/>
  <c r="N548" i="5"/>
  <c r="P548" i="5" s="1"/>
  <c r="N547" i="5"/>
  <c r="P547" i="5" s="1"/>
  <c r="Q547" i="5" s="1"/>
  <c r="R547" i="5" s="1"/>
  <c r="A555" i="2"/>
  <c r="B554" i="2"/>
  <c r="Q548" i="5" l="1"/>
  <c r="R548" i="5" s="1"/>
  <c r="E550" i="5"/>
  <c r="M549" i="5"/>
  <c r="O549" i="5" s="1"/>
  <c r="A556" i="2"/>
  <c r="B555" i="2"/>
  <c r="E551" i="5" l="1"/>
  <c r="M550" i="5"/>
  <c r="O550" i="5" s="1"/>
  <c r="N550" i="5"/>
  <c r="P550" i="5" s="1"/>
  <c r="N549" i="5"/>
  <c r="P549" i="5" s="1"/>
  <c r="Q549" i="5" s="1"/>
  <c r="R549" i="5" s="1"/>
  <c r="A557" i="2"/>
  <c r="B556" i="2"/>
  <c r="Q550" i="5" l="1"/>
  <c r="R550" i="5" s="1"/>
  <c r="E552" i="5"/>
  <c r="M551" i="5"/>
  <c r="O551" i="5" s="1"/>
  <c r="A558" i="2"/>
  <c r="B557" i="2"/>
  <c r="E553" i="5" l="1"/>
  <c r="M552" i="5"/>
  <c r="O552" i="5" s="1"/>
  <c r="N552" i="5"/>
  <c r="P552" i="5" s="1"/>
  <c r="N551" i="5"/>
  <c r="P551" i="5" s="1"/>
  <c r="Q551" i="5" s="1"/>
  <c r="R551" i="5" s="1"/>
  <c r="A559" i="2"/>
  <c r="B558" i="2"/>
  <c r="Q552" i="5" l="1"/>
  <c r="R552" i="5" s="1"/>
  <c r="E554" i="5"/>
  <c r="M553" i="5"/>
  <c r="O553" i="5" s="1"/>
  <c r="A560" i="2"/>
  <c r="B559" i="2"/>
  <c r="E555" i="5" l="1"/>
  <c r="M554" i="5"/>
  <c r="O554" i="5" s="1"/>
  <c r="N554" i="5"/>
  <c r="P554" i="5" s="1"/>
  <c r="N553" i="5"/>
  <c r="P553" i="5" s="1"/>
  <c r="Q553" i="5" s="1"/>
  <c r="R553" i="5" s="1"/>
  <c r="A561" i="2"/>
  <c r="B560" i="2"/>
  <c r="Q554" i="5" l="1"/>
  <c r="R554" i="5" s="1"/>
  <c r="E556" i="5"/>
  <c r="M555" i="5"/>
  <c r="O555" i="5" s="1"/>
  <c r="A562" i="2"/>
  <c r="B561" i="2"/>
  <c r="E557" i="5" l="1"/>
  <c r="M556" i="5"/>
  <c r="O556" i="5" s="1"/>
  <c r="N556" i="5"/>
  <c r="P556" i="5" s="1"/>
  <c r="N555" i="5"/>
  <c r="P555" i="5" s="1"/>
  <c r="Q555" i="5" s="1"/>
  <c r="R555" i="5" s="1"/>
  <c r="A563" i="2"/>
  <c r="B562" i="2"/>
  <c r="Q556" i="5" l="1"/>
  <c r="R556" i="5" s="1"/>
  <c r="E558" i="5"/>
  <c r="M557" i="5"/>
  <c r="O557" i="5" s="1"/>
  <c r="A564" i="2"/>
  <c r="B563" i="2"/>
  <c r="Q557" i="5" l="1"/>
  <c r="R557" i="5" s="1"/>
  <c r="E559" i="5"/>
  <c r="M558" i="5"/>
  <c r="O558" i="5" s="1"/>
  <c r="N558" i="5"/>
  <c r="P558" i="5" s="1"/>
  <c r="N557" i="5"/>
  <c r="P557" i="5" s="1"/>
  <c r="A565" i="2"/>
  <c r="B564" i="2"/>
  <c r="Q558" i="5" l="1"/>
  <c r="R558" i="5" s="1"/>
  <c r="E560" i="5"/>
  <c r="M559" i="5"/>
  <c r="O559" i="5" s="1"/>
  <c r="A566" i="2"/>
  <c r="B565" i="2"/>
  <c r="E561" i="5" l="1"/>
  <c r="M560" i="5"/>
  <c r="O560" i="5" s="1"/>
  <c r="N560" i="5"/>
  <c r="P560" i="5" s="1"/>
  <c r="N559" i="5"/>
  <c r="P559" i="5" s="1"/>
  <c r="Q559" i="5" s="1"/>
  <c r="R559" i="5" s="1"/>
  <c r="A567" i="2"/>
  <c r="B566" i="2"/>
  <c r="Q560" i="5" l="1"/>
  <c r="R560" i="5" s="1"/>
  <c r="E562" i="5"/>
  <c r="M561" i="5"/>
  <c r="O561" i="5" s="1"/>
  <c r="A568" i="2"/>
  <c r="B567" i="2"/>
  <c r="E563" i="5" l="1"/>
  <c r="M562" i="5"/>
  <c r="O562" i="5" s="1"/>
  <c r="N562" i="5"/>
  <c r="P562" i="5" s="1"/>
  <c r="N561" i="5"/>
  <c r="P561" i="5" s="1"/>
  <c r="Q561" i="5" s="1"/>
  <c r="R561" i="5" s="1"/>
  <c r="A569" i="2"/>
  <c r="B568" i="2"/>
  <c r="Q562" i="5" l="1"/>
  <c r="R562" i="5" s="1"/>
  <c r="E564" i="5"/>
  <c r="M563" i="5"/>
  <c r="O563" i="5" s="1"/>
  <c r="A570" i="2"/>
  <c r="B569" i="2"/>
  <c r="E565" i="5" l="1"/>
  <c r="M564" i="5"/>
  <c r="O564" i="5" s="1"/>
  <c r="N564" i="5"/>
  <c r="P564" i="5" s="1"/>
  <c r="N563" i="5"/>
  <c r="P563" i="5" s="1"/>
  <c r="Q563" i="5" s="1"/>
  <c r="R563" i="5" s="1"/>
  <c r="A571" i="2"/>
  <c r="B570" i="2"/>
  <c r="Q564" i="5" l="1"/>
  <c r="R564" i="5" s="1"/>
  <c r="E566" i="5"/>
  <c r="M565" i="5"/>
  <c r="O565" i="5" s="1"/>
  <c r="A572" i="2"/>
  <c r="B571" i="2"/>
  <c r="E567" i="5" l="1"/>
  <c r="M566" i="5"/>
  <c r="O566" i="5" s="1"/>
  <c r="N566" i="5"/>
  <c r="P566" i="5" s="1"/>
  <c r="N565" i="5"/>
  <c r="P565" i="5" s="1"/>
  <c r="Q565" i="5" s="1"/>
  <c r="R565" i="5" s="1"/>
  <c r="A573" i="2"/>
  <c r="B572" i="2"/>
  <c r="Q566" i="5" l="1"/>
  <c r="R566" i="5" s="1"/>
  <c r="E568" i="5"/>
  <c r="M567" i="5"/>
  <c r="O567" i="5" s="1"/>
  <c r="A574" i="2"/>
  <c r="B573" i="2"/>
  <c r="E569" i="5" l="1"/>
  <c r="M568" i="5"/>
  <c r="O568" i="5" s="1"/>
  <c r="N568" i="5"/>
  <c r="P568" i="5" s="1"/>
  <c r="N567" i="5"/>
  <c r="P567" i="5" s="1"/>
  <c r="Q567" i="5" s="1"/>
  <c r="R567" i="5" s="1"/>
  <c r="A575" i="2"/>
  <c r="B574" i="2"/>
  <c r="Q568" i="5" l="1"/>
  <c r="R568" i="5" s="1"/>
  <c r="E570" i="5"/>
  <c r="M569" i="5"/>
  <c r="O569" i="5" s="1"/>
  <c r="A576" i="2"/>
  <c r="B575" i="2"/>
  <c r="E571" i="5" l="1"/>
  <c r="M570" i="5"/>
  <c r="O570" i="5" s="1"/>
  <c r="N570" i="5"/>
  <c r="P570" i="5" s="1"/>
  <c r="N569" i="5"/>
  <c r="P569" i="5" s="1"/>
  <c r="Q569" i="5" s="1"/>
  <c r="R569" i="5" s="1"/>
  <c r="A577" i="2"/>
  <c r="B576" i="2"/>
  <c r="Q570" i="5" l="1"/>
  <c r="R570" i="5" s="1"/>
  <c r="E572" i="5"/>
  <c r="M571" i="5"/>
  <c r="O571" i="5" s="1"/>
  <c r="A578" i="2"/>
  <c r="B577" i="2"/>
  <c r="E573" i="5" l="1"/>
  <c r="M572" i="5"/>
  <c r="O572" i="5" s="1"/>
  <c r="N572" i="5"/>
  <c r="P572" i="5" s="1"/>
  <c r="N571" i="5"/>
  <c r="P571" i="5" s="1"/>
  <c r="Q571" i="5" s="1"/>
  <c r="R571" i="5" s="1"/>
  <c r="A579" i="2"/>
  <c r="B578" i="2"/>
  <c r="Q572" i="5" l="1"/>
  <c r="R572" i="5" s="1"/>
  <c r="E574" i="5"/>
  <c r="M573" i="5"/>
  <c r="O573" i="5" s="1"/>
  <c r="A580" i="2"/>
  <c r="B579" i="2"/>
  <c r="E575" i="5" l="1"/>
  <c r="M574" i="5"/>
  <c r="O574" i="5" s="1"/>
  <c r="N574" i="5"/>
  <c r="P574" i="5" s="1"/>
  <c r="N573" i="5"/>
  <c r="P573" i="5" s="1"/>
  <c r="Q573" i="5" s="1"/>
  <c r="R573" i="5" s="1"/>
  <c r="A581" i="2"/>
  <c r="B580" i="2"/>
  <c r="Q574" i="5" l="1"/>
  <c r="R574" i="5" s="1"/>
  <c r="E576" i="5"/>
  <c r="M575" i="5"/>
  <c r="O575" i="5" s="1"/>
  <c r="A582" i="2"/>
  <c r="B581" i="2"/>
  <c r="E577" i="5" l="1"/>
  <c r="M576" i="5"/>
  <c r="O576" i="5" s="1"/>
  <c r="N576" i="5"/>
  <c r="P576" i="5" s="1"/>
  <c r="N575" i="5"/>
  <c r="P575" i="5" s="1"/>
  <c r="Q575" i="5" s="1"/>
  <c r="R575" i="5" s="1"/>
  <c r="A583" i="2"/>
  <c r="B582" i="2"/>
  <c r="Q576" i="5" l="1"/>
  <c r="R576" i="5" s="1"/>
  <c r="E578" i="5"/>
  <c r="M577" i="5"/>
  <c r="O577" i="5" s="1"/>
  <c r="A584" i="2"/>
  <c r="B583" i="2"/>
  <c r="E579" i="5" l="1"/>
  <c r="M578" i="5"/>
  <c r="O578" i="5" s="1"/>
  <c r="N578" i="5"/>
  <c r="P578" i="5" s="1"/>
  <c r="N577" i="5"/>
  <c r="P577" i="5" s="1"/>
  <c r="Q577" i="5" s="1"/>
  <c r="R577" i="5" s="1"/>
  <c r="A585" i="2"/>
  <c r="B584" i="2"/>
  <c r="Q578" i="5" l="1"/>
  <c r="R578" i="5" s="1"/>
  <c r="E580" i="5"/>
  <c r="M579" i="5"/>
  <c r="O579" i="5" s="1"/>
  <c r="A586" i="2"/>
  <c r="B585" i="2"/>
  <c r="N579" i="5" l="1"/>
  <c r="P579" i="5" s="1"/>
  <c r="Q579" i="5"/>
  <c r="R579" i="5" s="1"/>
  <c r="E581" i="5"/>
  <c r="M580" i="5"/>
  <c r="O580" i="5" s="1"/>
  <c r="N580" i="5"/>
  <c r="P580" i="5" s="1"/>
  <c r="A587" i="2"/>
  <c r="B586" i="2"/>
  <c r="Q580" i="5" l="1"/>
  <c r="R580" i="5" s="1"/>
  <c r="E582" i="5"/>
  <c r="M581" i="5"/>
  <c r="O581" i="5" s="1"/>
  <c r="A588" i="2"/>
  <c r="B587" i="2"/>
  <c r="E583" i="5" l="1"/>
  <c r="M582" i="5"/>
  <c r="O582" i="5" s="1"/>
  <c r="N582" i="5"/>
  <c r="P582" i="5" s="1"/>
  <c r="N581" i="5"/>
  <c r="P581" i="5" s="1"/>
  <c r="Q581" i="5" s="1"/>
  <c r="R581" i="5" s="1"/>
  <c r="A589" i="2"/>
  <c r="B588" i="2"/>
  <c r="Q582" i="5" l="1"/>
  <c r="R582" i="5" s="1"/>
  <c r="E584" i="5"/>
  <c r="M583" i="5"/>
  <c r="O583" i="5" s="1"/>
  <c r="A590" i="2"/>
  <c r="B589" i="2"/>
  <c r="E585" i="5" l="1"/>
  <c r="M584" i="5"/>
  <c r="O584" i="5" s="1"/>
  <c r="N584" i="5"/>
  <c r="P584" i="5" s="1"/>
  <c r="N583" i="5"/>
  <c r="P583" i="5" s="1"/>
  <c r="Q583" i="5" s="1"/>
  <c r="R583" i="5" s="1"/>
  <c r="A591" i="2"/>
  <c r="B590" i="2"/>
  <c r="Q584" i="5" l="1"/>
  <c r="R584" i="5" s="1"/>
  <c r="E586" i="5"/>
  <c r="M585" i="5"/>
  <c r="O585" i="5" s="1"/>
  <c r="A592" i="2"/>
  <c r="B591" i="2"/>
  <c r="E587" i="5" l="1"/>
  <c r="M586" i="5"/>
  <c r="O586" i="5" s="1"/>
  <c r="N586" i="5"/>
  <c r="P586" i="5" s="1"/>
  <c r="N585" i="5"/>
  <c r="P585" i="5" s="1"/>
  <c r="Q585" i="5"/>
  <c r="R585" i="5" s="1"/>
  <c r="A593" i="2"/>
  <c r="B592" i="2"/>
  <c r="Q586" i="5" l="1"/>
  <c r="R586" i="5" s="1"/>
  <c r="E588" i="5"/>
  <c r="M587" i="5"/>
  <c r="O587" i="5" s="1"/>
  <c r="A594" i="2"/>
  <c r="B593" i="2"/>
  <c r="E589" i="5" l="1"/>
  <c r="M588" i="5"/>
  <c r="O588" i="5" s="1"/>
  <c r="N588" i="5"/>
  <c r="P588" i="5" s="1"/>
  <c r="N587" i="5"/>
  <c r="P587" i="5" s="1"/>
  <c r="Q587" i="5" s="1"/>
  <c r="R587" i="5" s="1"/>
  <c r="A595" i="2"/>
  <c r="B594" i="2"/>
  <c r="Q588" i="5" l="1"/>
  <c r="R588" i="5" s="1"/>
  <c r="E590" i="5"/>
  <c r="M589" i="5"/>
  <c r="O589" i="5" s="1"/>
  <c r="A596" i="2"/>
  <c r="B595" i="2"/>
  <c r="E591" i="5" l="1"/>
  <c r="M590" i="5"/>
  <c r="O590" i="5" s="1"/>
  <c r="N590" i="5"/>
  <c r="P590" i="5" s="1"/>
  <c r="N589" i="5"/>
  <c r="P589" i="5" s="1"/>
  <c r="Q589" i="5" s="1"/>
  <c r="R589" i="5" s="1"/>
  <c r="A597" i="2"/>
  <c r="B596" i="2"/>
  <c r="Q590" i="5" l="1"/>
  <c r="R590" i="5" s="1"/>
  <c r="E592" i="5"/>
  <c r="M591" i="5"/>
  <c r="O591" i="5" s="1"/>
  <c r="A598" i="2"/>
  <c r="B597" i="2"/>
  <c r="E593" i="5" l="1"/>
  <c r="M592" i="5"/>
  <c r="O592" i="5" s="1"/>
  <c r="N592" i="5"/>
  <c r="P592" i="5" s="1"/>
  <c r="N591" i="5"/>
  <c r="P591" i="5" s="1"/>
  <c r="Q591" i="5" s="1"/>
  <c r="R591" i="5" s="1"/>
  <c r="A599" i="2"/>
  <c r="B598" i="2"/>
  <c r="Q592" i="5" l="1"/>
  <c r="R592" i="5" s="1"/>
  <c r="E594" i="5"/>
  <c r="M593" i="5"/>
  <c r="O593" i="5" s="1"/>
  <c r="A600" i="2"/>
  <c r="B599" i="2"/>
  <c r="E595" i="5" l="1"/>
  <c r="M594" i="5"/>
  <c r="O594" i="5" s="1"/>
  <c r="N594" i="5"/>
  <c r="P594" i="5" s="1"/>
  <c r="N593" i="5"/>
  <c r="P593" i="5" s="1"/>
  <c r="Q593" i="5" s="1"/>
  <c r="R593" i="5" s="1"/>
  <c r="A601" i="2"/>
  <c r="B600" i="2"/>
  <c r="Q594" i="5" l="1"/>
  <c r="R594" i="5" s="1"/>
  <c r="E596" i="5"/>
  <c r="M595" i="5"/>
  <c r="O595" i="5" s="1"/>
  <c r="A602" i="2"/>
  <c r="B601" i="2"/>
  <c r="E597" i="5" l="1"/>
  <c r="M596" i="5"/>
  <c r="O596" i="5" s="1"/>
  <c r="N596" i="5"/>
  <c r="P596" i="5" s="1"/>
  <c r="N595" i="5"/>
  <c r="P595" i="5" s="1"/>
  <c r="Q595" i="5" s="1"/>
  <c r="R595" i="5" s="1"/>
  <c r="A603" i="2"/>
  <c r="B602" i="2"/>
  <c r="Q596" i="5" l="1"/>
  <c r="R596" i="5" s="1"/>
  <c r="E598" i="5"/>
  <c r="M597" i="5"/>
  <c r="O597" i="5" s="1"/>
  <c r="A604" i="2"/>
  <c r="B603" i="2"/>
  <c r="E599" i="5" l="1"/>
  <c r="M598" i="5"/>
  <c r="O598" i="5" s="1"/>
  <c r="N598" i="5"/>
  <c r="P598" i="5" s="1"/>
  <c r="N597" i="5"/>
  <c r="P597" i="5" s="1"/>
  <c r="Q597" i="5" s="1"/>
  <c r="R597" i="5" s="1"/>
  <c r="A605" i="2"/>
  <c r="B604" i="2"/>
  <c r="Q598" i="5" l="1"/>
  <c r="R598" i="5" s="1"/>
  <c r="E600" i="5"/>
  <c r="M599" i="5"/>
  <c r="O599" i="5" s="1"/>
  <c r="A606" i="2"/>
  <c r="B605" i="2"/>
  <c r="E601" i="5" l="1"/>
  <c r="M600" i="5"/>
  <c r="O600" i="5" s="1"/>
  <c r="N600" i="5"/>
  <c r="P600" i="5" s="1"/>
  <c r="N599" i="5"/>
  <c r="P599" i="5" s="1"/>
  <c r="Q599" i="5" s="1"/>
  <c r="R599" i="5" s="1"/>
  <c r="A607" i="2"/>
  <c r="B606" i="2"/>
  <c r="Q600" i="5" l="1"/>
  <c r="R600" i="5" s="1"/>
  <c r="E602" i="5"/>
  <c r="M601" i="5"/>
  <c r="O601" i="5" s="1"/>
  <c r="A608" i="2"/>
  <c r="B607" i="2"/>
  <c r="E603" i="5" l="1"/>
  <c r="M602" i="5"/>
  <c r="O602" i="5" s="1"/>
  <c r="N602" i="5"/>
  <c r="P602" i="5" s="1"/>
  <c r="N601" i="5"/>
  <c r="P601" i="5" s="1"/>
  <c r="Q601" i="5" s="1"/>
  <c r="R601" i="5" s="1"/>
  <c r="A609" i="2"/>
  <c r="B608" i="2"/>
  <c r="Q602" i="5" l="1"/>
  <c r="R602" i="5" s="1"/>
  <c r="E604" i="5"/>
  <c r="M603" i="5"/>
  <c r="O603" i="5" s="1"/>
  <c r="A610" i="2"/>
  <c r="B609" i="2"/>
  <c r="M604" i="5" l="1"/>
  <c r="O604" i="5" s="1"/>
  <c r="N604" i="5"/>
  <c r="P604" i="5" s="1"/>
  <c r="E605" i="5"/>
  <c r="N603" i="5"/>
  <c r="P603" i="5" s="1"/>
  <c r="Q603" i="5" s="1"/>
  <c r="R603" i="5" s="1"/>
  <c r="A611" i="2"/>
  <c r="B610" i="2"/>
  <c r="E606" i="5" l="1"/>
  <c r="M605" i="5"/>
  <c r="O605" i="5" s="1"/>
  <c r="N605" i="5"/>
  <c r="P605" i="5" s="1"/>
  <c r="Q604" i="5"/>
  <c r="R604" i="5" s="1"/>
  <c r="A612" i="2"/>
  <c r="B611" i="2"/>
  <c r="Q605" i="5" l="1"/>
  <c r="R605" i="5" s="1"/>
  <c r="M606" i="5"/>
  <c r="O606" i="5" s="1"/>
  <c r="N606" i="5"/>
  <c r="P606" i="5" s="1"/>
  <c r="E607" i="5"/>
  <c r="A613" i="2"/>
  <c r="B612" i="2"/>
  <c r="E608" i="5" l="1"/>
  <c r="M607" i="5"/>
  <c r="O607" i="5" s="1"/>
  <c r="Q606" i="5"/>
  <c r="R606" i="5" s="1"/>
  <c r="A614" i="2"/>
  <c r="B613" i="2"/>
  <c r="N607" i="5" l="1"/>
  <c r="P607" i="5" s="1"/>
  <c r="Q607" i="5" s="1"/>
  <c r="R607" i="5" s="1"/>
  <c r="M608" i="5"/>
  <c r="O608" i="5" s="1"/>
  <c r="N608" i="5"/>
  <c r="P608" i="5" s="1"/>
  <c r="E609" i="5"/>
  <c r="A615" i="2"/>
  <c r="B614" i="2"/>
  <c r="M609" i="5" l="1"/>
  <c r="O609" i="5" s="1"/>
  <c r="E610" i="5"/>
  <c r="Q608" i="5"/>
  <c r="R608" i="5" s="1"/>
  <c r="A616" i="2"/>
  <c r="B615" i="2"/>
  <c r="M610" i="5" l="1"/>
  <c r="O610" i="5" s="1"/>
  <c r="E611" i="5"/>
  <c r="N610" i="5"/>
  <c r="P610" i="5" s="1"/>
  <c r="N609" i="5"/>
  <c r="P609" i="5" s="1"/>
  <c r="Q609" i="5" s="1"/>
  <c r="R609" i="5" s="1"/>
  <c r="A617" i="2"/>
  <c r="B616" i="2"/>
  <c r="E612" i="5" l="1"/>
  <c r="M611" i="5"/>
  <c r="O611" i="5" s="1"/>
  <c r="Q610" i="5"/>
  <c r="R610" i="5" s="1"/>
  <c r="A618" i="2"/>
  <c r="B617" i="2"/>
  <c r="M612" i="5" l="1"/>
  <c r="O612" i="5" s="1"/>
  <c r="E613" i="5"/>
  <c r="N611" i="5"/>
  <c r="P611" i="5" s="1"/>
  <c r="Q611" i="5" s="1"/>
  <c r="R611" i="5" s="1"/>
  <c r="A619" i="2"/>
  <c r="B618" i="2"/>
  <c r="E614" i="5" l="1"/>
  <c r="M613" i="5"/>
  <c r="O613" i="5" s="1"/>
  <c r="N612" i="5"/>
  <c r="P612" i="5" s="1"/>
  <c r="Q612" i="5" s="1"/>
  <c r="R612" i="5" s="1"/>
  <c r="A620" i="2"/>
  <c r="B619" i="2"/>
  <c r="N613" i="5" l="1"/>
  <c r="P613" i="5" s="1"/>
  <c r="Q613" i="5" s="1"/>
  <c r="R613" i="5" s="1"/>
  <c r="M614" i="5"/>
  <c r="O614" i="5" s="1"/>
  <c r="E615" i="5"/>
  <c r="A621" i="2"/>
  <c r="B620" i="2"/>
  <c r="E616" i="5" l="1"/>
  <c r="M615" i="5"/>
  <c r="O615" i="5" s="1"/>
  <c r="N615" i="5"/>
  <c r="P615" i="5" s="1"/>
  <c r="N614" i="5"/>
  <c r="P614" i="5" s="1"/>
  <c r="Q614" i="5" s="1"/>
  <c r="R614" i="5" s="1"/>
  <c r="A622" i="2"/>
  <c r="B621" i="2"/>
  <c r="Q615" i="5" l="1"/>
  <c r="R615" i="5" s="1"/>
  <c r="M616" i="5"/>
  <c r="O616" i="5" s="1"/>
  <c r="E617" i="5"/>
  <c r="A623" i="2"/>
  <c r="B622" i="2"/>
  <c r="E618" i="5" l="1"/>
  <c r="M617" i="5"/>
  <c r="O617" i="5" s="1"/>
  <c r="N616" i="5"/>
  <c r="P616" i="5" s="1"/>
  <c r="Q616" i="5" s="1"/>
  <c r="R616" i="5" s="1"/>
  <c r="A624" i="2"/>
  <c r="B623" i="2"/>
  <c r="N617" i="5" l="1"/>
  <c r="P617" i="5" s="1"/>
  <c r="Q617" i="5" s="1"/>
  <c r="R617" i="5" s="1"/>
  <c r="M618" i="5"/>
  <c r="O618" i="5" s="1"/>
  <c r="E619" i="5"/>
  <c r="A625" i="2"/>
  <c r="B624" i="2"/>
  <c r="E620" i="5" l="1"/>
  <c r="M619" i="5"/>
  <c r="O619" i="5" s="1"/>
  <c r="N619" i="5"/>
  <c r="P619" i="5" s="1"/>
  <c r="N618" i="5"/>
  <c r="P618" i="5" s="1"/>
  <c r="Q618" i="5" s="1"/>
  <c r="R618" i="5" s="1"/>
  <c r="A626" i="2"/>
  <c r="B625" i="2"/>
  <c r="Q619" i="5" l="1"/>
  <c r="R619" i="5" s="1"/>
  <c r="M620" i="5"/>
  <c r="O620" i="5" s="1"/>
  <c r="E621" i="5"/>
  <c r="A627" i="2"/>
  <c r="B626" i="2"/>
  <c r="E622" i="5" l="1"/>
  <c r="M621" i="5"/>
  <c r="O621" i="5" s="1"/>
  <c r="N620" i="5"/>
  <c r="P620" i="5" s="1"/>
  <c r="Q620" i="5" s="1"/>
  <c r="R620" i="5" s="1"/>
  <c r="A628" i="2"/>
  <c r="B627" i="2"/>
  <c r="N621" i="5" l="1"/>
  <c r="P621" i="5" s="1"/>
  <c r="Q621" i="5" s="1"/>
  <c r="R621" i="5" s="1"/>
  <c r="M622" i="5"/>
  <c r="O622" i="5" s="1"/>
  <c r="E623" i="5"/>
  <c r="A629" i="2"/>
  <c r="B628" i="2"/>
  <c r="E624" i="5" l="1"/>
  <c r="M623" i="5"/>
  <c r="O623" i="5" s="1"/>
  <c r="N623" i="5"/>
  <c r="P623" i="5" s="1"/>
  <c r="N622" i="5"/>
  <c r="P622" i="5" s="1"/>
  <c r="Q622" i="5" s="1"/>
  <c r="R622" i="5" s="1"/>
  <c r="A630" i="2"/>
  <c r="B629" i="2"/>
  <c r="Q623" i="5" l="1"/>
  <c r="R623" i="5" s="1"/>
  <c r="M624" i="5"/>
  <c r="O624" i="5" s="1"/>
  <c r="E625" i="5"/>
  <c r="A631" i="2"/>
  <c r="B630" i="2"/>
  <c r="E626" i="5" l="1"/>
  <c r="M625" i="5"/>
  <c r="O625" i="5" s="1"/>
  <c r="N624" i="5"/>
  <c r="P624" i="5" s="1"/>
  <c r="Q624" i="5" s="1"/>
  <c r="R624" i="5" s="1"/>
  <c r="A632" i="2"/>
  <c r="B631" i="2"/>
  <c r="N625" i="5" l="1"/>
  <c r="P625" i="5" s="1"/>
  <c r="Q625" i="5" s="1"/>
  <c r="R625" i="5" s="1"/>
  <c r="M626" i="5"/>
  <c r="O626" i="5" s="1"/>
  <c r="E627" i="5"/>
  <c r="A633" i="2"/>
  <c r="B632" i="2"/>
  <c r="E628" i="5" l="1"/>
  <c r="M627" i="5"/>
  <c r="O627" i="5" s="1"/>
  <c r="N626" i="5"/>
  <c r="P626" i="5" s="1"/>
  <c r="Q626" i="5" s="1"/>
  <c r="R626" i="5" s="1"/>
  <c r="A634" i="2"/>
  <c r="B633" i="2"/>
  <c r="N627" i="5" l="1"/>
  <c r="P627" i="5" s="1"/>
  <c r="Q627" i="5" s="1"/>
  <c r="R627" i="5" s="1"/>
  <c r="M628" i="5"/>
  <c r="O628" i="5" s="1"/>
  <c r="E629" i="5"/>
  <c r="A635" i="2"/>
  <c r="B634" i="2"/>
  <c r="E630" i="5" l="1"/>
  <c r="M629" i="5"/>
  <c r="O629" i="5" s="1"/>
  <c r="N628" i="5"/>
  <c r="P628" i="5" s="1"/>
  <c r="Q628" i="5" s="1"/>
  <c r="R628" i="5" s="1"/>
  <c r="A636" i="2"/>
  <c r="B635" i="2"/>
  <c r="N629" i="5" l="1"/>
  <c r="P629" i="5" s="1"/>
  <c r="Q629" i="5" s="1"/>
  <c r="R629" i="5" s="1"/>
  <c r="M630" i="5"/>
  <c r="O630" i="5" s="1"/>
  <c r="E631" i="5"/>
  <c r="A637" i="2"/>
  <c r="B636" i="2"/>
  <c r="E632" i="5" l="1"/>
  <c r="M631" i="5"/>
  <c r="O631" i="5" s="1"/>
  <c r="N631" i="5"/>
  <c r="P631" i="5" s="1"/>
  <c r="N630" i="5"/>
  <c r="P630" i="5" s="1"/>
  <c r="Q630" i="5" s="1"/>
  <c r="R630" i="5" s="1"/>
  <c r="A638" i="2"/>
  <c r="B637" i="2"/>
  <c r="Q631" i="5" l="1"/>
  <c r="R631" i="5" s="1"/>
  <c r="M632" i="5"/>
  <c r="O632" i="5" s="1"/>
  <c r="E633" i="5"/>
  <c r="A639" i="2"/>
  <c r="B638" i="2"/>
  <c r="E634" i="5" l="1"/>
  <c r="M633" i="5"/>
  <c r="O633" i="5" s="1"/>
  <c r="N632" i="5"/>
  <c r="P632" i="5" s="1"/>
  <c r="Q632" i="5" s="1"/>
  <c r="R632" i="5" s="1"/>
  <c r="A640" i="2"/>
  <c r="B639" i="2"/>
  <c r="N633" i="5" l="1"/>
  <c r="P633" i="5" s="1"/>
  <c r="Q633" i="5" s="1"/>
  <c r="R633" i="5" s="1"/>
  <c r="M634" i="5"/>
  <c r="O634" i="5" s="1"/>
  <c r="E635" i="5"/>
  <c r="A641" i="2"/>
  <c r="B640" i="2"/>
  <c r="E636" i="5" l="1"/>
  <c r="M635" i="5"/>
  <c r="O635" i="5" s="1"/>
  <c r="N634" i="5"/>
  <c r="P634" i="5" s="1"/>
  <c r="Q634" i="5" s="1"/>
  <c r="R634" i="5" s="1"/>
  <c r="A642" i="2"/>
  <c r="B641" i="2"/>
  <c r="M636" i="5" l="1"/>
  <c r="O636" i="5" s="1"/>
  <c r="E637" i="5"/>
  <c r="N635" i="5"/>
  <c r="P635" i="5" s="1"/>
  <c r="Q635" i="5" s="1"/>
  <c r="R635" i="5" s="1"/>
  <c r="A643" i="2"/>
  <c r="B642" i="2"/>
  <c r="E638" i="5" l="1"/>
  <c r="M637" i="5"/>
  <c r="O637" i="5" s="1"/>
  <c r="N636" i="5"/>
  <c r="P636" i="5" s="1"/>
  <c r="Q636" i="5" s="1"/>
  <c r="R636" i="5" s="1"/>
  <c r="A644" i="2"/>
  <c r="B643" i="2"/>
  <c r="N637" i="5" l="1"/>
  <c r="P637" i="5" s="1"/>
  <c r="Q637" i="5" s="1"/>
  <c r="R637" i="5" s="1"/>
  <c r="M638" i="5"/>
  <c r="O638" i="5" s="1"/>
  <c r="E639" i="5"/>
  <c r="A645" i="2"/>
  <c r="B644" i="2"/>
  <c r="E640" i="5" l="1"/>
  <c r="M639" i="5"/>
  <c r="O639" i="5" s="1"/>
  <c r="N638" i="5"/>
  <c r="P638" i="5" s="1"/>
  <c r="Q638" i="5" s="1"/>
  <c r="R638" i="5" s="1"/>
  <c r="A646" i="2"/>
  <c r="B645" i="2"/>
  <c r="N639" i="5" l="1"/>
  <c r="P639" i="5" s="1"/>
  <c r="Q639" i="5" s="1"/>
  <c r="R639" i="5" s="1"/>
  <c r="M640" i="5"/>
  <c r="O640" i="5" s="1"/>
  <c r="E641" i="5"/>
  <c r="A647" i="2"/>
  <c r="B646" i="2"/>
  <c r="E642" i="5" l="1"/>
  <c r="M641" i="5"/>
  <c r="O641" i="5" s="1"/>
  <c r="N640" i="5"/>
  <c r="P640" i="5" s="1"/>
  <c r="Q640" i="5" s="1"/>
  <c r="R640" i="5" s="1"/>
  <c r="A648" i="2"/>
  <c r="B647" i="2"/>
  <c r="N641" i="5" l="1"/>
  <c r="P641" i="5" s="1"/>
  <c r="Q641" i="5" s="1"/>
  <c r="R641" i="5" s="1"/>
  <c r="M642" i="5"/>
  <c r="O642" i="5" s="1"/>
  <c r="E643" i="5"/>
  <c r="A649" i="2"/>
  <c r="B648" i="2"/>
  <c r="E644" i="5" l="1"/>
  <c r="M643" i="5"/>
  <c r="O643" i="5" s="1"/>
  <c r="N642" i="5"/>
  <c r="P642" i="5" s="1"/>
  <c r="Q642" i="5" s="1"/>
  <c r="R642" i="5" s="1"/>
  <c r="A650" i="2"/>
  <c r="B649" i="2"/>
  <c r="N643" i="5" l="1"/>
  <c r="P643" i="5" s="1"/>
  <c r="Q643" i="5" s="1"/>
  <c r="R643" i="5" s="1"/>
  <c r="M644" i="5"/>
  <c r="O644" i="5" s="1"/>
  <c r="E645" i="5"/>
  <c r="A651" i="2"/>
  <c r="B650" i="2"/>
  <c r="E646" i="5" l="1"/>
  <c r="M645" i="5"/>
  <c r="O645" i="5" s="1"/>
  <c r="N644" i="5"/>
  <c r="P644" i="5" s="1"/>
  <c r="Q644" i="5" s="1"/>
  <c r="R644" i="5" s="1"/>
  <c r="A652" i="2"/>
  <c r="B651" i="2"/>
  <c r="N645" i="5" l="1"/>
  <c r="P645" i="5" s="1"/>
  <c r="Q645" i="5" s="1"/>
  <c r="R645" i="5" s="1"/>
  <c r="M646" i="5"/>
  <c r="O646" i="5" s="1"/>
  <c r="E647" i="5"/>
  <c r="A653" i="2"/>
  <c r="B652" i="2"/>
  <c r="E648" i="5" l="1"/>
  <c r="M647" i="5"/>
  <c r="O647" i="5" s="1"/>
  <c r="N646" i="5"/>
  <c r="P646" i="5" s="1"/>
  <c r="Q646" i="5" s="1"/>
  <c r="R646" i="5" s="1"/>
  <c r="A654" i="2"/>
  <c r="B653" i="2"/>
  <c r="N647" i="5" l="1"/>
  <c r="P647" i="5" s="1"/>
  <c r="Q647" i="5" s="1"/>
  <c r="R647" i="5" s="1"/>
  <c r="M648" i="5"/>
  <c r="O648" i="5" s="1"/>
  <c r="E649" i="5"/>
  <c r="A655" i="2"/>
  <c r="B654" i="2"/>
  <c r="E650" i="5" l="1"/>
  <c r="M649" i="5"/>
  <c r="O649" i="5" s="1"/>
  <c r="N648" i="5"/>
  <c r="P648" i="5" s="1"/>
  <c r="Q648" i="5" s="1"/>
  <c r="R648" i="5" s="1"/>
  <c r="A656" i="2"/>
  <c r="B655" i="2"/>
  <c r="N649" i="5" l="1"/>
  <c r="P649" i="5" s="1"/>
  <c r="Q649" i="5" s="1"/>
  <c r="R649" i="5" s="1"/>
  <c r="M650" i="5"/>
  <c r="O650" i="5" s="1"/>
  <c r="E651" i="5"/>
  <c r="A657" i="2"/>
  <c r="B656" i="2"/>
  <c r="E652" i="5" l="1"/>
  <c r="M651" i="5"/>
  <c r="O651" i="5" s="1"/>
  <c r="N651" i="5"/>
  <c r="P651" i="5" s="1"/>
  <c r="N650" i="5"/>
  <c r="P650" i="5" s="1"/>
  <c r="Q650" i="5" s="1"/>
  <c r="R650" i="5" s="1"/>
  <c r="A658" i="2"/>
  <c r="B657" i="2"/>
  <c r="Q651" i="5" l="1"/>
  <c r="R651" i="5" s="1"/>
  <c r="M652" i="5"/>
  <c r="O652" i="5" s="1"/>
  <c r="E653" i="5"/>
  <c r="A659" i="2"/>
  <c r="B658" i="2"/>
  <c r="E654" i="5" l="1"/>
  <c r="M653" i="5"/>
  <c r="O653" i="5" s="1"/>
  <c r="N652" i="5"/>
  <c r="P652" i="5" s="1"/>
  <c r="Q652" i="5" s="1"/>
  <c r="R652" i="5" s="1"/>
  <c r="A660" i="2"/>
  <c r="B659" i="2"/>
  <c r="N653" i="5" l="1"/>
  <c r="P653" i="5" s="1"/>
  <c r="Q653" i="5" s="1"/>
  <c r="R653" i="5" s="1"/>
  <c r="M654" i="5"/>
  <c r="O654" i="5" s="1"/>
  <c r="E655" i="5"/>
  <c r="A661" i="2"/>
  <c r="B660" i="2"/>
  <c r="E656" i="5" l="1"/>
  <c r="M655" i="5"/>
  <c r="O655" i="5" s="1"/>
  <c r="N654" i="5"/>
  <c r="P654" i="5" s="1"/>
  <c r="Q654" i="5" s="1"/>
  <c r="R654" i="5" s="1"/>
  <c r="A662" i="2"/>
  <c r="B661" i="2"/>
  <c r="N655" i="5" l="1"/>
  <c r="P655" i="5" s="1"/>
  <c r="Q655" i="5" s="1"/>
  <c r="R655" i="5" s="1"/>
  <c r="M656" i="5"/>
  <c r="O656" i="5" s="1"/>
  <c r="E657" i="5"/>
  <c r="A663" i="2"/>
  <c r="B662" i="2"/>
  <c r="E658" i="5" l="1"/>
  <c r="M657" i="5"/>
  <c r="O657" i="5" s="1"/>
  <c r="N656" i="5"/>
  <c r="P656" i="5" s="1"/>
  <c r="Q656" i="5" s="1"/>
  <c r="R656" i="5" s="1"/>
  <c r="A664" i="2"/>
  <c r="B663" i="2"/>
  <c r="N657" i="5" l="1"/>
  <c r="P657" i="5" s="1"/>
  <c r="Q657" i="5" s="1"/>
  <c r="R657" i="5" s="1"/>
  <c r="M658" i="5"/>
  <c r="O658" i="5" s="1"/>
  <c r="E659" i="5"/>
  <c r="A665" i="2"/>
  <c r="B664" i="2"/>
  <c r="E660" i="5" l="1"/>
  <c r="M659" i="5"/>
  <c r="O659" i="5" s="1"/>
  <c r="N658" i="5"/>
  <c r="P658" i="5" s="1"/>
  <c r="Q658" i="5" s="1"/>
  <c r="R658" i="5" s="1"/>
  <c r="A666" i="2"/>
  <c r="B665" i="2"/>
  <c r="N659" i="5" l="1"/>
  <c r="P659" i="5" s="1"/>
  <c r="Q659" i="5" s="1"/>
  <c r="R659" i="5" s="1"/>
  <c r="M660" i="5"/>
  <c r="O660" i="5" s="1"/>
  <c r="E661" i="5"/>
  <c r="A667" i="2"/>
  <c r="B666" i="2"/>
  <c r="E662" i="5" l="1"/>
  <c r="M661" i="5"/>
  <c r="O661" i="5" s="1"/>
  <c r="N661" i="5"/>
  <c r="P661" i="5" s="1"/>
  <c r="N660" i="5"/>
  <c r="P660" i="5" s="1"/>
  <c r="Q660" i="5" s="1"/>
  <c r="R660" i="5" s="1"/>
  <c r="A668" i="2"/>
  <c r="B667" i="2"/>
  <c r="Q661" i="5" l="1"/>
  <c r="R661" i="5" s="1"/>
  <c r="M662" i="5"/>
  <c r="O662" i="5" s="1"/>
  <c r="E663" i="5"/>
  <c r="A669" i="2"/>
  <c r="B668" i="2"/>
  <c r="E664" i="5" l="1"/>
  <c r="M663" i="5"/>
  <c r="O663" i="5" s="1"/>
  <c r="N662" i="5"/>
  <c r="P662" i="5" s="1"/>
  <c r="Q662" i="5" s="1"/>
  <c r="R662" i="5" s="1"/>
  <c r="A670" i="2"/>
  <c r="B669" i="2"/>
  <c r="N663" i="5" l="1"/>
  <c r="P663" i="5" s="1"/>
  <c r="Q663" i="5" s="1"/>
  <c r="R663" i="5" s="1"/>
  <c r="M664" i="5"/>
  <c r="O664" i="5" s="1"/>
  <c r="E665" i="5"/>
  <c r="A671" i="2"/>
  <c r="B670" i="2"/>
  <c r="E666" i="5" l="1"/>
  <c r="M665" i="5"/>
  <c r="O665" i="5" s="1"/>
  <c r="N664" i="5"/>
  <c r="P664" i="5" s="1"/>
  <c r="Q664" i="5" s="1"/>
  <c r="R664" i="5" s="1"/>
  <c r="A672" i="2"/>
  <c r="B671" i="2"/>
  <c r="N665" i="5" l="1"/>
  <c r="P665" i="5" s="1"/>
  <c r="Q665" i="5" s="1"/>
  <c r="R665" i="5" s="1"/>
  <c r="M666" i="5"/>
  <c r="O666" i="5" s="1"/>
  <c r="E667" i="5"/>
  <c r="A673" i="2"/>
  <c r="B672" i="2"/>
  <c r="E668" i="5" l="1"/>
  <c r="M667" i="5"/>
  <c r="O667" i="5" s="1"/>
  <c r="N666" i="5"/>
  <c r="P666" i="5" s="1"/>
  <c r="Q666" i="5" s="1"/>
  <c r="R666" i="5" s="1"/>
  <c r="A674" i="2"/>
  <c r="B673" i="2"/>
  <c r="N667" i="5" l="1"/>
  <c r="P667" i="5" s="1"/>
  <c r="Q667" i="5" s="1"/>
  <c r="R667" i="5" s="1"/>
  <c r="M668" i="5"/>
  <c r="O668" i="5" s="1"/>
  <c r="E669" i="5"/>
  <c r="A675" i="2"/>
  <c r="B674" i="2"/>
  <c r="E670" i="5" l="1"/>
  <c r="M669" i="5"/>
  <c r="O669" i="5" s="1"/>
  <c r="N668" i="5"/>
  <c r="P668" i="5" s="1"/>
  <c r="Q668" i="5" s="1"/>
  <c r="R668" i="5" s="1"/>
  <c r="A676" i="2"/>
  <c r="B675" i="2"/>
  <c r="N669" i="5" l="1"/>
  <c r="P669" i="5" s="1"/>
  <c r="Q669" i="5" s="1"/>
  <c r="R669" i="5" s="1"/>
  <c r="M670" i="5"/>
  <c r="O670" i="5" s="1"/>
  <c r="E671" i="5"/>
  <c r="A677" i="2"/>
  <c r="B676" i="2"/>
  <c r="E672" i="5" l="1"/>
  <c r="M671" i="5"/>
  <c r="O671" i="5" s="1"/>
  <c r="N671" i="5"/>
  <c r="P671" i="5" s="1"/>
  <c r="N670" i="5"/>
  <c r="P670" i="5" s="1"/>
  <c r="Q670" i="5" s="1"/>
  <c r="R670" i="5" s="1"/>
  <c r="A678" i="2"/>
  <c r="B677" i="2"/>
  <c r="Q671" i="5" l="1"/>
  <c r="R671" i="5" s="1"/>
  <c r="M672" i="5"/>
  <c r="O672" i="5" s="1"/>
  <c r="E673" i="5"/>
  <c r="A679" i="2"/>
  <c r="B678" i="2"/>
  <c r="E674" i="5" l="1"/>
  <c r="M673" i="5"/>
  <c r="O673" i="5" s="1"/>
  <c r="N673" i="5"/>
  <c r="P673" i="5" s="1"/>
  <c r="N672" i="5"/>
  <c r="P672" i="5" s="1"/>
  <c r="Q672" i="5" s="1"/>
  <c r="R672" i="5" s="1"/>
  <c r="A680" i="2"/>
  <c r="B679" i="2"/>
  <c r="Q673" i="5" l="1"/>
  <c r="R673" i="5" s="1"/>
  <c r="M674" i="5"/>
  <c r="O674" i="5" s="1"/>
  <c r="E675" i="5"/>
  <c r="A681" i="2"/>
  <c r="B680" i="2"/>
  <c r="E676" i="5" l="1"/>
  <c r="M675" i="5"/>
  <c r="O675" i="5" s="1"/>
  <c r="N675" i="5"/>
  <c r="P675" i="5" s="1"/>
  <c r="N674" i="5"/>
  <c r="P674" i="5" s="1"/>
  <c r="Q674" i="5" s="1"/>
  <c r="R674" i="5" s="1"/>
  <c r="A682" i="2"/>
  <c r="B681" i="2"/>
  <c r="Q675" i="5" l="1"/>
  <c r="R675" i="5" s="1"/>
  <c r="M676" i="5"/>
  <c r="O676" i="5" s="1"/>
  <c r="E677" i="5"/>
  <c r="N676" i="5"/>
  <c r="P676" i="5" s="1"/>
  <c r="A683" i="2"/>
  <c r="B682" i="2"/>
  <c r="M677" i="5" l="1"/>
  <c r="O677" i="5" s="1"/>
  <c r="E678" i="5"/>
  <c r="N677" i="5"/>
  <c r="P677" i="5" s="1"/>
  <c r="Q676" i="5"/>
  <c r="R676" i="5" s="1"/>
  <c r="A684" i="2"/>
  <c r="B683" i="2"/>
  <c r="M678" i="5" l="1"/>
  <c r="O678" i="5" s="1"/>
  <c r="E679" i="5"/>
  <c r="N678" i="5"/>
  <c r="P678" i="5" s="1"/>
  <c r="Q677" i="5"/>
  <c r="R677" i="5" s="1"/>
  <c r="A685" i="2"/>
  <c r="B684" i="2"/>
  <c r="E680" i="5" l="1"/>
  <c r="M679" i="5"/>
  <c r="O679" i="5" s="1"/>
  <c r="Q678" i="5"/>
  <c r="R678" i="5" s="1"/>
  <c r="A686" i="2"/>
  <c r="B685" i="2"/>
  <c r="N679" i="5" l="1"/>
  <c r="P679" i="5" s="1"/>
  <c r="Q679" i="5" s="1"/>
  <c r="R679" i="5" s="1"/>
  <c r="M680" i="5"/>
  <c r="O680" i="5" s="1"/>
  <c r="E681" i="5"/>
  <c r="A687" i="2"/>
  <c r="B686" i="2"/>
  <c r="E682" i="5" l="1"/>
  <c r="M681" i="5"/>
  <c r="O681" i="5" s="1"/>
  <c r="N680" i="5"/>
  <c r="P680" i="5" s="1"/>
  <c r="Q680" i="5" s="1"/>
  <c r="R680" i="5" s="1"/>
  <c r="A688" i="2"/>
  <c r="B687" i="2"/>
  <c r="N681" i="5" l="1"/>
  <c r="P681" i="5" s="1"/>
  <c r="Q681" i="5" s="1"/>
  <c r="R681" i="5" s="1"/>
  <c r="M682" i="5"/>
  <c r="O682" i="5" s="1"/>
  <c r="E683" i="5"/>
  <c r="A689" i="2"/>
  <c r="B688" i="2"/>
  <c r="E684" i="5" l="1"/>
  <c r="M683" i="5"/>
  <c r="O683" i="5" s="1"/>
  <c r="N682" i="5"/>
  <c r="P682" i="5" s="1"/>
  <c r="Q682" i="5" s="1"/>
  <c r="R682" i="5" s="1"/>
  <c r="A690" i="2"/>
  <c r="B689" i="2"/>
  <c r="N683" i="5" l="1"/>
  <c r="P683" i="5" s="1"/>
  <c r="Q683" i="5" s="1"/>
  <c r="R683" i="5" s="1"/>
  <c r="M684" i="5"/>
  <c r="O684" i="5" s="1"/>
  <c r="E685" i="5"/>
  <c r="A691" i="2"/>
  <c r="B690" i="2"/>
  <c r="E686" i="5" l="1"/>
  <c r="M685" i="5"/>
  <c r="O685" i="5" s="1"/>
  <c r="N685" i="5"/>
  <c r="P685" i="5" s="1"/>
  <c r="N684" i="5"/>
  <c r="P684" i="5" s="1"/>
  <c r="Q684" i="5" s="1"/>
  <c r="R684" i="5" s="1"/>
  <c r="A692" i="2"/>
  <c r="B691" i="2"/>
  <c r="Q685" i="5" l="1"/>
  <c r="R685" i="5" s="1"/>
  <c r="M686" i="5"/>
  <c r="O686" i="5" s="1"/>
  <c r="E687" i="5"/>
  <c r="A693" i="2"/>
  <c r="B692" i="2"/>
  <c r="E688" i="5" l="1"/>
  <c r="M687" i="5"/>
  <c r="O687" i="5" s="1"/>
  <c r="N686" i="5"/>
  <c r="P686" i="5" s="1"/>
  <c r="Q686" i="5" s="1"/>
  <c r="R686" i="5" s="1"/>
  <c r="A694" i="2"/>
  <c r="B693" i="2"/>
  <c r="N687" i="5" l="1"/>
  <c r="P687" i="5" s="1"/>
  <c r="Q687" i="5" s="1"/>
  <c r="R687" i="5" s="1"/>
  <c r="M688" i="5"/>
  <c r="O688" i="5" s="1"/>
  <c r="E689" i="5"/>
  <c r="A695" i="2"/>
  <c r="B694" i="2"/>
  <c r="E690" i="5" l="1"/>
  <c r="M689" i="5"/>
  <c r="O689" i="5" s="1"/>
  <c r="N688" i="5"/>
  <c r="P688" i="5" s="1"/>
  <c r="Q688" i="5" s="1"/>
  <c r="R688" i="5" s="1"/>
  <c r="A696" i="2"/>
  <c r="B695" i="2"/>
  <c r="N689" i="5" l="1"/>
  <c r="P689" i="5" s="1"/>
  <c r="Q689" i="5" s="1"/>
  <c r="R689" i="5" s="1"/>
  <c r="M690" i="5"/>
  <c r="O690" i="5" s="1"/>
  <c r="E691" i="5"/>
  <c r="A697" i="2"/>
  <c r="B696" i="2"/>
  <c r="E692" i="5" l="1"/>
  <c r="M691" i="5"/>
  <c r="O691" i="5" s="1"/>
  <c r="N690" i="5"/>
  <c r="P690" i="5" s="1"/>
  <c r="Q690" i="5" s="1"/>
  <c r="R690" i="5" s="1"/>
  <c r="A698" i="2"/>
  <c r="B697" i="2"/>
  <c r="N691" i="5" l="1"/>
  <c r="P691" i="5" s="1"/>
  <c r="Q691" i="5" s="1"/>
  <c r="R691" i="5" s="1"/>
  <c r="M692" i="5"/>
  <c r="O692" i="5" s="1"/>
  <c r="E693" i="5"/>
  <c r="A699" i="2"/>
  <c r="B698" i="2"/>
  <c r="E694" i="5" l="1"/>
  <c r="M693" i="5"/>
  <c r="O693" i="5" s="1"/>
  <c r="N692" i="5"/>
  <c r="P692" i="5" s="1"/>
  <c r="Q692" i="5" s="1"/>
  <c r="R692" i="5" s="1"/>
  <c r="A700" i="2"/>
  <c r="B699" i="2"/>
  <c r="N693" i="5" l="1"/>
  <c r="P693" i="5" s="1"/>
  <c r="Q693" i="5" s="1"/>
  <c r="R693" i="5" s="1"/>
  <c r="M694" i="5"/>
  <c r="O694" i="5" s="1"/>
  <c r="E695" i="5"/>
  <c r="A701" i="2"/>
  <c r="B700" i="2"/>
  <c r="E696" i="5" l="1"/>
  <c r="M695" i="5"/>
  <c r="O695" i="5" s="1"/>
  <c r="N694" i="5"/>
  <c r="P694" i="5" s="1"/>
  <c r="Q694" i="5" s="1"/>
  <c r="R694" i="5" s="1"/>
  <c r="A702" i="2"/>
  <c r="B701" i="2"/>
  <c r="N695" i="5" l="1"/>
  <c r="P695" i="5" s="1"/>
  <c r="Q695" i="5" s="1"/>
  <c r="R695" i="5" s="1"/>
  <c r="M696" i="5"/>
  <c r="O696" i="5" s="1"/>
  <c r="E697" i="5"/>
  <c r="A703" i="2"/>
  <c r="B702" i="2"/>
  <c r="E698" i="5" l="1"/>
  <c r="M697" i="5"/>
  <c r="O697" i="5" s="1"/>
  <c r="N696" i="5"/>
  <c r="P696" i="5" s="1"/>
  <c r="Q696" i="5" s="1"/>
  <c r="R696" i="5" s="1"/>
  <c r="A704" i="2"/>
  <c r="B703" i="2"/>
  <c r="N697" i="5" l="1"/>
  <c r="P697" i="5" s="1"/>
  <c r="Q697" i="5" s="1"/>
  <c r="R697" i="5" s="1"/>
  <c r="M698" i="5"/>
  <c r="O698" i="5" s="1"/>
  <c r="E699" i="5"/>
  <c r="A705" i="2"/>
  <c r="B704" i="2"/>
  <c r="E700" i="5" l="1"/>
  <c r="M699" i="5"/>
  <c r="O699" i="5" s="1"/>
  <c r="N698" i="5"/>
  <c r="P698" i="5" s="1"/>
  <c r="Q698" i="5" s="1"/>
  <c r="R698" i="5" s="1"/>
  <c r="A706" i="2"/>
  <c r="B705" i="2"/>
  <c r="N699" i="5" l="1"/>
  <c r="P699" i="5" s="1"/>
  <c r="Q699" i="5" s="1"/>
  <c r="R699" i="5" s="1"/>
  <c r="M700" i="5"/>
  <c r="O700" i="5" s="1"/>
  <c r="E701" i="5"/>
  <c r="A707" i="2"/>
  <c r="B706" i="2"/>
  <c r="E702" i="5" l="1"/>
  <c r="M701" i="5"/>
  <c r="O701" i="5" s="1"/>
  <c r="N701" i="5"/>
  <c r="P701" i="5" s="1"/>
  <c r="N700" i="5"/>
  <c r="P700" i="5" s="1"/>
  <c r="Q700" i="5" s="1"/>
  <c r="R700" i="5" s="1"/>
  <c r="A708" i="2"/>
  <c r="B707" i="2"/>
  <c r="Q701" i="5" l="1"/>
  <c r="R701" i="5" s="1"/>
  <c r="M702" i="5"/>
  <c r="O702" i="5" s="1"/>
  <c r="E703" i="5"/>
  <c r="A709" i="2"/>
  <c r="B708" i="2"/>
  <c r="E704" i="5" l="1"/>
  <c r="M703" i="5"/>
  <c r="O703" i="5" s="1"/>
  <c r="N702" i="5"/>
  <c r="P702" i="5" s="1"/>
  <c r="Q702" i="5" s="1"/>
  <c r="R702" i="5" s="1"/>
  <c r="A710" i="2"/>
  <c r="B709" i="2"/>
  <c r="N703" i="5" l="1"/>
  <c r="P703" i="5" s="1"/>
  <c r="Q703" i="5" s="1"/>
  <c r="R703" i="5" s="1"/>
  <c r="M704" i="5"/>
  <c r="O704" i="5" s="1"/>
  <c r="E705" i="5"/>
  <c r="A711" i="2"/>
  <c r="B710" i="2"/>
  <c r="E706" i="5" l="1"/>
  <c r="M705" i="5"/>
  <c r="O705" i="5" s="1"/>
  <c r="N704" i="5"/>
  <c r="P704" i="5" s="1"/>
  <c r="Q704" i="5" s="1"/>
  <c r="R704" i="5" s="1"/>
  <c r="A712" i="2"/>
  <c r="B711" i="2"/>
  <c r="N705" i="5" l="1"/>
  <c r="P705" i="5" s="1"/>
  <c r="Q705" i="5" s="1"/>
  <c r="R705" i="5" s="1"/>
  <c r="M706" i="5"/>
  <c r="O706" i="5" s="1"/>
  <c r="E707" i="5"/>
  <c r="A713" i="2"/>
  <c r="B712" i="2"/>
  <c r="E708" i="5" l="1"/>
  <c r="M707" i="5"/>
  <c r="O707" i="5" s="1"/>
  <c r="N706" i="5"/>
  <c r="P706" i="5" s="1"/>
  <c r="Q706" i="5" s="1"/>
  <c r="R706" i="5" s="1"/>
  <c r="A714" i="2"/>
  <c r="B713" i="2"/>
  <c r="N707" i="5" l="1"/>
  <c r="P707" i="5" s="1"/>
  <c r="Q707" i="5" s="1"/>
  <c r="R707" i="5" s="1"/>
  <c r="M708" i="5"/>
  <c r="O708" i="5" s="1"/>
  <c r="E709" i="5"/>
  <c r="A715" i="2"/>
  <c r="B714" i="2"/>
  <c r="E710" i="5" l="1"/>
  <c r="M709" i="5"/>
  <c r="O709" i="5" s="1"/>
  <c r="N708" i="5"/>
  <c r="P708" i="5" s="1"/>
  <c r="Q708" i="5" s="1"/>
  <c r="R708" i="5" s="1"/>
  <c r="A716" i="2"/>
  <c r="B715" i="2"/>
  <c r="N709" i="5" l="1"/>
  <c r="P709" i="5" s="1"/>
  <c r="Q709" i="5" s="1"/>
  <c r="R709" i="5" s="1"/>
  <c r="M710" i="5"/>
  <c r="O710" i="5" s="1"/>
  <c r="E711" i="5"/>
  <c r="A717" i="2"/>
  <c r="B716" i="2"/>
  <c r="E712" i="5" l="1"/>
  <c r="M711" i="5"/>
  <c r="O711" i="5" s="1"/>
  <c r="N710" i="5"/>
  <c r="P710" i="5" s="1"/>
  <c r="Q710" i="5" s="1"/>
  <c r="R710" i="5" s="1"/>
  <c r="A718" i="2"/>
  <c r="B717" i="2"/>
  <c r="N711" i="5" l="1"/>
  <c r="P711" i="5" s="1"/>
  <c r="Q711" i="5" s="1"/>
  <c r="R711" i="5" s="1"/>
  <c r="M712" i="5"/>
  <c r="O712" i="5" s="1"/>
  <c r="E713" i="5"/>
  <c r="A719" i="2"/>
  <c r="B718" i="2"/>
  <c r="E714" i="5" l="1"/>
  <c r="M713" i="5"/>
  <c r="O713" i="5" s="1"/>
  <c r="N712" i="5"/>
  <c r="P712" i="5" s="1"/>
  <c r="Q712" i="5" s="1"/>
  <c r="R712" i="5" s="1"/>
  <c r="A720" i="2"/>
  <c r="B719" i="2"/>
  <c r="N713" i="5" l="1"/>
  <c r="P713" i="5" s="1"/>
  <c r="Q713" i="5" s="1"/>
  <c r="R713" i="5" s="1"/>
  <c r="M714" i="5"/>
  <c r="O714" i="5" s="1"/>
  <c r="E715" i="5"/>
  <c r="A721" i="2"/>
  <c r="B720" i="2"/>
  <c r="E716" i="5" l="1"/>
  <c r="M715" i="5"/>
  <c r="O715" i="5" s="1"/>
  <c r="N714" i="5"/>
  <c r="P714" i="5" s="1"/>
  <c r="Q714" i="5" s="1"/>
  <c r="R714" i="5" s="1"/>
  <c r="A722" i="2"/>
  <c r="B721" i="2"/>
  <c r="N715" i="5" l="1"/>
  <c r="P715" i="5" s="1"/>
  <c r="Q715" i="5" s="1"/>
  <c r="R715" i="5" s="1"/>
  <c r="M716" i="5"/>
  <c r="O716" i="5" s="1"/>
  <c r="E717" i="5"/>
  <c r="A723" i="2"/>
  <c r="B722" i="2"/>
  <c r="E718" i="5" l="1"/>
  <c r="M717" i="5"/>
  <c r="O717" i="5" s="1"/>
  <c r="N717" i="5"/>
  <c r="P717" i="5" s="1"/>
  <c r="N716" i="5"/>
  <c r="P716" i="5" s="1"/>
  <c r="Q716" i="5" s="1"/>
  <c r="R716" i="5" s="1"/>
  <c r="A724" i="2"/>
  <c r="B723" i="2"/>
  <c r="Q717" i="5" l="1"/>
  <c r="R717" i="5" s="1"/>
  <c r="M718" i="5"/>
  <c r="O718" i="5" s="1"/>
  <c r="E719" i="5"/>
  <c r="A725" i="2"/>
  <c r="B724" i="2"/>
  <c r="E720" i="5" l="1"/>
  <c r="M719" i="5"/>
  <c r="O719" i="5" s="1"/>
  <c r="N718" i="5"/>
  <c r="P718" i="5" s="1"/>
  <c r="Q718" i="5" s="1"/>
  <c r="R718" i="5" s="1"/>
  <c r="A726" i="2"/>
  <c r="B725" i="2"/>
  <c r="Q719" i="5" l="1"/>
  <c r="R719" i="5" s="1"/>
  <c r="N719" i="5"/>
  <c r="P719" i="5" s="1"/>
  <c r="M720" i="5"/>
  <c r="O720" i="5" s="1"/>
  <c r="E721" i="5"/>
  <c r="A727" i="2"/>
  <c r="B726" i="2"/>
  <c r="E722" i="5" l="1"/>
  <c r="M721" i="5"/>
  <c r="O721" i="5" s="1"/>
  <c r="N720" i="5"/>
  <c r="P720" i="5" s="1"/>
  <c r="Q720" i="5" s="1"/>
  <c r="R720" i="5" s="1"/>
  <c r="A728" i="2"/>
  <c r="B727" i="2"/>
  <c r="M722" i="5" l="1"/>
  <c r="O722" i="5" s="1"/>
  <c r="E723" i="5"/>
  <c r="N721" i="5"/>
  <c r="P721" i="5" s="1"/>
  <c r="Q721" i="5" s="1"/>
  <c r="R721" i="5" s="1"/>
  <c r="A729" i="2"/>
  <c r="B728" i="2"/>
  <c r="E724" i="5" l="1"/>
  <c r="M723" i="5"/>
  <c r="O723" i="5" s="1"/>
  <c r="N722" i="5"/>
  <c r="P722" i="5" s="1"/>
  <c r="Q722" i="5" s="1"/>
  <c r="R722" i="5" s="1"/>
  <c r="A730" i="2"/>
  <c r="B729" i="2"/>
  <c r="N723" i="5" l="1"/>
  <c r="P723" i="5" s="1"/>
  <c r="Q723" i="5" s="1"/>
  <c r="R723" i="5" s="1"/>
  <c r="M724" i="5"/>
  <c r="O724" i="5" s="1"/>
  <c r="E725" i="5"/>
  <c r="A731" i="2"/>
  <c r="B730" i="2"/>
  <c r="E726" i="5" l="1"/>
  <c r="M725" i="5"/>
  <c r="O725" i="5" s="1"/>
  <c r="N724" i="5"/>
  <c r="P724" i="5" s="1"/>
  <c r="Q724" i="5" s="1"/>
  <c r="R724" i="5" s="1"/>
  <c r="A732" i="2"/>
  <c r="B731" i="2"/>
  <c r="N725" i="5" l="1"/>
  <c r="P725" i="5" s="1"/>
  <c r="Q725" i="5" s="1"/>
  <c r="R725" i="5" s="1"/>
  <c r="M726" i="5"/>
  <c r="O726" i="5" s="1"/>
  <c r="E727" i="5"/>
  <c r="A733" i="2"/>
  <c r="B732" i="2"/>
  <c r="E728" i="5" l="1"/>
  <c r="M727" i="5"/>
  <c r="O727" i="5" s="1"/>
  <c r="N726" i="5"/>
  <c r="P726" i="5" s="1"/>
  <c r="Q726" i="5" s="1"/>
  <c r="R726" i="5" s="1"/>
  <c r="A734" i="2"/>
  <c r="B733" i="2"/>
  <c r="N727" i="5" l="1"/>
  <c r="P727" i="5" s="1"/>
  <c r="Q727" i="5" s="1"/>
  <c r="R727" i="5" s="1"/>
  <c r="M728" i="5"/>
  <c r="O728" i="5" s="1"/>
  <c r="E729" i="5"/>
  <c r="A735" i="2"/>
  <c r="B734" i="2"/>
  <c r="E730" i="5" l="1"/>
  <c r="M729" i="5"/>
  <c r="O729" i="5" s="1"/>
  <c r="N728" i="5"/>
  <c r="P728" i="5" s="1"/>
  <c r="Q728" i="5" s="1"/>
  <c r="R728" i="5" s="1"/>
  <c r="A736" i="2"/>
  <c r="B735" i="2"/>
  <c r="N729" i="5" l="1"/>
  <c r="P729" i="5" s="1"/>
  <c r="Q729" i="5" s="1"/>
  <c r="R729" i="5" s="1"/>
  <c r="M730" i="5"/>
  <c r="O730" i="5" s="1"/>
  <c r="E731" i="5"/>
  <c r="A737" i="2"/>
  <c r="B736" i="2"/>
  <c r="E732" i="5" l="1"/>
  <c r="M731" i="5"/>
  <c r="O731" i="5" s="1"/>
  <c r="N730" i="5"/>
  <c r="P730" i="5" s="1"/>
  <c r="Q730" i="5" s="1"/>
  <c r="R730" i="5" s="1"/>
  <c r="A738" i="2"/>
  <c r="B737" i="2"/>
  <c r="Q731" i="5" l="1"/>
  <c r="R731" i="5" s="1"/>
  <c r="N731" i="5"/>
  <c r="P731" i="5" s="1"/>
  <c r="M732" i="5"/>
  <c r="O732" i="5" s="1"/>
  <c r="E733" i="5"/>
  <c r="A739" i="2"/>
  <c r="B738" i="2"/>
  <c r="E734" i="5" l="1"/>
  <c r="M733" i="5"/>
  <c r="O733" i="5" s="1"/>
  <c r="N732" i="5"/>
  <c r="P732" i="5" s="1"/>
  <c r="Q732" i="5" s="1"/>
  <c r="R732" i="5" s="1"/>
  <c r="A740" i="2"/>
  <c r="B739" i="2"/>
  <c r="N733" i="5" l="1"/>
  <c r="P733" i="5" s="1"/>
  <c r="Q733" i="5" s="1"/>
  <c r="R733" i="5" s="1"/>
  <c r="M734" i="5"/>
  <c r="O734" i="5" s="1"/>
  <c r="E735" i="5"/>
  <c r="A741" i="2"/>
  <c r="B740" i="2"/>
  <c r="E736" i="5" l="1"/>
  <c r="M735" i="5"/>
  <c r="O735" i="5" s="1"/>
  <c r="N734" i="5"/>
  <c r="P734" i="5" s="1"/>
  <c r="Q734" i="5" s="1"/>
  <c r="R734" i="5" s="1"/>
  <c r="A742" i="2"/>
  <c r="B741" i="2"/>
  <c r="N735" i="5" l="1"/>
  <c r="P735" i="5" s="1"/>
  <c r="Q735" i="5" s="1"/>
  <c r="R735" i="5" s="1"/>
  <c r="M736" i="5"/>
  <c r="O736" i="5" s="1"/>
  <c r="E737" i="5"/>
  <c r="A743" i="2"/>
  <c r="B742" i="2"/>
  <c r="E738" i="5" l="1"/>
  <c r="M737" i="5"/>
  <c r="O737" i="5" s="1"/>
  <c r="N736" i="5"/>
  <c r="P736" i="5" s="1"/>
  <c r="Q736" i="5" s="1"/>
  <c r="R736" i="5" s="1"/>
  <c r="A744" i="2"/>
  <c r="B743" i="2"/>
  <c r="N737" i="5" l="1"/>
  <c r="P737" i="5" s="1"/>
  <c r="Q737" i="5" s="1"/>
  <c r="R737" i="5" s="1"/>
  <c r="M738" i="5"/>
  <c r="O738" i="5" s="1"/>
  <c r="E739" i="5"/>
  <c r="A745" i="2"/>
  <c r="B744" i="2"/>
  <c r="E740" i="5" l="1"/>
  <c r="M739" i="5"/>
  <c r="O739" i="5" s="1"/>
  <c r="N738" i="5"/>
  <c r="P738" i="5" s="1"/>
  <c r="Q738" i="5" s="1"/>
  <c r="R738" i="5" s="1"/>
  <c r="A746" i="2"/>
  <c r="B745" i="2"/>
  <c r="N739" i="5" l="1"/>
  <c r="P739" i="5" s="1"/>
  <c r="Q739" i="5" s="1"/>
  <c r="R739" i="5" s="1"/>
  <c r="M740" i="5"/>
  <c r="O740" i="5" s="1"/>
  <c r="E741" i="5"/>
  <c r="A747" i="2"/>
  <c r="B746" i="2"/>
  <c r="E742" i="5" l="1"/>
  <c r="M741" i="5"/>
  <c r="O741" i="5" s="1"/>
  <c r="N740" i="5"/>
  <c r="P740" i="5" s="1"/>
  <c r="Q740" i="5" s="1"/>
  <c r="R740" i="5" s="1"/>
  <c r="A748" i="2"/>
  <c r="B747" i="2"/>
  <c r="N741" i="5" l="1"/>
  <c r="P741" i="5" s="1"/>
  <c r="Q741" i="5" s="1"/>
  <c r="R741" i="5" s="1"/>
  <c r="M742" i="5"/>
  <c r="O742" i="5" s="1"/>
  <c r="E743" i="5"/>
  <c r="A749" i="2"/>
  <c r="B748" i="2"/>
  <c r="E744" i="5" l="1"/>
  <c r="M743" i="5"/>
  <c r="O743" i="5" s="1"/>
  <c r="N742" i="5"/>
  <c r="P742" i="5" s="1"/>
  <c r="Q742" i="5" s="1"/>
  <c r="R742" i="5" s="1"/>
  <c r="A750" i="2"/>
  <c r="B749" i="2"/>
  <c r="N743" i="5" l="1"/>
  <c r="P743" i="5" s="1"/>
  <c r="Q743" i="5" s="1"/>
  <c r="R743" i="5" s="1"/>
  <c r="E745" i="5"/>
  <c r="M744" i="5"/>
  <c r="O744" i="5" s="1"/>
  <c r="A751" i="2"/>
  <c r="B750" i="2"/>
  <c r="M745" i="5" l="1"/>
  <c r="O745" i="5" s="1"/>
  <c r="E746" i="5"/>
  <c r="N744" i="5"/>
  <c r="P744" i="5" s="1"/>
  <c r="Q744" i="5" s="1"/>
  <c r="R744" i="5" s="1"/>
  <c r="A752" i="2"/>
  <c r="B751" i="2"/>
  <c r="M746" i="5" l="1"/>
  <c r="O746" i="5" s="1"/>
  <c r="E747" i="5"/>
  <c r="N745" i="5"/>
  <c r="P745" i="5" s="1"/>
  <c r="Q745" i="5" s="1"/>
  <c r="R745" i="5" s="1"/>
  <c r="A753" i="2"/>
  <c r="B752" i="2"/>
  <c r="E748" i="5" l="1"/>
  <c r="M747" i="5"/>
  <c r="O747" i="5" s="1"/>
  <c r="N746" i="5"/>
  <c r="P746" i="5" s="1"/>
  <c r="Q746" i="5" s="1"/>
  <c r="R746" i="5" s="1"/>
  <c r="A754" i="2"/>
  <c r="B753" i="2"/>
  <c r="N747" i="5" l="1"/>
  <c r="P747" i="5" s="1"/>
  <c r="Q747" i="5" s="1"/>
  <c r="R747" i="5" s="1"/>
  <c r="E749" i="5"/>
  <c r="M748" i="5"/>
  <c r="O748" i="5" s="1"/>
  <c r="A755" i="2"/>
  <c r="B754" i="2"/>
  <c r="E750" i="5" l="1"/>
  <c r="M749" i="5"/>
  <c r="O749" i="5" s="1"/>
  <c r="N748" i="5"/>
  <c r="P748" i="5" s="1"/>
  <c r="Q748" i="5" s="1"/>
  <c r="R748" i="5" s="1"/>
  <c r="A756" i="2"/>
  <c r="B755" i="2"/>
  <c r="N749" i="5" l="1"/>
  <c r="P749" i="5" s="1"/>
  <c r="Q749" i="5" s="1"/>
  <c r="R749" i="5" s="1"/>
  <c r="M750" i="5"/>
  <c r="O750" i="5" s="1"/>
  <c r="E751" i="5"/>
  <c r="A757" i="2"/>
  <c r="B756" i="2"/>
  <c r="M751" i="5" l="1"/>
  <c r="O751" i="5" s="1"/>
  <c r="E752" i="5"/>
  <c r="N750" i="5"/>
  <c r="P750" i="5" s="1"/>
  <c r="Q750" i="5" s="1"/>
  <c r="R750" i="5" s="1"/>
  <c r="A758" i="2"/>
  <c r="B757" i="2"/>
  <c r="M752" i="5" l="1"/>
  <c r="O752" i="5" s="1"/>
  <c r="E753" i="5"/>
  <c r="N751" i="5"/>
  <c r="P751" i="5" s="1"/>
  <c r="Q751" i="5" s="1"/>
  <c r="R751" i="5" s="1"/>
  <c r="A759" i="2"/>
  <c r="B758" i="2"/>
  <c r="M753" i="5" l="1"/>
  <c r="O753" i="5" s="1"/>
  <c r="E754" i="5"/>
  <c r="N753" i="5"/>
  <c r="P753" i="5" s="1"/>
  <c r="N752" i="5"/>
  <c r="P752" i="5" s="1"/>
  <c r="Q752" i="5" s="1"/>
  <c r="R752" i="5" s="1"/>
  <c r="A760" i="2"/>
  <c r="B759" i="2"/>
  <c r="M754" i="5" l="1"/>
  <c r="O754" i="5" s="1"/>
  <c r="E755" i="5"/>
  <c r="Q753" i="5"/>
  <c r="R753" i="5" s="1"/>
  <c r="A761" i="2"/>
  <c r="B760" i="2"/>
  <c r="M755" i="5" l="1"/>
  <c r="O755" i="5" s="1"/>
  <c r="E756" i="5"/>
  <c r="N754" i="5"/>
  <c r="P754" i="5" s="1"/>
  <c r="Q754" i="5" s="1"/>
  <c r="R754" i="5" s="1"/>
  <c r="A762" i="2"/>
  <c r="B761" i="2"/>
  <c r="M756" i="5" l="1"/>
  <c r="O756" i="5" s="1"/>
  <c r="E757" i="5"/>
  <c r="N755" i="5"/>
  <c r="P755" i="5" s="1"/>
  <c r="Q755" i="5" s="1"/>
  <c r="R755" i="5" s="1"/>
  <c r="A763" i="2"/>
  <c r="B762" i="2"/>
  <c r="E758" i="5" l="1"/>
  <c r="M757" i="5"/>
  <c r="O757" i="5" s="1"/>
  <c r="N756" i="5"/>
  <c r="P756" i="5" s="1"/>
  <c r="Q756" i="5" s="1"/>
  <c r="R756" i="5" s="1"/>
  <c r="A764" i="2"/>
  <c r="B763" i="2"/>
  <c r="N757" i="5" l="1"/>
  <c r="P757" i="5" s="1"/>
  <c r="Q757" i="5" s="1"/>
  <c r="R757" i="5" s="1"/>
  <c r="M758" i="5"/>
  <c r="O758" i="5" s="1"/>
  <c r="E759" i="5"/>
  <c r="A765" i="2"/>
  <c r="B764" i="2"/>
  <c r="E760" i="5" l="1"/>
  <c r="M759" i="5"/>
  <c r="O759" i="5" s="1"/>
  <c r="N758" i="5"/>
  <c r="P758" i="5" s="1"/>
  <c r="Q758" i="5" s="1"/>
  <c r="R758" i="5" s="1"/>
  <c r="A766" i="2"/>
  <c r="B765" i="2"/>
  <c r="N759" i="5" l="1"/>
  <c r="P759" i="5" s="1"/>
  <c r="Q759" i="5" s="1"/>
  <c r="R759" i="5" s="1"/>
  <c r="M760" i="5"/>
  <c r="O760" i="5" s="1"/>
  <c r="E761" i="5"/>
  <c r="A767" i="2"/>
  <c r="B766" i="2"/>
  <c r="E762" i="5" l="1"/>
  <c r="M761" i="5"/>
  <c r="O761" i="5" s="1"/>
  <c r="N760" i="5"/>
  <c r="P760" i="5" s="1"/>
  <c r="Q760" i="5" s="1"/>
  <c r="R760" i="5" s="1"/>
  <c r="A768" i="2"/>
  <c r="B767" i="2"/>
  <c r="N761" i="5" l="1"/>
  <c r="P761" i="5" s="1"/>
  <c r="Q761" i="5" s="1"/>
  <c r="R761" i="5" s="1"/>
  <c r="M762" i="5"/>
  <c r="O762" i="5" s="1"/>
  <c r="E763" i="5"/>
  <c r="A769" i="2"/>
  <c r="B768" i="2"/>
  <c r="E764" i="5" l="1"/>
  <c r="M763" i="5"/>
  <c r="O763" i="5" s="1"/>
  <c r="N762" i="5"/>
  <c r="P762" i="5" s="1"/>
  <c r="Q762" i="5" s="1"/>
  <c r="R762" i="5" s="1"/>
  <c r="A770" i="2"/>
  <c r="B769" i="2"/>
  <c r="N763" i="5" l="1"/>
  <c r="P763" i="5" s="1"/>
  <c r="Q763" i="5" s="1"/>
  <c r="R763" i="5" s="1"/>
  <c r="M764" i="5"/>
  <c r="O764" i="5" s="1"/>
  <c r="E765" i="5"/>
  <c r="A771" i="2"/>
  <c r="B770" i="2"/>
  <c r="M765" i="5" l="1"/>
  <c r="O765" i="5" s="1"/>
  <c r="E766" i="5"/>
  <c r="N764" i="5"/>
  <c r="P764" i="5" s="1"/>
  <c r="Q764" i="5" s="1"/>
  <c r="R764" i="5" s="1"/>
  <c r="A772" i="2"/>
  <c r="B771" i="2"/>
  <c r="M766" i="5" l="1"/>
  <c r="O766" i="5" s="1"/>
  <c r="E767" i="5"/>
  <c r="N765" i="5"/>
  <c r="P765" i="5" s="1"/>
  <c r="Q765" i="5" s="1"/>
  <c r="R765" i="5" s="1"/>
  <c r="A773" i="2"/>
  <c r="B772" i="2"/>
  <c r="M767" i="5" l="1"/>
  <c r="O767" i="5" s="1"/>
  <c r="E768" i="5"/>
  <c r="N766" i="5"/>
  <c r="P766" i="5" s="1"/>
  <c r="Q766" i="5" s="1"/>
  <c r="R766" i="5" s="1"/>
  <c r="A774" i="2"/>
  <c r="B773" i="2"/>
  <c r="M768" i="5" l="1"/>
  <c r="O768" i="5" s="1"/>
  <c r="E769" i="5"/>
  <c r="N767" i="5"/>
  <c r="P767" i="5" s="1"/>
  <c r="Q767" i="5" s="1"/>
  <c r="R767" i="5" s="1"/>
  <c r="A775" i="2"/>
  <c r="B774" i="2"/>
  <c r="M769" i="5" l="1"/>
  <c r="O769" i="5" s="1"/>
  <c r="E770" i="5"/>
  <c r="N769" i="5"/>
  <c r="P769" i="5" s="1"/>
  <c r="N768" i="5"/>
  <c r="P768" i="5" s="1"/>
  <c r="Q768" i="5" s="1"/>
  <c r="R768" i="5" s="1"/>
  <c r="A776" i="2"/>
  <c r="B775" i="2"/>
  <c r="M770" i="5" l="1"/>
  <c r="O770" i="5" s="1"/>
  <c r="E771" i="5"/>
  <c r="Q769" i="5"/>
  <c r="R769" i="5" s="1"/>
  <c r="A777" i="2"/>
  <c r="B776" i="2"/>
  <c r="E772" i="5" l="1"/>
  <c r="M771" i="5"/>
  <c r="O771" i="5" s="1"/>
  <c r="N770" i="5"/>
  <c r="P770" i="5" s="1"/>
  <c r="Q770" i="5" s="1"/>
  <c r="R770" i="5" s="1"/>
  <c r="A778" i="2"/>
  <c r="B777" i="2"/>
  <c r="N771" i="5" l="1"/>
  <c r="P771" i="5" s="1"/>
  <c r="Q771" i="5" s="1"/>
  <c r="R771" i="5" s="1"/>
  <c r="M772" i="5"/>
  <c r="O772" i="5" s="1"/>
  <c r="E773" i="5"/>
  <c r="A779" i="2"/>
  <c r="B778" i="2"/>
  <c r="E774" i="5" l="1"/>
  <c r="M773" i="5"/>
  <c r="O773" i="5" s="1"/>
  <c r="N772" i="5"/>
  <c r="P772" i="5" s="1"/>
  <c r="Q772" i="5" s="1"/>
  <c r="R772" i="5" s="1"/>
  <c r="A780" i="2"/>
  <c r="B779" i="2"/>
  <c r="N773" i="5" l="1"/>
  <c r="P773" i="5" s="1"/>
  <c r="Q773" i="5" s="1"/>
  <c r="R773" i="5" s="1"/>
  <c r="M774" i="5"/>
  <c r="O774" i="5" s="1"/>
  <c r="E775" i="5"/>
  <c r="A781" i="2"/>
  <c r="B780" i="2"/>
  <c r="E776" i="5" l="1"/>
  <c r="M775" i="5"/>
  <c r="O775" i="5" s="1"/>
  <c r="N774" i="5"/>
  <c r="P774" i="5" s="1"/>
  <c r="Q774" i="5" s="1"/>
  <c r="R774" i="5" s="1"/>
  <c r="A782" i="2"/>
  <c r="B781" i="2"/>
  <c r="N775" i="5" l="1"/>
  <c r="P775" i="5" s="1"/>
  <c r="Q775" i="5" s="1"/>
  <c r="R775" i="5" s="1"/>
  <c r="M776" i="5"/>
  <c r="O776" i="5" s="1"/>
  <c r="E777" i="5"/>
  <c r="A783" i="2"/>
  <c r="B782" i="2"/>
  <c r="E778" i="5" l="1"/>
  <c r="M777" i="5"/>
  <c r="O777" i="5" s="1"/>
  <c r="N776" i="5"/>
  <c r="P776" i="5" s="1"/>
  <c r="Q776" i="5" s="1"/>
  <c r="R776" i="5" s="1"/>
  <c r="A784" i="2"/>
  <c r="B783" i="2"/>
  <c r="N777" i="5" l="1"/>
  <c r="P777" i="5" s="1"/>
  <c r="Q777" i="5" s="1"/>
  <c r="R777" i="5" s="1"/>
  <c r="M778" i="5"/>
  <c r="O778" i="5" s="1"/>
  <c r="E779" i="5"/>
  <c r="A785" i="2"/>
  <c r="B784" i="2"/>
  <c r="E780" i="5" l="1"/>
  <c r="M779" i="5"/>
  <c r="O779" i="5" s="1"/>
  <c r="N778" i="5"/>
  <c r="P778" i="5" s="1"/>
  <c r="Q778" i="5" s="1"/>
  <c r="R778" i="5" s="1"/>
  <c r="A786" i="2"/>
  <c r="B785" i="2"/>
  <c r="N779" i="5" l="1"/>
  <c r="P779" i="5" s="1"/>
  <c r="Q779" i="5" s="1"/>
  <c r="R779" i="5" s="1"/>
  <c r="M780" i="5"/>
  <c r="O780" i="5" s="1"/>
  <c r="E781" i="5"/>
  <c r="A787" i="2"/>
  <c r="B786" i="2"/>
  <c r="M781" i="5" l="1"/>
  <c r="O781" i="5" s="1"/>
  <c r="E782" i="5"/>
  <c r="N780" i="5"/>
  <c r="P780" i="5" s="1"/>
  <c r="Q780" i="5" s="1"/>
  <c r="R780" i="5" s="1"/>
  <c r="A788" i="2"/>
  <c r="B787" i="2"/>
  <c r="M782" i="5" l="1"/>
  <c r="O782" i="5" s="1"/>
  <c r="E783" i="5"/>
  <c r="N781" i="5"/>
  <c r="P781" i="5" s="1"/>
  <c r="Q781" i="5" s="1"/>
  <c r="R781" i="5" s="1"/>
  <c r="A789" i="2"/>
  <c r="B788" i="2"/>
  <c r="M783" i="5" l="1"/>
  <c r="O783" i="5" s="1"/>
  <c r="E784" i="5"/>
  <c r="N782" i="5"/>
  <c r="P782" i="5" s="1"/>
  <c r="Q782" i="5" s="1"/>
  <c r="R782" i="5" s="1"/>
  <c r="A790" i="2"/>
  <c r="B789" i="2"/>
  <c r="M784" i="5" l="1"/>
  <c r="O784" i="5" s="1"/>
  <c r="E785" i="5"/>
  <c r="N783" i="5"/>
  <c r="P783" i="5" s="1"/>
  <c r="Q783" i="5" s="1"/>
  <c r="R783" i="5" s="1"/>
  <c r="A791" i="2"/>
  <c r="B790" i="2"/>
  <c r="M785" i="5" l="1"/>
  <c r="O785" i="5" s="1"/>
  <c r="E786" i="5"/>
  <c r="N785" i="5"/>
  <c r="P785" i="5" s="1"/>
  <c r="N784" i="5"/>
  <c r="P784" i="5" s="1"/>
  <c r="Q784" i="5" s="1"/>
  <c r="R784" i="5" s="1"/>
  <c r="A792" i="2"/>
  <c r="B791" i="2"/>
  <c r="M786" i="5" l="1"/>
  <c r="O786" i="5" s="1"/>
  <c r="E787" i="5"/>
  <c r="Q785" i="5"/>
  <c r="R785" i="5" s="1"/>
  <c r="A793" i="2"/>
  <c r="B792" i="2"/>
  <c r="E788" i="5" l="1"/>
  <c r="M787" i="5"/>
  <c r="O787" i="5" s="1"/>
  <c r="N786" i="5"/>
  <c r="P786" i="5" s="1"/>
  <c r="Q786" i="5" s="1"/>
  <c r="R786" i="5" s="1"/>
  <c r="A794" i="2"/>
  <c r="B793" i="2"/>
  <c r="N787" i="5" l="1"/>
  <c r="P787" i="5" s="1"/>
  <c r="Q787" i="5" s="1"/>
  <c r="R787" i="5" s="1"/>
  <c r="M788" i="5"/>
  <c r="O788" i="5" s="1"/>
  <c r="E789" i="5"/>
  <c r="A795" i="2"/>
  <c r="B794" i="2"/>
  <c r="E790" i="5" l="1"/>
  <c r="M789" i="5"/>
  <c r="O789" i="5" s="1"/>
  <c r="N788" i="5"/>
  <c r="P788" i="5" s="1"/>
  <c r="Q788" i="5" s="1"/>
  <c r="R788" i="5" s="1"/>
  <c r="A796" i="2"/>
  <c r="B795" i="2"/>
  <c r="N789" i="5" l="1"/>
  <c r="P789" i="5" s="1"/>
  <c r="Q789" i="5" s="1"/>
  <c r="R789" i="5" s="1"/>
  <c r="M790" i="5"/>
  <c r="O790" i="5" s="1"/>
  <c r="E791" i="5"/>
  <c r="A797" i="2"/>
  <c r="B796" i="2"/>
  <c r="E792" i="5" l="1"/>
  <c r="M791" i="5"/>
  <c r="O791" i="5" s="1"/>
  <c r="N790" i="5"/>
  <c r="P790" i="5" s="1"/>
  <c r="Q790" i="5" s="1"/>
  <c r="R790" i="5" s="1"/>
  <c r="A798" i="2"/>
  <c r="B797" i="2"/>
  <c r="N791" i="5" l="1"/>
  <c r="P791" i="5" s="1"/>
  <c r="Q791" i="5" s="1"/>
  <c r="R791" i="5" s="1"/>
  <c r="M792" i="5"/>
  <c r="O792" i="5" s="1"/>
  <c r="E793" i="5"/>
  <c r="A799" i="2"/>
  <c r="B798" i="2"/>
  <c r="E794" i="5" l="1"/>
  <c r="M793" i="5"/>
  <c r="O793" i="5" s="1"/>
  <c r="N792" i="5"/>
  <c r="P792" i="5" s="1"/>
  <c r="Q792" i="5" s="1"/>
  <c r="R792" i="5" s="1"/>
  <c r="A800" i="2"/>
  <c r="B799" i="2"/>
  <c r="N793" i="5" l="1"/>
  <c r="P793" i="5" s="1"/>
  <c r="Q793" i="5" s="1"/>
  <c r="R793" i="5" s="1"/>
  <c r="M794" i="5"/>
  <c r="O794" i="5" s="1"/>
  <c r="E795" i="5"/>
  <c r="A801" i="2"/>
  <c r="B800" i="2"/>
  <c r="M795" i="5" l="1"/>
  <c r="O795" i="5" s="1"/>
  <c r="E796" i="5"/>
  <c r="N795" i="5"/>
  <c r="P795" i="5" s="1"/>
  <c r="N794" i="5"/>
  <c r="P794" i="5" s="1"/>
  <c r="Q794" i="5" s="1"/>
  <c r="R794" i="5" s="1"/>
  <c r="A802" i="2"/>
  <c r="B801" i="2"/>
  <c r="M796" i="5" l="1"/>
  <c r="O796" i="5" s="1"/>
  <c r="E797" i="5"/>
  <c r="Q795" i="5"/>
  <c r="R795" i="5" s="1"/>
  <c r="A803" i="2"/>
  <c r="B802" i="2"/>
  <c r="E798" i="5" l="1"/>
  <c r="M797" i="5"/>
  <c r="O797" i="5" s="1"/>
  <c r="N796" i="5"/>
  <c r="P796" i="5" s="1"/>
  <c r="Q796" i="5" s="1"/>
  <c r="R796" i="5" s="1"/>
  <c r="A804" i="2"/>
  <c r="B803" i="2"/>
  <c r="N797" i="5" l="1"/>
  <c r="P797" i="5" s="1"/>
  <c r="Q797" i="5" s="1"/>
  <c r="R797" i="5" s="1"/>
  <c r="M798" i="5"/>
  <c r="O798" i="5" s="1"/>
  <c r="E799" i="5"/>
  <c r="A805" i="2"/>
  <c r="B804" i="2"/>
  <c r="E800" i="5" l="1"/>
  <c r="N799" i="5"/>
  <c r="P799" i="5" s="1"/>
  <c r="M799" i="5"/>
  <c r="O799" i="5" s="1"/>
  <c r="N798" i="5"/>
  <c r="P798" i="5" s="1"/>
  <c r="Q798" i="5" s="1"/>
  <c r="R798" i="5" s="1"/>
  <c r="A806" i="2"/>
  <c r="B805" i="2"/>
  <c r="M800" i="5" l="1"/>
  <c r="O800" i="5" s="1"/>
  <c r="E801" i="5"/>
  <c r="Q799" i="5"/>
  <c r="R799" i="5" s="1"/>
  <c r="A807" i="2"/>
  <c r="B806" i="2"/>
  <c r="E802" i="5" l="1"/>
  <c r="M801" i="5"/>
  <c r="O801" i="5" s="1"/>
  <c r="N800" i="5"/>
  <c r="P800" i="5" s="1"/>
  <c r="Q800" i="5" s="1"/>
  <c r="R800" i="5" s="1"/>
  <c r="A808" i="2"/>
  <c r="B807" i="2"/>
  <c r="N801" i="5" l="1"/>
  <c r="P801" i="5" s="1"/>
  <c r="Q801" i="5" s="1"/>
  <c r="R801" i="5" s="1"/>
  <c r="M802" i="5"/>
  <c r="O802" i="5" s="1"/>
  <c r="E803" i="5"/>
  <c r="A809" i="2"/>
  <c r="B808" i="2"/>
  <c r="M803" i="5" l="1"/>
  <c r="O803" i="5" s="1"/>
  <c r="E804" i="5"/>
  <c r="N803" i="5"/>
  <c r="P803" i="5" s="1"/>
  <c r="N802" i="5"/>
  <c r="P802" i="5" s="1"/>
  <c r="Q802" i="5" s="1"/>
  <c r="R802" i="5" s="1"/>
  <c r="A810" i="2"/>
  <c r="B809" i="2"/>
  <c r="M804" i="5" l="1"/>
  <c r="O804" i="5" s="1"/>
  <c r="E805" i="5"/>
  <c r="Q803" i="5"/>
  <c r="R803" i="5" s="1"/>
  <c r="A811" i="2"/>
  <c r="B810" i="2"/>
  <c r="E806" i="5" l="1"/>
  <c r="M805" i="5"/>
  <c r="O805" i="5" s="1"/>
  <c r="N804" i="5"/>
  <c r="P804" i="5" s="1"/>
  <c r="Q804" i="5" s="1"/>
  <c r="R804" i="5" s="1"/>
  <c r="A812" i="2"/>
  <c r="B811" i="2"/>
  <c r="N805" i="5" l="1"/>
  <c r="P805" i="5" s="1"/>
  <c r="Q805" i="5" s="1"/>
  <c r="R805" i="5" s="1"/>
  <c r="M806" i="5"/>
  <c r="O806" i="5" s="1"/>
  <c r="E807" i="5"/>
  <c r="A813" i="2"/>
  <c r="B812" i="2"/>
  <c r="M807" i="5" l="1"/>
  <c r="O807" i="5" s="1"/>
  <c r="E808" i="5"/>
  <c r="N806" i="5"/>
  <c r="P806" i="5" s="1"/>
  <c r="Q806" i="5" s="1"/>
  <c r="R806" i="5" s="1"/>
  <c r="A814" i="2"/>
  <c r="B813" i="2"/>
  <c r="M808" i="5" l="1"/>
  <c r="O808" i="5" s="1"/>
  <c r="E809" i="5"/>
  <c r="N807" i="5"/>
  <c r="P807" i="5" s="1"/>
  <c r="Q807" i="5" s="1"/>
  <c r="R807" i="5" s="1"/>
  <c r="A815" i="2"/>
  <c r="B814" i="2"/>
  <c r="M809" i="5" l="1"/>
  <c r="O809" i="5" s="1"/>
  <c r="E810" i="5"/>
  <c r="N808" i="5"/>
  <c r="P808" i="5" s="1"/>
  <c r="Q808" i="5" s="1"/>
  <c r="R808" i="5" s="1"/>
  <c r="A816" i="2"/>
  <c r="B815" i="2"/>
  <c r="M810" i="5" l="1"/>
  <c r="O810" i="5" s="1"/>
  <c r="N810" i="5"/>
  <c r="P810" i="5" s="1"/>
  <c r="E811" i="5"/>
  <c r="N809" i="5"/>
  <c r="P809" i="5" s="1"/>
  <c r="Q809" i="5" s="1"/>
  <c r="R809" i="5" s="1"/>
  <c r="A817" i="2"/>
  <c r="B816" i="2"/>
  <c r="M811" i="5" l="1"/>
  <c r="O811" i="5" s="1"/>
  <c r="E812" i="5"/>
  <c r="Q810" i="5"/>
  <c r="R810" i="5" s="1"/>
  <c r="A818" i="2"/>
  <c r="B817" i="2"/>
  <c r="E813" i="5" l="1"/>
  <c r="M812" i="5"/>
  <c r="O812" i="5" s="1"/>
  <c r="N811" i="5"/>
  <c r="P811" i="5" s="1"/>
  <c r="Q811" i="5" s="1"/>
  <c r="R811" i="5" s="1"/>
  <c r="A819" i="2"/>
  <c r="B818" i="2"/>
  <c r="N812" i="5" l="1"/>
  <c r="P812" i="5" s="1"/>
  <c r="Q812" i="5" s="1"/>
  <c r="R812" i="5" s="1"/>
  <c r="M813" i="5"/>
  <c r="O813" i="5" s="1"/>
  <c r="E814" i="5"/>
  <c r="A820" i="2"/>
  <c r="B819" i="2"/>
  <c r="E815" i="5" l="1"/>
  <c r="M814" i="5"/>
  <c r="O814" i="5" s="1"/>
  <c r="N813" i="5"/>
  <c r="P813" i="5" s="1"/>
  <c r="Q813" i="5" s="1"/>
  <c r="R813" i="5" s="1"/>
  <c r="A821" i="2"/>
  <c r="B820" i="2"/>
  <c r="N814" i="5" l="1"/>
  <c r="P814" i="5" s="1"/>
  <c r="Q814" i="5" s="1"/>
  <c r="R814" i="5" s="1"/>
  <c r="M815" i="5"/>
  <c r="O815" i="5" s="1"/>
  <c r="E816" i="5"/>
  <c r="A822" i="2"/>
  <c r="B821" i="2"/>
  <c r="E817" i="5" l="1"/>
  <c r="M816" i="5"/>
  <c r="O816" i="5" s="1"/>
  <c r="N816" i="5"/>
  <c r="P816" i="5" s="1"/>
  <c r="N815" i="5"/>
  <c r="P815" i="5" s="1"/>
  <c r="Q815" i="5" s="1"/>
  <c r="R815" i="5" s="1"/>
  <c r="A823" i="2"/>
  <c r="B822" i="2"/>
  <c r="Q816" i="5" l="1"/>
  <c r="R816" i="5" s="1"/>
  <c r="M817" i="5"/>
  <c r="O817" i="5" s="1"/>
  <c r="E818" i="5"/>
  <c r="A824" i="2"/>
  <c r="B823" i="2"/>
  <c r="E819" i="5" l="1"/>
  <c r="M818" i="5"/>
  <c r="O818" i="5" s="1"/>
  <c r="N817" i="5"/>
  <c r="P817" i="5" s="1"/>
  <c r="Q817" i="5" s="1"/>
  <c r="R817" i="5" s="1"/>
  <c r="A825" i="2"/>
  <c r="B824" i="2"/>
  <c r="N818" i="5" l="1"/>
  <c r="P818" i="5" s="1"/>
  <c r="Q818" i="5" s="1"/>
  <c r="R818" i="5" s="1"/>
  <c r="M819" i="5"/>
  <c r="O819" i="5" s="1"/>
  <c r="E820" i="5"/>
  <c r="A826" i="2"/>
  <c r="B825" i="2"/>
  <c r="E821" i="5" l="1"/>
  <c r="M820" i="5"/>
  <c r="O820" i="5" s="1"/>
  <c r="N819" i="5"/>
  <c r="P819" i="5" s="1"/>
  <c r="Q819" i="5" s="1"/>
  <c r="R819" i="5" s="1"/>
  <c r="A827" i="2"/>
  <c r="B826" i="2"/>
  <c r="N820" i="5" l="1"/>
  <c r="P820" i="5" s="1"/>
  <c r="Q820" i="5" s="1"/>
  <c r="R820" i="5" s="1"/>
  <c r="M821" i="5"/>
  <c r="O821" i="5" s="1"/>
  <c r="E822" i="5"/>
  <c r="A828" i="2"/>
  <c r="B827" i="2"/>
  <c r="M822" i="5" l="1"/>
  <c r="O822" i="5" s="1"/>
  <c r="E823" i="5"/>
  <c r="N821" i="5"/>
  <c r="P821" i="5" s="1"/>
  <c r="Q821" i="5" s="1"/>
  <c r="R821" i="5" s="1"/>
  <c r="A829" i="2"/>
  <c r="B828" i="2"/>
  <c r="M823" i="5" l="1"/>
  <c r="O823" i="5" s="1"/>
  <c r="E824" i="5"/>
  <c r="N822" i="5"/>
  <c r="P822" i="5" s="1"/>
  <c r="Q822" i="5" s="1"/>
  <c r="R822" i="5" s="1"/>
  <c r="A830" i="2"/>
  <c r="B829" i="2"/>
  <c r="M824" i="5" l="1"/>
  <c r="O824" i="5" s="1"/>
  <c r="E825" i="5"/>
  <c r="N823" i="5"/>
  <c r="P823" i="5" s="1"/>
  <c r="Q823" i="5" s="1"/>
  <c r="R823" i="5" s="1"/>
  <c r="A831" i="2"/>
  <c r="B830" i="2"/>
  <c r="M825" i="5" l="1"/>
  <c r="O825" i="5" s="1"/>
  <c r="E826" i="5"/>
  <c r="N824" i="5"/>
  <c r="P824" i="5" s="1"/>
  <c r="Q824" i="5" s="1"/>
  <c r="R824" i="5" s="1"/>
  <c r="A832" i="2"/>
  <c r="B831" i="2"/>
  <c r="M826" i="5" l="1"/>
  <c r="O826" i="5" s="1"/>
  <c r="N826" i="5"/>
  <c r="P826" i="5" s="1"/>
  <c r="E827" i="5"/>
  <c r="N825" i="5"/>
  <c r="P825" i="5" s="1"/>
  <c r="Q825" i="5" s="1"/>
  <c r="R825" i="5" s="1"/>
  <c r="A833" i="2"/>
  <c r="B832" i="2"/>
  <c r="M827" i="5" l="1"/>
  <c r="O827" i="5" s="1"/>
  <c r="E828" i="5"/>
  <c r="Q826" i="5"/>
  <c r="R826" i="5" s="1"/>
  <c r="A834" i="2"/>
  <c r="B833" i="2"/>
  <c r="E829" i="5" l="1"/>
  <c r="M828" i="5"/>
  <c r="O828" i="5" s="1"/>
  <c r="N827" i="5"/>
  <c r="P827" i="5" s="1"/>
  <c r="Q827" i="5" s="1"/>
  <c r="R827" i="5" s="1"/>
  <c r="A835" i="2"/>
  <c r="B834" i="2"/>
  <c r="N828" i="5" l="1"/>
  <c r="P828" i="5" s="1"/>
  <c r="Q828" i="5" s="1"/>
  <c r="R828" i="5" s="1"/>
  <c r="M829" i="5"/>
  <c r="O829" i="5" s="1"/>
  <c r="E830" i="5"/>
  <c r="A836" i="2"/>
  <c r="B835" i="2"/>
  <c r="E831" i="5" l="1"/>
  <c r="M830" i="5"/>
  <c r="O830" i="5" s="1"/>
  <c r="N829" i="5"/>
  <c r="P829" i="5" s="1"/>
  <c r="Q829" i="5" s="1"/>
  <c r="R829" i="5" s="1"/>
  <c r="A837" i="2"/>
  <c r="B836" i="2"/>
  <c r="N830" i="5" l="1"/>
  <c r="P830" i="5" s="1"/>
  <c r="Q830" i="5" s="1"/>
  <c r="R830" i="5" s="1"/>
  <c r="M831" i="5"/>
  <c r="O831" i="5" s="1"/>
  <c r="E832" i="5"/>
  <c r="A838" i="2"/>
  <c r="B837" i="2"/>
  <c r="E833" i="5" l="1"/>
  <c r="M832" i="5"/>
  <c r="O832" i="5" s="1"/>
  <c r="N831" i="5"/>
  <c r="P831" i="5" s="1"/>
  <c r="Q831" i="5" s="1"/>
  <c r="R831" i="5" s="1"/>
  <c r="A839" i="2"/>
  <c r="B838" i="2"/>
  <c r="N832" i="5" l="1"/>
  <c r="P832" i="5" s="1"/>
  <c r="Q832" i="5" s="1"/>
  <c r="R832" i="5" s="1"/>
  <c r="M833" i="5"/>
  <c r="O833" i="5" s="1"/>
  <c r="E834" i="5"/>
  <c r="A840" i="2"/>
  <c r="B839" i="2"/>
  <c r="E835" i="5" l="1"/>
  <c r="M834" i="5"/>
  <c r="O834" i="5" s="1"/>
  <c r="N833" i="5"/>
  <c r="P833" i="5" s="1"/>
  <c r="Q833" i="5" s="1"/>
  <c r="R833" i="5" s="1"/>
  <c r="A841" i="2"/>
  <c r="B840" i="2"/>
  <c r="N834" i="5" l="1"/>
  <c r="P834" i="5" s="1"/>
  <c r="Q834" i="5" s="1"/>
  <c r="R834" i="5" s="1"/>
  <c r="M835" i="5"/>
  <c r="O835" i="5" s="1"/>
  <c r="E836" i="5"/>
  <c r="A842" i="2"/>
  <c r="B841" i="2"/>
  <c r="E837" i="5" l="1"/>
  <c r="N836" i="5"/>
  <c r="P836" i="5" s="1"/>
  <c r="M836" i="5"/>
  <c r="O836" i="5" s="1"/>
  <c r="N835" i="5"/>
  <c r="P835" i="5" s="1"/>
  <c r="Q835" i="5" s="1"/>
  <c r="R835" i="5" s="1"/>
  <c r="A843" i="2"/>
  <c r="B842" i="2"/>
  <c r="Q836" i="5" l="1"/>
  <c r="R836" i="5" s="1"/>
  <c r="M837" i="5"/>
  <c r="O837" i="5" s="1"/>
  <c r="E838" i="5"/>
  <c r="A844" i="2"/>
  <c r="B843" i="2"/>
  <c r="M838" i="5" l="1"/>
  <c r="O838" i="5" s="1"/>
  <c r="E839" i="5"/>
  <c r="N837" i="5"/>
  <c r="P837" i="5" s="1"/>
  <c r="Q837" i="5" s="1"/>
  <c r="R837" i="5" s="1"/>
  <c r="A845" i="2"/>
  <c r="B844" i="2"/>
  <c r="M839" i="5" l="1"/>
  <c r="O839" i="5" s="1"/>
  <c r="E840" i="5"/>
  <c r="N838" i="5"/>
  <c r="P838" i="5" s="1"/>
  <c r="Q838" i="5" s="1"/>
  <c r="R838" i="5" s="1"/>
  <c r="A846" i="2"/>
  <c r="B845" i="2"/>
  <c r="M840" i="5" l="1"/>
  <c r="O840" i="5" s="1"/>
  <c r="E841" i="5"/>
  <c r="N839" i="5"/>
  <c r="P839" i="5" s="1"/>
  <c r="Q839" i="5" s="1"/>
  <c r="R839" i="5" s="1"/>
  <c r="A847" i="2"/>
  <c r="B846" i="2"/>
  <c r="M841" i="5" l="1"/>
  <c r="O841" i="5" s="1"/>
  <c r="E842" i="5"/>
  <c r="N840" i="5"/>
  <c r="P840" i="5" s="1"/>
  <c r="Q840" i="5" s="1"/>
  <c r="R840" i="5" s="1"/>
  <c r="A848" i="2"/>
  <c r="B847" i="2"/>
  <c r="M842" i="5" l="1"/>
  <c r="O842" i="5" s="1"/>
  <c r="E843" i="5"/>
  <c r="N842" i="5"/>
  <c r="P842" i="5" s="1"/>
  <c r="N841" i="5"/>
  <c r="P841" i="5" s="1"/>
  <c r="Q841" i="5" s="1"/>
  <c r="R841" i="5" s="1"/>
  <c r="A849" i="2"/>
  <c r="B848" i="2"/>
  <c r="M843" i="5" l="1"/>
  <c r="O843" i="5" s="1"/>
  <c r="E844" i="5"/>
  <c r="Q842" i="5"/>
  <c r="R842" i="5" s="1"/>
  <c r="A850" i="2"/>
  <c r="B849" i="2"/>
  <c r="E845" i="5" l="1"/>
  <c r="M844" i="5"/>
  <c r="O844" i="5" s="1"/>
  <c r="N843" i="5"/>
  <c r="P843" i="5" s="1"/>
  <c r="Q843" i="5" s="1"/>
  <c r="R843" i="5" s="1"/>
  <c r="A851" i="2"/>
  <c r="B850" i="2"/>
  <c r="N845" i="5" l="1"/>
  <c r="P845" i="5" s="1"/>
  <c r="M845" i="5"/>
  <c r="O845" i="5" s="1"/>
  <c r="E846" i="5"/>
  <c r="N844" i="5"/>
  <c r="P844" i="5" s="1"/>
  <c r="Q844" i="5" s="1"/>
  <c r="R844" i="5" s="1"/>
  <c r="A852" i="2"/>
  <c r="B851" i="2"/>
  <c r="E847" i="5" l="1"/>
  <c r="M846" i="5"/>
  <c r="O846" i="5" s="1"/>
  <c r="Q845" i="5"/>
  <c r="R845" i="5" s="1"/>
  <c r="A853" i="2"/>
  <c r="B852" i="2"/>
  <c r="N846" i="5" l="1"/>
  <c r="P846" i="5" s="1"/>
  <c r="Q846" i="5" s="1"/>
  <c r="R846" i="5" s="1"/>
  <c r="M847" i="5"/>
  <c r="O847" i="5" s="1"/>
  <c r="E848" i="5"/>
  <c r="A854" i="2"/>
  <c r="B853" i="2"/>
  <c r="E849" i="5" l="1"/>
  <c r="M848" i="5"/>
  <c r="O848" i="5" s="1"/>
  <c r="N847" i="5"/>
  <c r="P847" i="5" s="1"/>
  <c r="Q847" i="5" s="1"/>
  <c r="R847" i="5" s="1"/>
  <c r="A855" i="2"/>
  <c r="B854" i="2"/>
  <c r="N848" i="5" l="1"/>
  <c r="P848" i="5" s="1"/>
  <c r="Q848" i="5" s="1"/>
  <c r="R848" i="5" s="1"/>
  <c r="M849" i="5"/>
  <c r="O849" i="5" s="1"/>
  <c r="E850" i="5"/>
  <c r="A856" i="2"/>
  <c r="B855" i="2"/>
  <c r="E851" i="5" l="1"/>
  <c r="M850" i="5"/>
  <c r="O850" i="5" s="1"/>
  <c r="N849" i="5"/>
  <c r="P849" i="5" s="1"/>
  <c r="Q849" i="5" s="1"/>
  <c r="R849" i="5" s="1"/>
  <c r="A857" i="2"/>
  <c r="B856" i="2"/>
  <c r="N850" i="5" l="1"/>
  <c r="P850" i="5" s="1"/>
  <c r="Q850" i="5" s="1"/>
  <c r="R850" i="5" s="1"/>
  <c r="M851" i="5"/>
  <c r="O851" i="5" s="1"/>
  <c r="E852" i="5"/>
  <c r="A858" i="2"/>
  <c r="B857" i="2"/>
  <c r="E853" i="5" l="1"/>
  <c r="M852" i="5"/>
  <c r="O852" i="5" s="1"/>
  <c r="N851" i="5"/>
  <c r="P851" i="5" s="1"/>
  <c r="Q851" i="5" s="1"/>
  <c r="R851" i="5" s="1"/>
  <c r="A859" i="2"/>
  <c r="B858" i="2"/>
  <c r="N852" i="5" l="1"/>
  <c r="P852" i="5" s="1"/>
  <c r="Q852" i="5" s="1"/>
  <c r="R852" i="5" s="1"/>
  <c r="M853" i="5"/>
  <c r="O853" i="5" s="1"/>
  <c r="E854" i="5"/>
  <c r="A860" i="2"/>
  <c r="B859" i="2"/>
  <c r="M854" i="5" l="1"/>
  <c r="O854" i="5" s="1"/>
  <c r="E855" i="5"/>
  <c r="N853" i="5"/>
  <c r="P853" i="5" s="1"/>
  <c r="Q853" i="5" s="1"/>
  <c r="R853" i="5" s="1"/>
  <c r="A861" i="2"/>
  <c r="B860" i="2"/>
  <c r="M855" i="5" l="1"/>
  <c r="O855" i="5" s="1"/>
  <c r="E856" i="5"/>
  <c r="N854" i="5"/>
  <c r="P854" i="5" s="1"/>
  <c r="Q854" i="5" s="1"/>
  <c r="R854" i="5" s="1"/>
  <c r="A862" i="2"/>
  <c r="B861" i="2"/>
  <c r="N856" i="5" l="1"/>
  <c r="P856" i="5" s="1"/>
  <c r="M856" i="5"/>
  <c r="O856" i="5" s="1"/>
  <c r="E857" i="5"/>
  <c r="N855" i="5"/>
  <c r="P855" i="5" s="1"/>
  <c r="Q855" i="5" s="1"/>
  <c r="R855" i="5" s="1"/>
  <c r="A863" i="2"/>
  <c r="B862" i="2"/>
  <c r="M857" i="5" l="1"/>
  <c r="O857" i="5" s="1"/>
  <c r="E858" i="5"/>
  <c r="Q856" i="5"/>
  <c r="R856" i="5" s="1"/>
  <c r="A864" i="2"/>
  <c r="B863" i="2"/>
  <c r="M858" i="5" l="1"/>
  <c r="O858" i="5" s="1"/>
  <c r="E859" i="5"/>
  <c r="N858" i="5"/>
  <c r="P858" i="5" s="1"/>
  <c r="N857" i="5"/>
  <c r="P857" i="5" s="1"/>
  <c r="Q857" i="5" s="1"/>
  <c r="R857" i="5" s="1"/>
  <c r="A865" i="2"/>
  <c r="B864" i="2"/>
  <c r="M859" i="5" l="1"/>
  <c r="O859" i="5" s="1"/>
  <c r="E860" i="5"/>
  <c r="Q858" i="5"/>
  <c r="R858" i="5" s="1"/>
  <c r="A866" i="2"/>
  <c r="B865" i="2"/>
  <c r="E861" i="5" l="1"/>
  <c r="M860" i="5"/>
  <c r="O860" i="5" s="1"/>
  <c r="N859" i="5"/>
  <c r="P859" i="5" s="1"/>
  <c r="Q859" i="5" s="1"/>
  <c r="R859" i="5" s="1"/>
  <c r="A867" i="2"/>
  <c r="B866" i="2"/>
  <c r="Q860" i="5" l="1"/>
  <c r="R860" i="5" s="1"/>
  <c r="N860" i="5"/>
  <c r="P860" i="5" s="1"/>
  <c r="M861" i="5"/>
  <c r="O861" i="5" s="1"/>
  <c r="E862" i="5"/>
  <c r="A868" i="2"/>
  <c r="B867" i="2"/>
  <c r="E863" i="5" l="1"/>
  <c r="M862" i="5"/>
  <c r="O862" i="5" s="1"/>
  <c r="N861" i="5"/>
  <c r="P861" i="5" s="1"/>
  <c r="Q861" i="5" s="1"/>
  <c r="R861" i="5" s="1"/>
  <c r="A869" i="2"/>
  <c r="B868" i="2"/>
  <c r="N862" i="5" l="1"/>
  <c r="P862" i="5" s="1"/>
  <c r="Q862" i="5" s="1"/>
  <c r="R862" i="5" s="1"/>
  <c r="M863" i="5"/>
  <c r="O863" i="5" s="1"/>
  <c r="E864" i="5"/>
  <c r="A870" i="2"/>
  <c r="B869" i="2"/>
  <c r="E865" i="5" l="1"/>
  <c r="M864" i="5"/>
  <c r="O864" i="5" s="1"/>
  <c r="N863" i="5"/>
  <c r="P863" i="5" s="1"/>
  <c r="Q863" i="5" s="1"/>
  <c r="R863" i="5" s="1"/>
  <c r="A871" i="2"/>
  <c r="B870" i="2"/>
  <c r="N864" i="5" l="1"/>
  <c r="P864" i="5" s="1"/>
  <c r="Q864" i="5" s="1"/>
  <c r="R864" i="5" s="1"/>
  <c r="M865" i="5"/>
  <c r="O865" i="5" s="1"/>
  <c r="E866" i="5"/>
  <c r="A872" i="2"/>
  <c r="B871" i="2"/>
  <c r="E867" i="5" l="1"/>
  <c r="M866" i="5"/>
  <c r="O866" i="5" s="1"/>
  <c r="N865" i="5"/>
  <c r="P865" i="5" s="1"/>
  <c r="Q865" i="5"/>
  <c r="R865" i="5" s="1"/>
  <c r="A873" i="2"/>
  <c r="B872" i="2"/>
  <c r="N866" i="5" l="1"/>
  <c r="P866" i="5" s="1"/>
  <c r="Q866" i="5" s="1"/>
  <c r="R866" i="5" s="1"/>
  <c r="M867" i="5"/>
  <c r="O867" i="5" s="1"/>
  <c r="E868" i="5"/>
  <c r="A874" i="2"/>
  <c r="B873" i="2"/>
  <c r="E869" i="5" l="1"/>
  <c r="M868" i="5"/>
  <c r="O868" i="5" s="1"/>
  <c r="N867" i="5"/>
  <c r="P867" i="5" s="1"/>
  <c r="Q867" i="5" s="1"/>
  <c r="R867" i="5" s="1"/>
  <c r="A875" i="2"/>
  <c r="B874" i="2"/>
  <c r="N868" i="5" l="1"/>
  <c r="P868" i="5" s="1"/>
  <c r="Q868" i="5" s="1"/>
  <c r="R868" i="5" s="1"/>
  <c r="M869" i="5"/>
  <c r="O869" i="5" s="1"/>
  <c r="E870" i="5"/>
  <c r="A876" i="2"/>
  <c r="B875" i="2"/>
  <c r="M870" i="5" l="1"/>
  <c r="O870" i="5" s="1"/>
  <c r="E871" i="5"/>
  <c r="N869" i="5"/>
  <c r="P869" i="5" s="1"/>
  <c r="Q869" i="5" s="1"/>
  <c r="R869" i="5" s="1"/>
  <c r="A877" i="2"/>
  <c r="B876" i="2"/>
  <c r="M871" i="5" l="1"/>
  <c r="O871" i="5" s="1"/>
  <c r="E872" i="5"/>
  <c r="N870" i="5"/>
  <c r="P870" i="5" s="1"/>
  <c r="Q870" i="5" s="1"/>
  <c r="R870" i="5" s="1"/>
  <c r="A878" i="2"/>
  <c r="B877" i="2"/>
  <c r="E873" i="5" l="1"/>
  <c r="M872" i="5"/>
  <c r="O872" i="5" s="1"/>
  <c r="N871" i="5"/>
  <c r="P871" i="5" s="1"/>
  <c r="Q871" i="5" s="1"/>
  <c r="R871" i="5" s="1"/>
  <c r="A879" i="2"/>
  <c r="B878" i="2"/>
  <c r="M873" i="5" l="1"/>
  <c r="O873" i="5" s="1"/>
  <c r="E874" i="5"/>
  <c r="N872" i="5"/>
  <c r="P872" i="5" s="1"/>
  <c r="Q872" i="5" s="1"/>
  <c r="R872" i="5" s="1"/>
  <c r="A880" i="2"/>
  <c r="B879" i="2"/>
  <c r="E875" i="5" l="1"/>
  <c r="M874" i="5"/>
  <c r="O874" i="5" s="1"/>
  <c r="N873" i="5"/>
  <c r="P873" i="5" s="1"/>
  <c r="Q873" i="5" s="1"/>
  <c r="R873" i="5" s="1"/>
  <c r="A881" i="2"/>
  <c r="B880" i="2"/>
  <c r="M875" i="5" l="1"/>
  <c r="O875" i="5" s="1"/>
  <c r="E876" i="5"/>
  <c r="N874" i="5"/>
  <c r="P874" i="5" s="1"/>
  <c r="Q874" i="5" s="1"/>
  <c r="R874" i="5" s="1"/>
  <c r="A882" i="2"/>
  <c r="B881" i="2"/>
  <c r="E877" i="5" l="1"/>
  <c r="M876" i="5"/>
  <c r="O876" i="5" s="1"/>
  <c r="N875" i="5"/>
  <c r="P875" i="5" s="1"/>
  <c r="Q875" i="5" s="1"/>
  <c r="R875" i="5" s="1"/>
  <c r="A883" i="2"/>
  <c r="B882" i="2"/>
  <c r="M877" i="5" l="1"/>
  <c r="O877" i="5" s="1"/>
  <c r="E878" i="5"/>
  <c r="N876" i="5"/>
  <c r="P876" i="5" s="1"/>
  <c r="Q876" i="5" s="1"/>
  <c r="R876" i="5" s="1"/>
  <c r="A884" i="2"/>
  <c r="B883" i="2"/>
  <c r="N878" i="5" l="1"/>
  <c r="P878" i="5" s="1"/>
  <c r="E879" i="5"/>
  <c r="M878" i="5"/>
  <c r="O878" i="5" s="1"/>
  <c r="N877" i="5"/>
  <c r="P877" i="5" s="1"/>
  <c r="Q877" i="5" s="1"/>
  <c r="R877" i="5" s="1"/>
  <c r="A885" i="2"/>
  <c r="B884" i="2"/>
  <c r="Q878" i="5" l="1"/>
  <c r="R878" i="5" s="1"/>
  <c r="M879" i="5"/>
  <c r="O879" i="5" s="1"/>
  <c r="E880" i="5"/>
  <c r="A886" i="2"/>
  <c r="B885" i="2"/>
  <c r="N880" i="5" l="1"/>
  <c r="P880" i="5" s="1"/>
  <c r="E881" i="5"/>
  <c r="M880" i="5"/>
  <c r="O880" i="5" s="1"/>
  <c r="N879" i="5"/>
  <c r="P879" i="5" s="1"/>
  <c r="Q879" i="5" s="1"/>
  <c r="R879" i="5" s="1"/>
  <c r="A887" i="2"/>
  <c r="B886" i="2"/>
  <c r="Q880" i="5" l="1"/>
  <c r="R880" i="5" s="1"/>
  <c r="M881" i="5"/>
  <c r="O881" i="5" s="1"/>
  <c r="E882" i="5"/>
  <c r="A888" i="2"/>
  <c r="B887" i="2"/>
  <c r="E883" i="5" l="1"/>
  <c r="M882" i="5"/>
  <c r="O882" i="5" s="1"/>
  <c r="N881" i="5"/>
  <c r="P881" i="5" s="1"/>
  <c r="Q881" i="5" s="1"/>
  <c r="R881" i="5" s="1"/>
  <c r="A889" i="2"/>
  <c r="B888" i="2"/>
  <c r="M883" i="5" l="1"/>
  <c r="O883" i="5" s="1"/>
  <c r="E884" i="5"/>
  <c r="N882" i="5"/>
  <c r="P882" i="5" s="1"/>
  <c r="Q882" i="5" s="1"/>
  <c r="R882" i="5" s="1"/>
  <c r="A890" i="2"/>
  <c r="B889" i="2"/>
  <c r="Q883" i="5" l="1"/>
  <c r="R883" i="5" s="1"/>
  <c r="N883" i="5"/>
  <c r="P883" i="5" s="1"/>
  <c r="N884" i="5"/>
  <c r="P884" i="5" s="1"/>
  <c r="M884" i="5"/>
  <c r="O884" i="5" s="1"/>
  <c r="E885" i="5"/>
  <c r="A891" i="2"/>
  <c r="B890" i="2"/>
  <c r="M885" i="5" l="1"/>
  <c r="O885" i="5" s="1"/>
  <c r="N885" i="5"/>
  <c r="P885" i="5" s="1"/>
  <c r="E886" i="5"/>
  <c r="Q884" i="5"/>
  <c r="R884" i="5" s="1"/>
  <c r="A892" i="2"/>
  <c r="B891" i="2"/>
  <c r="M886" i="5" l="1"/>
  <c r="O886" i="5" s="1"/>
  <c r="E887" i="5"/>
  <c r="Q885" i="5"/>
  <c r="R885" i="5" s="1"/>
  <c r="A893" i="2"/>
  <c r="B892" i="2"/>
  <c r="N886" i="5" l="1"/>
  <c r="P886" i="5" s="1"/>
  <c r="Q886" i="5" s="1"/>
  <c r="R886" i="5" s="1"/>
  <c r="M887" i="5"/>
  <c r="O887" i="5" s="1"/>
  <c r="E888" i="5"/>
  <c r="N887" i="5"/>
  <c r="P887" i="5" s="1"/>
  <c r="A894" i="2"/>
  <c r="B893" i="2"/>
  <c r="E889" i="5" l="1"/>
  <c r="M888" i="5"/>
  <c r="O888" i="5" s="1"/>
  <c r="Q887" i="5"/>
  <c r="R887" i="5" s="1"/>
  <c r="A895" i="2"/>
  <c r="B894" i="2"/>
  <c r="M889" i="5" l="1"/>
  <c r="O889" i="5" s="1"/>
  <c r="E890" i="5"/>
  <c r="N888" i="5"/>
  <c r="P888" i="5" s="1"/>
  <c r="Q888" i="5" s="1"/>
  <c r="R888" i="5" s="1"/>
  <c r="A896" i="2"/>
  <c r="B895" i="2"/>
  <c r="M890" i="5" l="1"/>
  <c r="O890" i="5" s="1"/>
  <c r="E891" i="5"/>
  <c r="N889" i="5"/>
  <c r="P889" i="5" s="1"/>
  <c r="Q889" i="5" s="1"/>
  <c r="R889" i="5" s="1"/>
  <c r="A897" i="2"/>
  <c r="B896" i="2"/>
  <c r="Q890" i="5" l="1"/>
  <c r="R890" i="5" s="1"/>
  <c r="M891" i="5"/>
  <c r="O891" i="5" s="1"/>
  <c r="N891" i="5"/>
  <c r="P891" i="5" s="1"/>
  <c r="E892" i="5"/>
  <c r="N890" i="5"/>
  <c r="P890" i="5" s="1"/>
  <c r="A898" i="2"/>
  <c r="B897" i="2"/>
  <c r="E893" i="5" l="1"/>
  <c r="M892" i="5"/>
  <c r="O892" i="5" s="1"/>
  <c r="Q891" i="5"/>
  <c r="R891" i="5" s="1"/>
  <c r="A899" i="2"/>
  <c r="B898" i="2"/>
  <c r="M893" i="5" l="1"/>
  <c r="O893" i="5" s="1"/>
  <c r="E894" i="5"/>
  <c r="N892" i="5"/>
  <c r="P892" i="5" s="1"/>
  <c r="Q892" i="5" s="1"/>
  <c r="R892" i="5" s="1"/>
  <c r="A900" i="2"/>
  <c r="B899" i="2"/>
  <c r="N893" i="5" l="1"/>
  <c r="P893" i="5" s="1"/>
  <c r="Q893" i="5" s="1"/>
  <c r="R893" i="5" s="1"/>
  <c r="E895" i="5"/>
  <c r="M894" i="5"/>
  <c r="O894" i="5" s="1"/>
  <c r="A901" i="2"/>
  <c r="B900" i="2"/>
  <c r="Q894" i="5" l="1"/>
  <c r="R894" i="5" s="1"/>
  <c r="N894" i="5"/>
  <c r="P894" i="5" s="1"/>
  <c r="M895" i="5"/>
  <c r="O895" i="5" s="1"/>
  <c r="N895" i="5"/>
  <c r="P895" i="5" s="1"/>
  <c r="E896" i="5"/>
  <c r="A902" i="2"/>
  <c r="B901" i="2"/>
  <c r="N896" i="5" l="1"/>
  <c r="P896" i="5" s="1"/>
  <c r="M896" i="5"/>
  <c r="O896" i="5" s="1"/>
  <c r="E897" i="5"/>
  <c r="Q895" i="5"/>
  <c r="R895" i="5" s="1"/>
  <c r="A903" i="2"/>
  <c r="B902" i="2"/>
  <c r="M897" i="5" l="1"/>
  <c r="O897" i="5" s="1"/>
  <c r="E898" i="5"/>
  <c r="Q896" i="5"/>
  <c r="R896" i="5" s="1"/>
  <c r="A904" i="2"/>
  <c r="B903" i="2"/>
  <c r="Q897" i="5" l="1"/>
  <c r="R897" i="5" s="1"/>
  <c r="E899" i="5"/>
  <c r="M898" i="5"/>
  <c r="O898" i="5" s="1"/>
  <c r="N898" i="5"/>
  <c r="P898" i="5" s="1"/>
  <c r="N897" i="5"/>
  <c r="P897" i="5" s="1"/>
  <c r="A905" i="2"/>
  <c r="B904" i="2"/>
  <c r="Q898" i="5" l="1"/>
  <c r="R898" i="5" s="1"/>
  <c r="M899" i="5"/>
  <c r="O899" i="5" s="1"/>
  <c r="E900" i="5"/>
  <c r="N899" i="5"/>
  <c r="P899" i="5" s="1"/>
  <c r="A906" i="2"/>
  <c r="B905" i="2"/>
  <c r="E901" i="5" l="1"/>
  <c r="M900" i="5"/>
  <c r="O900" i="5" s="1"/>
  <c r="Q899" i="5"/>
  <c r="R899" i="5" s="1"/>
  <c r="A907" i="2"/>
  <c r="B906" i="2"/>
  <c r="M901" i="5" l="1"/>
  <c r="O901" i="5" s="1"/>
  <c r="E902" i="5"/>
  <c r="N900" i="5"/>
  <c r="P900" i="5" s="1"/>
  <c r="Q900" i="5" s="1"/>
  <c r="R900" i="5" s="1"/>
  <c r="A908" i="2"/>
  <c r="B907" i="2"/>
  <c r="Q901" i="5" l="1"/>
  <c r="R901" i="5" s="1"/>
  <c r="N901" i="5"/>
  <c r="P901" i="5" s="1"/>
  <c r="E903" i="5"/>
  <c r="M902" i="5"/>
  <c r="O902" i="5" s="1"/>
  <c r="A909" i="2"/>
  <c r="B908" i="2"/>
  <c r="Q902" i="5" l="1"/>
  <c r="R902" i="5" s="1"/>
  <c r="N902" i="5"/>
  <c r="P902" i="5" s="1"/>
  <c r="M903" i="5"/>
  <c r="O903" i="5" s="1"/>
  <c r="E904" i="5"/>
  <c r="N903" i="5"/>
  <c r="P903" i="5" s="1"/>
  <c r="A910" i="2"/>
  <c r="B909" i="2"/>
  <c r="E905" i="5" l="1"/>
  <c r="M904" i="5"/>
  <c r="O904" i="5" s="1"/>
  <c r="Q903" i="5"/>
  <c r="R903" i="5" s="1"/>
  <c r="A911" i="2"/>
  <c r="B910" i="2"/>
  <c r="M905" i="5" l="1"/>
  <c r="O905" i="5" s="1"/>
  <c r="E906" i="5"/>
  <c r="N904" i="5"/>
  <c r="P904" i="5" s="1"/>
  <c r="Q904" i="5" s="1"/>
  <c r="R904" i="5" s="1"/>
  <c r="A912" i="2"/>
  <c r="B911" i="2"/>
  <c r="Q905" i="5" l="1"/>
  <c r="R905" i="5" s="1"/>
  <c r="N905" i="5"/>
  <c r="P905" i="5" s="1"/>
  <c r="E907" i="5"/>
  <c r="M906" i="5"/>
  <c r="O906" i="5" s="1"/>
  <c r="A913" i="2"/>
  <c r="B912" i="2"/>
  <c r="Q906" i="5" l="1"/>
  <c r="R906" i="5" s="1"/>
  <c r="N906" i="5"/>
  <c r="P906" i="5" s="1"/>
  <c r="M907" i="5"/>
  <c r="O907" i="5" s="1"/>
  <c r="E908" i="5"/>
  <c r="N907" i="5"/>
  <c r="P907" i="5" s="1"/>
  <c r="A914" i="2"/>
  <c r="B913" i="2"/>
  <c r="E909" i="5" l="1"/>
  <c r="M908" i="5"/>
  <c r="O908" i="5" s="1"/>
  <c r="Q907" i="5"/>
  <c r="R907" i="5" s="1"/>
  <c r="A915" i="2"/>
  <c r="B914" i="2"/>
  <c r="M909" i="5" l="1"/>
  <c r="O909" i="5" s="1"/>
  <c r="E910" i="5"/>
  <c r="N908" i="5"/>
  <c r="P908" i="5" s="1"/>
  <c r="Q908" i="5" s="1"/>
  <c r="R908" i="5" s="1"/>
  <c r="A916" i="2"/>
  <c r="B915" i="2"/>
  <c r="Q909" i="5" l="1"/>
  <c r="R909" i="5" s="1"/>
  <c r="N909" i="5"/>
  <c r="P909" i="5" s="1"/>
  <c r="E911" i="5"/>
  <c r="M910" i="5"/>
  <c r="O910" i="5" s="1"/>
  <c r="A917" i="2"/>
  <c r="B916" i="2"/>
  <c r="Q910" i="5" l="1"/>
  <c r="R910" i="5" s="1"/>
  <c r="N910" i="5"/>
  <c r="P910" i="5" s="1"/>
  <c r="M911" i="5"/>
  <c r="O911" i="5" s="1"/>
  <c r="E912" i="5"/>
  <c r="N911" i="5"/>
  <c r="P911" i="5" s="1"/>
  <c r="A918" i="2"/>
  <c r="B917" i="2"/>
  <c r="E913" i="5" l="1"/>
  <c r="M912" i="5"/>
  <c r="O912" i="5" s="1"/>
  <c r="Q911" i="5"/>
  <c r="R911" i="5" s="1"/>
  <c r="A919" i="2"/>
  <c r="B918" i="2"/>
  <c r="Q912" i="5" l="1"/>
  <c r="R912" i="5" s="1"/>
  <c r="N912" i="5"/>
  <c r="P912" i="5" s="1"/>
  <c r="M913" i="5"/>
  <c r="O913" i="5" s="1"/>
  <c r="E914" i="5"/>
  <c r="A920" i="2"/>
  <c r="B919" i="2"/>
  <c r="Q913" i="5" l="1"/>
  <c r="R913" i="5" s="1"/>
  <c r="N913" i="5"/>
  <c r="P913" i="5" s="1"/>
  <c r="E915" i="5"/>
  <c r="M914" i="5"/>
  <c r="O914" i="5" s="1"/>
  <c r="A921" i="2"/>
  <c r="B920" i="2"/>
  <c r="Q914" i="5" l="1"/>
  <c r="R914" i="5" s="1"/>
  <c r="N914" i="5"/>
  <c r="P914" i="5" s="1"/>
  <c r="M915" i="5"/>
  <c r="O915" i="5" s="1"/>
  <c r="E916" i="5"/>
  <c r="N915" i="5"/>
  <c r="P915" i="5" s="1"/>
  <c r="A922" i="2"/>
  <c r="B921" i="2"/>
  <c r="Q915" i="5" l="1"/>
  <c r="R915" i="5" s="1"/>
  <c r="E917" i="5"/>
  <c r="M916" i="5"/>
  <c r="O916" i="5" s="1"/>
  <c r="A923" i="2"/>
  <c r="B922" i="2"/>
  <c r="Q916" i="5" l="1"/>
  <c r="R916" i="5" s="1"/>
  <c r="N916" i="5"/>
  <c r="P916" i="5" s="1"/>
  <c r="M917" i="5"/>
  <c r="O917" i="5" s="1"/>
  <c r="E918" i="5"/>
  <c r="A924" i="2"/>
  <c r="B923" i="2"/>
  <c r="E919" i="5" l="1"/>
  <c r="M918" i="5"/>
  <c r="O918" i="5" s="1"/>
  <c r="N917" i="5"/>
  <c r="P917" i="5" s="1"/>
  <c r="Q917" i="5" s="1"/>
  <c r="R917" i="5" s="1"/>
  <c r="A925" i="2"/>
  <c r="B924" i="2"/>
  <c r="E920" i="5" l="1"/>
  <c r="M919" i="5"/>
  <c r="O919" i="5" s="1"/>
  <c r="N918" i="5"/>
  <c r="P918" i="5" s="1"/>
  <c r="Q918" i="5" s="1"/>
  <c r="R918" i="5" s="1"/>
  <c r="A926" i="2"/>
  <c r="B925" i="2"/>
  <c r="N920" i="5" l="1"/>
  <c r="P920" i="5" s="1"/>
  <c r="M920" i="5"/>
  <c r="O920" i="5" s="1"/>
  <c r="E921" i="5"/>
  <c r="N919" i="5"/>
  <c r="P919" i="5" s="1"/>
  <c r="Q919" i="5" s="1"/>
  <c r="R919" i="5" s="1"/>
  <c r="A927" i="2"/>
  <c r="B926" i="2"/>
  <c r="E922" i="5" l="1"/>
  <c r="M921" i="5"/>
  <c r="O921" i="5" s="1"/>
  <c r="Q920" i="5"/>
  <c r="R920" i="5" s="1"/>
  <c r="A928" i="2"/>
  <c r="B927" i="2"/>
  <c r="E923" i="5" l="1"/>
  <c r="M922" i="5"/>
  <c r="O922" i="5" s="1"/>
  <c r="N921" i="5"/>
  <c r="P921" i="5" s="1"/>
  <c r="Q921" i="5" s="1"/>
  <c r="R921" i="5" s="1"/>
  <c r="A929" i="2"/>
  <c r="B928" i="2"/>
  <c r="Q922" i="5" l="1"/>
  <c r="R922" i="5" s="1"/>
  <c r="N922" i="5"/>
  <c r="P922" i="5" s="1"/>
  <c r="M923" i="5"/>
  <c r="O923" i="5" s="1"/>
  <c r="E924" i="5"/>
  <c r="A930" i="2"/>
  <c r="B929" i="2"/>
  <c r="E925" i="5" l="1"/>
  <c r="M924" i="5"/>
  <c r="O924" i="5" s="1"/>
  <c r="N923" i="5"/>
  <c r="P923" i="5" s="1"/>
  <c r="Q923" i="5" s="1"/>
  <c r="R923" i="5" s="1"/>
  <c r="A931" i="2"/>
  <c r="B930" i="2"/>
  <c r="E926" i="5" l="1"/>
  <c r="M925" i="5"/>
  <c r="O925" i="5" s="1"/>
  <c r="N924" i="5"/>
  <c r="P924" i="5" s="1"/>
  <c r="Q924" i="5" s="1"/>
  <c r="R924" i="5" s="1"/>
  <c r="A932" i="2"/>
  <c r="B931" i="2"/>
  <c r="M926" i="5" l="1"/>
  <c r="O926" i="5" s="1"/>
  <c r="E927" i="5"/>
  <c r="N925" i="5"/>
  <c r="P925" i="5" s="1"/>
  <c r="Q925" i="5" s="1"/>
  <c r="R925" i="5" s="1"/>
  <c r="A933" i="2"/>
  <c r="B932" i="2"/>
  <c r="Q926" i="5" l="1"/>
  <c r="R926" i="5" s="1"/>
  <c r="M927" i="5"/>
  <c r="O927" i="5" s="1"/>
  <c r="E928" i="5"/>
  <c r="N927" i="5"/>
  <c r="P927" i="5" s="1"/>
  <c r="N926" i="5"/>
  <c r="P926" i="5" s="1"/>
  <c r="A934" i="2"/>
  <c r="B933" i="2"/>
  <c r="E929" i="5" l="1"/>
  <c r="M928" i="5"/>
  <c r="O928" i="5" s="1"/>
  <c r="Q927" i="5"/>
  <c r="R927" i="5" s="1"/>
  <c r="A935" i="2"/>
  <c r="B934" i="2"/>
  <c r="N928" i="5" l="1"/>
  <c r="P928" i="5" s="1"/>
  <c r="Q928" i="5" s="1"/>
  <c r="R928" i="5" s="1"/>
  <c r="M929" i="5"/>
  <c r="O929" i="5" s="1"/>
  <c r="E930" i="5"/>
  <c r="A936" i="2"/>
  <c r="B935" i="2"/>
  <c r="M930" i="5" l="1"/>
  <c r="O930" i="5" s="1"/>
  <c r="E931" i="5"/>
  <c r="N930" i="5"/>
  <c r="P930" i="5" s="1"/>
  <c r="N929" i="5"/>
  <c r="P929" i="5" s="1"/>
  <c r="Q929" i="5" s="1"/>
  <c r="R929" i="5" s="1"/>
  <c r="A937" i="2"/>
  <c r="B936" i="2"/>
  <c r="E932" i="5" l="1"/>
  <c r="M931" i="5"/>
  <c r="O931" i="5" s="1"/>
  <c r="Q930" i="5"/>
  <c r="R930" i="5" s="1"/>
  <c r="A938" i="2"/>
  <c r="B937" i="2"/>
  <c r="Q931" i="5" l="1"/>
  <c r="R931" i="5" s="1"/>
  <c r="N931" i="5"/>
  <c r="P931" i="5" s="1"/>
  <c r="M932" i="5"/>
  <c r="O932" i="5" s="1"/>
  <c r="E933" i="5"/>
  <c r="A939" i="2"/>
  <c r="B938" i="2"/>
  <c r="M933" i="5" l="1"/>
  <c r="O933" i="5" s="1"/>
  <c r="E934" i="5"/>
  <c r="N932" i="5"/>
  <c r="P932" i="5" s="1"/>
  <c r="Q932" i="5" s="1"/>
  <c r="R932" i="5" s="1"/>
  <c r="A940" i="2"/>
  <c r="B939" i="2"/>
  <c r="E935" i="5" l="1"/>
  <c r="M934" i="5"/>
  <c r="O934" i="5" s="1"/>
  <c r="N933" i="5"/>
  <c r="P933" i="5" s="1"/>
  <c r="Q933" i="5" s="1"/>
  <c r="R933" i="5" s="1"/>
  <c r="A941" i="2"/>
  <c r="B940" i="2"/>
  <c r="N934" i="5" l="1"/>
  <c r="P934" i="5" s="1"/>
  <c r="Q934" i="5" s="1"/>
  <c r="R934" i="5" s="1"/>
  <c r="E936" i="5"/>
  <c r="M935" i="5"/>
  <c r="O935" i="5" s="1"/>
  <c r="A942" i="2"/>
  <c r="B941" i="2"/>
  <c r="M936" i="5" l="1"/>
  <c r="O936" i="5" s="1"/>
  <c r="E937" i="5"/>
  <c r="N935" i="5"/>
  <c r="P935" i="5" s="1"/>
  <c r="Q935" i="5" s="1"/>
  <c r="R935" i="5" s="1"/>
  <c r="A943" i="2"/>
  <c r="B942" i="2"/>
  <c r="N936" i="5" l="1"/>
  <c r="P936" i="5" s="1"/>
  <c r="Q936" i="5" s="1"/>
  <c r="R936" i="5" s="1"/>
  <c r="E938" i="5"/>
  <c r="M937" i="5"/>
  <c r="O937" i="5" s="1"/>
  <c r="A944" i="2"/>
  <c r="B943" i="2"/>
  <c r="N937" i="5" l="1"/>
  <c r="P937" i="5" s="1"/>
  <c r="Q937" i="5" s="1"/>
  <c r="R937" i="5" s="1"/>
  <c r="M938" i="5"/>
  <c r="O938" i="5" s="1"/>
  <c r="E939" i="5"/>
  <c r="A945" i="2"/>
  <c r="B944" i="2"/>
  <c r="M939" i="5" l="1"/>
  <c r="O939" i="5" s="1"/>
  <c r="E940" i="5"/>
  <c r="N938" i="5"/>
  <c r="P938" i="5" s="1"/>
  <c r="Q938" i="5" s="1"/>
  <c r="R938" i="5" s="1"/>
  <c r="A946" i="2"/>
  <c r="B945" i="2"/>
  <c r="E941" i="5" l="1"/>
  <c r="M940" i="5"/>
  <c r="O940" i="5" s="1"/>
  <c r="N939" i="5"/>
  <c r="P939" i="5" s="1"/>
  <c r="Q939" i="5" s="1"/>
  <c r="R939" i="5" s="1"/>
  <c r="A947" i="2"/>
  <c r="B946" i="2"/>
  <c r="N940" i="5" l="1"/>
  <c r="P940" i="5" s="1"/>
  <c r="Q940" i="5" s="1"/>
  <c r="R940" i="5" s="1"/>
  <c r="E942" i="5"/>
  <c r="M941" i="5"/>
  <c r="O941" i="5" s="1"/>
  <c r="A948" i="2"/>
  <c r="B947" i="2"/>
  <c r="N941" i="5" l="1"/>
  <c r="P941" i="5" s="1"/>
  <c r="Q941" i="5" s="1"/>
  <c r="R941" i="5" s="1"/>
  <c r="M942" i="5"/>
  <c r="O942" i="5" s="1"/>
  <c r="N942" i="5"/>
  <c r="P942" i="5" s="1"/>
  <c r="E943" i="5"/>
  <c r="A949" i="2"/>
  <c r="B948" i="2"/>
  <c r="M943" i="5" l="1"/>
  <c r="O943" i="5" s="1"/>
  <c r="E944" i="5"/>
  <c r="Q942" i="5"/>
  <c r="R942" i="5" s="1"/>
  <c r="A950" i="2"/>
  <c r="B949" i="2"/>
  <c r="M944" i="5" l="1"/>
  <c r="O944" i="5" s="1"/>
  <c r="N944" i="5"/>
  <c r="P944" i="5" s="1"/>
  <c r="E945" i="5"/>
  <c r="N943" i="5"/>
  <c r="P943" i="5" s="1"/>
  <c r="Q943" i="5" s="1"/>
  <c r="R943" i="5" s="1"/>
  <c r="A951" i="2"/>
  <c r="B950" i="2"/>
  <c r="E946" i="5" l="1"/>
  <c r="M945" i="5"/>
  <c r="O945" i="5" s="1"/>
  <c r="Q944" i="5"/>
  <c r="R944" i="5" s="1"/>
  <c r="A952" i="2"/>
  <c r="B951" i="2"/>
  <c r="N945" i="5" l="1"/>
  <c r="P945" i="5" s="1"/>
  <c r="Q945" i="5" s="1"/>
  <c r="R945" i="5" s="1"/>
  <c r="M946" i="5"/>
  <c r="O946" i="5" s="1"/>
  <c r="E947" i="5"/>
  <c r="N946" i="5"/>
  <c r="P946" i="5" s="1"/>
  <c r="A953" i="2"/>
  <c r="B952" i="2"/>
  <c r="E948" i="5" l="1"/>
  <c r="M947" i="5"/>
  <c r="O947" i="5" s="1"/>
  <c r="Q946" i="5"/>
  <c r="R946" i="5" s="1"/>
  <c r="A954" i="2"/>
  <c r="B953" i="2"/>
  <c r="N947" i="5" l="1"/>
  <c r="P947" i="5" s="1"/>
  <c r="Q947" i="5" s="1"/>
  <c r="R947" i="5" s="1"/>
  <c r="M948" i="5"/>
  <c r="O948" i="5" s="1"/>
  <c r="E949" i="5"/>
  <c r="A955" i="2"/>
  <c r="B954" i="2"/>
  <c r="N948" i="5" l="1"/>
  <c r="P948" i="5" s="1"/>
  <c r="Q948" i="5" s="1"/>
  <c r="R948" i="5" s="1"/>
  <c r="E950" i="5"/>
  <c r="M949" i="5"/>
  <c r="O949" i="5" s="1"/>
  <c r="A956" i="2"/>
  <c r="B955" i="2"/>
  <c r="N949" i="5" l="1"/>
  <c r="P949" i="5" s="1"/>
  <c r="Q949" i="5" s="1"/>
  <c r="R949" i="5" s="1"/>
  <c r="M950" i="5"/>
  <c r="O950" i="5" s="1"/>
  <c r="E951" i="5"/>
  <c r="A957" i="2"/>
  <c r="B956" i="2"/>
  <c r="E952" i="5" l="1"/>
  <c r="M951" i="5"/>
  <c r="O951" i="5" s="1"/>
  <c r="N950" i="5"/>
  <c r="P950" i="5" s="1"/>
  <c r="Q950" i="5" s="1"/>
  <c r="R950" i="5" s="1"/>
  <c r="A958" i="2"/>
  <c r="B957" i="2"/>
  <c r="Q951" i="5" l="1"/>
  <c r="R951" i="5" s="1"/>
  <c r="N951" i="5"/>
  <c r="P951" i="5" s="1"/>
  <c r="M952" i="5"/>
  <c r="O952" i="5" s="1"/>
  <c r="E953" i="5"/>
  <c r="A959" i="2"/>
  <c r="B958" i="2"/>
  <c r="N953" i="5" l="1"/>
  <c r="P953" i="5" s="1"/>
  <c r="M953" i="5"/>
  <c r="O953" i="5" s="1"/>
  <c r="E954" i="5"/>
  <c r="N952" i="5"/>
  <c r="P952" i="5" s="1"/>
  <c r="Q952" i="5" s="1"/>
  <c r="R952" i="5" s="1"/>
  <c r="A960" i="2"/>
  <c r="B959" i="2"/>
  <c r="M954" i="5" l="1"/>
  <c r="O954" i="5" s="1"/>
  <c r="E955" i="5"/>
  <c r="Q953" i="5"/>
  <c r="R953" i="5" s="1"/>
  <c r="A961" i="2"/>
  <c r="B960" i="2"/>
  <c r="E956" i="5" l="1"/>
  <c r="M955" i="5"/>
  <c r="O955" i="5" s="1"/>
  <c r="N955" i="5"/>
  <c r="P955" i="5" s="1"/>
  <c r="N954" i="5"/>
  <c r="P954" i="5" s="1"/>
  <c r="Q954" i="5" s="1"/>
  <c r="R954" i="5" s="1"/>
  <c r="A962" i="2"/>
  <c r="B961" i="2"/>
  <c r="Q955" i="5" l="1"/>
  <c r="R955" i="5" s="1"/>
  <c r="M956" i="5"/>
  <c r="O956" i="5" s="1"/>
  <c r="E957" i="5"/>
  <c r="A963" i="2"/>
  <c r="B962" i="2"/>
  <c r="E958" i="5" l="1"/>
  <c r="M957" i="5"/>
  <c r="O957" i="5" s="1"/>
  <c r="N956" i="5"/>
  <c r="P956" i="5" s="1"/>
  <c r="Q956" i="5" s="1"/>
  <c r="R956" i="5" s="1"/>
  <c r="A964" i="2"/>
  <c r="B963" i="2"/>
  <c r="N957" i="5" l="1"/>
  <c r="P957" i="5" s="1"/>
  <c r="Q957" i="5" s="1"/>
  <c r="R957" i="5" s="1"/>
  <c r="M958" i="5"/>
  <c r="O958" i="5" s="1"/>
  <c r="E959" i="5"/>
  <c r="A965" i="2"/>
  <c r="B964" i="2"/>
  <c r="E960" i="5" l="1"/>
  <c r="M959" i="5"/>
  <c r="O959" i="5" s="1"/>
  <c r="N958" i="5"/>
  <c r="P958" i="5" s="1"/>
  <c r="Q958" i="5" s="1"/>
  <c r="R958" i="5" s="1"/>
  <c r="A966" i="2"/>
  <c r="B965" i="2"/>
  <c r="Q959" i="5" l="1"/>
  <c r="R959" i="5" s="1"/>
  <c r="M960" i="5"/>
  <c r="O960" i="5" s="1"/>
  <c r="E961" i="5"/>
  <c r="N959" i="5"/>
  <c r="P959" i="5" s="1"/>
  <c r="A967" i="2"/>
  <c r="B966" i="2"/>
  <c r="M961" i="5" l="1"/>
  <c r="O961" i="5" s="1"/>
  <c r="E962" i="5"/>
  <c r="N960" i="5"/>
  <c r="P960" i="5" s="1"/>
  <c r="Q960" i="5" s="1"/>
  <c r="R960" i="5" s="1"/>
  <c r="A968" i="2"/>
  <c r="B967" i="2"/>
  <c r="N962" i="5" l="1"/>
  <c r="P962" i="5" s="1"/>
  <c r="M962" i="5"/>
  <c r="O962" i="5" s="1"/>
  <c r="E963" i="5"/>
  <c r="N961" i="5"/>
  <c r="P961" i="5" s="1"/>
  <c r="Q961" i="5" s="1"/>
  <c r="R961" i="5" s="1"/>
  <c r="A969" i="2"/>
  <c r="B968" i="2"/>
  <c r="M963" i="5" l="1"/>
  <c r="O963" i="5" s="1"/>
  <c r="E964" i="5"/>
  <c r="Q962" i="5"/>
  <c r="R962" i="5" s="1"/>
  <c r="A970" i="2"/>
  <c r="B969" i="2"/>
  <c r="N963" i="5" l="1"/>
  <c r="P963" i="5" s="1"/>
  <c r="Q963" i="5" s="1"/>
  <c r="R963" i="5" s="1"/>
  <c r="M964" i="5"/>
  <c r="O964" i="5" s="1"/>
  <c r="E965" i="5"/>
  <c r="A971" i="2"/>
  <c r="B970" i="2"/>
  <c r="E966" i="5" l="1"/>
  <c r="M965" i="5"/>
  <c r="O965" i="5" s="1"/>
  <c r="N964" i="5"/>
  <c r="P964" i="5" s="1"/>
  <c r="Q964" i="5" s="1"/>
  <c r="R964" i="5" s="1"/>
  <c r="A972" i="2"/>
  <c r="B971" i="2"/>
  <c r="Q965" i="5" l="1"/>
  <c r="R965" i="5" s="1"/>
  <c r="N965" i="5"/>
  <c r="P965" i="5" s="1"/>
  <c r="M966" i="5"/>
  <c r="O966" i="5" s="1"/>
  <c r="E967" i="5"/>
  <c r="A973" i="2"/>
  <c r="B972" i="2"/>
  <c r="E968" i="5" l="1"/>
  <c r="M967" i="5"/>
  <c r="O967" i="5" s="1"/>
  <c r="N967" i="5"/>
  <c r="P967" i="5" s="1"/>
  <c r="N966" i="5"/>
  <c r="P966" i="5" s="1"/>
  <c r="Q966" i="5" s="1"/>
  <c r="R966" i="5" s="1"/>
  <c r="A974" i="2"/>
  <c r="B973" i="2"/>
  <c r="Q967" i="5" l="1"/>
  <c r="R967" i="5" s="1"/>
  <c r="M968" i="5"/>
  <c r="O968" i="5" s="1"/>
  <c r="E969" i="5"/>
  <c r="A975" i="2"/>
  <c r="B974" i="2"/>
  <c r="E970" i="5" l="1"/>
  <c r="M969" i="5"/>
  <c r="O969" i="5" s="1"/>
  <c r="N968" i="5"/>
  <c r="P968" i="5" s="1"/>
  <c r="Q968" i="5" s="1"/>
  <c r="R968" i="5" s="1"/>
  <c r="A976" i="2"/>
  <c r="B975" i="2"/>
  <c r="N969" i="5" l="1"/>
  <c r="P969" i="5" s="1"/>
  <c r="Q969" i="5" s="1"/>
  <c r="R969" i="5" s="1"/>
  <c r="M970" i="5"/>
  <c r="O970" i="5" s="1"/>
  <c r="E971" i="5"/>
  <c r="A977" i="2"/>
  <c r="B976" i="2"/>
  <c r="E972" i="5" l="1"/>
  <c r="M971" i="5"/>
  <c r="O971" i="5" s="1"/>
  <c r="N970" i="5"/>
  <c r="P970" i="5" s="1"/>
  <c r="Q970" i="5" s="1"/>
  <c r="R970" i="5" s="1"/>
  <c r="A978" i="2"/>
  <c r="B977" i="2"/>
  <c r="N971" i="5" l="1"/>
  <c r="P971" i="5" s="1"/>
  <c r="Q971" i="5" s="1"/>
  <c r="R971" i="5" s="1"/>
  <c r="M972" i="5"/>
  <c r="O972" i="5" s="1"/>
  <c r="E973" i="5"/>
  <c r="A979" i="2"/>
  <c r="B978" i="2"/>
  <c r="N972" i="5" l="1"/>
  <c r="P972" i="5" s="1"/>
  <c r="Q972" i="5" s="1"/>
  <c r="R972" i="5" s="1"/>
  <c r="E974" i="5"/>
  <c r="M973" i="5"/>
  <c r="O973" i="5" s="1"/>
  <c r="A980" i="2"/>
  <c r="B979" i="2"/>
  <c r="N973" i="5" l="1"/>
  <c r="P973" i="5" s="1"/>
  <c r="Q973" i="5" s="1"/>
  <c r="R973" i="5" s="1"/>
  <c r="M974" i="5"/>
  <c r="O974" i="5" s="1"/>
  <c r="E975" i="5"/>
  <c r="A981" i="2"/>
  <c r="B980" i="2"/>
  <c r="N975" i="5" l="1"/>
  <c r="P975" i="5" s="1"/>
  <c r="M975" i="5"/>
  <c r="O975" i="5" s="1"/>
  <c r="E976" i="5"/>
  <c r="N974" i="5"/>
  <c r="P974" i="5" s="1"/>
  <c r="Q974" i="5" s="1"/>
  <c r="R974" i="5" s="1"/>
  <c r="A982" i="2"/>
  <c r="B981" i="2"/>
  <c r="N976" i="5" l="1"/>
  <c r="P976" i="5" s="1"/>
  <c r="M976" i="5"/>
  <c r="O976" i="5" s="1"/>
  <c r="E977" i="5"/>
  <c r="Q975" i="5"/>
  <c r="R975" i="5" s="1"/>
  <c r="A983" i="2"/>
  <c r="B982" i="2"/>
  <c r="M977" i="5" l="1"/>
  <c r="O977" i="5" s="1"/>
  <c r="E978" i="5"/>
  <c r="Q976" i="5"/>
  <c r="R976" i="5" s="1"/>
  <c r="A984" i="2"/>
  <c r="B983" i="2"/>
  <c r="M978" i="5" l="1"/>
  <c r="O978" i="5" s="1"/>
  <c r="E979" i="5"/>
  <c r="N977" i="5"/>
  <c r="P977" i="5" s="1"/>
  <c r="Q977" i="5" s="1"/>
  <c r="R977" i="5" s="1"/>
  <c r="A985" i="2"/>
  <c r="B984" i="2"/>
  <c r="Q978" i="5" l="1"/>
  <c r="R978" i="5" s="1"/>
  <c r="M979" i="5"/>
  <c r="O979" i="5" s="1"/>
  <c r="E980" i="5"/>
  <c r="N979" i="5"/>
  <c r="P979" i="5" s="1"/>
  <c r="N978" i="5"/>
  <c r="P978" i="5" s="1"/>
  <c r="A986" i="2"/>
  <c r="B985" i="2"/>
  <c r="N980" i="5" l="1"/>
  <c r="P980" i="5" s="1"/>
  <c r="M980" i="5"/>
  <c r="O980" i="5" s="1"/>
  <c r="E981" i="5"/>
  <c r="Q979" i="5"/>
  <c r="R979" i="5" s="1"/>
  <c r="A987" i="2"/>
  <c r="B986" i="2"/>
  <c r="E982" i="5" l="1"/>
  <c r="M981" i="5"/>
  <c r="O981" i="5" s="1"/>
  <c r="Q980" i="5"/>
  <c r="R980" i="5" s="1"/>
  <c r="A988" i="2"/>
  <c r="B987" i="2"/>
  <c r="N982" i="5" l="1"/>
  <c r="P982" i="5" s="1"/>
  <c r="M982" i="5"/>
  <c r="O982" i="5" s="1"/>
  <c r="E983" i="5"/>
  <c r="N981" i="5"/>
  <c r="P981" i="5" s="1"/>
  <c r="Q981" i="5" s="1"/>
  <c r="R981" i="5" s="1"/>
  <c r="A989" i="2"/>
  <c r="B988" i="2"/>
  <c r="M983" i="5" l="1"/>
  <c r="O983" i="5" s="1"/>
  <c r="E984" i="5"/>
  <c r="Q982" i="5"/>
  <c r="R982" i="5" s="1"/>
  <c r="A990" i="2"/>
  <c r="B989" i="2"/>
  <c r="N983" i="5" l="1"/>
  <c r="P983" i="5" s="1"/>
  <c r="Q983" i="5" s="1"/>
  <c r="R983" i="5" s="1"/>
  <c r="M984" i="5"/>
  <c r="O984" i="5" s="1"/>
  <c r="E985" i="5"/>
  <c r="A991" i="2"/>
  <c r="B990" i="2"/>
  <c r="Q984" i="5" l="1"/>
  <c r="R984" i="5" s="1"/>
  <c r="N984" i="5"/>
  <c r="P984" i="5" s="1"/>
  <c r="E986" i="5"/>
  <c r="M985" i="5"/>
  <c r="O985" i="5" s="1"/>
  <c r="A992" i="2"/>
  <c r="B991" i="2"/>
  <c r="Q985" i="5" l="1"/>
  <c r="R985" i="5" s="1"/>
  <c r="N985" i="5"/>
  <c r="P985" i="5" s="1"/>
  <c r="M986" i="5"/>
  <c r="O986" i="5" s="1"/>
  <c r="E987" i="5"/>
  <c r="A993" i="2"/>
  <c r="B992" i="2"/>
  <c r="E988" i="5" l="1"/>
  <c r="M987" i="5"/>
  <c r="O987" i="5" s="1"/>
  <c r="N986" i="5"/>
  <c r="P986" i="5" s="1"/>
  <c r="Q986" i="5" s="1"/>
  <c r="R986" i="5" s="1"/>
  <c r="A994" i="2"/>
  <c r="B993" i="2"/>
  <c r="N987" i="5" l="1"/>
  <c r="P987" i="5" s="1"/>
  <c r="Q987" i="5" s="1"/>
  <c r="R987" i="5" s="1"/>
  <c r="N988" i="5"/>
  <c r="P988" i="5" s="1"/>
  <c r="M988" i="5"/>
  <c r="O988" i="5" s="1"/>
  <c r="E989" i="5"/>
  <c r="A995" i="2"/>
  <c r="B994" i="2"/>
  <c r="E990" i="5" l="1"/>
  <c r="M989" i="5"/>
  <c r="O989" i="5" s="1"/>
  <c r="N989" i="5"/>
  <c r="P989" i="5" s="1"/>
  <c r="Q988" i="5"/>
  <c r="R988" i="5" s="1"/>
  <c r="A996" i="2"/>
  <c r="B995" i="2"/>
  <c r="Q989" i="5" l="1"/>
  <c r="R989" i="5" s="1"/>
  <c r="M990" i="5"/>
  <c r="O990" i="5" s="1"/>
  <c r="E991" i="5"/>
  <c r="A997" i="2"/>
  <c r="B996" i="2"/>
  <c r="M991" i="5" l="1"/>
  <c r="O991" i="5" s="1"/>
  <c r="E992" i="5"/>
  <c r="N991" i="5"/>
  <c r="P991" i="5" s="1"/>
  <c r="N990" i="5"/>
  <c r="P990" i="5" s="1"/>
  <c r="Q990" i="5" s="1"/>
  <c r="R990" i="5" s="1"/>
  <c r="A998" i="2"/>
  <c r="B997" i="2"/>
  <c r="N992" i="5" l="1"/>
  <c r="P992" i="5" s="1"/>
  <c r="M992" i="5"/>
  <c r="O992" i="5" s="1"/>
  <c r="E993" i="5"/>
  <c r="Q991" i="5"/>
  <c r="R991" i="5" s="1"/>
  <c r="A999" i="2"/>
  <c r="B998" i="2"/>
  <c r="N993" i="5" l="1"/>
  <c r="P993" i="5" s="1"/>
  <c r="E994" i="5"/>
  <c r="M993" i="5"/>
  <c r="O993" i="5" s="1"/>
  <c r="Q992" i="5"/>
  <c r="R992" i="5" s="1"/>
  <c r="A1000" i="2"/>
  <c r="B999" i="2"/>
  <c r="Q993" i="5" l="1"/>
  <c r="R993" i="5" s="1"/>
  <c r="M994" i="5"/>
  <c r="O994" i="5" s="1"/>
  <c r="E995" i="5"/>
  <c r="A1001" i="2"/>
  <c r="B1000" i="2"/>
  <c r="N995" i="5" l="1"/>
  <c r="P995" i="5" s="1"/>
  <c r="E996" i="5"/>
  <c r="M995" i="5"/>
  <c r="O995" i="5" s="1"/>
  <c r="N994" i="5"/>
  <c r="P994" i="5" s="1"/>
  <c r="Q994" i="5" s="1"/>
  <c r="R994" i="5" s="1"/>
  <c r="A1002" i="2"/>
  <c r="B1001" i="2"/>
  <c r="Q995" i="5" l="1"/>
  <c r="R995" i="5" s="1"/>
  <c r="M996" i="5"/>
  <c r="O996" i="5" s="1"/>
  <c r="E997" i="5"/>
  <c r="A1003" i="2"/>
  <c r="B1002" i="2"/>
  <c r="N997" i="5" l="1"/>
  <c r="P997" i="5" s="1"/>
  <c r="E998" i="5"/>
  <c r="M997" i="5"/>
  <c r="O997" i="5" s="1"/>
  <c r="N996" i="5"/>
  <c r="P996" i="5" s="1"/>
  <c r="Q996" i="5" s="1"/>
  <c r="R996" i="5" s="1"/>
  <c r="A1004" i="2"/>
  <c r="B1003" i="2"/>
  <c r="Q997" i="5" l="1"/>
  <c r="R997" i="5" s="1"/>
  <c r="M998" i="5"/>
  <c r="O998" i="5" s="1"/>
  <c r="E999" i="5"/>
  <c r="A1005" i="2"/>
  <c r="B1004" i="2"/>
  <c r="E1000" i="5" l="1"/>
  <c r="M999" i="5"/>
  <c r="O999" i="5" s="1"/>
  <c r="N998" i="5"/>
  <c r="P998" i="5" s="1"/>
  <c r="Q998" i="5" s="1"/>
  <c r="R998" i="5" s="1"/>
  <c r="A1006" i="2"/>
  <c r="B1005" i="2"/>
  <c r="Q999" i="5" l="1"/>
  <c r="R999" i="5" s="1"/>
  <c r="M1000" i="5"/>
  <c r="O1000" i="5" s="1"/>
  <c r="E1001" i="5"/>
  <c r="N999" i="5"/>
  <c r="P999" i="5" s="1"/>
  <c r="A1007" i="2"/>
  <c r="B1006" i="2"/>
  <c r="N1001" i="5" l="1"/>
  <c r="P1001" i="5" s="1"/>
  <c r="E1002" i="5"/>
  <c r="M1001" i="5"/>
  <c r="O1001" i="5" s="1"/>
  <c r="N1000" i="5"/>
  <c r="P1000" i="5" s="1"/>
  <c r="Q1000" i="5" s="1"/>
  <c r="R1000" i="5" s="1"/>
  <c r="A1008" i="2"/>
  <c r="B1007" i="2"/>
  <c r="Q1001" i="5" l="1"/>
  <c r="R1001" i="5" s="1"/>
  <c r="M1002" i="5"/>
  <c r="O1002" i="5" s="1"/>
  <c r="E1003" i="5"/>
  <c r="A1009" i="2"/>
  <c r="B1008" i="2"/>
  <c r="N1003" i="5" l="1"/>
  <c r="P1003" i="5" s="1"/>
  <c r="M1003" i="5"/>
  <c r="O1003" i="5" s="1"/>
  <c r="N1002" i="5"/>
  <c r="P1002" i="5" s="1"/>
  <c r="Q1002" i="5" s="1"/>
  <c r="R1002" i="5" s="1"/>
  <c r="A1010" i="2"/>
  <c r="B1009" i="2"/>
  <c r="Q1003" i="5" l="1"/>
  <c r="R1003" i="5" s="1"/>
  <c r="A1011" i="2"/>
  <c r="F1010" i="2"/>
  <c r="B1010" i="2"/>
  <c r="E5" i="2" l="1"/>
  <c r="F1011" i="2"/>
  <c r="F11" i="2"/>
  <c r="E4" i="2"/>
  <c r="F12" i="2"/>
  <c r="E6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B1011" i="2"/>
  <c r="R7" i="2" l="1"/>
  <c r="E8" i="2"/>
  <c r="G181" i="2"/>
  <c r="G408" i="2"/>
  <c r="G740" i="2"/>
  <c r="G511" i="2"/>
  <c r="G161" i="2"/>
  <c r="G382" i="2"/>
  <c r="G702" i="2"/>
  <c r="G629" i="2"/>
  <c r="G184" i="2"/>
  <c r="G415" i="2"/>
  <c r="G749" i="2"/>
  <c r="G558" i="2"/>
  <c r="G153" i="2"/>
  <c r="G372" i="2"/>
  <c r="G687" i="2"/>
  <c r="G955" i="2"/>
  <c r="G795" i="2"/>
  <c r="G635" i="2"/>
  <c r="G475" i="2"/>
  <c r="G994" i="2"/>
  <c r="G834" i="2"/>
  <c r="G674" i="2"/>
  <c r="G985" i="2"/>
  <c r="G825" i="2"/>
  <c r="G1008" i="2"/>
  <c r="G887" i="2"/>
  <c r="G638" i="2"/>
  <c r="G441" i="2"/>
  <c r="G268" i="2"/>
  <c r="G108" i="2"/>
  <c r="G900" i="2"/>
  <c r="G647" i="2"/>
  <c r="G449" i="2"/>
  <c r="G275" i="2"/>
  <c r="G973" i="2"/>
  <c r="G704" i="2"/>
  <c r="G494" i="2"/>
  <c r="G909" i="2"/>
  <c r="G24" i="2"/>
  <c r="G218" i="2"/>
  <c r="G462" i="2"/>
  <c r="G814" i="2"/>
  <c r="G107" i="2"/>
  <c r="G317" i="2"/>
  <c r="G601" i="2"/>
  <c r="G83" i="2"/>
  <c r="G81" i="2"/>
  <c r="G286" i="2"/>
  <c r="G556" i="2"/>
  <c r="G967" i="2"/>
  <c r="G996" i="2"/>
  <c r="G191" i="2"/>
  <c r="G424" i="2"/>
  <c r="G760" i="2"/>
  <c r="G609" i="2"/>
  <c r="G173" i="2"/>
  <c r="G398" i="2"/>
  <c r="G725" i="2"/>
  <c r="G949" i="2"/>
  <c r="G194" i="2"/>
  <c r="G428" i="2"/>
  <c r="G766" i="2"/>
  <c r="G678" i="2"/>
  <c r="G165" i="2"/>
  <c r="G388" i="2"/>
  <c r="G710" i="2"/>
  <c r="G947" i="2"/>
  <c r="G787" i="2"/>
  <c r="G627" i="2"/>
  <c r="G467" i="2"/>
  <c r="G986" i="2"/>
  <c r="G826" i="2"/>
  <c r="G666" i="2"/>
  <c r="G977" i="2"/>
  <c r="G817" i="2"/>
  <c r="G1000" i="2"/>
  <c r="G876" i="2"/>
  <c r="G628" i="2"/>
  <c r="G432" i="2"/>
  <c r="G260" i="2"/>
  <c r="G100" i="2"/>
  <c r="G886" i="2"/>
  <c r="G637" i="2"/>
  <c r="G440" i="2"/>
  <c r="G267" i="2"/>
  <c r="G957" i="2"/>
  <c r="G693" i="2"/>
  <c r="G485" i="2"/>
  <c r="G895" i="2"/>
  <c r="G33" i="2"/>
  <c r="G230" i="2"/>
  <c r="G474" i="2"/>
  <c r="G831" i="2"/>
  <c r="G117" i="2"/>
  <c r="G327" i="2"/>
  <c r="G621" i="2"/>
  <c r="G129" i="2"/>
  <c r="G90" i="2"/>
  <c r="G296" i="2"/>
  <c r="G569" i="2"/>
  <c r="G999" i="2"/>
  <c r="G824" i="2"/>
  <c r="G201" i="2"/>
  <c r="G437" i="2"/>
  <c r="G780" i="2"/>
  <c r="G701" i="2"/>
  <c r="G183" i="2"/>
  <c r="G410" i="2"/>
  <c r="G742" i="2"/>
  <c r="G13" i="2"/>
  <c r="G206" i="2"/>
  <c r="G444" i="2"/>
  <c r="G789" i="2"/>
  <c r="G764" i="2"/>
  <c r="G175" i="2"/>
  <c r="G400" i="2"/>
  <c r="G727" i="2"/>
  <c r="G939" i="2"/>
  <c r="G779" i="2"/>
  <c r="G619" i="2"/>
  <c r="G459" i="2"/>
  <c r="G978" i="2"/>
  <c r="G818" i="2"/>
  <c r="G658" i="2"/>
  <c r="G969" i="2"/>
  <c r="G809" i="2"/>
  <c r="G992" i="2"/>
  <c r="G862" i="2"/>
  <c r="G616" i="2"/>
  <c r="G423" i="2"/>
  <c r="G252" i="2"/>
  <c r="G92" i="2"/>
  <c r="G872" i="2"/>
  <c r="G625" i="2"/>
  <c r="G431" i="2"/>
  <c r="G259" i="2"/>
  <c r="G941" i="2"/>
  <c r="G679" i="2"/>
  <c r="G476" i="2"/>
  <c r="G884" i="2"/>
  <c r="G42" i="2"/>
  <c r="G240" i="2"/>
  <c r="G490" i="2"/>
  <c r="G854" i="2"/>
  <c r="G126" i="2"/>
  <c r="G337" i="2"/>
  <c r="G639" i="2"/>
  <c r="G182" i="2"/>
  <c r="G99" i="2"/>
  <c r="G306" i="2"/>
  <c r="G589" i="2"/>
  <c r="G18" i="2"/>
  <c r="G213" i="2"/>
  <c r="G453" i="2"/>
  <c r="G800" i="2"/>
  <c r="G917" i="2"/>
  <c r="G193" i="2"/>
  <c r="G426" i="2"/>
  <c r="G765" i="2"/>
  <c r="G22" i="2"/>
  <c r="G216" i="2"/>
  <c r="G456" i="2"/>
  <c r="G806" i="2"/>
  <c r="G804" i="2"/>
  <c r="G185" i="2"/>
  <c r="G416" i="2"/>
  <c r="G750" i="2"/>
  <c r="G931" i="2"/>
  <c r="G771" i="2"/>
  <c r="G611" i="2"/>
  <c r="G451" i="2"/>
  <c r="G970" i="2"/>
  <c r="G810" i="2"/>
  <c r="G650" i="2"/>
  <c r="G961" i="2"/>
  <c r="G801" i="2"/>
  <c r="G984" i="2"/>
  <c r="G848" i="2"/>
  <c r="G606" i="2"/>
  <c r="G414" i="2"/>
  <c r="G244" i="2"/>
  <c r="G84" i="2"/>
  <c r="G861" i="2"/>
  <c r="G615" i="2"/>
  <c r="G422" i="2"/>
  <c r="G251" i="2"/>
  <c r="G925" i="2"/>
  <c r="G668" i="2"/>
  <c r="G466" i="2"/>
  <c r="G870" i="2"/>
  <c r="G51" i="2"/>
  <c r="G250" i="2"/>
  <c r="G506" i="2"/>
  <c r="G878" i="2"/>
  <c r="G135" i="2"/>
  <c r="G351" i="2"/>
  <c r="G654" i="2"/>
  <c r="G234" i="2"/>
  <c r="G109" i="2"/>
  <c r="G318" i="2"/>
  <c r="G607" i="2"/>
  <c r="G27" i="2"/>
  <c r="G223" i="2"/>
  <c r="G465" i="2"/>
  <c r="G820" i="2"/>
  <c r="G11" i="2"/>
  <c r="G205" i="2"/>
  <c r="G442" i="2"/>
  <c r="G788" i="2"/>
  <c r="G31" i="2"/>
  <c r="G226" i="2"/>
  <c r="G472" i="2"/>
  <c r="G829" i="2"/>
  <c r="G892" i="2"/>
  <c r="G197" i="2"/>
  <c r="G429" i="2"/>
  <c r="G767" i="2"/>
  <c r="G923" i="2"/>
  <c r="G763" i="2"/>
  <c r="G603" i="2"/>
  <c r="G443" i="2"/>
  <c r="G962" i="2"/>
  <c r="G802" i="2"/>
  <c r="G642" i="2"/>
  <c r="G953" i="2"/>
  <c r="G793" i="2"/>
  <c r="G976" i="2"/>
  <c r="G837" i="2"/>
  <c r="G596" i="2"/>
  <c r="G405" i="2"/>
  <c r="G236" i="2"/>
  <c r="G76" i="2"/>
  <c r="G847" i="2"/>
  <c r="G605" i="2"/>
  <c r="G413" i="2"/>
  <c r="G243" i="2"/>
  <c r="G910" i="2"/>
  <c r="G656" i="2"/>
  <c r="G457" i="2"/>
  <c r="G19" i="2"/>
  <c r="G61" i="2"/>
  <c r="G262" i="2"/>
  <c r="G519" i="2"/>
  <c r="G903" i="2"/>
  <c r="G145" i="2"/>
  <c r="G362" i="2"/>
  <c r="G672" i="2"/>
  <c r="G278" i="2"/>
  <c r="G118" i="2"/>
  <c r="G328" i="2"/>
  <c r="G622" i="2"/>
  <c r="G37" i="2"/>
  <c r="G233" i="2"/>
  <c r="G481" i="2"/>
  <c r="G840" i="2"/>
  <c r="G21" i="2"/>
  <c r="G215" i="2"/>
  <c r="G455" i="2"/>
  <c r="G805" i="2"/>
  <c r="G40" i="2"/>
  <c r="G238" i="2"/>
  <c r="G488" i="2"/>
  <c r="G852" i="2"/>
  <c r="G14" i="2"/>
  <c r="G207" i="2"/>
  <c r="G445" i="2"/>
  <c r="G790" i="2"/>
  <c r="G915" i="2"/>
  <c r="G755" i="2"/>
  <c r="G595" i="2"/>
  <c r="G435" i="2"/>
  <c r="G954" i="2"/>
  <c r="G794" i="2"/>
  <c r="G634" i="2"/>
  <c r="G945" i="2"/>
  <c r="G785" i="2"/>
  <c r="G968" i="2"/>
  <c r="G823" i="2"/>
  <c r="G584" i="2"/>
  <c r="G396" i="2"/>
  <c r="G228" i="2"/>
  <c r="G68" i="2"/>
  <c r="G836" i="2"/>
  <c r="G593" i="2"/>
  <c r="G404" i="2"/>
  <c r="G235" i="2"/>
  <c r="G896" i="2"/>
  <c r="G646" i="2"/>
  <c r="G448" i="2"/>
  <c r="G65" i="2"/>
  <c r="G70" i="2"/>
  <c r="G272" i="2"/>
  <c r="G535" i="2"/>
  <c r="G933" i="2"/>
  <c r="G157" i="2"/>
  <c r="G374" i="2"/>
  <c r="G692" i="2"/>
  <c r="G330" i="2"/>
  <c r="G127" i="2"/>
  <c r="G338" i="2"/>
  <c r="G640" i="2"/>
  <c r="G46" i="2"/>
  <c r="G245" i="2"/>
  <c r="G497" i="2"/>
  <c r="G863" i="2"/>
  <c r="G30" i="2"/>
  <c r="G225" i="2"/>
  <c r="G471" i="2"/>
  <c r="G828" i="2"/>
  <c r="G49" i="2"/>
  <c r="G248" i="2"/>
  <c r="G501" i="2"/>
  <c r="G869" i="2"/>
  <c r="G23" i="2"/>
  <c r="G217" i="2"/>
  <c r="G461" i="2"/>
  <c r="G813" i="2"/>
  <c r="G907" i="2"/>
  <c r="G747" i="2"/>
  <c r="G587" i="2"/>
  <c r="G427" i="2"/>
  <c r="G946" i="2"/>
  <c r="G786" i="2"/>
  <c r="G626" i="2"/>
  <c r="G937" i="2"/>
  <c r="G777" i="2"/>
  <c r="G960" i="2"/>
  <c r="G812" i="2"/>
  <c r="G574" i="2"/>
  <c r="G386" i="2"/>
  <c r="G220" i="2"/>
  <c r="G60" i="2"/>
  <c r="G822" i="2"/>
  <c r="G583" i="2"/>
  <c r="G394" i="2"/>
  <c r="G227" i="2"/>
  <c r="G885" i="2"/>
  <c r="G636" i="2"/>
  <c r="G439" i="2"/>
  <c r="G102" i="2"/>
  <c r="G79" i="2"/>
  <c r="G282" i="2"/>
  <c r="G549" i="2"/>
  <c r="G965" i="2"/>
  <c r="G167" i="2"/>
  <c r="G390" i="2"/>
  <c r="G712" i="2"/>
  <c r="G397" i="2"/>
  <c r="G136" i="2"/>
  <c r="G352" i="2"/>
  <c r="G655" i="2"/>
  <c r="G55" i="2"/>
  <c r="G255" i="2"/>
  <c r="G510" i="2"/>
  <c r="G888" i="2"/>
  <c r="G39" i="2"/>
  <c r="G237" i="2"/>
  <c r="G484" i="2"/>
  <c r="G845" i="2"/>
  <c r="G58" i="2"/>
  <c r="G258" i="2"/>
  <c r="G517" i="2"/>
  <c r="G894" i="2"/>
  <c r="G32" i="2"/>
  <c r="G229" i="2"/>
  <c r="G473" i="2"/>
  <c r="G830" i="2"/>
  <c r="G899" i="2"/>
  <c r="G739" i="2"/>
  <c r="G579" i="2"/>
  <c r="G419" i="2"/>
  <c r="G938" i="2"/>
  <c r="G778" i="2"/>
  <c r="G618" i="2"/>
  <c r="G929" i="2"/>
  <c r="G769" i="2"/>
  <c r="G952" i="2"/>
  <c r="G798" i="2"/>
  <c r="G564" i="2"/>
  <c r="G377" i="2"/>
  <c r="G212" i="2"/>
  <c r="G52" i="2"/>
  <c r="G808" i="2"/>
  <c r="G573" i="2"/>
  <c r="G385" i="2"/>
  <c r="G219" i="2"/>
  <c r="G871" i="2"/>
  <c r="G624" i="2"/>
  <c r="G430" i="2"/>
  <c r="G150" i="2"/>
  <c r="G88" i="2"/>
  <c r="G294" i="2"/>
  <c r="G567" i="2"/>
  <c r="G997" i="2"/>
  <c r="G177" i="2"/>
  <c r="G406" i="2"/>
  <c r="G735" i="2"/>
  <c r="G470" i="2"/>
  <c r="G146" i="2"/>
  <c r="G364" i="2"/>
  <c r="G676" i="2"/>
  <c r="G64" i="2"/>
  <c r="G265" i="2"/>
  <c r="G526" i="2"/>
  <c r="G916" i="2"/>
  <c r="G48" i="2"/>
  <c r="G247" i="2"/>
  <c r="G500" i="2"/>
  <c r="G868" i="2"/>
  <c r="G67" i="2"/>
  <c r="G270" i="2"/>
  <c r="G529" i="2"/>
  <c r="G919" i="2"/>
  <c r="G41" i="2"/>
  <c r="G239" i="2"/>
  <c r="G489" i="2"/>
  <c r="G853" i="2"/>
  <c r="G891" i="2"/>
  <c r="G731" i="2"/>
  <c r="G571" i="2"/>
  <c r="G411" i="2"/>
  <c r="G930" i="2"/>
  <c r="G770" i="2"/>
  <c r="G610" i="2"/>
  <c r="G921" i="2"/>
  <c r="G761" i="2"/>
  <c r="G944" i="2"/>
  <c r="G784" i="2"/>
  <c r="G552" i="2"/>
  <c r="G368" i="2"/>
  <c r="G204" i="2"/>
  <c r="G44" i="2"/>
  <c r="G797" i="2"/>
  <c r="G561" i="2"/>
  <c r="G376" i="2"/>
  <c r="G211" i="2"/>
  <c r="G860" i="2"/>
  <c r="G614" i="2"/>
  <c r="G421" i="2"/>
  <c r="G202" i="2"/>
  <c r="G97" i="2"/>
  <c r="G304" i="2"/>
  <c r="G585" i="2"/>
  <c r="G170" i="2"/>
  <c r="G189" i="2"/>
  <c r="G418" i="2"/>
  <c r="G752" i="2"/>
  <c r="G527" i="2"/>
  <c r="G158" i="2"/>
  <c r="G378" i="2"/>
  <c r="G696" i="2"/>
  <c r="G73" i="2"/>
  <c r="G277" i="2"/>
  <c r="G538" i="2"/>
  <c r="G948" i="2"/>
  <c r="G57" i="2"/>
  <c r="G257" i="2"/>
  <c r="G516" i="2"/>
  <c r="G893" i="2"/>
  <c r="G77" i="2"/>
  <c r="G280" i="2"/>
  <c r="G545" i="2"/>
  <c r="G951" i="2"/>
  <c r="G50" i="2"/>
  <c r="G249" i="2"/>
  <c r="G502" i="2"/>
  <c r="G877" i="2"/>
  <c r="G883" i="2"/>
  <c r="G723" i="2"/>
  <c r="G563" i="2"/>
  <c r="G403" i="2"/>
  <c r="G922" i="2"/>
  <c r="G762" i="2"/>
  <c r="G602" i="2"/>
  <c r="G913" i="2"/>
  <c r="G753" i="2"/>
  <c r="G936" i="2"/>
  <c r="G773" i="2"/>
  <c r="G542" i="2"/>
  <c r="G359" i="2"/>
  <c r="G196" i="2"/>
  <c r="G36" i="2"/>
  <c r="G783" i="2"/>
  <c r="G551" i="2"/>
  <c r="G367" i="2"/>
  <c r="G203" i="2"/>
  <c r="G846" i="2"/>
  <c r="G604" i="2"/>
  <c r="G412" i="2"/>
  <c r="G256" i="2"/>
  <c r="G106" i="2"/>
  <c r="G314" i="2"/>
  <c r="G600" i="2"/>
  <c r="G981" i="2"/>
  <c r="G199" i="2"/>
  <c r="G434" i="2"/>
  <c r="G775" i="2"/>
  <c r="G591" i="2"/>
  <c r="G168" i="2"/>
  <c r="G391" i="2"/>
  <c r="G716" i="2"/>
  <c r="G82" i="2"/>
  <c r="G287" i="2"/>
  <c r="G557" i="2"/>
  <c r="G980" i="2"/>
  <c r="G66" i="2"/>
  <c r="G269" i="2"/>
  <c r="G528" i="2"/>
  <c r="G918" i="2"/>
  <c r="G86" i="2"/>
  <c r="G290" i="2"/>
  <c r="G565" i="2"/>
  <c r="G983" i="2"/>
  <c r="G59" i="2"/>
  <c r="G261" i="2"/>
  <c r="G518" i="2"/>
  <c r="G902" i="2"/>
  <c r="G875" i="2"/>
  <c r="G715" i="2"/>
  <c r="G555" i="2"/>
  <c r="G395" i="2"/>
  <c r="G914" i="2"/>
  <c r="G754" i="2"/>
  <c r="G594" i="2"/>
  <c r="G905" i="2"/>
  <c r="G745" i="2"/>
  <c r="G928" i="2"/>
  <c r="G759" i="2"/>
  <c r="G533" i="2"/>
  <c r="G350" i="2"/>
  <c r="G188" i="2"/>
  <c r="G28" i="2"/>
  <c r="G772" i="2"/>
  <c r="G541" i="2"/>
  <c r="G358" i="2"/>
  <c r="G195" i="2"/>
  <c r="G832" i="2"/>
  <c r="G592" i="2"/>
  <c r="G402" i="2"/>
  <c r="G310" i="2"/>
  <c r="G115" i="2"/>
  <c r="G326" i="2"/>
  <c r="G620" i="2"/>
  <c r="G16" i="2"/>
  <c r="G209" i="2"/>
  <c r="G447" i="2"/>
  <c r="G792" i="2"/>
  <c r="G662" i="2"/>
  <c r="G178" i="2"/>
  <c r="G407" i="2"/>
  <c r="G736" i="2"/>
  <c r="G91" i="2"/>
  <c r="G297" i="2"/>
  <c r="G575" i="2"/>
  <c r="G38" i="2"/>
  <c r="G75" i="2"/>
  <c r="G279" i="2"/>
  <c r="G544" i="2"/>
  <c r="G950" i="2"/>
  <c r="G95" i="2"/>
  <c r="G302" i="2"/>
  <c r="G580" i="2"/>
  <c r="G47" i="2"/>
  <c r="G69" i="2"/>
  <c r="G271" i="2"/>
  <c r="G534" i="2"/>
  <c r="G932" i="2"/>
  <c r="G867" i="2"/>
  <c r="G707" i="2"/>
  <c r="G547" i="2"/>
  <c r="G387" i="2"/>
  <c r="G906" i="2"/>
  <c r="G746" i="2"/>
  <c r="G586" i="2"/>
  <c r="G897" i="2"/>
  <c r="G737" i="2"/>
  <c r="G920" i="2"/>
  <c r="G748" i="2"/>
  <c r="G524" i="2"/>
  <c r="G341" i="2"/>
  <c r="G180" i="2"/>
  <c r="G20" i="2"/>
  <c r="G758" i="2"/>
  <c r="G532" i="2"/>
  <c r="G349" i="2"/>
  <c r="G187" i="2"/>
  <c r="G821" i="2"/>
  <c r="G582" i="2"/>
  <c r="G393" i="2"/>
  <c r="G354" i="2"/>
  <c r="G125" i="2"/>
  <c r="G336" i="2"/>
  <c r="G633" i="2"/>
  <c r="G25" i="2"/>
  <c r="G221" i="2"/>
  <c r="G463" i="2"/>
  <c r="G815" i="2"/>
  <c r="G741" i="2"/>
  <c r="G190" i="2"/>
  <c r="G420" i="2"/>
  <c r="G756" i="2"/>
  <c r="G101" i="2"/>
  <c r="G309" i="2"/>
  <c r="G590" i="2"/>
  <c r="G74" i="2"/>
  <c r="G85" i="2"/>
  <c r="G289" i="2"/>
  <c r="G559" i="2"/>
  <c r="G982" i="2"/>
  <c r="G104" i="2"/>
  <c r="G312" i="2"/>
  <c r="G598" i="2"/>
  <c r="G93" i="2"/>
  <c r="G78" i="2"/>
  <c r="G281" i="2"/>
  <c r="G548" i="2"/>
  <c r="G964" i="2"/>
  <c r="G859" i="2"/>
  <c r="G699" i="2"/>
  <c r="G539" i="2"/>
  <c r="G379" i="2"/>
  <c r="G898" i="2"/>
  <c r="G738" i="2"/>
  <c r="G578" i="2"/>
  <c r="G889" i="2"/>
  <c r="G729" i="2"/>
  <c r="G1007" i="2"/>
  <c r="G734" i="2"/>
  <c r="G514" i="2"/>
  <c r="G332" i="2"/>
  <c r="G172" i="2"/>
  <c r="G12" i="2"/>
  <c r="G744" i="2"/>
  <c r="G522" i="2"/>
  <c r="G340" i="2"/>
  <c r="G179" i="2"/>
  <c r="G807" i="2"/>
  <c r="G572" i="2"/>
  <c r="G384" i="2"/>
  <c r="G425" i="2"/>
  <c r="G134" i="2"/>
  <c r="G348" i="2"/>
  <c r="G653" i="2"/>
  <c r="G34" i="2"/>
  <c r="G231" i="2"/>
  <c r="G479" i="2"/>
  <c r="G838" i="2"/>
  <c r="G844" i="2"/>
  <c r="G200" i="2"/>
  <c r="G436" i="2"/>
  <c r="G776" i="2"/>
  <c r="G110" i="2"/>
  <c r="G319" i="2"/>
  <c r="G608" i="2"/>
  <c r="G111" i="2"/>
  <c r="G94" i="2"/>
  <c r="G301" i="2"/>
  <c r="G577" i="2"/>
  <c r="G29" i="2"/>
  <c r="G113" i="2"/>
  <c r="G322" i="2"/>
  <c r="G613" i="2"/>
  <c r="G138" i="2"/>
  <c r="G87" i="2"/>
  <c r="G293" i="2"/>
  <c r="G566" i="2"/>
  <c r="G1011" i="2"/>
  <c r="G851" i="2"/>
  <c r="G691" i="2"/>
  <c r="G531" i="2"/>
  <c r="G371" i="2"/>
  <c r="G890" i="2"/>
  <c r="G730" i="2"/>
  <c r="G570" i="2"/>
  <c r="G881" i="2"/>
  <c r="G721" i="2"/>
  <c r="G991" i="2"/>
  <c r="G720" i="2"/>
  <c r="G505" i="2"/>
  <c r="G324" i="2"/>
  <c r="G164" i="2"/>
  <c r="G1006" i="2"/>
  <c r="G733" i="2"/>
  <c r="G513" i="2"/>
  <c r="G331" i="2"/>
  <c r="G171" i="2"/>
  <c r="G796" i="2"/>
  <c r="G560" i="2"/>
  <c r="G375" i="2"/>
  <c r="G498" i="2"/>
  <c r="G144" i="2"/>
  <c r="G361" i="2"/>
  <c r="G671" i="2"/>
  <c r="G43" i="2"/>
  <c r="G241" i="2"/>
  <c r="G492" i="2"/>
  <c r="G855" i="2"/>
  <c r="G17" i="2"/>
  <c r="G210" i="2"/>
  <c r="G452" i="2"/>
  <c r="G799" i="2"/>
  <c r="G119" i="2"/>
  <c r="G329" i="2"/>
  <c r="G623" i="2"/>
  <c r="G160" i="2"/>
  <c r="G103" i="2"/>
  <c r="G311" i="2"/>
  <c r="G597" i="2"/>
  <c r="G120" i="2"/>
  <c r="G122" i="2"/>
  <c r="G334" i="2"/>
  <c r="G631" i="2"/>
  <c r="G192" i="2"/>
  <c r="G96" i="2"/>
  <c r="G303" i="2"/>
  <c r="G581" i="2"/>
  <c r="G1003" i="2"/>
  <c r="G843" i="2"/>
  <c r="G683" i="2"/>
  <c r="G523" i="2"/>
  <c r="G363" i="2"/>
  <c r="G882" i="2"/>
  <c r="G722" i="2"/>
  <c r="G562" i="2"/>
  <c r="G873" i="2"/>
  <c r="G713" i="2"/>
  <c r="G975" i="2"/>
  <c r="G709" i="2"/>
  <c r="G496" i="2"/>
  <c r="G316" i="2"/>
  <c r="G156" i="2"/>
  <c r="G990" i="2"/>
  <c r="G719" i="2"/>
  <c r="G504" i="2"/>
  <c r="G323" i="2"/>
  <c r="G163" i="2"/>
  <c r="G782" i="2"/>
  <c r="G550" i="2"/>
  <c r="G1004" i="2"/>
  <c r="G576" i="2"/>
  <c r="G154" i="2"/>
  <c r="G373" i="2"/>
  <c r="G688" i="2"/>
  <c r="G53" i="2"/>
  <c r="G253" i="2"/>
  <c r="G508" i="2"/>
  <c r="G879" i="2"/>
  <c r="G26" i="2"/>
  <c r="G222" i="2"/>
  <c r="G464" i="2"/>
  <c r="G816" i="2"/>
  <c r="G128" i="2"/>
  <c r="G342" i="2"/>
  <c r="G641" i="2"/>
  <c r="G214" i="2"/>
  <c r="G112" i="2"/>
  <c r="G321" i="2"/>
  <c r="G612" i="2"/>
  <c r="G224" i="2"/>
  <c r="G131" i="2"/>
  <c r="G345" i="2"/>
  <c r="G649" i="2"/>
  <c r="G246" i="2"/>
  <c r="G105" i="2"/>
  <c r="G313" i="2"/>
  <c r="G599" i="2"/>
  <c r="G995" i="2"/>
  <c r="G835" i="2"/>
  <c r="G675" i="2"/>
  <c r="G515" i="2"/>
  <c r="G355" i="2"/>
  <c r="G874" i="2"/>
  <c r="G714" i="2"/>
  <c r="G554" i="2"/>
  <c r="G865" i="2"/>
  <c r="G705" i="2"/>
  <c r="G959" i="2"/>
  <c r="G695" i="2"/>
  <c r="G487" i="2"/>
  <c r="G308" i="2"/>
  <c r="G148" i="2"/>
  <c r="G974" i="2"/>
  <c r="G708" i="2"/>
  <c r="G495" i="2"/>
  <c r="G315" i="2"/>
  <c r="G155" i="2"/>
  <c r="G768" i="2"/>
  <c r="G540" i="2"/>
  <c r="G988" i="2"/>
  <c r="G644" i="2"/>
  <c r="G166" i="2"/>
  <c r="G389" i="2"/>
  <c r="G711" i="2"/>
  <c r="G62" i="2"/>
  <c r="G263" i="2"/>
  <c r="G520" i="2"/>
  <c r="G904" i="2"/>
  <c r="G35" i="2"/>
  <c r="G232" i="2"/>
  <c r="G480" i="2"/>
  <c r="G839" i="2"/>
  <c r="G137" i="2"/>
  <c r="G353" i="2"/>
  <c r="G661" i="2"/>
  <c r="G266" i="2"/>
  <c r="G121" i="2"/>
  <c r="G333" i="2"/>
  <c r="G630" i="2"/>
  <c r="G288" i="2"/>
  <c r="G142" i="2"/>
  <c r="G357" i="2"/>
  <c r="G664" i="2"/>
  <c r="G298" i="2"/>
  <c r="G114" i="2"/>
  <c r="G325" i="2"/>
  <c r="G617" i="2"/>
  <c r="G987" i="2"/>
  <c r="G827" i="2"/>
  <c r="G667" i="2"/>
  <c r="G507" i="2"/>
  <c r="G347" i="2"/>
  <c r="G866" i="2"/>
  <c r="G706" i="2"/>
  <c r="G546" i="2"/>
  <c r="G857" i="2"/>
  <c r="G697" i="2"/>
  <c r="G943" i="2"/>
  <c r="G684" i="2"/>
  <c r="G478" i="2"/>
  <c r="G300" i="2"/>
  <c r="G140" i="2"/>
  <c r="G958" i="2"/>
  <c r="G694" i="2"/>
  <c r="G486" i="2"/>
  <c r="G307" i="2"/>
  <c r="G147" i="2"/>
  <c r="G757" i="2"/>
  <c r="G530" i="2"/>
  <c r="G972" i="2"/>
  <c r="G724" i="2"/>
  <c r="G176" i="2"/>
  <c r="G401" i="2"/>
  <c r="G728" i="2"/>
  <c r="G71" i="2"/>
  <c r="G273" i="2"/>
  <c r="G536" i="2"/>
  <c r="G934" i="2"/>
  <c r="G45" i="2"/>
  <c r="G242" i="2"/>
  <c r="G493" i="2"/>
  <c r="G856" i="2"/>
  <c r="G149" i="2"/>
  <c r="G365" i="2"/>
  <c r="G677" i="2"/>
  <c r="G320" i="2"/>
  <c r="G130" i="2"/>
  <c r="G344" i="2"/>
  <c r="G645" i="2"/>
  <c r="G381" i="2"/>
  <c r="G152" i="2"/>
  <c r="G370" i="2"/>
  <c r="G686" i="2"/>
  <c r="G343" i="2"/>
  <c r="G123" i="2"/>
  <c r="G335" i="2"/>
  <c r="G632" i="2"/>
  <c r="G979" i="2"/>
  <c r="G819" i="2"/>
  <c r="G659" i="2"/>
  <c r="G499" i="2"/>
  <c r="G339" i="2"/>
  <c r="G858" i="2"/>
  <c r="G698" i="2"/>
  <c r="G1009" i="2"/>
  <c r="G849" i="2"/>
  <c r="G689" i="2"/>
  <c r="G927" i="2"/>
  <c r="G670" i="2"/>
  <c r="G469" i="2"/>
  <c r="G292" i="2"/>
  <c r="G132" i="2"/>
  <c r="G942" i="2"/>
  <c r="G680" i="2"/>
  <c r="G477" i="2"/>
  <c r="G299" i="2"/>
  <c r="G139" i="2"/>
  <c r="G743" i="2"/>
  <c r="G521" i="2"/>
  <c r="G956" i="2"/>
  <c r="G781" i="2"/>
  <c r="G186" i="2"/>
  <c r="G417" i="2"/>
  <c r="G751" i="2"/>
  <c r="G80" i="2"/>
  <c r="G285" i="2"/>
  <c r="G553" i="2"/>
  <c r="G966" i="2"/>
  <c r="G54" i="2"/>
  <c r="G254" i="2"/>
  <c r="G509" i="2"/>
  <c r="G880" i="2"/>
  <c r="G159" i="2"/>
  <c r="G380" i="2"/>
  <c r="G700" i="2"/>
  <c r="G366" i="2"/>
  <c r="G141" i="2"/>
  <c r="G356" i="2"/>
  <c r="G663" i="2"/>
  <c r="G454" i="2"/>
  <c r="G162" i="2"/>
  <c r="G383" i="2"/>
  <c r="G703" i="2"/>
  <c r="G409" i="2"/>
  <c r="G133" i="2"/>
  <c r="G346" i="2"/>
  <c r="G652" i="2"/>
  <c r="G971" i="2"/>
  <c r="G811" i="2"/>
  <c r="G651" i="2"/>
  <c r="G491" i="2"/>
  <c r="G1010" i="2"/>
  <c r="G850" i="2"/>
  <c r="G690" i="2"/>
  <c r="G1001" i="2"/>
  <c r="G841" i="2"/>
  <c r="G681" i="2"/>
  <c r="G912" i="2"/>
  <c r="G660" i="2"/>
  <c r="G460" i="2"/>
  <c r="G284" i="2"/>
  <c r="G124" i="2"/>
  <c r="G926" i="2"/>
  <c r="G669" i="2"/>
  <c r="G468" i="2"/>
  <c r="G291" i="2"/>
  <c r="G1005" i="2"/>
  <c r="G732" i="2"/>
  <c r="G512" i="2"/>
  <c r="G940" i="2"/>
  <c r="G864" i="2"/>
  <c r="G198" i="2"/>
  <c r="G433" i="2"/>
  <c r="G774" i="2"/>
  <c r="G89" i="2"/>
  <c r="G295" i="2"/>
  <c r="G568" i="2"/>
  <c r="G998" i="2"/>
  <c r="G63" i="2"/>
  <c r="G264" i="2"/>
  <c r="G525" i="2"/>
  <c r="G908" i="2"/>
  <c r="G169" i="2"/>
  <c r="G392" i="2"/>
  <c r="G717" i="2"/>
  <c r="G438" i="2"/>
  <c r="G151" i="2"/>
  <c r="G369" i="2"/>
  <c r="G685" i="2"/>
  <c r="G543" i="2"/>
  <c r="G174" i="2"/>
  <c r="G399" i="2"/>
  <c r="G726" i="2"/>
  <c r="G482" i="2"/>
  <c r="G143" i="2"/>
  <c r="G360" i="2"/>
  <c r="G665" i="2"/>
  <c r="G963" i="2"/>
  <c r="G803" i="2"/>
  <c r="G643" i="2"/>
  <c r="G483" i="2"/>
  <c r="G1002" i="2"/>
  <c r="G842" i="2"/>
  <c r="G682" i="2"/>
  <c r="G993" i="2"/>
  <c r="G833" i="2"/>
  <c r="G673" i="2"/>
  <c r="G901" i="2"/>
  <c r="G648" i="2"/>
  <c r="G450" i="2"/>
  <c r="G276" i="2"/>
  <c r="G116" i="2"/>
  <c r="G911" i="2"/>
  <c r="G657" i="2"/>
  <c r="G458" i="2"/>
  <c r="G283" i="2"/>
  <c r="G989" i="2"/>
  <c r="G718" i="2"/>
  <c r="G503" i="2"/>
  <c r="G924" i="2"/>
  <c r="G15" i="2"/>
  <c r="G208" i="2"/>
  <c r="G446" i="2"/>
  <c r="G791" i="2"/>
  <c r="G98" i="2"/>
  <c r="G305" i="2"/>
  <c r="G588" i="2"/>
  <c r="G56" i="2"/>
  <c r="G72" i="2"/>
  <c r="G274" i="2"/>
  <c r="G537" i="2"/>
  <c r="G935" i="2"/>
  <c r="R2" i="2"/>
  <c r="R3" i="2"/>
  <c r="R6" i="2"/>
  <c r="R5" i="2"/>
  <c r="R4" i="2"/>
  <c r="B5" i="2"/>
  <c r="B6" i="2"/>
  <c r="B7" i="2"/>
  <c r="B8" i="2" l="1"/>
</calcChain>
</file>

<file path=xl/sharedStrings.xml><?xml version="1.0" encoding="utf-8"?>
<sst xmlns="http://schemas.openxmlformats.org/spreadsheetml/2006/main" count="2109" uniqueCount="80">
  <si>
    <t>Bet</t>
  </si>
  <si>
    <t>Pot</t>
  </si>
  <si>
    <t>Pot Equity</t>
  </si>
  <si>
    <t>Hand</t>
  </si>
  <si>
    <t>Fold Frequency</t>
  </si>
  <si>
    <t>Net Impact to Our Stack</t>
  </si>
  <si>
    <t>Cumulative Impact to Our Stack</t>
  </si>
  <si>
    <t>Total Bets</t>
  </si>
  <si>
    <t>RNG</t>
  </si>
  <si>
    <t>Total Folds</t>
  </si>
  <si>
    <t>Total Calls</t>
  </si>
  <si>
    <t>Opp's 
Response</t>
  </si>
  <si>
    <t>Total Wins</t>
  </si>
  <si>
    <t>BE%</t>
  </si>
  <si>
    <t>ROI</t>
  </si>
  <si>
    <t>Net After 500 Hands</t>
  </si>
  <si>
    <t>RNG Toggle</t>
  </si>
  <si>
    <t>Cash Flow</t>
  </si>
  <si>
    <t>Ending Bankroll</t>
  </si>
  <si>
    <t>1K Hand Trial</t>
  </si>
  <si>
    <t>Interim Bankruptcy %</t>
  </si>
  <si>
    <t>Terminal Bankruptcy %</t>
  </si>
  <si>
    <t>Interim Bankruptcy</t>
  </si>
  <si>
    <t>Terminal Bankruptcy</t>
  </si>
  <si>
    <t>% Return</t>
  </si>
  <si>
    <t xml:space="preserve">Min </t>
  </si>
  <si>
    <t>Average</t>
  </si>
  <si>
    <t>Max</t>
  </si>
  <si>
    <t>SD</t>
  </si>
  <si>
    <t>Participating Frequency</t>
  </si>
  <si>
    <t>Hands per Orbit</t>
  </si>
  <si>
    <t>Hands per Participation</t>
  </si>
  <si>
    <t>Cost to Participate</t>
  </si>
  <si>
    <t>Orbits per Participation</t>
  </si>
  <si>
    <t>Cost / Orbit</t>
  </si>
  <si>
    <t>Wins</t>
  </si>
  <si>
    <t>Loses</t>
  </si>
  <si>
    <t>Gain / Loss</t>
  </si>
  <si>
    <t>You</t>
  </si>
  <si>
    <t>Opponent</t>
  </si>
  <si>
    <t>Starting Bankroll</t>
  </si>
  <si>
    <t>Money at Risk</t>
  </si>
  <si>
    <t>Lowest Bankroll</t>
  </si>
  <si>
    <t>Highest Bankroll</t>
  </si>
  <si>
    <t>Bankroll</t>
  </si>
  <si>
    <t>Your Outcome</t>
  </si>
  <si>
    <t>Hightest Bankroll</t>
  </si>
  <si>
    <t>Wins Needed to Avoid Bankrupty</t>
  </si>
  <si>
    <t>Net # of Loses for Bankruptcy</t>
  </si>
  <si>
    <t>BinomDist</t>
  </si>
  <si>
    <t>Cumulative BinomDist</t>
  </si>
  <si>
    <t>BinomDist Mean</t>
  </si>
  <si>
    <t>BinomDist StDev</t>
  </si>
  <si>
    <t>BinomDist +1 StDev G/L</t>
  </si>
  <si>
    <t>BinomDist -1 StDev G/L</t>
  </si>
  <si>
    <t>BinomDist +2 StDev G/L</t>
  </si>
  <si>
    <t>BinomDist -2 StDev G/L</t>
  </si>
  <si>
    <t>BinomDist Mean Gain/Loss</t>
  </si>
  <si>
    <t>BinomDist StDev Gain/Loss</t>
  </si>
  <si>
    <t>`</t>
  </si>
  <si>
    <t>Pr(Win)</t>
  </si>
  <si>
    <t>Pr(Lose)</t>
  </si>
  <si>
    <t>Edge versus Opponent</t>
  </si>
  <si>
    <t>Excess Profits %</t>
  </si>
  <si>
    <t>Balance</t>
  </si>
  <si>
    <t>Proposition</t>
  </si>
  <si>
    <t>Outcome</t>
  </si>
  <si>
    <t>Wager</t>
  </si>
  <si>
    <t>Wager % Bankroll</t>
  </si>
  <si>
    <t>Accept Proposition</t>
  </si>
  <si>
    <t>Yes</t>
  </si>
  <si>
    <t>Potential Reward</t>
  </si>
  <si>
    <t>Money Flow</t>
  </si>
  <si>
    <t>Rate of Return</t>
  </si>
  <si>
    <t>BD Win Mean</t>
  </si>
  <si>
    <t>BD Lose Mean</t>
  </si>
  <si>
    <t xml:space="preserve">BD Money Won Mean </t>
  </si>
  <si>
    <t>BD Money Lost Mean</t>
  </si>
  <si>
    <t>BD Gain / Loss Mean</t>
  </si>
  <si>
    <t>BD Bankroll 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</si>
</sst>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0.000"/>
    <numFmt numFmtId="165" formatCode="0.0%"/>
    <numFmt numFmtId="166" formatCode="0.0"/>
    <numFmt numFmtId="167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6" fontId="0" fillId="0" borderId="0" xfId="0" applyNumberFormat="1"/>
    <xf numFmtId="6" fontId="0" fillId="0" borderId="0" xfId="0" applyNumberFormat="1" applyAlignment="1">
      <alignment horizontal="right"/>
    </xf>
    <xf numFmtId="9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9" fontId="0" fillId="0" borderId="0" xfId="2" applyFont="1" applyAlignment="1">
      <alignment horizontal="right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right" wrapText="1"/>
    </xf>
    <xf numFmtId="0" fontId="0" fillId="2" borderId="2" xfId="0" applyFill="1" applyBorder="1" applyAlignment="1">
      <alignment horizontal="left" indent="1"/>
    </xf>
    <xf numFmtId="0" fontId="0" fillId="2" borderId="3" xfId="0" applyFill="1" applyBorder="1"/>
    <xf numFmtId="0" fontId="0" fillId="2" borderId="5" xfId="0" applyFill="1" applyBorder="1" applyAlignment="1">
      <alignment horizontal="left" indent="1"/>
    </xf>
    <xf numFmtId="0" fontId="0" fillId="2" borderId="0" xfId="0" applyFill="1"/>
    <xf numFmtId="0" fontId="0" fillId="2" borderId="7" xfId="0" applyFill="1" applyBorder="1" applyAlignment="1">
      <alignment horizontal="left" indent="1"/>
    </xf>
    <xf numFmtId="0" fontId="0" fillId="2" borderId="8" xfId="0" applyFill="1" applyBorder="1"/>
    <xf numFmtId="9" fontId="0" fillId="2" borderId="4" xfId="0" applyNumberFormat="1" applyFill="1" applyBorder="1" applyAlignment="1">
      <alignment horizontal="right" indent="1"/>
    </xf>
    <xf numFmtId="9" fontId="0" fillId="2" borderId="6" xfId="0" applyNumberFormat="1" applyFill="1" applyBorder="1" applyAlignment="1">
      <alignment horizontal="right" indent="1"/>
    </xf>
    <xf numFmtId="6" fontId="0" fillId="2" borderId="6" xfId="0" applyNumberFormat="1" applyFill="1" applyBorder="1" applyAlignment="1">
      <alignment horizontal="right" indent="1"/>
    </xf>
    <xf numFmtId="165" fontId="0" fillId="2" borderId="6" xfId="2" applyNumberFormat="1" applyFont="1" applyFill="1" applyBorder="1" applyAlignment="1">
      <alignment horizontal="right" indent="1"/>
    </xf>
    <xf numFmtId="165" fontId="0" fillId="2" borderId="9" xfId="2" applyNumberFormat="1" applyFont="1" applyFill="1" applyBorder="1" applyAlignment="1">
      <alignment horizontal="right" indent="1"/>
    </xf>
    <xf numFmtId="37" fontId="0" fillId="2" borderId="6" xfId="1" applyNumberFormat="1" applyFont="1" applyFill="1" applyBorder="1" applyAlignment="1">
      <alignment horizontal="right" indent="1"/>
    </xf>
    <xf numFmtId="1" fontId="0" fillId="2" borderId="9" xfId="1" applyNumberFormat="1" applyFont="1" applyFill="1" applyBorder="1" applyAlignment="1">
      <alignment horizontal="right" indent="1"/>
    </xf>
    <xf numFmtId="9" fontId="0" fillId="0" borderId="0" xfId="0" applyNumberFormat="1"/>
    <xf numFmtId="164" fontId="0" fillId="0" borderId="0" xfId="0" applyNumberFormat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2" applyFont="1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0" fillId="0" borderId="1" xfId="0" applyBorder="1"/>
    <xf numFmtId="10" fontId="0" fillId="0" borderId="0" xfId="2" applyNumberFormat="1" applyFont="1" applyAlignment="1">
      <alignment horizontal="right"/>
    </xf>
    <xf numFmtId="8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167" fontId="0" fillId="0" borderId="0" xfId="1" applyNumberFormat="1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right" wrapText="1"/>
    </xf>
    <xf numFmtId="165" fontId="0" fillId="0" borderId="0" xfId="2" applyNumberFormat="1" applyFont="1"/>
    <xf numFmtId="11" fontId="0" fillId="0" borderId="0" xfId="0" applyNumberFormat="1"/>
    <xf numFmtId="43" fontId="0" fillId="0" borderId="0" xfId="1" applyFont="1"/>
    <xf numFmtId="0" fontId="2" fillId="0" borderId="2" xfId="0" applyFont="1" applyBorder="1" applyAlignment="1">
      <alignment horizontal="left" indent="1"/>
    </xf>
    <xf numFmtId="0" fontId="2" fillId="0" borderId="5" xfId="0" applyFont="1" applyBorder="1" applyAlignment="1">
      <alignment horizontal="left" indent="1"/>
    </xf>
    <xf numFmtId="0" fontId="2" fillId="0" borderId="7" xfId="0" applyFont="1" applyBorder="1" applyAlignment="1">
      <alignment horizontal="left" indent="1"/>
    </xf>
    <xf numFmtId="9" fontId="0" fillId="0" borderId="4" xfId="0" applyNumberFormat="1" applyBorder="1" applyAlignment="1">
      <alignment horizontal="right" indent="1"/>
    </xf>
    <xf numFmtId="9" fontId="0" fillId="0" borderId="6" xfId="0" applyNumberFormat="1" applyBorder="1" applyAlignment="1">
      <alignment horizontal="right" indent="1"/>
    </xf>
    <xf numFmtId="0" fontId="2" fillId="0" borderId="8" xfId="0" applyFont="1" applyBorder="1"/>
    <xf numFmtId="0" fontId="2" fillId="0" borderId="8" xfId="0" applyFont="1" applyBorder="1" applyAlignment="1">
      <alignment horizontal="right"/>
    </xf>
    <xf numFmtId="6" fontId="0" fillId="0" borderId="4" xfId="0" applyNumberFormat="1" applyBorder="1" applyAlignment="1">
      <alignment horizontal="right" indent="1"/>
    </xf>
    <xf numFmtId="6" fontId="0" fillId="0" borderId="6" xfId="0" applyNumberFormat="1" applyBorder="1" applyAlignment="1">
      <alignment horizontal="right" indent="1"/>
    </xf>
    <xf numFmtId="165" fontId="0" fillId="0" borderId="9" xfId="2" applyNumberFormat="1" applyFont="1" applyBorder="1" applyAlignment="1">
      <alignment horizontal="right" indent="1"/>
    </xf>
    <xf numFmtId="0" fontId="2" fillId="0" borderId="8" xfId="0" applyFont="1" applyBorder="1" applyAlignment="1">
      <alignment horizontal="center" wrapText="1"/>
    </xf>
    <xf numFmtId="0" fontId="2" fillId="0" borderId="8" xfId="0" applyFont="1" applyBorder="1" applyAlignment="1">
      <alignment horizontal="right" wrapText="1"/>
    </xf>
    <xf numFmtId="0" fontId="2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164" fontId="0" fillId="4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right"/>
    </xf>
    <xf numFmtId="165" fontId="0" fillId="0" borderId="6" xfId="2" applyNumberFormat="1" applyFont="1" applyBorder="1" applyAlignment="1">
      <alignment horizontal="right" indent="1"/>
    </xf>
    <xf numFmtId="166" fontId="0" fillId="0" borderId="0" xfId="0" applyNumberFormat="1"/>
    <xf numFmtId="9" fontId="0" fillId="0" borderId="9" xfId="2" applyNumberFormat="1" applyFont="1" applyBorder="1" applyAlignment="1">
      <alignment horizontal="right" inden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en-US" sz="900" b="1">
                <a:solidFill>
                  <a:srgbClr val="C00000"/>
                </a:solidFill>
              </a:rPr>
              <a:t>Bankroll</a:t>
            </a:r>
            <a:r>
              <a:rPr lang="en-US" sz="900" b="1" baseline="0">
                <a:solidFill>
                  <a:srgbClr val="C00000"/>
                </a:solidFill>
              </a:rPr>
              <a:t> Balance After 1K Propositons</a:t>
            </a:r>
            <a:endParaRPr lang="en-US" sz="900" b="1">
              <a:solidFill>
                <a:srgbClr val="C00000"/>
              </a:solidFill>
            </a:endParaRPr>
          </a:p>
        </c:rich>
      </c:tx>
      <c:layout>
        <c:manualLayout>
          <c:xMode val="edge"/>
          <c:yMode val="edge"/>
          <c:x val="0.21330057025858751"/>
          <c:y val="1.94913973106475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46420325689099"/>
          <c:y val="0.10764124164805136"/>
          <c:w val="0.82331098126935698"/>
          <c:h val="0.77645406847312093"/>
        </c:manualLayout>
      </c:layout>
      <c:lineChart>
        <c:grouping val="standard"/>
        <c:varyColors val="0"/>
        <c:ser>
          <c:idx val="1"/>
          <c:order val="0"/>
          <c:tx>
            <c:v>Bankroll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Lbl>
              <c:idx val="1000"/>
              <c:layout>
                <c:manualLayout>
                  <c:x val="0"/>
                  <c:y val="-2.42792147936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694A-4113-B8DB-90F0EFDF27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Bankroll_1!$F$3:$F$1003</c:f>
              <c:numCache>
                <c:formatCode>"$"#,##0_);[Red]\("$"#,##0\)</c:formatCode>
                <c:ptCount val="1001"/>
                <c:pt idx="0">
                  <c:v>100000</c:v>
                </c:pt>
                <c:pt idx="1">
                  <c:v>105000</c:v>
                </c:pt>
                <c:pt idx="2">
                  <c:v>110000</c:v>
                </c:pt>
                <c:pt idx="3">
                  <c:v>105000</c:v>
                </c:pt>
                <c:pt idx="4">
                  <c:v>110000</c:v>
                </c:pt>
                <c:pt idx="5">
                  <c:v>105000</c:v>
                </c:pt>
                <c:pt idx="6">
                  <c:v>100000</c:v>
                </c:pt>
                <c:pt idx="7">
                  <c:v>105000</c:v>
                </c:pt>
                <c:pt idx="8">
                  <c:v>100000</c:v>
                </c:pt>
                <c:pt idx="9">
                  <c:v>95000</c:v>
                </c:pt>
                <c:pt idx="10">
                  <c:v>100000</c:v>
                </c:pt>
                <c:pt idx="11">
                  <c:v>95000</c:v>
                </c:pt>
                <c:pt idx="12">
                  <c:v>100000</c:v>
                </c:pt>
                <c:pt idx="13">
                  <c:v>105000</c:v>
                </c:pt>
                <c:pt idx="14">
                  <c:v>110000</c:v>
                </c:pt>
                <c:pt idx="15">
                  <c:v>105000</c:v>
                </c:pt>
                <c:pt idx="16">
                  <c:v>110000</c:v>
                </c:pt>
                <c:pt idx="17">
                  <c:v>105000</c:v>
                </c:pt>
                <c:pt idx="18">
                  <c:v>110000</c:v>
                </c:pt>
                <c:pt idx="19">
                  <c:v>105000</c:v>
                </c:pt>
                <c:pt idx="20">
                  <c:v>110000</c:v>
                </c:pt>
                <c:pt idx="21">
                  <c:v>105000</c:v>
                </c:pt>
                <c:pt idx="22">
                  <c:v>110000</c:v>
                </c:pt>
                <c:pt idx="23">
                  <c:v>115000</c:v>
                </c:pt>
                <c:pt idx="24">
                  <c:v>120000</c:v>
                </c:pt>
                <c:pt idx="25">
                  <c:v>125000</c:v>
                </c:pt>
                <c:pt idx="26">
                  <c:v>130000</c:v>
                </c:pt>
                <c:pt idx="27">
                  <c:v>125000</c:v>
                </c:pt>
                <c:pt idx="28">
                  <c:v>130000</c:v>
                </c:pt>
                <c:pt idx="29">
                  <c:v>125000</c:v>
                </c:pt>
                <c:pt idx="30">
                  <c:v>120000</c:v>
                </c:pt>
                <c:pt idx="31">
                  <c:v>115000</c:v>
                </c:pt>
                <c:pt idx="32">
                  <c:v>110000</c:v>
                </c:pt>
                <c:pt idx="33">
                  <c:v>105000</c:v>
                </c:pt>
                <c:pt idx="34">
                  <c:v>100000</c:v>
                </c:pt>
                <c:pt idx="35">
                  <c:v>105000</c:v>
                </c:pt>
                <c:pt idx="36">
                  <c:v>110000</c:v>
                </c:pt>
                <c:pt idx="37">
                  <c:v>115000</c:v>
                </c:pt>
                <c:pt idx="38">
                  <c:v>110000</c:v>
                </c:pt>
                <c:pt idx="39">
                  <c:v>105000</c:v>
                </c:pt>
                <c:pt idx="40">
                  <c:v>100000</c:v>
                </c:pt>
                <c:pt idx="41">
                  <c:v>105000</c:v>
                </c:pt>
                <c:pt idx="42">
                  <c:v>110000</c:v>
                </c:pt>
                <c:pt idx="43">
                  <c:v>105000</c:v>
                </c:pt>
                <c:pt idx="44">
                  <c:v>100000</c:v>
                </c:pt>
                <c:pt idx="45">
                  <c:v>105000</c:v>
                </c:pt>
                <c:pt idx="46">
                  <c:v>100000</c:v>
                </c:pt>
                <c:pt idx="47">
                  <c:v>95000</c:v>
                </c:pt>
                <c:pt idx="48">
                  <c:v>90000</c:v>
                </c:pt>
                <c:pt idx="49">
                  <c:v>85000</c:v>
                </c:pt>
                <c:pt idx="50">
                  <c:v>80000</c:v>
                </c:pt>
                <c:pt idx="51">
                  <c:v>85000</c:v>
                </c:pt>
                <c:pt idx="52">
                  <c:v>80000</c:v>
                </c:pt>
                <c:pt idx="53">
                  <c:v>85000</c:v>
                </c:pt>
                <c:pt idx="54">
                  <c:v>90000</c:v>
                </c:pt>
                <c:pt idx="55">
                  <c:v>95000</c:v>
                </c:pt>
                <c:pt idx="56">
                  <c:v>100000</c:v>
                </c:pt>
                <c:pt idx="57">
                  <c:v>105000</c:v>
                </c:pt>
                <c:pt idx="58">
                  <c:v>110000</c:v>
                </c:pt>
                <c:pt idx="59">
                  <c:v>115000</c:v>
                </c:pt>
                <c:pt idx="60">
                  <c:v>120000</c:v>
                </c:pt>
                <c:pt idx="61">
                  <c:v>125000</c:v>
                </c:pt>
                <c:pt idx="62">
                  <c:v>130000</c:v>
                </c:pt>
                <c:pt idx="63">
                  <c:v>125000</c:v>
                </c:pt>
                <c:pt idx="64">
                  <c:v>120000</c:v>
                </c:pt>
                <c:pt idx="65">
                  <c:v>125000</c:v>
                </c:pt>
                <c:pt idx="66">
                  <c:v>130000</c:v>
                </c:pt>
                <c:pt idx="67">
                  <c:v>125000</c:v>
                </c:pt>
                <c:pt idx="68">
                  <c:v>120000</c:v>
                </c:pt>
                <c:pt idx="69">
                  <c:v>125000</c:v>
                </c:pt>
                <c:pt idx="70">
                  <c:v>130000</c:v>
                </c:pt>
                <c:pt idx="71">
                  <c:v>125000</c:v>
                </c:pt>
                <c:pt idx="72">
                  <c:v>120000</c:v>
                </c:pt>
                <c:pt idx="73">
                  <c:v>115000</c:v>
                </c:pt>
                <c:pt idx="74">
                  <c:v>120000</c:v>
                </c:pt>
                <c:pt idx="75">
                  <c:v>125000</c:v>
                </c:pt>
                <c:pt idx="76">
                  <c:v>120000</c:v>
                </c:pt>
                <c:pt idx="77">
                  <c:v>125000</c:v>
                </c:pt>
                <c:pt idx="78">
                  <c:v>130000</c:v>
                </c:pt>
                <c:pt idx="79">
                  <c:v>135000</c:v>
                </c:pt>
                <c:pt idx="80">
                  <c:v>140000</c:v>
                </c:pt>
                <c:pt idx="81">
                  <c:v>145000</c:v>
                </c:pt>
                <c:pt idx="82">
                  <c:v>140000</c:v>
                </c:pt>
                <c:pt idx="83">
                  <c:v>145000</c:v>
                </c:pt>
                <c:pt idx="84">
                  <c:v>150000</c:v>
                </c:pt>
                <c:pt idx="85">
                  <c:v>145000</c:v>
                </c:pt>
                <c:pt idx="86">
                  <c:v>150000</c:v>
                </c:pt>
                <c:pt idx="87">
                  <c:v>145000</c:v>
                </c:pt>
                <c:pt idx="88">
                  <c:v>150000</c:v>
                </c:pt>
                <c:pt idx="89">
                  <c:v>155000</c:v>
                </c:pt>
                <c:pt idx="90">
                  <c:v>150000</c:v>
                </c:pt>
                <c:pt idx="91">
                  <c:v>145000</c:v>
                </c:pt>
                <c:pt idx="92">
                  <c:v>150000</c:v>
                </c:pt>
                <c:pt idx="93">
                  <c:v>155000</c:v>
                </c:pt>
                <c:pt idx="94">
                  <c:v>150000</c:v>
                </c:pt>
                <c:pt idx="95">
                  <c:v>155000</c:v>
                </c:pt>
                <c:pt idx="96">
                  <c:v>150000</c:v>
                </c:pt>
                <c:pt idx="97">
                  <c:v>145000</c:v>
                </c:pt>
                <c:pt idx="98">
                  <c:v>150000</c:v>
                </c:pt>
                <c:pt idx="99">
                  <c:v>145000</c:v>
                </c:pt>
                <c:pt idx="100">
                  <c:v>140000</c:v>
                </c:pt>
                <c:pt idx="101">
                  <c:v>145000</c:v>
                </c:pt>
                <c:pt idx="102">
                  <c:v>150000</c:v>
                </c:pt>
                <c:pt idx="103">
                  <c:v>145000</c:v>
                </c:pt>
                <c:pt idx="104">
                  <c:v>150000</c:v>
                </c:pt>
                <c:pt idx="105">
                  <c:v>155000</c:v>
                </c:pt>
                <c:pt idx="106">
                  <c:v>160000</c:v>
                </c:pt>
                <c:pt idx="107">
                  <c:v>165000</c:v>
                </c:pt>
                <c:pt idx="108">
                  <c:v>170000</c:v>
                </c:pt>
                <c:pt idx="109">
                  <c:v>175000</c:v>
                </c:pt>
                <c:pt idx="110">
                  <c:v>170000</c:v>
                </c:pt>
                <c:pt idx="111">
                  <c:v>165000</c:v>
                </c:pt>
                <c:pt idx="112">
                  <c:v>160000</c:v>
                </c:pt>
                <c:pt idx="113">
                  <c:v>165000</c:v>
                </c:pt>
                <c:pt idx="114">
                  <c:v>170000</c:v>
                </c:pt>
                <c:pt idx="115">
                  <c:v>165000</c:v>
                </c:pt>
                <c:pt idx="116">
                  <c:v>160000</c:v>
                </c:pt>
                <c:pt idx="117">
                  <c:v>165000</c:v>
                </c:pt>
                <c:pt idx="118">
                  <c:v>160000</c:v>
                </c:pt>
                <c:pt idx="119">
                  <c:v>155000</c:v>
                </c:pt>
                <c:pt idx="120">
                  <c:v>160000</c:v>
                </c:pt>
                <c:pt idx="121">
                  <c:v>165000</c:v>
                </c:pt>
                <c:pt idx="122">
                  <c:v>170000</c:v>
                </c:pt>
                <c:pt idx="123">
                  <c:v>175000</c:v>
                </c:pt>
                <c:pt idx="124">
                  <c:v>170000</c:v>
                </c:pt>
                <c:pt idx="125">
                  <c:v>175000</c:v>
                </c:pt>
                <c:pt idx="126">
                  <c:v>180000</c:v>
                </c:pt>
                <c:pt idx="127">
                  <c:v>185000</c:v>
                </c:pt>
                <c:pt idx="128">
                  <c:v>180000</c:v>
                </c:pt>
                <c:pt idx="129">
                  <c:v>185000</c:v>
                </c:pt>
                <c:pt idx="130">
                  <c:v>180000</c:v>
                </c:pt>
                <c:pt idx="131">
                  <c:v>175000</c:v>
                </c:pt>
                <c:pt idx="132">
                  <c:v>180000</c:v>
                </c:pt>
                <c:pt idx="133">
                  <c:v>175000</c:v>
                </c:pt>
                <c:pt idx="134">
                  <c:v>170000</c:v>
                </c:pt>
                <c:pt idx="135">
                  <c:v>175000</c:v>
                </c:pt>
                <c:pt idx="136">
                  <c:v>180000</c:v>
                </c:pt>
                <c:pt idx="137">
                  <c:v>185000</c:v>
                </c:pt>
                <c:pt idx="138">
                  <c:v>180000</c:v>
                </c:pt>
                <c:pt idx="139">
                  <c:v>185000</c:v>
                </c:pt>
                <c:pt idx="140">
                  <c:v>190000</c:v>
                </c:pt>
                <c:pt idx="141">
                  <c:v>195000</c:v>
                </c:pt>
                <c:pt idx="142">
                  <c:v>200000</c:v>
                </c:pt>
                <c:pt idx="143">
                  <c:v>205000</c:v>
                </c:pt>
                <c:pt idx="144">
                  <c:v>200000</c:v>
                </c:pt>
                <c:pt idx="145">
                  <c:v>205000</c:v>
                </c:pt>
                <c:pt idx="146">
                  <c:v>210000</c:v>
                </c:pt>
                <c:pt idx="147">
                  <c:v>215000</c:v>
                </c:pt>
                <c:pt idx="148">
                  <c:v>210000</c:v>
                </c:pt>
                <c:pt idx="149">
                  <c:v>205000</c:v>
                </c:pt>
                <c:pt idx="150">
                  <c:v>200000</c:v>
                </c:pt>
                <c:pt idx="151">
                  <c:v>205000</c:v>
                </c:pt>
                <c:pt idx="152">
                  <c:v>200000</c:v>
                </c:pt>
                <c:pt idx="153">
                  <c:v>205000</c:v>
                </c:pt>
                <c:pt idx="154">
                  <c:v>200000</c:v>
                </c:pt>
                <c:pt idx="155">
                  <c:v>205000</c:v>
                </c:pt>
                <c:pt idx="156">
                  <c:v>210000</c:v>
                </c:pt>
                <c:pt idx="157">
                  <c:v>215000</c:v>
                </c:pt>
                <c:pt idx="158">
                  <c:v>220000</c:v>
                </c:pt>
                <c:pt idx="159">
                  <c:v>225000</c:v>
                </c:pt>
                <c:pt idx="160">
                  <c:v>230000</c:v>
                </c:pt>
                <c:pt idx="161">
                  <c:v>225000</c:v>
                </c:pt>
                <c:pt idx="162">
                  <c:v>220000</c:v>
                </c:pt>
                <c:pt idx="163">
                  <c:v>215000</c:v>
                </c:pt>
                <c:pt idx="164">
                  <c:v>210000</c:v>
                </c:pt>
                <c:pt idx="165">
                  <c:v>215000</c:v>
                </c:pt>
                <c:pt idx="166">
                  <c:v>220000</c:v>
                </c:pt>
                <c:pt idx="167">
                  <c:v>215000</c:v>
                </c:pt>
                <c:pt idx="168">
                  <c:v>210000</c:v>
                </c:pt>
                <c:pt idx="169">
                  <c:v>215000</c:v>
                </c:pt>
                <c:pt idx="170">
                  <c:v>220000</c:v>
                </c:pt>
                <c:pt idx="171">
                  <c:v>225000</c:v>
                </c:pt>
                <c:pt idx="172">
                  <c:v>220000</c:v>
                </c:pt>
                <c:pt idx="173">
                  <c:v>225000</c:v>
                </c:pt>
                <c:pt idx="174">
                  <c:v>230000</c:v>
                </c:pt>
                <c:pt idx="175">
                  <c:v>225000</c:v>
                </c:pt>
                <c:pt idx="176">
                  <c:v>220000</c:v>
                </c:pt>
                <c:pt idx="177">
                  <c:v>225000</c:v>
                </c:pt>
                <c:pt idx="178">
                  <c:v>220000</c:v>
                </c:pt>
                <c:pt idx="179">
                  <c:v>225000</c:v>
                </c:pt>
                <c:pt idx="180">
                  <c:v>230000</c:v>
                </c:pt>
                <c:pt idx="181">
                  <c:v>235000</c:v>
                </c:pt>
                <c:pt idx="182">
                  <c:v>240000</c:v>
                </c:pt>
                <c:pt idx="183">
                  <c:v>235000</c:v>
                </c:pt>
                <c:pt idx="184">
                  <c:v>230000</c:v>
                </c:pt>
                <c:pt idx="185">
                  <c:v>225000</c:v>
                </c:pt>
                <c:pt idx="186">
                  <c:v>230000</c:v>
                </c:pt>
                <c:pt idx="187">
                  <c:v>235000</c:v>
                </c:pt>
                <c:pt idx="188">
                  <c:v>240000</c:v>
                </c:pt>
                <c:pt idx="189">
                  <c:v>235000</c:v>
                </c:pt>
                <c:pt idx="190">
                  <c:v>240000</c:v>
                </c:pt>
                <c:pt idx="191">
                  <c:v>235000</c:v>
                </c:pt>
                <c:pt idx="192">
                  <c:v>230000</c:v>
                </c:pt>
                <c:pt idx="193">
                  <c:v>225000</c:v>
                </c:pt>
                <c:pt idx="194">
                  <c:v>230000</c:v>
                </c:pt>
                <c:pt idx="195">
                  <c:v>225000</c:v>
                </c:pt>
                <c:pt idx="196">
                  <c:v>220000</c:v>
                </c:pt>
                <c:pt idx="197">
                  <c:v>225000</c:v>
                </c:pt>
                <c:pt idx="198">
                  <c:v>220000</c:v>
                </c:pt>
                <c:pt idx="199">
                  <c:v>225000</c:v>
                </c:pt>
                <c:pt idx="200">
                  <c:v>230000</c:v>
                </c:pt>
                <c:pt idx="201">
                  <c:v>235000</c:v>
                </c:pt>
                <c:pt idx="202">
                  <c:v>230000</c:v>
                </c:pt>
                <c:pt idx="203">
                  <c:v>225000</c:v>
                </c:pt>
                <c:pt idx="204">
                  <c:v>220000</c:v>
                </c:pt>
                <c:pt idx="205">
                  <c:v>215000</c:v>
                </c:pt>
                <c:pt idx="206">
                  <c:v>220000</c:v>
                </c:pt>
                <c:pt idx="207">
                  <c:v>215000</c:v>
                </c:pt>
                <c:pt idx="208">
                  <c:v>210000</c:v>
                </c:pt>
                <c:pt idx="209">
                  <c:v>205000</c:v>
                </c:pt>
                <c:pt idx="210">
                  <c:v>210000</c:v>
                </c:pt>
                <c:pt idx="211">
                  <c:v>215000</c:v>
                </c:pt>
                <c:pt idx="212">
                  <c:v>220000</c:v>
                </c:pt>
                <c:pt idx="213">
                  <c:v>215000</c:v>
                </c:pt>
                <c:pt idx="214">
                  <c:v>220000</c:v>
                </c:pt>
                <c:pt idx="215">
                  <c:v>225000</c:v>
                </c:pt>
                <c:pt idx="216">
                  <c:v>230000</c:v>
                </c:pt>
                <c:pt idx="217">
                  <c:v>225000</c:v>
                </c:pt>
                <c:pt idx="218">
                  <c:v>220000</c:v>
                </c:pt>
                <c:pt idx="219">
                  <c:v>225000</c:v>
                </c:pt>
                <c:pt idx="220">
                  <c:v>220000</c:v>
                </c:pt>
                <c:pt idx="221">
                  <c:v>215000</c:v>
                </c:pt>
                <c:pt idx="222">
                  <c:v>210000</c:v>
                </c:pt>
                <c:pt idx="223">
                  <c:v>215000</c:v>
                </c:pt>
                <c:pt idx="224">
                  <c:v>210000</c:v>
                </c:pt>
                <c:pt idx="225">
                  <c:v>205000</c:v>
                </c:pt>
                <c:pt idx="226">
                  <c:v>200000</c:v>
                </c:pt>
                <c:pt idx="227">
                  <c:v>205000</c:v>
                </c:pt>
                <c:pt idx="228">
                  <c:v>210000</c:v>
                </c:pt>
                <c:pt idx="229">
                  <c:v>205000</c:v>
                </c:pt>
                <c:pt idx="230">
                  <c:v>210000</c:v>
                </c:pt>
                <c:pt idx="231">
                  <c:v>215000</c:v>
                </c:pt>
                <c:pt idx="232">
                  <c:v>220000</c:v>
                </c:pt>
                <c:pt idx="233">
                  <c:v>215000</c:v>
                </c:pt>
                <c:pt idx="234">
                  <c:v>210000</c:v>
                </c:pt>
                <c:pt idx="235">
                  <c:v>205000</c:v>
                </c:pt>
                <c:pt idx="236">
                  <c:v>200000</c:v>
                </c:pt>
                <c:pt idx="237">
                  <c:v>205000</c:v>
                </c:pt>
                <c:pt idx="238">
                  <c:v>200000</c:v>
                </c:pt>
                <c:pt idx="239">
                  <c:v>205000</c:v>
                </c:pt>
                <c:pt idx="240">
                  <c:v>210000</c:v>
                </c:pt>
                <c:pt idx="241">
                  <c:v>215000</c:v>
                </c:pt>
                <c:pt idx="242">
                  <c:v>210000</c:v>
                </c:pt>
                <c:pt idx="243">
                  <c:v>205000</c:v>
                </c:pt>
                <c:pt idx="244">
                  <c:v>200000</c:v>
                </c:pt>
                <c:pt idx="245">
                  <c:v>195000</c:v>
                </c:pt>
                <c:pt idx="246">
                  <c:v>190000</c:v>
                </c:pt>
                <c:pt idx="247">
                  <c:v>195000</c:v>
                </c:pt>
                <c:pt idx="248">
                  <c:v>200000</c:v>
                </c:pt>
                <c:pt idx="249">
                  <c:v>195000</c:v>
                </c:pt>
                <c:pt idx="250">
                  <c:v>200000</c:v>
                </c:pt>
                <c:pt idx="251">
                  <c:v>195000</c:v>
                </c:pt>
                <c:pt idx="252">
                  <c:v>190000</c:v>
                </c:pt>
                <c:pt idx="253">
                  <c:v>185000</c:v>
                </c:pt>
                <c:pt idx="254">
                  <c:v>190000</c:v>
                </c:pt>
                <c:pt idx="255">
                  <c:v>195000</c:v>
                </c:pt>
                <c:pt idx="256">
                  <c:v>200000</c:v>
                </c:pt>
                <c:pt idx="257">
                  <c:v>195000</c:v>
                </c:pt>
                <c:pt idx="258">
                  <c:v>190000</c:v>
                </c:pt>
                <c:pt idx="259">
                  <c:v>195000</c:v>
                </c:pt>
                <c:pt idx="260">
                  <c:v>200000</c:v>
                </c:pt>
                <c:pt idx="261">
                  <c:v>195000</c:v>
                </c:pt>
                <c:pt idx="262">
                  <c:v>200000</c:v>
                </c:pt>
                <c:pt idx="263">
                  <c:v>205000</c:v>
                </c:pt>
                <c:pt idx="264">
                  <c:v>200000</c:v>
                </c:pt>
                <c:pt idx="265">
                  <c:v>195000</c:v>
                </c:pt>
                <c:pt idx="266">
                  <c:v>190000</c:v>
                </c:pt>
                <c:pt idx="267">
                  <c:v>185000</c:v>
                </c:pt>
                <c:pt idx="268">
                  <c:v>190000</c:v>
                </c:pt>
                <c:pt idx="269">
                  <c:v>195000</c:v>
                </c:pt>
                <c:pt idx="270">
                  <c:v>200000</c:v>
                </c:pt>
                <c:pt idx="271">
                  <c:v>205000</c:v>
                </c:pt>
                <c:pt idx="272">
                  <c:v>200000</c:v>
                </c:pt>
                <c:pt idx="273">
                  <c:v>195000</c:v>
                </c:pt>
                <c:pt idx="274">
                  <c:v>190000</c:v>
                </c:pt>
                <c:pt idx="275">
                  <c:v>185000</c:v>
                </c:pt>
                <c:pt idx="276">
                  <c:v>190000</c:v>
                </c:pt>
                <c:pt idx="277">
                  <c:v>185000</c:v>
                </c:pt>
                <c:pt idx="278">
                  <c:v>190000</c:v>
                </c:pt>
                <c:pt idx="279">
                  <c:v>195000</c:v>
                </c:pt>
                <c:pt idx="280">
                  <c:v>190000</c:v>
                </c:pt>
                <c:pt idx="281">
                  <c:v>195000</c:v>
                </c:pt>
                <c:pt idx="282">
                  <c:v>190000</c:v>
                </c:pt>
                <c:pt idx="283">
                  <c:v>195000</c:v>
                </c:pt>
                <c:pt idx="284">
                  <c:v>200000</c:v>
                </c:pt>
                <c:pt idx="285">
                  <c:v>205000</c:v>
                </c:pt>
                <c:pt idx="286">
                  <c:v>210000</c:v>
                </c:pt>
                <c:pt idx="287">
                  <c:v>215000</c:v>
                </c:pt>
                <c:pt idx="288">
                  <c:v>220000</c:v>
                </c:pt>
                <c:pt idx="289">
                  <c:v>215000</c:v>
                </c:pt>
                <c:pt idx="290">
                  <c:v>210000</c:v>
                </c:pt>
                <c:pt idx="291">
                  <c:v>205000</c:v>
                </c:pt>
                <c:pt idx="292">
                  <c:v>210000</c:v>
                </c:pt>
                <c:pt idx="293">
                  <c:v>215000</c:v>
                </c:pt>
                <c:pt idx="294">
                  <c:v>220000</c:v>
                </c:pt>
                <c:pt idx="295">
                  <c:v>225000</c:v>
                </c:pt>
                <c:pt idx="296">
                  <c:v>230000</c:v>
                </c:pt>
                <c:pt idx="297">
                  <c:v>225000</c:v>
                </c:pt>
                <c:pt idx="298">
                  <c:v>230000</c:v>
                </c:pt>
                <c:pt idx="299">
                  <c:v>225000</c:v>
                </c:pt>
                <c:pt idx="300">
                  <c:v>220000</c:v>
                </c:pt>
                <c:pt idx="301">
                  <c:v>225000</c:v>
                </c:pt>
                <c:pt idx="302">
                  <c:v>230000</c:v>
                </c:pt>
                <c:pt idx="303">
                  <c:v>235000</c:v>
                </c:pt>
                <c:pt idx="304">
                  <c:v>240000</c:v>
                </c:pt>
                <c:pt idx="305">
                  <c:v>245000</c:v>
                </c:pt>
                <c:pt idx="306">
                  <c:v>250000</c:v>
                </c:pt>
                <c:pt idx="307">
                  <c:v>245000</c:v>
                </c:pt>
                <c:pt idx="308">
                  <c:v>240000</c:v>
                </c:pt>
                <c:pt idx="309">
                  <c:v>235000</c:v>
                </c:pt>
                <c:pt idx="310">
                  <c:v>240000</c:v>
                </c:pt>
                <c:pt idx="311">
                  <c:v>235000</c:v>
                </c:pt>
                <c:pt idx="312">
                  <c:v>240000</c:v>
                </c:pt>
                <c:pt idx="313">
                  <c:v>245000</c:v>
                </c:pt>
                <c:pt idx="314">
                  <c:v>240000</c:v>
                </c:pt>
                <c:pt idx="315">
                  <c:v>245000</c:v>
                </c:pt>
                <c:pt idx="316">
                  <c:v>250000</c:v>
                </c:pt>
                <c:pt idx="317">
                  <c:v>245000</c:v>
                </c:pt>
                <c:pt idx="318">
                  <c:v>240000</c:v>
                </c:pt>
                <c:pt idx="319">
                  <c:v>235000</c:v>
                </c:pt>
                <c:pt idx="320">
                  <c:v>230000</c:v>
                </c:pt>
                <c:pt idx="321">
                  <c:v>225000</c:v>
                </c:pt>
                <c:pt idx="322">
                  <c:v>220000</c:v>
                </c:pt>
                <c:pt idx="323">
                  <c:v>215000</c:v>
                </c:pt>
                <c:pt idx="324">
                  <c:v>210000</c:v>
                </c:pt>
                <c:pt idx="325">
                  <c:v>215000</c:v>
                </c:pt>
                <c:pt idx="326">
                  <c:v>220000</c:v>
                </c:pt>
                <c:pt idx="327">
                  <c:v>225000</c:v>
                </c:pt>
                <c:pt idx="328">
                  <c:v>230000</c:v>
                </c:pt>
                <c:pt idx="329">
                  <c:v>235000</c:v>
                </c:pt>
                <c:pt idx="330">
                  <c:v>240000</c:v>
                </c:pt>
                <c:pt idx="331">
                  <c:v>235000</c:v>
                </c:pt>
                <c:pt idx="332">
                  <c:v>230000</c:v>
                </c:pt>
                <c:pt idx="333">
                  <c:v>235000</c:v>
                </c:pt>
                <c:pt idx="334">
                  <c:v>230000</c:v>
                </c:pt>
                <c:pt idx="335">
                  <c:v>225000</c:v>
                </c:pt>
                <c:pt idx="336">
                  <c:v>230000</c:v>
                </c:pt>
                <c:pt idx="337">
                  <c:v>225000</c:v>
                </c:pt>
                <c:pt idx="338">
                  <c:v>220000</c:v>
                </c:pt>
                <c:pt idx="339">
                  <c:v>225000</c:v>
                </c:pt>
                <c:pt idx="340">
                  <c:v>230000</c:v>
                </c:pt>
                <c:pt idx="341">
                  <c:v>235000</c:v>
                </c:pt>
                <c:pt idx="342">
                  <c:v>230000</c:v>
                </c:pt>
                <c:pt idx="343">
                  <c:v>235000</c:v>
                </c:pt>
                <c:pt idx="344">
                  <c:v>240000</c:v>
                </c:pt>
                <c:pt idx="345">
                  <c:v>245000</c:v>
                </c:pt>
                <c:pt idx="346">
                  <c:v>250000</c:v>
                </c:pt>
                <c:pt idx="347">
                  <c:v>255000</c:v>
                </c:pt>
                <c:pt idx="348">
                  <c:v>260000</c:v>
                </c:pt>
                <c:pt idx="349">
                  <c:v>265000</c:v>
                </c:pt>
                <c:pt idx="350">
                  <c:v>260000</c:v>
                </c:pt>
                <c:pt idx="351">
                  <c:v>265000</c:v>
                </c:pt>
                <c:pt idx="352">
                  <c:v>260000</c:v>
                </c:pt>
                <c:pt idx="353">
                  <c:v>255000</c:v>
                </c:pt>
                <c:pt idx="354">
                  <c:v>260000</c:v>
                </c:pt>
                <c:pt idx="355">
                  <c:v>265000</c:v>
                </c:pt>
                <c:pt idx="356">
                  <c:v>260000</c:v>
                </c:pt>
                <c:pt idx="357">
                  <c:v>255000</c:v>
                </c:pt>
                <c:pt idx="358">
                  <c:v>260000</c:v>
                </c:pt>
                <c:pt idx="359">
                  <c:v>265000</c:v>
                </c:pt>
                <c:pt idx="360">
                  <c:v>260000</c:v>
                </c:pt>
                <c:pt idx="361">
                  <c:v>265000</c:v>
                </c:pt>
                <c:pt idx="362">
                  <c:v>260000</c:v>
                </c:pt>
                <c:pt idx="363">
                  <c:v>255000</c:v>
                </c:pt>
                <c:pt idx="364">
                  <c:v>250000</c:v>
                </c:pt>
                <c:pt idx="365">
                  <c:v>245000</c:v>
                </c:pt>
                <c:pt idx="366">
                  <c:v>250000</c:v>
                </c:pt>
                <c:pt idx="367">
                  <c:v>245000</c:v>
                </c:pt>
                <c:pt idx="368">
                  <c:v>240000</c:v>
                </c:pt>
                <c:pt idx="369">
                  <c:v>245000</c:v>
                </c:pt>
                <c:pt idx="370">
                  <c:v>250000</c:v>
                </c:pt>
                <c:pt idx="371">
                  <c:v>245000</c:v>
                </c:pt>
                <c:pt idx="372">
                  <c:v>250000</c:v>
                </c:pt>
                <c:pt idx="373">
                  <c:v>245000</c:v>
                </c:pt>
                <c:pt idx="374">
                  <c:v>240000</c:v>
                </c:pt>
                <c:pt idx="375">
                  <c:v>245000</c:v>
                </c:pt>
                <c:pt idx="376">
                  <c:v>250000</c:v>
                </c:pt>
                <c:pt idx="377">
                  <c:v>255000</c:v>
                </c:pt>
                <c:pt idx="378">
                  <c:v>250000</c:v>
                </c:pt>
                <c:pt idx="379">
                  <c:v>245000</c:v>
                </c:pt>
                <c:pt idx="380">
                  <c:v>250000</c:v>
                </c:pt>
                <c:pt idx="381">
                  <c:v>255000</c:v>
                </c:pt>
                <c:pt idx="382">
                  <c:v>260000</c:v>
                </c:pt>
                <c:pt idx="383">
                  <c:v>265000</c:v>
                </c:pt>
                <c:pt idx="384">
                  <c:v>270000</c:v>
                </c:pt>
                <c:pt idx="385">
                  <c:v>275000</c:v>
                </c:pt>
                <c:pt idx="386">
                  <c:v>270000</c:v>
                </c:pt>
                <c:pt idx="387">
                  <c:v>265000</c:v>
                </c:pt>
                <c:pt idx="388">
                  <c:v>270000</c:v>
                </c:pt>
                <c:pt idx="389">
                  <c:v>275000</c:v>
                </c:pt>
                <c:pt idx="390">
                  <c:v>270000</c:v>
                </c:pt>
                <c:pt idx="391">
                  <c:v>275000</c:v>
                </c:pt>
                <c:pt idx="392">
                  <c:v>280000</c:v>
                </c:pt>
                <c:pt idx="393">
                  <c:v>285000</c:v>
                </c:pt>
                <c:pt idx="394">
                  <c:v>290000</c:v>
                </c:pt>
                <c:pt idx="395">
                  <c:v>295000</c:v>
                </c:pt>
                <c:pt idx="396">
                  <c:v>300000</c:v>
                </c:pt>
                <c:pt idx="397">
                  <c:v>295000</c:v>
                </c:pt>
                <c:pt idx="398">
                  <c:v>290000</c:v>
                </c:pt>
                <c:pt idx="399">
                  <c:v>285000</c:v>
                </c:pt>
                <c:pt idx="400">
                  <c:v>280000</c:v>
                </c:pt>
                <c:pt idx="401">
                  <c:v>285000</c:v>
                </c:pt>
                <c:pt idx="402">
                  <c:v>290000</c:v>
                </c:pt>
                <c:pt idx="403">
                  <c:v>285000</c:v>
                </c:pt>
                <c:pt idx="404">
                  <c:v>290000</c:v>
                </c:pt>
                <c:pt idx="405">
                  <c:v>295000</c:v>
                </c:pt>
                <c:pt idx="406">
                  <c:v>290000</c:v>
                </c:pt>
                <c:pt idx="407">
                  <c:v>295000</c:v>
                </c:pt>
                <c:pt idx="408">
                  <c:v>300000</c:v>
                </c:pt>
                <c:pt idx="409">
                  <c:v>295000</c:v>
                </c:pt>
                <c:pt idx="410">
                  <c:v>290000</c:v>
                </c:pt>
                <c:pt idx="411">
                  <c:v>285000</c:v>
                </c:pt>
                <c:pt idx="412">
                  <c:v>280000</c:v>
                </c:pt>
                <c:pt idx="413">
                  <c:v>285000</c:v>
                </c:pt>
                <c:pt idx="414">
                  <c:v>290000</c:v>
                </c:pt>
                <c:pt idx="415">
                  <c:v>295000</c:v>
                </c:pt>
                <c:pt idx="416">
                  <c:v>290000</c:v>
                </c:pt>
                <c:pt idx="417">
                  <c:v>295000</c:v>
                </c:pt>
                <c:pt idx="418">
                  <c:v>290000</c:v>
                </c:pt>
                <c:pt idx="419">
                  <c:v>295000</c:v>
                </c:pt>
                <c:pt idx="420">
                  <c:v>290000</c:v>
                </c:pt>
                <c:pt idx="421">
                  <c:v>285000</c:v>
                </c:pt>
                <c:pt idx="422">
                  <c:v>290000</c:v>
                </c:pt>
                <c:pt idx="423">
                  <c:v>285000</c:v>
                </c:pt>
                <c:pt idx="424">
                  <c:v>290000</c:v>
                </c:pt>
                <c:pt idx="425">
                  <c:v>285000</c:v>
                </c:pt>
                <c:pt idx="426">
                  <c:v>290000</c:v>
                </c:pt>
                <c:pt idx="427">
                  <c:v>295000</c:v>
                </c:pt>
                <c:pt idx="428">
                  <c:v>300000</c:v>
                </c:pt>
                <c:pt idx="429">
                  <c:v>305000</c:v>
                </c:pt>
                <c:pt idx="430">
                  <c:v>310000</c:v>
                </c:pt>
                <c:pt idx="431">
                  <c:v>315000</c:v>
                </c:pt>
                <c:pt idx="432">
                  <c:v>320000</c:v>
                </c:pt>
                <c:pt idx="433">
                  <c:v>325000</c:v>
                </c:pt>
                <c:pt idx="434">
                  <c:v>320000</c:v>
                </c:pt>
                <c:pt idx="435">
                  <c:v>325000</c:v>
                </c:pt>
                <c:pt idx="436">
                  <c:v>320000</c:v>
                </c:pt>
                <c:pt idx="437">
                  <c:v>315000</c:v>
                </c:pt>
                <c:pt idx="438">
                  <c:v>310000</c:v>
                </c:pt>
                <c:pt idx="439">
                  <c:v>305000</c:v>
                </c:pt>
                <c:pt idx="440">
                  <c:v>310000</c:v>
                </c:pt>
                <c:pt idx="441">
                  <c:v>305000</c:v>
                </c:pt>
                <c:pt idx="442">
                  <c:v>300000</c:v>
                </c:pt>
                <c:pt idx="443">
                  <c:v>305000</c:v>
                </c:pt>
                <c:pt idx="444">
                  <c:v>300000</c:v>
                </c:pt>
                <c:pt idx="445">
                  <c:v>295000</c:v>
                </c:pt>
                <c:pt idx="446">
                  <c:v>300000</c:v>
                </c:pt>
                <c:pt idx="447">
                  <c:v>305000</c:v>
                </c:pt>
                <c:pt idx="448">
                  <c:v>310000</c:v>
                </c:pt>
                <c:pt idx="449">
                  <c:v>315000</c:v>
                </c:pt>
                <c:pt idx="450">
                  <c:v>320000</c:v>
                </c:pt>
                <c:pt idx="451">
                  <c:v>325000</c:v>
                </c:pt>
                <c:pt idx="452">
                  <c:v>320000</c:v>
                </c:pt>
                <c:pt idx="453">
                  <c:v>315000</c:v>
                </c:pt>
                <c:pt idx="454">
                  <c:v>320000</c:v>
                </c:pt>
                <c:pt idx="455">
                  <c:v>315000</c:v>
                </c:pt>
                <c:pt idx="456">
                  <c:v>320000</c:v>
                </c:pt>
                <c:pt idx="457">
                  <c:v>315000</c:v>
                </c:pt>
                <c:pt idx="458">
                  <c:v>320000</c:v>
                </c:pt>
                <c:pt idx="459">
                  <c:v>325000</c:v>
                </c:pt>
                <c:pt idx="460">
                  <c:v>320000</c:v>
                </c:pt>
                <c:pt idx="461">
                  <c:v>325000</c:v>
                </c:pt>
                <c:pt idx="462">
                  <c:v>320000</c:v>
                </c:pt>
                <c:pt idx="463">
                  <c:v>325000</c:v>
                </c:pt>
                <c:pt idx="464">
                  <c:v>320000</c:v>
                </c:pt>
                <c:pt idx="465">
                  <c:v>315000</c:v>
                </c:pt>
                <c:pt idx="466">
                  <c:v>310000</c:v>
                </c:pt>
                <c:pt idx="467">
                  <c:v>305000</c:v>
                </c:pt>
                <c:pt idx="468">
                  <c:v>310000</c:v>
                </c:pt>
                <c:pt idx="469">
                  <c:v>315000</c:v>
                </c:pt>
                <c:pt idx="470">
                  <c:v>320000</c:v>
                </c:pt>
                <c:pt idx="471">
                  <c:v>325000</c:v>
                </c:pt>
                <c:pt idx="472">
                  <c:v>320000</c:v>
                </c:pt>
                <c:pt idx="473">
                  <c:v>315000</c:v>
                </c:pt>
                <c:pt idx="474">
                  <c:v>320000</c:v>
                </c:pt>
                <c:pt idx="475">
                  <c:v>325000</c:v>
                </c:pt>
                <c:pt idx="476">
                  <c:v>330000</c:v>
                </c:pt>
                <c:pt idx="477">
                  <c:v>325000</c:v>
                </c:pt>
                <c:pt idx="478">
                  <c:v>320000</c:v>
                </c:pt>
                <c:pt idx="479">
                  <c:v>315000</c:v>
                </c:pt>
                <c:pt idx="480">
                  <c:v>320000</c:v>
                </c:pt>
                <c:pt idx="481">
                  <c:v>325000</c:v>
                </c:pt>
                <c:pt idx="482">
                  <c:v>320000</c:v>
                </c:pt>
                <c:pt idx="483">
                  <c:v>325000</c:v>
                </c:pt>
                <c:pt idx="484">
                  <c:v>320000</c:v>
                </c:pt>
                <c:pt idx="485">
                  <c:v>325000</c:v>
                </c:pt>
                <c:pt idx="486">
                  <c:v>320000</c:v>
                </c:pt>
                <c:pt idx="487">
                  <c:v>315000</c:v>
                </c:pt>
                <c:pt idx="488">
                  <c:v>320000</c:v>
                </c:pt>
                <c:pt idx="489">
                  <c:v>315000</c:v>
                </c:pt>
                <c:pt idx="490">
                  <c:v>310000</c:v>
                </c:pt>
                <c:pt idx="491">
                  <c:v>315000</c:v>
                </c:pt>
                <c:pt idx="492">
                  <c:v>320000</c:v>
                </c:pt>
                <c:pt idx="493">
                  <c:v>325000</c:v>
                </c:pt>
                <c:pt idx="494">
                  <c:v>330000</c:v>
                </c:pt>
                <c:pt idx="495">
                  <c:v>335000</c:v>
                </c:pt>
                <c:pt idx="496">
                  <c:v>330000</c:v>
                </c:pt>
                <c:pt idx="497">
                  <c:v>335000</c:v>
                </c:pt>
                <c:pt idx="498">
                  <c:v>330000</c:v>
                </c:pt>
                <c:pt idx="499">
                  <c:v>335000</c:v>
                </c:pt>
                <c:pt idx="500">
                  <c:v>340000</c:v>
                </c:pt>
                <c:pt idx="501">
                  <c:v>335000</c:v>
                </c:pt>
                <c:pt idx="502">
                  <c:v>340000</c:v>
                </c:pt>
                <c:pt idx="503">
                  <c:v>335000</c:v>
                </c:pt>
                <c:pt idx="504">
                  <c:v>340000</c:v>
                </c:pt>
                <c:pt idx="505">
                  <c:v>335000</c:v>
                </c:pt>
                <c:pt idx="506">
                  <c:v>330000</c:v>
                </c:pt>
                <c:pt idx="507">
                  <c:v>325000</c:v>
                </c:pt>
                <c:pt idx="508">
                  <c:v>330000</c:v>
                </c:pt>
                <c:pt idx="509">
                  <c:v>335000</c:v>
                </c:pt>
                <c:pt idx="510">
                  <c:v>330000</c:v>
                </c:pt>
                <c:pt idx="511">
                  <c:v>335000</c:v>
                </c:pt>
                <c:pt idx="512">
                  <c:v>340000</c:v>
                </c:pt>
                <c:pt idx="513">
                  <c:v>335000</c:v>
                </c:pt>
                <c:pt idx="514">
                  <c:v>340000</c:v>
                </c:pt>
                <c:pt idx="515">
                  <c:v>335000</c:v>
                </c:pt>
                <c:pt idx="516">
                  <c:v>330000</c:v>
                </c:pt>
                <c:pt idx="517">
                  <c:v>335000</c:v>
                </c:pt>
                <c:pt idx="518">
                  <c:v>340000</c:v>
                </c:pt>
                <c:pt idx="519">
                  <c:v>345000</c:v>
                </c:pt>
                <c:pt idx="520">
                  <c:v>340000</c:v>
                </c:pt>
                <c:pt idx="521">
                  <c:v>345000</c:v>
                </c:pt>
                <c:pt idx="522">
                  <c:v>340000</c:v>
                </c:pt>
                <c:pt idx="523">
                  <c:v>335000</c:v>
                </c:pt>
                <c:pt idx="524">
                  <c:v>330000</c:v>
                </c:pt>
                <c:pt idx="525">
                  <c:v>335000</c:v>
                </c:pt>
                <c:pt idx="526">
                  <c:v>340000</c:v>
                </c:pt>
                <c:pt idx="527">
                  <c:v>345000</c:v>
                </c:pt>
                <c:pt idx="528">
                  <c:v>350000</c:v>
                </c:pt>
                <c:pt idx="529">
                  <c:v>355000</c:v>
                </c:pt>
                <c:pt idx="530">
                  <c:v>360000</c:v>
                </c:pt>
                <c:pt idx="531">
                  <c:v>355000</c:v>
                </c:pt>
                <c:pt idx="532">
                  <c:v>360000</c:v>
                </c:pt>
                <c:pt idx="533">
                  <c:v>365000</c:v>
                </c:pt>
                <c:pt idx="534">
                  <c:v>370000</c:v>
                </c:pt>
                <c:pt idx="535">
                  <c:v>375000</c:v>
                </c:pt>
                <c:pt idx="536">
                  <c:v>380000</c:v>
                </c:pt>
                <c:pt idx="537">
                  <c:v>375000</c:v>
                </c:pt>
                <c:pt idx="538">
                  <c:v>380000</c:v>
                </c:pt>
                <c:pt idx="539">
                  <c:v>375000</c:v>
                </c:pt>
                <c:pt idx="540">
                  <c:v>380000</c:v>
                </c:pt>
                <c:pt idx="541">
                  <c:v>385000</c:v>
                </c:pt>
                <c:pt idx="542">
                  <c:v>380000</c:v>
                </c:pt>
                <c:pt idx="543">
                  <c:v>385000</c:v>
                </c:pt>
                <c:pt idx="544">
                  <c:v>380000</c:v>
                </c:pt>
                <c:pt idx="545">
                  <c:v>375000</c:v>
                </c:pt>
                <c:pt idx="546">
                  <c:v>380000</c:v>
                </c:pt>
                <c:pt idx="547">
                  <c:v>385000</c:v>
                </c:pt>
                <c:pt idx="548">
                  <c:v>380000</c:v>
                </c:pt>
                <c:pt idx="549">
                  <c:v>385000</c:v>
                </c:pt>
                <c:pt idx="550">
                  <c:v>390000</c:v>
                </c:pt>
                <c:pt idx="551">
                  <c:v>385000</c:v>
                </c:pt>
                <c:pt idx="552">
                  <c:v>390000</c:v>
                </c:pt>
                <c:pt idx="553">
                  <c:v>395000</c:v>
                </c:pt>
                <c:pt idx="554">
                  <c:v>390000</c:v>
                </c:pt>
                <c:pt idx="555">
                  <c:v>395000</c:v>
                </c:pt>
                <c:pt idx="556">
                  <c:v>400000</c:v>
                </c:pt>
                <c:pt idx="557">
                  <c:v>395000</c:v>
                </c:pt>
                <c:pt idx="558">
                  <c:v>400000</c:v>
                </c:pt>
                <c:pt idx="559">
                  <c:v>405000</c:v>
                </c:pt>
                <c:pt idx="560">
                  <c:v>400000</c:v>
                </c:pt>
                <c:pt idx="561">
                  <c:v>405000</c:v>
                </c:pt>
                <c:pt idx="562">
                  <c:v>400000</c:v>
                </c:pt>
                <c:pt idx="563">
                  <c:v>395000</c:v>
                </c:pt>
                <c:pt idx="564">
                  <c:v>390000</c:v>
                </c:pt>
                <c:pt idx="565">
                  <c:v>385000</c:v>
                </c:pt>
                <c:pt idx="566">
                  <c:v>380000</c:v>
                </c:pt>
                <c:pt idx="567">
                  <c:v>375000</c:v>
                </c:pt>
                <c:pt idx="568">
                  <c:v>370000</c:v>
                </c:pt>
                <c:pt idx="569">
                  <c:v>365000</c:v>
                </c:pt>
                <c:pt idx="570">
                  <c:v>370000</c:v>
                </c:pt>
                <c:pt idx="571">
                  <c:v>365000</c:v>
                </c:pt>
                <c:pt idx="572">
                  <c:v>370000</c:v>
                </c:pt>
                <c:pt idx="573">
                  <c:v>375000</c:v>
                </c:pt>
                <c:pt idx="574">
                  <c:v>370000</c:v>
                </c:pt>
                <c:pt idx="575">
                  <c:v>365000</c:v>
                </c:pt>
                <c:pt idx="576">
                  <c:v>360000</c:v>
                </c:pt>
                <c:pt idx="577">
                  <c:v>355000</c:v>
                </c:pt>
                <c:pt idx="578">
                  <c:v>360000</c:v>
                </c:pt>
                <c:pt idx="579">
                  <c:v>355000</c:v>
                </c:pt>
                <c:pt idx="580">
                  <c:v>350000</c:v>
                </c:pt>
                <c:pt idx="581">
                  <c:v>355000</c:v>
                </c:pt>
                <c:pt idx="582">
                  <c:v>360000</c:v>
                </c:pt>
                <c:pt idx="583">
                  <c:v>355000</c:v>
                </c:pt>
                <c:pt idx="584">
                  <c:v>350000</c:v>
                </c:pt>
                <c:pt idx="585">
                  <c:v>355000</c:v>
                </c:pt>
                <c:pt idx="586">
                  <c:v>360000</c:v>
                </c:pt>
                <c:pt idx="587">
                  <c:v>365000</c:v>
                </c:pt>
                <c:pt idx="588">
                  <c:v>370000</c:v>
                </c:pt>
                <c:pt idx="589">
                  <c:v>365000</c:v>
                </c:pt>
                <c:pt idx="590">
                  <c:v>370000</c:v>
                </c:pt>
                <c:pt idx="591">
                  <c:v>375000</c:v>
                </c:pt>
                <c:pt idx="592">
                  <c:v>380000</c:v>
                </c:pt>
                <c:pt idx="593">
                  <c:v>375000</c:v>
                </c:pt>
                <c:pt idx="594">
                  <c:v>380000</c:v>
                </c:pt>
                <c:pt idx="595">
                  <c:v>375000</c:v>
                </c:pt>
                <c:pt idx="596">
                  <c:v>380000</c:v>
                </c:pt>
                <c:pt idx="597">
                  <c:v>375000</c:v>
                </c:pt>
                <c:pt idx="598">
                  <c:v>380000</c:v>
                </c:pt>
                <c:pt idx="599">
                  <c:v>375000</c:v>
                </c:pt>
                <c:pt idx="600">
                  <c:v>380000</c:v>
                </c:pt>
                <c:pt idx="601">
                  <c:v>385000</c:v>
                </c:pt>
                <c:pt idx="602">
                  <c:v>380000</c:v>
                </c:pt>
                <c:pt idx="603">
                  <c:v>385000</c:v>
                </c:pt>
                <c:pt idx="604">
                  <c:v>390000</c:v>
                </c:pt>
                <c:pt idx="605">
                  <c:v>385000</c:v>
                </c:pt>
                <c:pt idx="606">
                  <c:v>390000</c:v>
                </c:pt>
                <c:pt idx="607">
                  <c:v>395000</c:v>
                </c:pt>
                <c:pt idx="608">
                  <c:v>400000</c:v>
                </c:pt>
                <c:pt idx="609">
                  <c:v>395000</c:v>
                </c:pt>
                <c:pt idx="610">
                  <c:v>400000</c:v>
                </c:pt>
                <c:pt idx="611">
                  <c:v>395000</c:v>
                </c:pt>
                <c:pt idx="612">
                  <c:v>400000</c:v>
                </c:pt>
                <c:pt idx="613">
                  <c:v>395000</c:v>
                </c:pt>
                <c:pt idx="614">
                  <c:v>390000</c:v>
                </c:pt>
                <c:pt idx="615">
                  <c:v>395000</c:v>
                </c:pt>
                <c:pt idx="616">
                  <c:v>400000</c:v>
                </c:pt>
                <c:pt idx="617">
                  <c:v>405000</c:v>
                </c:pt>
                <c:pt idx="618">
                  <c:v>400000</c:v>
                </c:pt>
                <c:pt idx="619">
                  <c:v>395000</c:v>
                </c:pt>
                <c:pt idx="620">
                  <c:v>400000</c:v>
                </c:pt>
                <c:pt idx="621">
                  <c:v>405000</c:v>
                </c:pt>
                <c:pt idx="622">
                  <c:v>410000</c:v>
                </c:pt>
                <c:pt idx="623">
                  <c:v>415000</c:v>
                </c:pt>
                <c:pt idx="624">
                  <c:v>410000</c:v>
                </c:pt>
                <c:pt idx="625">
                  <c:v>405000</c:v>
                </c:pt>
                <c:pt idx="626">
                  <c:v>410000</c:v>
                </c:pt>
                <c:pt idx="627">
                  <c:v>415000</c:v>
                </c:pt>
                <c:pt idx="628">
                  <c:v>420000</c:v>
                </c:pt>
                <c:pt idx="629">
                  <c:v>425000</c:v>
                </c:pt>
                <c:pt idx="630">
                  <c:v>420000</c:v>
                </c:pt>
                <c:pt idx="631">
                  <c:v>415000</c:v>
                </c:pt>
                <c:pt idx="632">
                  <c:v>420000</c:v>
                </c:pt>
                <c:pt idx="633">
                  <c:v>425000</c:v>
                </c:pt>
                <c:pt idx="634">
                  <c:v>420000</c:v>
                </c:pt>
                <c:pt idx="635">
                  <c:v>415000</c:v>
                </c:pt>
                <c:pt idx="636">
                  <c:v>410000</c:v>
                </c:pt>
                <c:pt idx="637">
                  <c:v>405000</c:v>
                </c:pt>
                <c:pt idx="638">
                  <c:v>410000</c:v>
                </c:pt>
                <c:pt idx="639">
                  <c:v>415000</c:v>
                </c:pt>
                <c:pt idx="640">
                  <c:v>420000</c:v>
                </c:pt>
                <c:pt idx="641">
                  <c:v>425000</c:v>
                </c:pt>
                <c:pt idx="642">
                  <c:v>420000</c:v>
                </c:pt>
                <c:pt idx="643">
                  <c:v>425000</c:v>
                </c:pt>
                <c:pt idx="644">
                  <c:v>420000</c:v>
                </c:pt>
                <c:pt idx="645">
                  <c:v>425000</c:v>
                </c:pt>
                <c:pt idx="646">
                  <c:v>430000</c:v>
                </c:pt>
                <c:pt idx="647">
                  <c:v>435000</c:v>
                </c:pt>
                <c:pt idx="648">
                  <c:v>430000</c:v>
                </c:pt>
                <c:pt idx="649">
                  <c:v>425000</c:v>
                </c:pt>
                <c:pt idx="650">
                  <c:v>420000</c:v>
                </c:pt>
                <c:pt idx="651">
                  <c:v>415000</c:v>
                </c:pt>
                <c:pt idx="652">
                  <c:v>420000</c:v>
                </c:pt>
                <c:pt idx="653">
                  <c:v>415000</c:v>
                </c:pt>
                <c:pt idx="654">
                  <c:v>420000</c:v>
                </c:pt>
                <c:pt idx="655">
                  <c:v>415000</c:v>
                </c:pt>
                <c:pt idx="656">
                  <c:v>420000</c:v>
                </c:pt>
                <c:pt idx="657">
                  <c:v>425000</c:v>
                </c:pt>
                <c:pt idx="658">
                  <c:v>430000</c:v>
                </c:pt>
                <c:pt idx="659">
                  <c:v>425000</c:v>
                </c:pt>
                <c:pt idx="660">
                  <c:v>430000</c:v>
                </c:pt>
                <c:pt idx="661">
                  <c:v>425000</c:v>
                </c:pt>
                <c:pt idx="662">
                  <c:v>430000</c:v>
                </c:pt>
                <c:pt idx="663">
                  <c:v>425000</c:v>
                </c:pt>
                <c:pt idx="664">
                  <c:v>430000</c:v>
                </c:pt>
                <c:pt idx="665">
                  <c:v>435000</c:v>
                </c:pt>
                <c:pt idx="666">
                  <c:v>440000</c:v>
                </c:pt>
                <c:pt idx="667">
                  <c:v>445000</c:v>
                </c:pt>
                <c:pt idx="668">
                  <c:v>440000</c:v>
                </c:pt>
                <c:pt idx="669">
                  <c:v>445000</c:v>
                </c:pt>
                <c:pt idx="670">
                  <c:v>440000</c:v>
                </c:pt>
                <c:pt idx="671">
                  <c:v>445000</c:v>
                </c:pt>
                <c:pt idx="672">
                  <c:v>440000</c:v>
                </c:pt>
                <c:pt idx="673">
                  <c:v>435000</c:v>
                </c:pt>
                <c:pt idx="674">
                  <c:v>430000</c:v>
                </c:pt>
                <c:pt idx="675">
                  <c:v>435000</c:v>
                </c:pt>
                <c:pt idx="676">
                  <c:v>440000</c:v>
                </c:pt>
                <c:pt idx="677">
                  <c:v>435000</c:v>
                </c:pt>
                <c:pt idx="678">
                  <c:v>430000</c:v>
                </c:pt>
                <c:pt idx="679">
                  <c:v>425000</c:v>
                </c:pt>
                <c:pt idx="680">
                  <c:v>430000</c:v>
                </c:pt>
                <c:pt idx="681">
                  <c:v>435000</c:v>
                </c:pt>
                <c:pt idx="682">
                  <c:v>430000</c:v>
                </c:pt>
                <c:pt idx="683">
                  <c:v>435000</c:v>
                </c:pt>
                <c:pt idx="684">
                  <c:v>430000</c:v>
                </c:pt>
                <c:pt idx="685">
                  <c:v>425000</c:v>
                </c:pt>
                <c:pt idx="686">
                  <c:v>420000</c:v>
                </c:pt>
                <c:pt idx="687">
                  <c:v>415000</c:v>
                </c:pt>
                <c:pt idx="688">
                  <c:v>410000</c:v>
                </c:pt>
                <c:pt idx="689">
                  <c:v>415000</c:v>
                </c:pt>
                <c:pt idx="690">
                  <c:v>420000</c:v>
                </c:pt>
                <c:pt idx="691">
                  <c:v>425000</c:v>
                </c:pt>
                <c:pt idx="692">
                  <c:v>420000</c:v>
                </c:pt>
                <c:pt idx="693">
                  <c:v>425000</c:v>
                </c:pt>
                <c:pt idx="694">
                  <c:v>430000</c:v>
                </c:pt>
                <c:pt idx="695">
                  <c:v>435000</c:v>
                </c:pt>
                <c:pt idx="696">
                  <c:v>430000</c:v>
                </c:pt>
                <c:pt idx="697">
                  <c:v>435000</c:v>
                </c:pt>
                <c:pt idx="698">
                  <c:v>430000</c:v>
                </c:pt>
                <c:pt idx="699">
                  <c:v>425000</c:v>
                </c:pt>
                <c:pt idx="700">
                  <c:v>430000</c:v>
                </c:pt>
                <c:pt idx="701">
                  <c:v>425000</c:v>
                </c:pt>
                <c:pt idx="702">
                  <c:v>420000</c:v>
                </c:pt>
                <c:pt idx="703">
                  <c:v>425000</c:v>
                </c:pt>
                <c:pt idx="704">
                  <c:v>420000</c:v>
                </c:pt>
                <c:pt idx="705">
                  <c:v>425000</c:v>
                </c:pt>
                <c:pt idx="706">
                  <c:v>420000</c:v>
                </c:pt>
                <c:pt idx="707">
                  <c:v>425000</c:v>
                </c:pt>
                <c:pt idx="708">
                  <c:v>430000</c:v>
                </c:pt>
                <c:pt idx="709">
                  <c:v>435000</c:v>
                </c:pt>
                <c:pt idx="710">
                  <c:v>430000</c:v>
                </c:pt>
                <c:pt idx="711">
                  <c:v>425000</c:v>
                </c:pt>
                <c:pt idx="712">
                  <c:v>420000</c:v>
                </c:pt>
                <c:pt idx="713">
                  <c:v>425000</c:v>
                </c:pt>
                <c:pt idx="714">
                  <c:v>420000</c:v>
                </c:pt>
                <c:pt idx="715">
                  <c:v>425000</c:v>
                </c:pt>
                <c:pt idx="716">
                  <c:v>430000</c:v>
                </c:pt>
                <c:pt idx="717">
                  <c:v>435000</c:v>
                </c:pt>
                <c:pt idx="718">
                  <c:v>430000</c:v>
                </c:pt>
                <c:pt idx="719">
                  <c:v>425000</c:v>
                </c:pt>
                <c:pt idx="720">
                  <c:v>430000</c:v>
                </c:pt>
                <c:pt idx="721">
                  <c:v>435000</c:v>
                </c:pt>
                <c:pt idx="722">
                  <c:v>440000</c:v>
                </c:pt>
                <c:pt idx="723">
                  <c:v>435000</c:v>
                </c:pt>
                <c:pt idx="724">
                  <c:v>440000</c:v>
                </c:pt>
                <c:pt idx="725">
                  <c:v>445000</c:v>
                </c:pt>
                <c:pt idx="726">
                  <c:v>440000</c:v>
                </c:pt>
                <c:pt idx="727">
                  <c:v>435000</c:v>
                </c:pt>
                <c:pt idx="728">
                  <c:v>440000</c:v>
                </c:pt>
                <c:pt idx="729">
                  <c:v>445000</c:v>
                </c:pt>
                <c:pt idx="730">
                  <c:v>440000</c:v>
                </c:pt>
                <c:pt idx="731">
                  <c:v>435000</c:v>
                </c:pt>
                <c:pt idx="732">
                  <c:v>440000</c:v>
                </c:pt>
                <c:pt idx="733">
                  <c:v>445000</c:v>
                </c:pt>
                <c:pt idx="734">
                  <c:v>450000</c:v>
                </c:pt>
                <c:pt idx="735">
                  <c:v>445000</c:v>
                </c:pt>
                <c:pt idx="736">
                  <c:v>440000</c:v>
                </c:pt>
                <c:pt idx="737">
                  <c:v>445000</c:v>
                </c:pt>
                <c:pt idx="738">
                  <c:v>440000</c:v>
                </c:pt>
                <c:pt idx="739">
                  <c:v>435000</c:v>
                </c:pt>
                <c:pt idx="740">
                  <c:v>430000</c:v>
                </c:pt>
                <c:pt idx="741">
                  <c:v>435000</c:v>
                </c:pt>
                <c:pt idx="742">
                  <c:v>430000</c:v>
                </c:pt>
                <c:pt idx="743">
                  <c:v>435000</c:v>
                </c:pt>
                <c:pt idx="744">
                  <c:v>440000</c:v>
                </c:pt>
                <c:pt idx="745">
                  <c:v>435000</c:v>
                </c:pt>
                <c:pt idx="746">
                  <c:v>440000</c:v>
                </c:pt>
                <c:pt idx="747">
                  <c:v>435000</c:v>
                </c:pt>
                <c:pt idx="748">
                  <c:v>440000</c:v>
                </c:pt>
                <c:pt idx="749">
                  <c:v>435000</c:v>
                </c:pt>
                <c:pt idx="750">
                  <c:v>430000</c:v>
                </c:pt>
                <c:pt idx="751">
                  <c:v>435000</c:v>
                </c:pt>
                <c:pt idx="752">
                  <c:v>430000</c:v>
                </c:pt>
                <c:pt idx="753">
                  <c:v>435000</c:v>
                </c:pt>
                <c:pt idx="754">
                  <c:v>430000</c:v>
                </c:pt>
                <c:pt idx="755">
                  <c:v>425000</c:v>
                </c:pt>
                <c:pt idx="756">
                  <c:v>430000</c:v>
                </c:pt>
                <c:pt idx="757">
                  <c:v>425000</c:v>
                </c:pt>
                <c:pt idx="758">
                  <c:v>430000</c:v>
                </c:pt>
                <c:pt idx="759">
                  <c:v>435000</c:v>
                </c:pt>
                <c:pt idx="760">
                  <c:v>440000</c:v>
                </c:pt>
                <c:pt idx="761">
                  <c:v>435000</c:v>
                </c:pt>
                <c:pt idx="762">
                  <c:v>430000</c:v>
                </c:pt>
                <c:pt idx="763">
                  <c:v>425000</c:v>
                </c:pt>
                <c:pt idx="764">
                  <c:v>420000</c:v>
                </c:pt>
                <c:pt idx="765">
                  <c:v>425000</c:v>
                </c:pt>
                <c:pt idx="766">
                  <c:v>430000</c:v>
                </c:pt>
                <c:pt idx="767">
                  <c:v>435000</c:v>
                </c:pt>
                <c:pt idx="768">
                  <c:v>430000</c:v>
                </c:pt>
                <c:pt idx="769">
                  <c:v>425000</c:v>
                </c:pt>
                <c:pt idx="770">
                  <c:v>430000</c:v>
                </c:pt>
                <c:pt idx="771">
                  <c:v>435000</c:v>
                </c:pt>
                <c:pt idx="772">
                  <c:v>440000</c:v>
                </c:pt>
                <c:pt idx="773">
                  <c:v>445000</c:v>
                </c:pt>
                <c:pt idx="774">
                  <c:v>440000</c:v>
                </c:pt>
                <c:pt idx="775">
                  <c:v>435000</c:v>
                </c:pt>
                <c:pt idx="776">
                  <c:v>440000</c:v>
                </c:pt>
                <c:pt idx="777">
                  <c:v>445000</c:v>
                </c:pt>
                <c:pt idx="778">
                  <c:v>450000</c:v>
                </c:pt>
                <c:pt idx="779">
                  <c:v>445000</c:v>
                </c:pt>
                <c:pt idx="780">
                  <c:v>450000</c:v>
                </c:pt>
                <c:pt idx="781">
                  <c:v>445000</c:v>
                </c:pt>
                <c:pt idx="782">
                  <c:v>450000</c:v>
                </c:pt>
                <c:pt idx="783">
                  <c:v>445000</c:v>
                </c:pt>
                <c:pt idx="784">
                  <c:v>450000</c:v>
                </c:pt>
                <c:pt idx="785">
                  <c:v>455000</c:v>
                </c:pt>
                <c:pt idx="786">
                  <c:v>460000</c:v>
                </c:pt>
                <c:pt idx="787">
                  <c:v>465000</c:v>
                </c:pt>
                <c:pt idx="788">
                  <c:v>460000</c:v>
                </c:pt>
                <c:pt idx="789">
                  <c:v>455000</c:v>
                </c:pt>
                <c:pt idx="790">
                  <c:v>450000</c:v>
                </c:pt>
                <c:pt idx="791">
                  <c:v>455000</c:v>
                </c:pt>
                <c:pt idx="792">
                  <c:v>460000</c:v>
                </c:pt>
                <c:pt idx="793">
                  <c:v>465000</c:v>
                </c:pt>
                <c:pt idx="794">
                  <c:v>460000</c:v>
                </c:pt>
                <c:pt idx="795">
                  <c:v>465000</c:v>
                </c:pt>
                <c:pt idx="796">
                  <c:v>460000</c:v>
                </c:pt>
                <c:pt idx="797">
                  <c:v>465000</c:v>
                </c:pt>
                <c:pt idx="798">
                  <c:v>460000</c:v>
                </c:pt>
                <c:pt idx="799">
                  <c:v>455000</c:v>
                </c:pt>
                <c:pt idx="800">
                  <c:v>460000</c:v>
                </c:pt>
                <c:pt idx="801">
                  <c:v>465000</c:v>
                </c:pt>
                <c:pt idx="802">
                  <c:v>460000</c:v>
                </c:pt>
                <c:pt idx="803">
                  <c:v>455000</c:v>
                </c:pt>
                <c:pt idx="804">
                  <c:v>460000</c:v>
                </c:pt>
                <c:pt idx="805">
                  <c:v>455000</c:v>
                </c:pt>
                <c:pt idx="806">
                  <c:v>460000</c:v>
                </c:pt>
                <c:pt idx="807">
                  <c:v>455000</c:v>
                </c:pt>
                <c:pt idx="808">
                  <c:v>460000</c:v>
                </c:pt>
                <c:pt idx="809">
                  <c:v>455000</c:v>
                </c:pt>
                <c:pt idx="810">
                  <c:v>460000</c:v>
                </c:pt>
                <c:pt idx="811">
                  <c:v>465000</c:v>
                </c:pt>
                <c:pt idx="812">
                  <c:v>470000</c:v>
                </c:pt>
                <c:pt idx="813">
                  <c:v>465000</c:v>
                </c:pt>
                <c:pt idx="814">
                  <c:v>470000</c:v>
                </c:pt>
                <c:pt idx="815">
                  <c:v>475000</c:v>
                </c:pt>
                <c:pt idx="816">
                  <c:v>470000</c:v>
                </c:pt>
                <c:pt idx="817">
                  <c:v>465000</c:v>
                </c:pt>
                <c:pt idx="818">
                  <c:v>460000</c:v>
                </c:pt>
                <c:pt idx="819">
                  <c:v>455000</c:v>
                </c:pt>
                <c:pt idx="820">
                  <c:v>460000</c:v>
                </c:pt>
                <c:pt idx="821">
                  <c:v>455000</c:v>
                </c:pt>
                <c:pt idx="822">
                  <c:v>460000</c:v>
                </c:pt>
                <c:pt idx="823">
                  <c:v>455000</c:v>
                </c:pt>
                <c:pt idx="824">
                  <c:v>460000</c:v>
                </c:pt>
                <c:pt idx="825">
                  <c:v>455000</c:v>
                </c:pt>
                <c:pt idx="826">
                  <c:v>450000</c:v>
                </c:pt>
                <c:pt idx="827">
                  <c:v>455000</c:v>
                </c:pt>
                <c:pt idx="828">
                  <c:v>450000</c:v>
                </c:pt>
                <c:pt idx="829">
                  <c:v>455000</c:v>
                </c:pt>
                <c:pt idx="830">
                  <c:v>460000</c:v>
                </c:pt>
                <c:pt idx="831">
                  <c:v>465000</c:v>
                </c:pt>
                <c:pt idx="832">
                  <c:v>460000</c:v>
                </c:pt>
                <c:pt idx="833">
                  <c:v>465000</c:v>
                </c:pt>
                <c:pt idx="834">
                  <c:v>460000</c:v>
                </c:pt>
                <c:pt idx="835">
                  <c:v>465000</c:v>
                </c:pt>
                <c:pt idx="836">
                  <c:v>470000</c:v>
                </c:pt>
                <c:pt idx="837">
                  <c:v>465000</c:v>
                </c:pt>
                <c:pt idx="838">
                  <c:v>470000</c:v>
                </c:pt>
                <c:pt idx="839">
                  <c:v>475000</c:v>
                </c:pt>
                <c:pt idx="840">
                  <c:v>470000</c:v>
                </c:pt>
                <c:pt idx="841">
                  <c:v>465000</c:v>
                </c:pt>
                <c:pt idx="842">
                  <c:v>460000</c:v>
                </c:pt>
                <c:pt idx="843">
                  <c:v>465000</c:v>
                </c:pt>
                <c:pt idx="844">
                  <c:v>460000</c:v>
                </c:pt>
                <c:pt idx="845">
                  <c:v>465000</c:v>
                </c:pt>
                <c:pt idx="846">
                  <c:v>460000</c:v>
                </c:pt>
                <c:pt idx="847">
                  <c:v>455000</c:v>
                </c:pt>
                <c:pt idx="848">
                  <c:v>450000</c:v>
                </c:pt>
                <c:pt idx="849">
                  <c:v>455000</c:v>
                </c:pt>
                <c:pt idx="850">
                  <c:v>450000</c:v>
                </c:pt>
                <c:pt idx="851">
                  <c:v>455000</c:v>
                </c:pt>
                <c:pt idx="852">
                  <c:v>460000</c:v>
                </c:pt>
                <c:pt idx="853">
                  <c:v>465000</c:v>
                </c:pt>
                <c:pt idx="854">
                  <c:v>460000</c:v>
                </c:pt>
                <c:pt idx="855">
                  <c:v>465000</c:v>
                </c:pt>
                <c:pt idx="856">
                  <c:v>470000</c:v>
                </c:pt>
                <c:pt idx="857">
                  <c:v>475000</c:v>
                </c:pt>
                <c:pt idx="858">
                  <c:v>480000</c:v>
                </c:pt>
                <c:pt idx="859">
                  <c:v>475000</c:v>
                </c:pt>
                <c:pt idx="860">
                  <c:v>480000</c:v>
                </c:pt>
                <c:pt idx="861">
                  <c:v>485000</c:v>
                </c:pt>
                <c:pt idx="862">
                  <c:v>490000</c:v>
                </c:pt>
                <c:pt idx="863">
                  <c:v>485000</c:v>
                </c:pt>
                <c:pt idx="864">
                  <c:v>480000</c:v>
                </c:pt>
                <c:pt idx="865">
                  <c:v>475000</c:v>
                </c:pt>
                <c:pt idx="866">
                  <c:v>470000</c:v>
                </c:pt>
                <c:pt idx="867">
                  <c:v>465000</c:v>
                </c:pt>
                <c:pt idx="868">
                  <c:v>470000</c:v>
                </c:pt>
                <c:pt idx="869">
                  <c:v>465000</c:v>
                </c:pt>
                <c:pt idx="870">
                  <c:v>470000</c:v>
                </c:pt>
                <c:pt idx="871">
                  <c:v>465000</c:v>
                </c:pt>
                <c:pt idx="872">
                  <c:v>470000</c:v>
                </c:pt>
                <c:pt idx="873">
                  <c:v>475000</c:v>
                </c:pt>
                <c:pt idx="874">
                  <c:v>480000</c:v>
                </c:pt>
                <c:pt idx="875">
                  <c:v>485000</c:v>
                </c:pt>
                <c:pt idx="876">
                  <c:v>480000</c:v>
                </c:pt>
                <c:pt idx="877">
                  <c:v>475000</c:v>
                </c:pt>
                <c:pt idx="878">
                  <c:v>480000</c:v>
                </c:pt>
                <c:pt idx="879">
                  <c:v>475000</c:v>
                </c:pt>
                <c:pt idx="880">
                  <c:v>470000</c:v>
                </c:pt>
                <c:pt idx="881">
                  <c:v>475000</c:v>
                </c:pt>
                <c:pt idx="882">
                  <c:v>480000</c:v>
                </c:pt>
                <c:pt idx="883">
                  <c:v>475000</c:v>
                </c:pt>
                <c:pt idx="884">
                  <c:v>480000</c:v>
                </c:pt>
                <c:pt idx="885">
                  <c:v>475000</c:v>
                </c:pt>
                <c:pt idx="886">
                  <c:v>470000</c:v>
                </c:pt>
                <c:pt idx="887">
                  <c:v>465000</c:v>
                </c:pt>
                <c:pt idx="888">
                  <c:v>470000</c:v>
                </c:pt>
                <c:pt idx="889">
                  <c:v>475000</c:v>
                </c:pt>
                <c:pt idx="890">
                  <c:v>470000</c:v>
                </c:pt>
                <c:pt idx="891">
                  <c:v>465000</c:v>
                </c:pt>
                <c:pt idx="892">
                  <c:v>460000</c:v>
                </c:pt>
                <c:pt idx="893">
                  <c:v>465000</c:v>
                </c:pt>
                <c:pt idx="894">
                  <c:v>460000</c:v>
                </c:pt>
                <c:pt idx="895">
                  <c:v>465000</c:v>
                </c:pt>
                <c:pt idx="896">
                  <c:v>470000</c:v>
                </c:pt>
                <c:pt idx="897">
                  <c:v>475000</c:v>
                </c:pt>
                <c:pt idx="898">
                  <c:v>480000</c:v>
                </c:pt>
                <c:pt idx="899">
                  <c:v>475000</c:v>
                </c:pt>
                <c:pt idx="900">
                  <c:v>480000</c:v>
                </c:pt>
                <c:pt idx="901">
                  <c:v>485000</c:v>
                </c:pt>
                <c:pt idx="902">
                  <c:v>490000</c:v>
                </c:pt>
                <c:pt idx="903">
                  <c:v>495000</c:v>
                </c:pt>
                <c:pt idx="904">
                  <c:v>490000</c:v>
                </c:pt>
                <c:pt idx="905">
                  <c:v>495000</c:v>
                </c:pt>
                <c:pt idx="906">
                  <c:v>500000</c:v>
                </c:pt>
                <c:pt idx="907">
                  <c:v>505000</c:v>
                </c:pt>
                <c:pt idx="908">
                  <c:v>510000</c:v>
                </c:pt>
                <c:pt idx="909">
                  <c:v>515000</c:v>
                </c:pt>
                <c:pt idx="910">
                  <c:v>520000</c:v>
                </c:pt>
                <c:pt idx="911">
                  <c:v>525000</c:v>
                </c:pt>
                <c:pt idx="912">
                  <c:v>530000</c:v>
                </c:pt>
                <c:pt idx="913">
                  <c:v>525000</c:v>
                </c:pt>
                <c:pt idx="914">
                  <c:v>520000</c:v>
                </c:pt>
                <c:pt idx="915">
                  <c:v>515000</c:v>
                </c:pt>
                <c:pt idx="916">
                  <c:v>520000</c:v>
                </c:pt>
                <c:pt idx="917">
                  <c:v>515000</c:v>
                </c:pt>
                <c:pt idx="918">
                  <c:v>510000</c:v>
                </c:pt>
                <c:pt idx="919">
                  <c:v>505000</c:v>
                </c:pt>
                <c:pt idx="920">
                  <c:v>510000</c:v>
                </c:pt>
                <c:pt idx="921">
                  <c:v>515000</c:v>
                </c:pt>
                <c:pt idx="922">
                  <c:v>520000</c:v>
                </c:pt>
                <c:pt idx="923">
                  <c:v>525000</c:v>
                </c:pt>
                <c:pt idx="924">
                  <c:v>520000</c:v>
                </c:pt>
                <c:pt idx="925">
                  <c:v>525000</c:v>
                </c:pt>
                <c:pt idx="926">
                  <c:v>530000</c:v>
                </c:pt>
                <c:pt idx="927">
                  <c:v>525000</c:v>
                </c:pt>
                <c:pt idx="928">
                  <c:v>520000</c:v>
                </c:pt>
                <c:pt idx="929">
                  <c:v>515000</c:v>
                </c:pt>
                <c:pt idx="930">
                  <c:v>510000</c:v>
                </c:pt>
                <c:pt idx="931">
                  <c:v>515000</c:v>
                </c:pt>
                <c:pt idx="932">
                  <c:v>520000</c:v>
                </c:pt>
                <c:pt idx="933">
                  <c:v>515000</c:v>
                </c:pt>
                <c:pt idx="934">
                  <c:v>510000</c:v>
                </c:pt>
                <c:pt idx="935">
                  <c:v>515000</c:v>
                </c:pt>
                <c:pt idx="936">
                  <c:v>520000</c:v>
                </c:pt>
                <c:pt idx="937">
                  <c:v>525000</c:v>
                </c:pt>
                <c:pt idx="938">
                  <c:v>530000</c:v>
                </c:pt>
                <c:pt idx="939">
                  <c:v>525000</c:v>
                </c:pt>
                <c:pt idx="940">
                  <c:v>520000</c:v>
                </c:pt>
                <c:pt idx="941">
                  <c:v>515000</c:v>
                </c:pt>
                <c:pt idx="942">
                  <c:v>520000</c:v>
                </c:pt>
                <c:pt idx="943">
                  <c:v>525000</c:v>
                </c:pt>
                <c:pt idx="944">
                  <c:v>530000</c:v>
                </c:pt>
                <c:pt idx="945">
                  <c:v>525000</c:v>
                </c:pt>
                <c:pt idx="946">
                  <c:v>530000</c:v>
                </c:pt>
                <c:pt idx="947">
                  <c:v>525000</c:v>
                </c:pt>
                <c:pt idx="948">
                  <c:v>520000</c:v>
                </c:pt>
                <c:pt idx="949">
                  <c:v>515000</c:v>
                </c:pt>
                <c:pt idx="950">
                  <c:v>520000</c:v>
                </c:pt>
                <c:pt idx="951">
                  <c:v>515000</c:v>
                </c:pt>
                <c:pt idx="952">
                  <c:v>510000</c:v>
                </c:pt>
                <c:pt idx="953">
                  <c:v>505000</c:v>
                </c:pt>
                <c:pt idx="954">
                  <c:v>510000</c:v>
                </c:pt>
                <c:pt idx="955">
                  <c:v>515000</c:v>
                </c:pt>
                <c:pt idx="956">
                  <c:v>510000</c:v>
                </c:pt>
                <c:pt idx="957">
                  <c:v>505000</c:v>
                </c:pt>
                <c:pt idx="958">
                  <c:v>500000</c:v>
                </c:pt>
                <c:pt idx="959">
                  <c:v>505000</c:v>
                </c:pt>
                <c:pt idx="960">
                  <c:v>510000</c:v>
                </c:pt>
                <c:pt idx="961">
                  <c:v>505000</c:v>
                </c:pt>
                <c:pt idx="962">
                  <c:v>500000</c:v>
                </c:pt>
                <c:pt idx="963">
                  <c:v>495000</c:v>
                </c:pt>
                <c:pt idx="964">
                  <c:v>500000</c:v>
                </c:pt>
                <c:pt idx="965">
                  <c:v>505000</c:v>
                </c:pt>
                <c:pt idx="966">
                  <c:v>510000</c:v>
                </c:pt>
                <c:pt idx="967">
                  <c:v>515000</c:v>
                </c:pt>
                <c:pt idx="968">
                  <c:v>520000</c:v>
                </c:pt>
                <c:pt idx="969">
                  <c:v>515000</c:v>
                </c:pt>
                <c:pt idx="970">
                  <c:v>510000</c:v>
                </c:pt>
                <c:pt idx="971">
                  <c:v>505000</c:v>
                </c:pt>
                <c:pt idx="972">
                  <c:v>510000</c:v>
                </c:pt>
                <c:pt idx="973">
                  <c:v>505000</c:v>
                </c:pt>
                <c:pt idx="974">
                  <c:v>500000</c:v>
                </c:pt>
                <c:pt idx="975">
                  <c:v>505000</c:v>
                </c:pt>
                <c:pt idx="976">
                  <c:v>500000</c:v>
                </c:pt>
                <c:pt idx="977">
                  <c:v>495000</c:v>
                </c:pt>
                <c:pt idx="978">
                  <c:v>490000</c:v>
                </c:pt>
                <c:pt idx="979">
                  <c:v>485000</c:v>
                </c:pt>
                <c:pt idx="980">
                  <c:v>480000</c:v>
                </c:pt>
                <c:pt idx="981">
                  <c:v>485000</c:v>
                </c:pt>
                <c:pt idx="982">
                  <c:v>490000</c:v>
                </c:pt>
                <c:pt idx="983">
                  <c:v>495000</c:v>
                </c:pt>
                <c:pt idx="984">
                  <c:v>490000</c:v>
                </c:pt>
                <c:pt idx="985">
                  <c:v>485000</c:v>
                </c:pt>
                <c:pt idx="986">
                  <c:v>490000</c:v>
                </c:pt>
                <c:pt idx="987">
                  <c:v>495000</c:v>
                </c:pt>
                <c:pt idx="988">
                  <c:v>490000</c:v>
                </c:pt>
                <c:pt idx="989">
                  <c:v>485000</c:v>
                </c:pt>
                <c:pt idx="990">
                  <c:v>480000</c:v>
                </c:pt>
                <c:pt idx="991">
                  <c:v>485000</c:v>
                </c:pt>
                <c:pt idx="992">
                  <c:v>490000</c:v>
                </c:pt>
                <c:pt idx="993">
                  <c:v>485000</c:v>
                </c:pt>
                <c:pt idx="994">
                  <c:v>490000</c:v>
                </c:pt>
                <c:pt idx="995">
                  <c:v>485000</c:v>
                </c:pt>
                <c:pt idx="996">
                  <c:v>480000</c:v>
                </c:pt>
                <c:pt idx="997">
                  <c:v>485000</c:v>
                </c:pt>
                <c:pt idx="998">
                  <c:v>490000</c:v>
                </c:pt>
                <c:pt idx="999">
                  <c:v>485000</c:v>
                </c:pt>
                <c:pt idx="1000">
                  <c:v>490000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A-4113-B8DB-90F0EFDF2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208223"/>
        <c:axId val="123214047"/>
      </c:lineChart>
      <c:catAx>
        <c:axId val="1232082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700" b="1">
                    <a:solidFill>
                      <a:srgbClr val="C00000"/>
                    </a:solidFill>
                  </a:rPr>
                  <a:t>Proposition</a:t>
                </a:r>
              </a:p>
            </c:rich>
          </c:tx>
          <c:layout>
            <c:manualLayout>
              <c:xMode val="edge"/>
              <c:yMode val="edge"/>
              <c:x val="0.46447103350470342"/>
              <c:y val="0.952812613211397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214047"/>
        <c:crosses val="autoZero"/>
        <c:auto val="1"/>
        <c:lblAlgn val="ctr"/>
        <c:lblOffset val="100"/>
        <c:noMultiLvlLbl val="0"/>
      </c:catAx>
      <c:valAx>
        <c:axId val="123214047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700" b="1">
                    <a:solidFill>
                      <a:srgbClr val="C00000"/>
                    </a:solidFill>
                  </a:rPr>
                  <a:t>Bankroll Balance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208223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en-US" sz="900" b="1">
                <a:solidFill>
                  <a:srgbClr val="C00000"/>
                </a:solidFill>
              </a:rPr>
              <a:t>Bankroll</a:t>
            </a:r>
            <a:r>
              <a:rPr lang="en-US" sz="900" b="1" baseline="0">
                <a:solidFill>
                  <a:srgbClr val="C00000"/>
                </a:solidFill>
              </a:rPr>
              <a:t> Balance After 1K Propositons</a:t>
            </a:r>
            <a:endParaRPr lang="en-US" sz="900" b="1">
              <a:solidFill>
                <a:srgbClr val="C00000"/>
              </a:solidFill>
            </a:endParaRPr>
          </a:p>
        </c:rich>
      </c:tx>
      <c:layout>
        <c:manualLayout>
          <c:xMode val="edge"/>
          <c:yMode val="edge"/>
          <c:x val="0.21330057025858751"/>
          <c:y val="1.94913973106475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888822511210707"/>
          <c:y val="0.10764124164805136"/>
          <c:w val="0.83906472307772928"/>
          <c:h val="0.77645406847312093"/>
        </c:manualLayout>
      </c:layout>
      <c:lineChart>
        <c:grouping val="standard"/>
        <c:varyColors val="0"/>
        <c:ser>
          <c:idx val="1"/>
          <c:order val="0"/>
          <c:tx>
            <c:v>Bankroll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Bankroll_2!$F$3:$F$1003</c:f>
              <c:numCache>
                <c:formatCode>"$"#,##0_);[Red]\("$"#,##0\)</c:formatCode>
                <c:ptCount val="1001"/>
                <c:pt idx="0">
                  <c:v>100000</c:v>
                </c:pt>
                <c:pt idx="1">
                  <c:v>100500</c:v>
                </c:pt>
                <c:pt idx="2">
                  <c:v>101000</c:v>
                </c:pt>
                <c:pt idx="3">
                  <c:v>101500</c:v>
                </c:pt>
                <c:pt idx="4">
                  <c:v>101000</c:v>
                </c:pt>
                <c:pt idx="5">
                  <c:v>100500</c:v>
                </c:pt>
                <c:pt idx="6">
                  <c:v>101000</c:v>
                </c:pt>
                <c:pt idx="7">
                  <c:v>101500</c:v>
                </c:pt>
                <c:pt idx="8">
                  <c:v>102000</c:v>
                </c:pt>
                <c:pt idx="9">
                  <c:v>101500</c:v>
                </c:pt>
                <c:pt idx="10">
                  <c:v>102000</c:v>
                </c:pt>
                <c:pt idx="11">
                  <c:v>102500</c:v>
                </c:pt>
                <c:pt idx="12">
                  <c:v>103000</c:v>
                </c:pt>
                <c:pt idx="13">
                  <c:v>103500</c:v>
                </c:pt>
                <c:pt idx="14">
                  <c:v>104000</c:v>
                </c:pt>
                <c:pt idx="15">
                  <c:v>104500</c:v>
                </c:pt>
                <c:pt idx="16">
                  <c:v>105000</c:v>
                </c:pt>
                <c:pt idx="17">
                  <c:v>105500</c:v>
                </c:pt>
                <c:pt idx="18">
                  <c:v>106000</c:v>
                </c:pt>
                <c:pt idx="19">
                  <c:v>106500</c:v>
                </c:pt>
                <c:pt idx="20">
                  <c:v>106000</c:v>
                </c:pt>
                <c:pt idx="21">
                  <c:v>106500</c:v>
                </c:pt>
                <c:pt idx="22">
                  <c:v>106000</c:v>
                </c:pt>
                <c:pt idx="23">
                  <c:v>105500</c:v>
                </c:pt>
                <c:pt idx="24">
                  <c:v>106000</c:v>
                </c:pt>
                <c:pt idx="25">
                  <c:v>106500</c:v>
                </c:pt>
                <c:pt idx="26">
                  <c:v>107000</c:v>
                </c:pt>
                <c:pt idx="27">
                  <c:v>106500</c:v>
                </c:pt>
                <c:pt idx="28">
                  <c:v>107000</c:v>
                </c:pt>
                <c:pt idx="29">
                  <c:v>107500</c:v>
                </c:pt>
                <c:pt idx="30">
                  <c:v>108000</c:v>
                </c:pt>
                <c:pt idx="31">
                  <c:v>107500</c:v>
                </c:pt>
                <c:pt idx="32">
                  <c:v>108000</c:v>
                </c:pt>
                <c:pt idx="33">
                  <c:v>108500</c:v>
                </c:pt>
                <c:pt idx="34">
                  <c:v>109000</c:v>
                </c:pt>
                <c:pt idx="35">
                  <c:v>109500</c:v>
                </c:pt>
                <c:pt idx="36">
                  <c:v>110000</c:v>
                </c:pt>
                <c:pt idx="37">
                  <c:v>110500</c:v>
                </c:pt>
                <c:pt idx="38">
                  <c:v>111000</c:v>
                </c:pt>
                <c:pt idx="39">
                  <c:v>111500</c:v>
                </c:pt>
                <c:pt idx="40">
                  <c:v>112000</c:v>
                </c:pt>
                <c:pt idx="41">
                  <c:v>112500</c:v>
                </c:pt>
                <c:pt idx="42">
                  <c:v>113000</c:v>
                </c:pt>
                <c:pt idx="43">
                  <c:v>112500</c:v>
                </c:pt>
                <c:pt idx="44">
                  <c:v>113000</c:v>
                </c:pt>
                <c:pt idx="45">
                  <c:v>113500</c:v>
                </c:pt>
                <c:pt idx="46">
                  <c:v>113000</c:v>
                </c:pt>
                <c:pt idx="47">
                  <c:v>112500</c:v>
                </c:pt>
                <c:pt idx="48">
                  <c:v>112000</c:v>
                </c:pt>
                <c:pt idx="49">
                  <c:v>112500</c:v>
                </c:pt>
                <c:pt idx="50">
                  <c:v>113000</c:v>
                </c:pt>
                <c:pt idx="51">
                  <c:v>113500</c:v>
                </c:pt>
                <c:pt idx="52">
                  <c:v>114000</c:v>
                </c:pt>
                <c:pt idx="53">
                  <c:v>114500</c:v>
                </c:pt>
                <c:pt idx="54">
                  <c:v>115000</c:v>
                </c:pt>
                <c:pt idx="55">
                  <c:v>114500</c:v>
                </c:pt>
                <c:pt idx="56">
                  <c:v>115000</c:v>
                </c:pt>
                <c:pt idx="57">
                  <c:v>115500</c:v>
                </c:pt>
                <c:pt idx="58">
                  <c:v>116000</c:v>
                </c:pt>
                <c:pt idx="59">
                  <c:v>116500</c:v>
                </c:pt>
                <c:pt idx="60">
                  <c:v>116000</c:v>
                </c:pt>
                <c:pt idx="61">
                  <c:v>116500</c:v>
                </c:pt>
                <c:pt idx="62">
                  <c:v>116000</c:v>
                </c:pt>
                <c:pt idx="63">
                  <c:v>116500</c:v>
                </c:pt>
                <c:pt idx="64">
                  <c:v>117000</c:v>
                </c:pt>
                <c:pt idx="65">
                  <c:v>117500</c:v>
                </c:pt>
                <c:pt idx="66">
                  <c:v>118000</c:v>
                </c:pt>
                <c:pt idx="67">
                  <c:v>117500</c:v>
                </c:pt>
                <c:pt idx="68">
                  <c:v>118000</c:v>
                </c:pt>
                <c:pt idx="69">
                  <c:v>117500</c:v>
                </c:pt>
                <c:pt idx="70">
                  <c:v>117000</c:v>
                </c:pt>
                <c:pt idx="71">
                  <c:v>117500</c:v>
                </c:pt>
                <c:pt idx="72">
                  <c:v>117000</c:v>
                </c:pt>
                <c:pt idx="73">
                  <c:v>117500</c:v>
                </c:pt>
                <c:pt idx="74">
                  <c:v>118000</c:v>
                </c:pt>
                <c:pt idx="75">
                  <c:v>118500</c:v>
                </c:pt>
                <c:pt idx="76">
                  <c:v>119000</c:v>
                </c:pt>
                <c:pt idx="77">
                  <c:v>119500</c:v>
                </c:pt>
                <c:pt idx="78">
                  <c:v>120000</c:v>
                </c:pt>
                <c:pt idx="79">
                  <c:v>119500</c:v>
                </c:pt>
                <c:pt idx="80">
                  <c:v>120000</c:v>
                </c:pt>
                <c:pt idx="81">
                  <c:v>120500</c:v>
                </c:pt>
                <c:pt idx="82">
                  <c:v>120000</c:v>
                </c:pt>
                <c:pt idx="83">
                  <c:v>120500</c:v>
                </c:pt>
                <c:pt idx="84">
                  <c:v>121000</c:v>
                </c:pt>
                <c:pt idx="85">
                  <c:v>121500</c:v>
                </c:pt>
                <c:pt idx="86">
                  <c:v>122000</c:v>
                </c:pt>
                <c:pt idx="87">
                  <c:v>121500</c:v>
                </c:pt>
                <c:pt idx="88">
                  <c:v>122000</c:v>
                </c:pt>
                <c:pt idx="89">
                  <c:v>122500</c:v>
                </c:pt>
                <c:pt idx="90">
                  <c:v>123000</c:v>
                </c:pt>
                <c:pt idx="91">
                  <c:v>123500</c:v>
                </c:pt>
                <c:pt idx="92">
                  <c:v>124000</c:v>
                </c:pt>
                <c:pt idx="93">
                  <c:v>124500</c:v>
                </c:pt>
                <c:pt idx="94">
                  <c:v>125000</c:v>
                </c:pt>
                <c:pt idx="95">
                  <c:v>125500</c:v>
                </c:pt>
                <c:pt idx="96">
                  <c:v>126000</c:v>
                </c:pt>
                <c:pt idx="97">
                  <c:v>126500</c:v>
                </c:pt>
                <c:pt idx="98">
                  <c:v>127000</c:v>
                </c:pt>
                <c:pt idx="99">
                  <c:v>127500</c:v>
                </c:pt>
                <c:pt idx="100">
                  <c:v>128000</c:v>
                </c:pt>
                <c:pt idx="101">
                  <c:v>128500</c:v>
                </c:pt>
                <c:pt idx="102">
                  <c:v>128000</c:v>
                </c:pt>
                <c:pt idx="103">
                  <c:v>127500</c:v>
                </c:pt>
                <c:pt idx="104">
                  <c:v>128000</c:v>
                </c:pt>
                <c:pt idx="105">
                  <c:v>128500</c:v>
                </c:pt>
                <c:pt idx="106">
                  <c:v>129000</c:v>
                </c:pt>
                <c:pt idx="107">
                  <c:v>129500</c:v>
                </c:pt>
                <c:pt idx="108">
                  <c:v>130000</c:v>
                </c:pt>
                <c:pt idx="109">
                  <c:v>130500</c:v>
                </c:pt>
                <c:pt idx="110">
                  <c:v>131000</c:v>
                </c:pt>
                <c:pt idx="111">
                  <c:v>131500</c:v>
                </c:pt>
                <c:pt idx="112">
                  <c:v>132000</c:v>
                </c:pt>
                <c:pt idx="113">
                  <c:v>132500</c:v>
                </c:pt>
                <c:pt idx="114">
                  <c:v>133000</c:v>
                </c:pt>
                <c:pt idx="115">
                  <c:v>133500</c:v>
                </c:pt>
                <c:pt idx="116">
                  <c:v>133000</c:v>
                </c:pt>
                <c:pt idx="117">
                  <c:v>133500</c:v>
                </c:pt>
                <c:pt idx="118">
                  <c:v>133000</c:v>
                </c:pt>
                <c:pt idx="119">
                  <c:v>133500</c:v>
                </c:pt>
                <c:pt idx="120">
                  <c:v>134000</c:v>
                </c:pt>
                <c:pt idx="121">
                  <c:v>133500</c:v>
                </c:pt>
                <c:pt idx="122">
                  <c:v>134000</c:v>
                </c:pt>
                <c:pt idx="123">
                  <c:v>133500</c:v>
                </c:pt>
                <c:pt idx="124">
                  <c:v>133000</c:v>
                </c:pt>
                <c:pt idx="125">
                  <c:v>133500</c:v>
                </c:pt>
                <c:pt idx="126">
                  <c:v>133000</c:v>
                </c:pt>
                <c:pt idx="127">
                  <c:v>133500</c:v>
                </c:pt>
                <c:pt idx="128">
                  <c:v>133000</c:v>
                </c:pt>
                <c:pt idx="129">
                  <c:v>133500</c:v>
                </c:pt>
                <c:pt idx="130">
                  <c:v>134000</c:v>
                </c:pt>
                <c:pt idx="131">
                  <c:v>134500</c:v>
                </c:pt>
                <c:pt idx="132">
                  <c:v>135000</c:v>
                </c:pt>
                <c:pt idx="133">
                  <c:v>135500</c:v>
                </c:pt>
                <c:pt idx="134">
                  <c:v>136000</c:v>
                </c:pt>
                <c:pt idx="135">
                  <c:v>136500</c:v>
                </c:pt>
                <c:pt idx="136">
                  <c:v>137000</c:v>
                </c:pt>
                <c:pt idx="137">
                  <c:v>137500</c:v>
                </c:pt>
                <c:pt idx="138">
                  <c:v>138000</c:v>
                </c:pt>
                <c:pt idx="139">
                  <c:v>138500</c:v>
                </c:pt>
                <c:pt idx="140">
                  <c:v>139000</c:v>
                </c:pt>
                <c:pt idx="141">
                  <c:v>139500</c:v>
                </c:pt>
                <c:pt idx="142">
                  <c:v>140000</c:v>
                </c:pt>
                <c:pt idx="143">
                  <c:v>140500</c:v>
                </c:pt>
                <c:pt idx="144">
                  <c:v>141000</c:v>
                </c:pt>
                <c:pt idx="145">
                  <c:v>141500</c:v>
                </c:pt>
                <c:pt idx="146">
                  <c:v>141000</c:v>
                </c:pt>
                <c:pt idx="147">
                  <c:v>141500</c:v>
                </c:pt>
                <c:pt idx="148">
                  <c:v>142000</c:v>
                </c:pt>
                <c:pt idx="149">
                  <c:v>142500</c:v>
                </c:pt>
                <c:pt idx="150">
                  <c:v>143000</c:v>
                </c:pt>
                <c:pt idx="151">
                  <c:v>143500</c:v>
                </c:pt>
                <c:pt idx="152">
                  <c:v>143000</c:v>
                </c:pt>
                <c:pt idx="153">
                  <c:v>142500</c:v>
                </c:pt>
                <c:pt idx="154">
                  <c:v>143000</c:v>
                </c:pt>
                <c:pt idx="155">
                  <c:v>143500</c:v>
                </c:pt>
                <c:pt idx="156">
                  <c:v>143000</c:v>
                </c:pt>
                <c:pt idx="157">
                  <c:v>143500</c:v>
                </c:pt>
                <c:pt idx="158">
                  <c:v>144000</c:v>
                </c:pt>
                <c:pt idx="159">
                  <c:v>144500</c:v>
                </c:pt>
                <c:pt idx="160">
                  <c:v>145000</c:v>
                </c:pt>
                <c:pt idx="161">
                  <c:v>145500</c:v>
                </c:pt>
                <c:pt idx="162">
                  <c:v>146000</c:v>
                </c:pt>
                <c:pt idx="163">
                  <c:v>146500</c:v>
                </c:pt>
                <c:pt idx="164">
                  <c:v>147000</c:v>
                </c:pt>
                <c:pt idx="165">
                  <c:v>146500</c:v>
                </c:pt>
                <c:pt idx="166">
                  <c:v>147000</c:v>
                </c:pt>
                <c:pt idx="167">
                  <c:v>147500</c:v>
                </c:pt>
                <c:pt idx="168">
                  <c:v>148000</c:v>
                </c:pt>
                <c:pt idx="169">
                  <c:v>147500</c:v>
                </c:pt>
                <c:pt idx="170">
                  <c:v>148000</c:v>
                </c:pt>
                <c:pt idx="171">
                  <c:v>148500</c:v>
                </c:pt>
                <c:pt idx="172">
                  <c:v>149000</c:v>
                </c:pt>
                <c:pt idx="173">
                  <c:v>149500</c:v>
                </c:pt>
                <c:pt idx="174">
                  <c:v>150000</c:v>
                </c:pt>
                <c:pt idx="175">
                  <c:v>150500</c:v>
                </c:pt>
                <c:pt idx="176">
                  <c:v>150000</c:v>
                </c:pt>
                <c:pt idx="177">
                  <c:v>150500</c:v>
                </c:pt>
                <c:pt idx="178">
                  <c:v>150000</c:v>
                </c:pt>
                <c:pt idx="179">
                  <c:v>150500</c:v>
                </c:pt>
                <c:pt idx="180">
                  <c:v>151000</c:v>
                </c:pt>
                <c:pt idx="181">
                  <c:v>151500</c:v>
                </c:pt>
                <c:pt idx="182">
                  <c:v>152000</c:v>
                </c:pt>
                <c:pt idx="183">
                  <c:v>152500</c:v>
                </c:pt>
                <c:pt idx="184">
                  <c:v>153000</c:v>
                </c:pt>
                <c:pt idx="185">
                  <c:v>153500</c:v>
                </c:pt>
                <c:pt idx="186">
                  <c:v>154000</c:v>
                </c:pt>
                <c:pt idx="187">
                  <c:v>154500</c:v>
                </c:pt>
                <c:pt idx="188">
                  <c:v>155000</c:v>
                </c:pt>
                <c:pt idx="189">
                  <c:v>155500</c:v>
                </c:pt>
                <c:pt idx="190">
                  <c:v>155000</c:v>
                </c:pt>
                <c:pt idx="191">
                  <c:v>155500</c:v>
                </c:pt>
                <c:pt idx="192">
                  <c:v>156000</c:v>
                </c:pt>
                <c:pt idx="193">
                  <c:v>156500</c:v>
                </c:pt>
                <c:pt idx="194">
                  <c:v>157000</c:v>
                </c:pt>
                <c:pt idx="195">
                  <c:v>157500</c:v>
                </c:pt>
                <c:pt idx="196">
                  <c:v>158000</c:v>
                </c:pt>
                <c:pt idx="197">
                  <c:v>158500</c:v>
                </c:pt>
                <c:pt idx="198">
                  <c:v>159000</c:v>
                </c:pt>
                <c:pt idx="199">
                  <c:v>159500</c:v>
                </c:pt>
                <c:pt idx="200">
                  <c:v>159000</c:v>
                </c:pt>
                <c:pt idx="201">
                  <c:v>159500</c:v>
                </c:pt>
                <c:pt idx="202">
                  <c:v>160000</c:v>
                </c:pt>
                <c:pt idx="203">
                  <c:v>160500</c:v>
                </c:pt>
                <c:pt idx="204">
                  <c:v>161000</c:v>
                </c:pt>
                <c:pt idx="205">
                  <c:v>161500</c:v>
                </c:pt>
                <c:pt idx="206">
                  <c:v>162000</c:v>
                </c:pt>
                <c:pt idx="207">
                  <c:v>162500</c:v>
                </c:pt>
                <c:pt idx="208">
                  <c:v>163000</c:v>
                </c:pt>
                <c:pt idx="209">
                  <c:v>163500</c:v>
                </c:pt>
                <c:pt idx="210">
                  <c:v>164000</c:v>
                </c:pt>
                <c:pt idx="211">
                  <c:v>164500</c:v>
                </c:pt>
                <c:pt idx="212">
                  <c:v>165000</c:v>
                </c:pt>
                <c:pt idx="213">
                  <c:v>165500</c:v>
                </c:pt>
                <c:pt idx="214">
                  <c:v>166000</c:v>
                </c:pt>
                <c:pt idx="215">
                  <c:v>166500</c:v>
                </c:pt>
                <c:pt idx="216">
                  <c:v>167000</c:v>
                </c:pt>
                <c:pt idx="217">
                  <c:v>167500</c:v>
                </c:pt>
                <c:pt idx="218">
                  <c:v>168000</c:v>
                </c:pt>
                <c:pt idx="219">
                  <c:v>168500</c:v>
                </c:pt>
                <c:pt idx="220">
                  <c:v>168000</c:v>
                </c:pt>
                <c:pt idx="221">
                  <c:v>168500</c:v>
                </c:pt>
                <c:pt idx="222">
                  <c:v>169000</c:v>
                </c:pt>
                <c:pt idx="223">
                  <c:v>169500</c:v>
                </c:pt>
                <c:pt idx="224">
                  <c:v>170000</c:v>
                </c:pt>
                <c:pt idx="225">
                  <c:v>170500</c:v>
                </c:pt>
                <c:pt idx="226">
                  <c:v>170000</c:v>
                </c:pt>
                <c:pt idx="227">
                  <c:v>170500</c:v>
                </c:pt>
                <c:pt idx="228">
                  <c:v>171000</c:v>
                </c:pt>
                <c:pt idx="229">
                  <c:v>170500</c:v>
                </c:pt>
                <c:pt idx="230">
                  <c:v>171000</c:v>
                </c:pt>
                <c:pt idx="231">
                  <c:v>171500</c:v>
                </c:pt>
                <c:pt idx="232">
                  <c:v>171000</c:v>
                </c:pt>
                <c:pt idx="233">
                  <c:v>170500</c:v>
                </c:pt>
                <c:pt idx="234">
                  <c:v>170000</c:v>
                </c:pt>
                <c:pt idx="235">
                  <c:v>170500</c:v>
                </c:pt>
                <c:pt idx="236">
                  <c:v>171000</c:v>
                </c:pt>
                <c:pt idx="237">
                  <c:v>170500</c:v>
                </c:pt>
                <c:pt idx="238">
                  <c:v>171000</c:v>
                </c:pt>
                <c:pt idx="239">
                  <c:v>170500</c:v>
                </c:pt>
                <c:pt idx="240">
                  <c:v>170000</c:v>
                </c:pt>
                <c:pt idx="241">
                  <c:v>170500</c:v>
                </c:pt>
                <c:pt idx="242">
                  <c:v>170000</c:v>
                </c:pt>
                <c:pt idx="243">
                  <c:v>170500</c:v>
                </c:pt>
                <c:pt idx="244">
                  <c:v>170000</c:v>
                </c:pt>
                <c:pt idx="245">
                  <c:v>170500</c:v>
                </c:pt>
                <c:pt idx="246">
                  <c:v>171000</c:v>
                </c:pt>
                <c:pt idx="247">
                  <c:v>171500</c:v>
                </c:pt>
                <c:pt idx="248">
                  <c:v>171000</c:v>
                </c:pt>
                <c:pt idx="249">
                  <c:v>170500</c:v>
                </c:pt>
                <c:pt idx="250">
                  <c:v>171000</c:v>
                </c:pt>
                <c:pt idx="251">
                  <c:v>171500</c:v>
                </c:pt>
                <c:pt idx="252">
                  <c:v>172000</c:v>
                </c:pt>
                <c:pt idx="253">
                  <c:v>172500</c:v>
                </c:pt>
                <c:pt idx="254">
                  <c:v>173000</c:v>
                </c:pt>
                <c:pt idx="255">
                  <c:v>172500</c:v>
                </c:pt>
                <c:pt idx="256">
                  <c:v>173000</c:v>
                </c:pt>
                <c:pt idx="257">
                  <c:v>173500</c:v>
                </c:pt>
                <c:pt idx="258">
                  <c:v>174000</c:v>
                </c:pt>
                <c:pt idx="259">
                  <c:v>174500</c:v>
                </c:pt>
                <c:pt idx="260">
                  <c:v>175000</c:v>
                </c:pt>
                <c:pt idx="261">
                  <c:v>175500</c:v>
                </c:pt>
                <c:pt idx="262">
                  <c:v>176000</c:v>
                </c:pt>
                <c:pt idx="263">
                  <c:v>175500</c:v>
                </c:pt>
                <c:pt idx="264">
                  <c:v>176000</c:v>
                </c:pt>
                <c:pt idx="265">
                  <c:v>176500</c:v>
                </c:pt>
                <c:pt idx="266">
                  <c:v>177000</c:v>
                </c:pt>
                <c:pt idx="267">
                  <c:v>177500</c:v>
                </c:pt>
                <c:pt idx="268">
                  <c:v>178000</c:v>
                </c:pt>
                <c:pt idx="269">
                  <c:v>178500</c:v>
                </c:pt>
                <c:pt idx="270">
                  <c:v>179000</c:v>
                </c:pt>
                <c:pt idx="271">
                  <c:v>179500</c:v>
                </c:pt>
                <c:pt idx="272">
                  <c:v>180000</c:v>
                </c:pt>
                <c:pt idx="273">
                  <c:v>180500</c:v>
                </c:pt>
                <c:pt idx="274">
                  <c:v>181000</c:v>
                </c:pt>
                <c:pt idx="275">
                  <c:v>180500</c:v>
                </c:pt>
                <c:pt idx="276">
                  <c:v>181000</c:v>
                </c:pt>
                <c:pt idx="277">
                  <c:v>181500</c:v>
                </c:pt>
                <c:pt idx="278">
                  <c:v>182000</c:v>
                </c:pt>
                <c:pt idx="279">
                  <c:v>182500</c:v>
                </c:pt>
                <c:pt idx="280">
                  <c:v>183000</c:v>
                </c:pt>
                <c:pt idx="281">
                  <c:v>183500</c:v>
                </c:pt>
                <c:pt idx="282">
                  <c:v>184000</c:v>
                </c:pt>
                <c:pt idx="283">
                  <c:v>184500</c:v>
                </c:pt>
                <c:pt idx="284">
                  <c:v>184000</c:v>
                </c:pt>
                <c:pt idx="285">
                  <c:v>184500</c:v>
                </c:pt>
                <c:pt idx="286">
                  <c:v>185000</c:v>
                </c:pt>
                <c:pt idx="287">
                  <c:v>185500</c:v>
                </c:pt>
                <c:pt idx="288">
                  <c:v>186000</c:v>
                </c:pt>
                <c:pt idx="289">
                  <c:v>185500</c:v>
                </c:pt>
                <c:pt idx="290">
                  <c:v>185000</c:v>
                </c:pt>
                <c:pt idx="291">
                  <c:v>185500</c:v>
                </c:pt>
                <c:pt idx="292">
                  <c:v>186000</c:v>
                </c:pt>
                <c:pt idx="293">
                  <c:v>186500</c:v>
                </c:pt>
                <c:pt idx="294">
                  <c:v>186000</c:v>
                </c:pt>
                <c:pt idx="295">
                  <c:v>186500</c:v>
                </c:pt>
                <c:pt idx="296">
                  <c:v>186000</c:v>
                </c:pt>
                <c:pt idx="297">
                  <c:v>186500</c:v>
                </c:pt>
                <c:pt idx="298">
                  <c:v>187000</c:v>
                </c:pt>
                <c:pt idx="299">
                  <c:v>187500</c:v>
                </c:pt>
                <c:pt idx="300">
                  <c:v>188000</c:v>
                </c:pt>
                <c:pt idx="301">
                  <c:v>187500</c:v>
                </c:pt>
                <c:pt idx="302">
                  <c:v>187000</c:v>
                </c:pt>
                <c:pt idx="303">
                  <c:v>186500</c:v>
                </c:pt>
                <c:pt idx="304">
                  <c:v>187000</c:v>
                </c:pt>
                <c:pt idx="305">
                  <c:v>187500</c:v>
                </c:pt>
                <c:pt idx="306">
                  <c:v>187000</c:v>
                </c:pt>
                <c:pt idx="307">
                  <c:v>187500</c:v>
                </c:pt>
                <c:pt idx="308">
                  <c:v>188000</c:v>
                </c:pt>
                <c:pt idx="309">
                  <c:v>188500</c:v>
                </c:pt>
                <c:pt idx="310">
                  <c:v>189000</c:v>
                </c:pt>
                <c:pt idx="311">
                  <c:v>189500</c:v>
                </c:pt>
                <c:pt idx="312">
                  <c:v>190000</c:v>
                </c:pt>
                <c:pt idx="313">
                  <c:v>190500</c:v>
                </c:pt>
                <c:pt idx="314">
                  <c:v>190000</c:v>
                </c:pt>
                <c:pt idx="315">
                  <c:v>190500</c:v>
                </c:pt>
                <c:pt idx="316">
                  <c:v>190000</c:v>
                </c:pt>
                <c:pt idx="317">
                  <c:v>190500</c:v>
                </c:pt>
                <c:pt idx="318">
                  <c:v>191000</c:v>
                </c:pt>
                <c:pt idx="319">
                  <c:v>191500</c:v>
                </c:pt>
                <c:pt idx="320">
                  <c:v>192000</c:v>
                </c:pt>
                <c:pt idx="321">
                  <c:v>192500</c:v>
                </c:pt>
                <c:pt idx="322">
                  <c:v>193000</c:v>
                </c:pt>
                <c:pt idx="323">
                  <c:v>193500</c:v>
                </c:pt>
                <c:pt idx="324">
                  <c:v>194000</c:v>
                </c:pt>
                <c:pt idx="325">
                  <c:v>194500</c:v>
                </c:pt>
                <c:pt idx="326">
                  <c:v>195000</c:v>
                </c:pt>
                <c:pt idx="327">
                  <c:v>195500</c:v>
                </c:pt>
                <c:pt idx="328">
                  <c:v>196000</c:v>
                </c:pt>
                <c:pt idx="329">
                  <c:v>196500</c:v>
                </c:pt>
                <c:pt idx="330">
                  <c:v>197000</c:v>
                </c:pt>
                <c:pt idx="331">
                  <c:v>197500</c:v>
                </c:pt>
                <c:pt idx="332">
                  <c:v>198000</c:v>
                </c:pt>
                <c:pt idx="333">
                  <c:v>198500</c:v>
                </c:pt>
                <c:pt idx="334">
                  <c:v>199000</c:v>
                </c:pt>
                <c:pt idx="335">
                  <c:v>199500</c:v>
                </c:pt>
                <c:pt idx="336">
                  <c:v>199000</c:v>
                </c:pt>
                <c:pt idx="337">
                  <c:v>198500</c:v>
                </c:pt>
                <c:pt idx="338">
                  <c:v>199000</c:v>
                </c:pt>
                <c:pt idx="339">
                  <c:v>199500</c:v>
                </c:pt>
                <c:pt idx="340">
                  <c:v>200000</c:v>
                </c:pt>
                <c:pt idx="341">
                  <c:v>200500</c:v>
                </c:pt>
                <c:pt idx="342">
                  <c:v>201000</c:v>
                </c:pt>
                <c:pt idx="343">
                  <c:v>201500</c:v>
                </c:pt>
                <c:pt idx="344">
                  <c:v>202000</c:v>
                </c:pt>
                <c:pt idx="345">
                  <c:v>202500</c:v>
                </c:pt>
                <c:pt idx="346">
                  <c:v>203000</c:v>
                </c:pt>
                <c:pt idx="347">
                  <c:v>203500</c:v>
                </c:pt>
                <c:pt idx="348">
                  <c:v>203000</c:v>
                </c:pt>
                <c:pt idx="349">
                  <c:v>203500</c:v>
                </c:pt>
                <c:pt idx="350">
                  <c:v>204000</c:v>
                </c:pt>
                <c:pt idx="351">
                  <c:v>204500</c:v>
                </c:pt>
                <c:pt idx="352">
                  <c:v>205000</c:v>
                </c:pt>
                <c:pt idx="353">
                  <c:v>204500</c:v>
                </c:pt>
                <c:pt idx="354">
                  <c:v>205000</c:v>
                </c:pt>
                <c:pt idx="355">
                  <c:v>205500</c:v>
                </c:pt>
                <c:pt idx="356">
                  <c:v>206000</c:v>
                </c:pt>
                <c:pt idx="357">
                  <c:v>206500</c:v>
                </c:pt>
                <c:pt idx="358">
                  <c:v>206000</c:v>
                </c:pt>
                <c:pt idx="359">
                  <c:v>206500</c:v>
                </c:pt>
                <c:pt idx="360">
                  <c:v>206000</c:v>
                </c:pt>
                <c:pt idx="361">
                  <c:v>205500</c:v>
                </c:pt>
                <c:pt idx="362">
                  <c:v>206000</c:v>
                </c:pt>
                <c:pt idx="363">
                  <c:v>206500</c:v>
                </c:pt>
                <c:pt idx="364">
                  <c:v>207000</c:v>
                </c:pt>
                <c:pt idx="365">
                  <c:v>206500</c:v>
                </c:pt>
                <c:pt idx="366">
                  <c:v>206000</c:v>
                </c:pt>
                <c:pt idx="367">
                  <c:v>205500</c:v>
                </c:pt>
                <c:pt idx="368">
                  <c:v>206000</c:v>
                </c:pt>
                <c:pt idx="369">
                  <c:v>206500</c:v>
                </c:pt>
                <c:pt idx="370">
                  <c:v>206000</c:v>
                </c:pt>
                <c:pt idx="371">
                  <c:v>206500</c:v>
                </c:pt>
                <c:pt idx="372">
                  <c:v>207000</c:v>
                </c:pt>
                <c:pt idx="373">
                  <c:v>206500</c:v>
                </c:pt>
                <c:pt idx="374">
                  <c:v>207000</c:v>
                </c:pt>
                <c:pt idx="375">
                  <c:v>207500</c:v>
                </c:pt>
                <c:pt idx="376">
                  <c:v>208000</c:v>
                </c:pt>
                <c:pt idx="377">
                  <c:v>208500</c:v>
                </c:pt>
                <c:pt idx="378">
                  <c:v>209000</c:v>
                </c:pt>
                <c:pt idx="379">
                  <c:v>209500</c:v>
                </c:pt>
                <c:pt idx="380">
                  <c:v>209000</c:v>
                </c:pt>
                <c:pt idx="381">
                  <c:v>209500</c:v>
                </c:pt>
                <c:pt idx="382">
                  <c:v>209000</c:v>
                </c:pt>
                <c:pt idx="383">
                  <c:v>209500</c:v>
                </c:pt>
                <c:pt idx="384">
                  <c:v>210000</c:v>
                </c:pt>
                <c:pt idx="385">
                  <c:v>210500</c:v>
                </c:pt>
                <c:pt idx="386">
                  <c:v>211000</c:v>
                </c:pt>
                <c:pt idx="387">
                  <c:v>211500</c:v>
                </c:pt>
                <c:pt idx="388">
                  <c:v>212000</c:v>
                </c:pt>
                <c:pt idx="389">
                  <c:v>211500</c:v>
                </c:pt>
                <c:pt idx="390">
                  <c:v>212000</c:v>
                </c:pt>
                <c:pt idx="391">
                  <c:v>211500</c:v>
                </c:pt>
                <c:pt idx="392">
                  <c:v>212000</c:v>
                </c:pt>
                <c:pt idx="393">
                  <c:v>212500</c:v>
                </c:pt>
                <c:pt idx="394">
                  <c:v>213000</c:v>
                </c:pt>
                <c:pt idx="395">
                  <c:v>213500</c:v>
                </c:pt>
                <c:pt idx="396">
                  <c:v>214000</c:v>
                </c:pt>
                <c:pt idx="397">
                  <c:v>214500</c:v>
                </c:pt>
                <c:pt idx="398">
                  <c:v>215000</c:v>
                </c:pt>
                <c:pt idx="399">
                  <c:v>215500</c:v>
                </c:pt>
                <c:pt idx="400">
                  <c:v>216000</c:v>
                </c:pt>
                <c:pt idx="401">
                  <c:v>216500</c:v>
                </c:pt>
                <c:pt idx="402">
                  <c:v>216000</c:v>
                </c:pt>
                <c:pt idx="403">
                  <c:v>216500</c:v>
                </c:pt>
                <c:pt idx="404">
                  <c:v>216000</c:v>
                </c:pt>
                <c:pt idx="405">
                  <c:v>216500</c:v>
                </c:pt>
                <c:pt idx="406">
                  <c:v>217000</c:v>
                </c:pt>
                <c:pt idx="407">
                  <c:v>217500</c:v>
                </c:pt>
                <c:pt idx="408">
                  <c:v>218000</c:v>
                </c:pt>
                <c:pt idx="409">
                  <c:v>218500</c:v>
                </c:pt>
                <c:pt idx="410">
                  <c:v>218000</c:v>
                </c:pt>
                <c:pt idx="411">
                  <c:v>218500</c:v>
                </c:pt>
                <c:pt idx="412">
                  <c:v>219000</c:v>
                </c:pt>
                <c:pt idx="413">
                  <c:v>219500</c:v>
                </c:pt>
                <c:pt idx="414">
                  <c:v>219000</c:v>
                </c:pt>
                <c:pt idx="415">
                  <c:v>219500</c:v>
                </c:pt>
                <c:pt idx="416">
                  <c:v>219000</c:v>
                </c:pt>
                <c:pt idx="417">
                  <c:v>218500</c:v>
                </c:pt>
                <c:pt idx="418">
                  <c:v>219000</c:v>
                </c:pt>
                <c:pt idx="419">
                  <c:v>219500</c:v>
                </c:pt>
                <c:pt idx="420">
                  <c:v>220000</c:v>
                </c:pt>
                <c:pt idx="421">
                  <c:v>220500</c:v>
                </c:pt>
                <c:pt idx="422">
                  <c:v>221000</c:v>
                </c:pt>
                <c:pt idx="423">
                  <c:v>221500</c:v>
                </c:pt>
                <c:pt idx="424">
                  <c:v>221000</c:v>
                </c:pt>
                <c:pt idx="425">
                  <c:v>221500</c:v>
                </c:pt>
                <c:pt idx="426">
                  <c:v>222000</c:v>
                </c:pt>
                <c:pt idx="427">
                  <c:v>222500</c:v>
                </c:pt>
                <c:pt idx="428">
                  <c:v>223000</c:v>
                </c:pt>
                <c:pt idx="429">
                  <c:v>223500</c:v>
                </c:pt>
                <c:pt idx="430">
                  <c:v>224000</c:v>
                </c:pt>
                <c:pt idx="431">
                  <c:v>224500</c:v>
                </c:pt>
                <c:pt idx="432">
                  <c:v>225000</c:v>
                </c:pt>
                <c:pt idx="433">
                  <c:v>225500</c:v>
                </c:pt>
                <c:pt idx="434">
                  <c:v>226000</c:v>
                </c:pt>
                <c:pt idx="435">
                  <c:v>226500</c:v>
                </c:pt>
                <c:pt idx="436">
                  <c:v>227000</c:v>
                </c:pt>
                <c:pt idx="437">
                  <c:v>227500</c:v>
                </c:pt>
                <c:pt idx="438">
                  <c:v>228000</c:v>
                </c:pt>
                <c:pt idx="439">
                  <c:v>228500</c:v>
                </c:pt>
                <c:pt idx="440">
                  <c:v>229000</c:v>
                </c:pt>
                <c:pt idx="441">
                  <c:v>229500</c:v>
                </c:pt>
                <c:pt idx="442">
                  <c:v>230000</c:v>
                </c:pt>
                <c:pt idx="443">
                  <c:v>230500</c:v>
                </c:pt>
                <c:pt idx="444">
                  <c:v>231000</c:v>
                </c:pt>
                <c:pt idx="445">
                  <c:v>231500</c:v>
                </c:pt>
                <c:pt idx="446">
                  <c:v>232000</c:v>
                </c:pt>
                <c:pt idx="447">
                  <c:v>232500</c:v>
                </c:pt>
                <c:pt idx="448">
                  <c:v>232000</c:v>
                </c:pt>
                <c:pt idx="449">
                  <c:v>232500</c:v>
                </c:pt>
                <c:pt idx="450">
                  <c:v>233000</c:v>
                </c:pt>
                <c:pt idx="451">
                  <c:v>233500</c:v>
                </c:pt>
                <c:pt idx="452">
                  <c:v>234000</c:v>
                </c:pt>
                <c:pt idx="453">
                  <c:v>234500</c:v>
                </c:pt>
                <c:pt idx="454">
                  <c:v>235000</c:v>
                </c:pt>
                <c:pt idx="455">
                  <c:v>235500</c:v>
                </c:pt>
                <c:pt idx="456">
                  <c:v>236000</c:v>
                </c:pt>
                <c:pt idx="457">
                  <c:v>236500</c:v>
                </c:pt>
                <c:pt idx="458">
                  <c:v>237000</c:v>
                </c:pt>
                <c:pt idx="459">
                  <c:v>237500</c:v>
                </c:pt>
                <c:pt idx="460">
                  <c:v>238000</c:v>
                </c:pt>
                <c:pt idx="461">
                  <c:v>238500</c:v>
                </c:pt>
                <c:pt idx="462">
                  <c:v>239000</c:v>
                </c:pt>
                <c:pt idx="463">
                  <c:v>239500</c:v>
                </c:pt>
                <c:pt idx="464">
                  <c:v>240000</c:v>
                </c:pt>
                <c:pt idx="465">
                  <c:v>240500</c:v>
                </c:pt>
                <c:pt idx="466">
                  <c:v>241000</c:v>
                </c:pt>
                <c:pt idx="467">
                  <c:v>241500</c:v>
                </c:pt>
                <c:pt idx="468">
                  <c:v>242000</c:v>
                </c:pt>
                <c:pt idx="469">
                  <c:v>242500</c:v>
                </c:pt>
                <c:pt idx="470">
                  <c:v>243000</c:v>
                </c:pt>
                <c:pt idx="471">
                  <c:v>243500</c:v>
                </c:pt>
                <c:pt idx="472">
                  <c:v>243000</c:v>
                </c:pt>
                <c:pt idx="473">
                  <c:v>243500</c:v>
                </c:pt>
                <c:pt idx="474">
                  <c:v>244000</c:v>
                </c:pt>
                <c:pt idx="475">
                  <c:v>244500</c:v>
                </c:pt>
                <c:pt idx="476">
                  <c:v>244000</c:v>
                </c:pt>
                <c:pt idx="477">
                  <c:v>244500</c:v>
                </c:pt>
                <c:pt idx="478">
                  <c:v>245000</c:v>
                </c:pt>
                <c:pt idx="479">
                  <c:v>244500</c:v>
                </c:pt>
                <c:pt idx="480">
                  <c:v>245000</c:v>
                </c:pt>
                <c:pt idx="481">
                  <c:v>244500</c:v>
                </c:pt>
                <c:pt idx="482">
                  <c:v>245000</c:v>
                </c:pt>
                <c:pt idx="483">
                  <c:v>245500</c:v>
                </c:pt>
                <c:pt idx="484">
                  <c:v>246000</c:v>
                </c:pt>
                <c:pt idx="485">
                  <c:v>246500</c:v>
                </c:pt>
                <c:pt idx="486">
                  <c:v>246000</c:v>
                </c:pt>
                <c:pt idx="487">
                  <c:v>246500</c:v>
                </c:pt>
                <c:pt idx="488">
                  <c:v>247000</c:v>
                </c:pt>
                <c:pt idx="489">
                  <c:v>247500</c:v>
                </c:pt>
                <c:pt idx="490">
                  <c:v>247000</c:v>
                </c:pt>
                <c:pt idx="491">
                  <c:v>246500</c:v>
                </c:pt>
                <c:pt idx="492">
                  <c:v>247000</c:v>
                </c:pt>
                <c:pt idx="493">
                  <c:v>247500</c:v>
                </c:pt>
                <c:pt idx="494">
                  <c:v>248000</c:v>
                </c:pt>
                <c:pt idx="495">
                  <c:v>248500</c:v>
                </c:pt>
                <c:pt idx="496">
                  <c:v>249000</c:v>
                </c:pt>
                <c:pt idx="497">
                  <c:v>249500</c:v>
                </c:pt>
                <c:pt idx="498">
                  <c:v>250000</c:v>
                </c:pt>
                <c:pt idx="499">
                  <c:v>250500</c:v>
                </c:pt>
                <c:pt idx="500">
                  <c:v>250000</c:v>
                </c:pt>
                <c:pt idx="501">
                  <c:v>250500</c:v>
                </c:pt>
                <c:pt idx="502">
                  <c:v>251000</c:v>
                </c:pt>
                <c:pt idx="503">
                  <c:v>251500</c:v>
                </c:pt>
                <c:pt idx="504">
                  <c:v>252000</c:v>
                </c:pt>
                <c:pt idx="505">
                  <c:v>251500</c:v>
                </c:pt>
                <c:pt idx="506">
                  <c:v>251000</c:v>
                </c:pt>
                <c:pt idx="507">
                  <c:v>251500</c:v>
                </c:pt>
                <c:pt idx="508">
                  <c:v>252000</c:v>
                </c:pt>
                <c:pt idx="509">
                  <c:v>251500</c:v>
                </c:pt>
                <c:pt idx="510">
                  <c:v>252000</c:v>
                </c:pt>
                <c:pt idx="511">
                  <c:v>252500</c:v>
                </c:pt>
                <c:pt idx="512">
                  <c:v>252000</c:v>
                </c:pt>
                <c:pt idx="513">
                  <c:v>252500</c:v>
                </c:pt>
                <c:pt idx="514">
                  <c:v>253000</c:v>
                </c:pt>
                <c:pt idx="515">
                  <c:v>253500</c:v>
                </c:pt>
                <c:pt idx="516">
                  <c:v>254000</c:v>
                </c:pt>
                <c:pt idx="517">
                  <c:v>254500</c:v>
                </c:pt>
                <c:pt idx="518">
                  <c:v>255000</c:v>
                </c:pt>
                <c:pt idx="519">
                  <c:v>255500</c:v>
                </c:pt>
                <c:pt idx="520">
                  <c:v>256000</c:v>
                </c:pt>
                <c:pt idx="521">
                  <c:v>256500</c:v>
                </c:pt>
                <c:pt idx="522">
                  <c:v>256000</c:v>
                </c:pt>
                <c:pt idx="523">
                  <c:v>256500</c:v>
                </c:pt>
                <c:pt idx="524">
                  <c:v>257000</c:v>
                </c:pt>
                <c:pt idx="525">
                  <c:v>256500</c:v>
                </c:pt>
                <c:pt idx="526">
                  <c:v>257000</c:v>
                </c:pt>
                <c:pt idx="527">
                  <c:v>257500</c:v>
                </c:pt>
                <c:pt idx="528">
                  <c:v>258000</c:v>
                </c:pt>
                <c:pt idx="529">
                  <c:v>258500</c:v>
                </c:pt>
                <c:pt idx="530">
                  <c:v>259000</c:v>
                </c:pt>
                <c:pt idx="531">
                  <c:v>259500</c:v>
                </c:pt>
                <c:pt idx="532">
                  <c:v>260000</c:v>
                </c:pt>
                <c:pt idx="533">
                  <c:v>259500</c:v>
                </c:pt>
                <c:pt idx="534">
                  <c:v>260000</c:v>
                </c:pt>
                <c:pt idx="535">
                  <c:v>260500</c:v>
                </c:pt>
                <c:pt idx="536">
                  <c:v>260000</c:v>
                </c:pt>
                <c:pt idx="537">
                  <c:v>260500</c:v>
                </c:pt>
                <c:pt idx="538">
                  <c:v>260000</c:v>
                </c:pt>
                <c:pt idx="539">
                  <c:v>259500</c:v>
                </c:pt>
                <c:pt idx="540">
                  <c:v>260000</c:v>
                </c:pt>
                <c:pt idx="541">
                  <c:v>260500</c:v>
                </c:pt>
                <c:pt idx="542">
                  <c:v>261000</c:v>
                </c:pt>
                <c:pt idx="543">
                  <c:v>261500</c:v>
                </c:pt>
                <c:pt idx="544">
                  <c:v>261000</c:v>
                </c:pt>
                <c:pt idx="545">
                  <c:v>261500</c:v>
                </c:pt>
                <c:pt idx="546">
                  <c:v>261000</c:v>
                </c:pt>
                <c:pt idx="547">
                  <c:v>261500</c:v>
                </c:pt>
                <c:pt idx="548">
                  <c:v>262000</c:v>
                </c:pt>
                <c:pt idx="549">
                  <c:v>262500</c:v>
                </c:pt>
                <c:pt idx="550">
                  <c:v>262000</c:v>
                </c:pt>
                <c:pt idx="551">
                  <c:v>262500</c:v>
                </c:pt>
                <c:pt idx="552">
                  <c:v>263000</c:v>
                </c:pt>
                <c:pt idx="553">
                  <c:v>263500</c:v>
                </c:pt>
                <c:pt idx="554">
                  <c:v>264000</c:v>
                </c:pt>
                <c:pt idx="555">
                  <c:v>264500</c:v>
                </c:pt>
                <c:pt idx="556">
                  <c:v>265000</c:v>
                </c:pt>
                <c:pt idx="557">
                  <c:v>265500</c:v>
                </c:pt>
                <c:pt idx="558">
                  <c:v>266000</c:v>
                </c:pt>
                <c:pt idx="559">
                  <c:v>266500</c:v>
                </c:pt>
                <c:pt idx="560">
                  <c:v>266000</c:v>
                </c:pt>
                <c:pt idx="561">
                  <c:v>266500</c:v>
                </c:pt>
                <c:pt idx="562">
                  <c:v>267000</c:v>
                </c:pt>
                <c:pt idx="563">
                  <c:v>267500</c:v>
                </c:pt>
                <c:pt idx="564">
                  <c:v>268000</c:v>
                </c:pt>
                <c:pt idx="565">
                  <c:v>268500</c:v>
                </c:pt>
                <c:pt idx="566">
                  <c:v>269000</c:v>
                </c:pt>
                <c:pt idx="567">
                  <c:v>269500</c:v>
                </c:pt>
                <c:pt idx="568">
                  <c:v>270000</c:v>
                </c:pt>
                <c:pt idx="569">
                  <c:v>270500</c:v>
                </c:pt>
                <c:pt idx="570">
                  <c:v>270000</c:v>
                </c:pt>
                <c:pt idx="571">
                  <c:v>270500</c:v>
                </c:pt>
                <c:pt idx="572">
                  <c:v>271000</c:v>
                </c:pt>
                <c:pt idx="573">
                  <c:v>271500</c:v>
                </c:pt>
                <c:pt idx="574">
                  <c:v>272000</c:v>
                </c:pt>
                <c:pt idx="575">
                  <c:v>272500</c:v>
                </c:pt>
                <c:pt idx="576">
                  <c:v>273000</c:v>
                </c:pt>
                <c:pt idx="577">
                  <c:v>273500</c:v>
                </c:pt>
                <c:pt idx="578">
                  <c:v>274000</c:v>
                </c:pt>
                <c:pt idx="579">
                  <c:v>274500</c:v>
                </c:pt>
                <c:pt idx="580">
                  <c:v>275000</c:v>
                </c:pt>
                <c:pt idx="581">
                  <c:v>275500</c:v>
                </c:pt>
                <c:pt idx="582">
                  <c:v>275000</c:v>
                </c:pt>
                <c:pt idx="583">
                  <c:v>275500</c:v>
                </c:pt>
                <c:pt idx="584">
                  <c:v>276000</c:v>
                </c:pt>
                <c:pt idx="585">
                  <c:v>275500</c:v>
                </c:pt>
                <c:pt idx="586">
                  <c:v>276000</c:v>
                </c:pt>
                <c:pt idx="587">
                  <c:v>276500</c:v>
                </c:pt>
                <c:pt idx="588">
                  <c:v>276000</c:v>
                </c:pt>
                <c:pt idx="589">
                  <c:v>276500</c:v>
                </c:pt>
                <c:pt idx="590">
                  <c:v>277000</c:v>
                </c:pt>
                <c:pt idx="591">
                  <c:v>276500</c:v>
                </c:pt>
                <c:pt idx="592">
                  <c:v>276000</c:v>
                </c:pt>
                <c:pt idx="593">
                  <c:v>276500</c:v>
                </c:pt>
                <c:pt idx="594">
                  <c:v>277000</c:v>
                </c:pt>
                <c:pt idx="595">
                  <c:v>277500</c:v>
                </c:pt>
                <c:pt idx="596">
                  <c:v>277000</c:v>
                </c:pt>
                <c:pt idx="597">
                  <c:v>277500</c:v>
                </c:pt>
                <c:pt idx="598">
                  <c:v>278000</c:v>
                </c:pt>
                <c:pt idx="599">
                  <c:v>278500</c:v>
                </c:pt>
                <c:pt idx="600">
                  <c:v>279000</c:v>
                </c:pt>
                <c:pt idx="601">
                  <c:v>279500</c:v>
                </c:pt>
                <c:pt idx="602">
                  <c:v>280000</c:v>
                </c:pt>
                <c:pt idx="603">
                  <c:v>280500</c:v>
                </c:pt>
                <c:pt idx="604">
                  <c:v>280000</c:v>
                </c:pt>
                <c:pt idx="605">
                  <c:v>280500</c:v>
                </c:pt>
                <c:pt idx="606">
                  <c:v>281000</c:v>
                </c:pt>
                <c:pt idx="607">
                  <c:v>281500</c:v>
                </c:pt>
                <c:pt idx="608">
                  <c:v>282000</c:v>
                </c:pt>
                <c:pt idx="609">
                  <c:v>282500</c:v>
                </c:pt>
                <c:pt idx="610">
                  <c:v>283000</c:v>
                </c:pt>
                <c:pt idx="611">
                  <c:v>283500</c:v>
                </c:pt>
                <c:pt idx="612">
                  <c:v>284000</c:v>
                </c:pt>
                <c:pt idx="613">
                  <c:v>284500</c:v>
                </c:pt>
                <c:pt idx="614">
                  <c:v>284000</c:v>
                </c:pt>
                <c:pt idx="615">
                  <c:v>284500</c:v>
                </c:pt>
                <c:pt idx="616">
                  <c:v>285000</c:v>
                </c:pt>
                <c:pt idx="617">
                  <c:v>285500</c:v>
                </c:pt>
                <c:pt idx="618">
                  <c:v>286000</c:v>
                </c:pt>
                <c:pt idx="619">
                  <c:v>286500</c:v>
                </c:pt>
                <c:pt idx="620">
                  <c:v>286000</c:v>
                </c:pt>
                <c:pt idx="621">
                  <c:v>286500</c:v>
                </c:pt>
                <c:pt idx="622">
                  <c:v>287000</c:v>
                </c:pt>
                <c:pt idx="623">
                  <c:v>287500</c:v>
                </c:pt>
                <c:pt idx="624">
                  <c:v>288000</c:v>
                </c:pt>
                <c:pt idx="625">
                  <c:v>288500</c:v>
                </c:pt>
                <c:pt idx="626">
                  <c:v>289000</c:v>
                </c:pt>
                <c:pt idx="627">
                  <c:v>289500</c:v>
                </c:pt>
                <c:pt idx="628">
                  <c:v>289000</c:v>
                </c:pt>
                <c:pt idx="629">
                  <c:v>289500</c:v>
                </c:pt>
                <c:pt idx="630">
                  <c:v>290000</c:v>
                </c:pt>
                <c:pt idx="631">
                  <c:v>290500</c:v>
                </c:pt>
                <c:pt idx="632">
                  <c:v>291000</c:v>
                </c:pt>
                <c:pt idx="633">
                  <c:v>291500</c:v>
                </c:pt>
                <c:pt idx="634">
                  <c:v>292000</c:v>
                </c:pt>
                <c:pt idx="635">
                  <c:v>292500</c:v>
                </c:pt>
                <c:pt idx="636">
                  <c:v>292000</c:v>
                </c:pt>
                <c:pt idx="637">
                  <c:v>291500</c:v>
                </c:pt>
                <c:pt idx="638">
                  <c:v>292000</c:v>
                </c:pt>
                <c:pt idx="639">
                  <c:v>292500</c:v>
                </c:pt>
                <c:pt idx="640">
                  <c:v>293000</c:v>
                </c:pt>
                <c:pt idx="641">
                  <c:v>293500</c:v>
                </c:pt>
                <c:pt idx="642">
                  <c:v>294000</c:v>
                </c:pt>
                <c:pt idx="643">
                  <c:v>294500</c:v>
                </c:pt>
                <c:pt idx="644">
                  <c:v>295000</c:v>
                </c:pt>
                <c:pt idx="645">
                  <c:v>294500</c:v>
                </c:pt>
                <c:pt idx="646">
                  <c:v>295000</c:v>
                </c:pt>
                <c:pt idx="647">
                  <c:v>295500</c:v>
                </c:pt>
                <c:pt idx="648">
                  <c:v>295000</c:v>
                </c:pt>
                <c:pt idx="649">
                  <c:v>295500</c:v>
                </c:pt>
                <c:pt idx="650">
                  <c:v>296000</c:v>
                </c:pt>
                <c:pt idx="651">
                  <c:v>296500</c:v>
                </c:pt>
                <c:pt idx="652">
                  <c:v>297000</c:v>
                </c:pt>
                <c:pt idx="653">
                  <c:v>297500</c:v>
                </c:pt>
                <c:pt idx="654">
                  <c:v>298000</c:v>
                </c:pt>
                <c:pt idx="655">
                  <c:v>298500</c:v>
                </c:pt>
                <c:pt idx="656">
                  <c:v>299000</c:v>
                </c:pt>
                <c:pt idx="657">
                  <c:v>299500</c:v>
                </c:pt>
                <c:pt idx="658">
                  <c:v>300000</c:v>
                </c:pt>
                <c:pt idx="659">
                  <c:v>300500</c:v>
                </c:pt>
                <c:pt idx="660">
                  <c:v>301000</c:v>
                </c:pt>
                <c:pt idx="661">
                  <c:v>300500</c:v>
                </c:pt>
                <c:pt idx="662">
                  <c:v>301000</c:v>
                </c:pt>
                <c:pt idx="663">
                  <c:v>300500</c:v>
                </c:pt>
                <c:pt idx="664">
                  <c:v>301000</c:v>
                </c:pt>
                <c:pt idx="665">
                  <c:v>301500</c:v>
                </c:pt>
                <c:pt idx="666">
                  <c:v>301000</c:v>
                </c:pt>
                <c:pt idx="667">
                  <c:v>301500</c:v>
                </c:pt>
                <c:pt idx="668">
                  <c:v>302000</c:v>
                </c:pt>
                <c:pt idx="669">
                  <c:v>302500</c:v>
                </c:pt>
                <c:pt idx="670">
                  <c:v>303000</c:v>
                </c:pt>
                <c:pt idx="671">
                  <c:v>303500</c:v>
                </c:pt>
                <c:pt idx="672">
                  <c:v>304000</c:v>
                </c:pt>
                <c:pt idx="673">
                  <c:v>304500</c:v>
                </c:pt>
                <c:pt idx="674">
                  <c:v>305000</c:v>
                </c:pt>
                <c:pt idx="675">
                  <c:v>305500</c:v>
                </c:pt>
                <c:pt idx="676">
                  <c:v>306000</c:v>
                </c:pt>
                <c:pt idx="677">
                  <c:v>306500</c:v>
                </c:pt>
                <c:pt idx="678">
                  <c:v>307000</c:v>
                </c:pt>
                <c:pt idx="679">
                  <c:v>307500</c:v>
                </c:pt>
                <c:pt idx="680">
                  <c:v>308000</c:v>
                </c:pt>
                <c:pt idx="681">
                  <c:v>308500</c:v>
                </c:pt>
                <c:pt idx="682">
                  <c:v>309000</c:v>
                </c:pt>
                <c:pt idx="683">
                  <c:v>308500</c:v>
                </c:pt>
                <c:pt idx="684">
                  <c:v>309000</c:v>
                </c:pt>
                <c:pt idx="685">
                  <c:v>309500</c:v>
                </c:pt>
                <c:pt idx="686">
                  <c:v>310000</c:v>
                </c:pt>
                <c:pt idx="687">
                  <c:v>310500</c:v>
                </c:pt>
                <c:pt idx="688">
                  <c:v>311000</c:v>
                </c:pt>
                <c:pt idx="689">
                  <c:v>310500</c:v>
                </c:pt>
                <c:pt idx="690">
                  <c:v>311000</c:v>
                </c:pt>
                <c:pt idx="691">
                  <c:v>311500</c:v>
                </c:pt>
                <c:pt idx="692">
                  <c:v>312000</c:v>
                </c:pt>
                <c:pt idx="693">
                  <c:v>312500</c:v>
                </c:pt>
                <c:pt idx="694">
                  <c:v>313000</c:v>
                </c:pt>
                <c:pt idx="695">
                  <c:v>312500</c:v>
                </c:pt>
                <c:pt idx="696">
                  <c:v>313000</c:v>
                </c:pt>
                <c:pt idx="697">
                  <c:v>313500</c:v>
                </c:pt>
                <c:pt idx="698">
                  <c:v>314000</c:v>
                </c:pt>
                <c:pt idx="699">
                  <c:v>314500</c:v>
                </c:pt>
                <c:pt idx="700">
                  <c:v>314000</c:v>
                </c:pt>
                <c:pt idx="701">
                  <c:v>313500</c:v>
                </c:pt>
                <c:pt idx="702">
                  <c:v>314000</c:v>
                </c:pt>
                <c:pt idx="703">
                  <c:v>314500</c:v>
                </c:pt>
                <c:pt idx="704">
                  <c:v>314000</c:v>
                </c:pt>
                <c:pt idx="705">
                  <c:v>314500</c:v>
                </c:pt>
                <c:pt idx="706">
                  <c:v>314000</c:v>
                </c:pt>
                <c:pt idx="707">
                  <c:v>313500</c:v>
                </c:pt>
                <c:pt idx="708">
                  <c:v>313000</c:v>
                </c:pt>
                <c:pt idx="709">
                  <c:v>312500</c:v>
                </c:pt>
                <c:pt idx="710">
                  <c:v>313000</c:v>
                </c:pt>
                <c:pt idx="711">
                  <c:v>313500</c:v>
                </c:pt>
                <c:pt idx="712">
                  <c:v>314000</c:v>
                </c:pt>
                <c:pt idx="713">
                  <c:v>314500</c:v>
                </c:pt>
                <c:pt idx="714">
                  <c:v>315000</c:v>
                </c:pt>
                <c:pt idx="715">
                  <c:v>315500</c:v>
                </c:pt>
                <c:pt idx="716">
                  <c:v>315000</c:v>
                </c:pt>
                <c:pt idx="717">
                  <c:v>315500</c:v>
                </c:pt>
                <c:pt idx="718">
                  <c:v>315000</c:v>
                </c:pt>
                <c:pt idx="719">
                  <c:v>315500</c:v>
                </c:pt>
                <c:pt idx="720">
                  <c:v>316000</c:v>
                </c:pt>
                <c:pt idx="721">
                  <c:v>316500</c:v>
                </c:pt>
                <c:pt idx="722">
                  <c:v>317000</c:v>
                </c:pt>
                <c:pt idx="723">
                  <c:v>317500</c:v>
                </c:pt>
                <c:pt idx="724">
                  <c:v>318000</c:v>
                </c:pt>
                <c:pt idx="725">
                  <c:v>318500</c:v>
                </c:pt>
                <c:pt idx="726">
                  <c:v>318000</c:v>
                </c:pt>
                <c:pt idx="727">
                  <c:v>318500</c:v>
                </c:pt>
                <c:pt idx="728">
                  <c:v>318000</c:v>
                </c:pt>
                <c:pt idx="729">
                  <c:v>318500</c:v>
                </c:pt>
                <c:pt idx="730">
                  <c:v>319000</c:v>
                </c:pt>
                <c:pt idx="731">
                  <c:v>319500</c:v>
                </c:pt>
                <c:pt idx="732">
                  <c:v>320000</c:v>
                </c:pt>
                <c:pt idx="733">
                  <c:v>320500</c:v>
                </c:pt>
                <c:pt idx="734">
                  <c:v>320000</c:v>
                </c:pt>
                <c:pt idx="735">
                  <c:v>319500</c:v>
                </c:pt>
                <c:pt idx="736">
                  <c:v>320000</c:v>
                </c:pt>
                <c:pt idx="737">
                  <c:v>319500</c:v>
                </c:pt>
                <c:pt idx="738">
                  <c:v>320000</c:v>
                </c:pt>
                <c:pt idx="739">
                  <c:v>319500</c:v>
                </c:pt>
                <c:pt idx="740">
                  <c:v>320000</c:v>
                </c:pt>
                <c:pt idx="741">
                  <c:v>320500</c:v>
                </c:pt>
                <c:pt idx="742">
                  <c:v>321000</c:v>
                </c:pt>
                <c:pt idx="743">
                  <c:v>321500</c:v>
                </c:pt>
                <c:pt idx="744">
                  <c:v>322000</c:v>
                </c:pt>
                <c:pt idx="745">
                  <c:v>322500</c:v>
                </c:pt>
                <c:pt idx="746">
                  <c:v>323000</c:v>
                </c:pt>
                <c:pt idx="747">
                  <c:v>323500</c:v>
                </c:pt>
                <c:pt idx="748">
                  <c:v>324000</c:v>
                </c:pt>
                <c:pt idx="749">
                  <c:v>324500</c:v>
                </c:pt>
                <c:pt idx="750">
                  <c:v>325000</c:v>
                </c:pt>
                <c:pt idx="751">
                  <c:v>325500</c:v>
                </c:pt>
                <c:pt idx="752">
                  <c:v>325000</c:v>
                </c:pt>
                <c:pt idx="753">
                  <c:v>325500</c:v>
                </c:pt>
                <c:pt idx="754">
                  <c:v>325000</c:v>
                </c:pt>
                <c:pt idx="755">
                  <c:v>325500</c:v>
                </c:pt>
                <c:pt idx="756">
                  <c:v>326000</c:v>
                </c:pt>
                <c:pt idx="757">
                  <c:v>325500</c:v>
                </c:pt>
                <c:pt idx="758">
                  <c:v>326000</c:v>
                </c:pt>
                <c:pt idx="759">
                  <c:v>326500</c:v>
                </c:pt>
                <c:pt idx="760">
                  <c:v>327000</c:v>
                </c:pt>
                <c:pt idx="761">
                  <c:v>327500</c:v>
                </c:pt>
                <c:pt idx="762">
                  <c:v>328000</c:v>
                </c:pt>
                <c:pt idx="763">
                  <c:v>328500</c:v>
                </c:pt>
                <c:pt idx="764">
                  <c:v>329000</c:v>
                </c:pt>
                <c:pt idx="765">
                  <c:v>328500</c:v>
                </c:pt>
                <c:pt idx="766">
                  <c:v>329000</c:v>
                </c:pt>
                <c:pt idx="767">
                  <c:v>329500</c:v>
                </c:pt>
                <c:pt idx="768">
                  <c:v>329000</c:v>
                </c:pt>
                <c:pt idx="769">
                  <c:v>329500</c:v>
                </c:pt>
                <c:pt idx="770">
                  <c:v>330000</c:v>
                </c:pt>
                <c:pt idx="771">
                  <c:v>329500</c:v>
                </c:pt>
                <c:pt idx="772">
                  <c:v>330000</c:v>
                </c:pt>
                <c:pt idx="773">
                  <c:v>330500</c:v>
                </c:pt>
                <c:pt idx="774">
                  <c:v>331000</c:v>
                </c:pt>
                <c:pt idx="775">
                  <c:v>330500</c:v>
                </c:pt>
                <c:pt idx="776">
                  <c:v>331000</c:v>
                </c:pt>
                <c:pt idx="777">
                  <c:v>330500</c:v>
                </c:pt>
                <c:pt idx="778">
                  <c:v>331000</c:v>
                </c:pt>
                <c:pt idx="779">
                  <c:v>331500</c:v>
                </c:pt>
                <c:pt idx="780">
                  <c:v>332000</c:v>
                </c:pt>
                <c:pt idx="781">
                  <c:v>332500</c:v>
                </c:pt>
                <c:pt idx="782">
                  <c:v>333000</c:v>
                </c:pt>
                <c:pt idx="783">
                  <c:v>333500</c:v>
                </c:pt>
                <c:pt idx="784">
                  <c:v>334000</c:v>
                </c:pt>
                <c:pt idx="785">
                  <c:v>333500</c:v>
                </c:pt>
                <c:pt idx="786">
                  <c:v>333000</c:v>
                </c:pt>
                <c:pt idx="787">
                  <c:v>333500</c:v>
                </c:pt>
                <c:pt idx="788">
                  <c:v>333000</c:v>
                </c:pt>
                <c:pt idx="789">
                  <c:v>333500</c:v>
                </c:pt>
                <c:pt idx="790">
                  <c:v>333000</c:v>
                </c:pt>
                <c:pt idx="791">
                  <c:v>333500</c:v>
                </c:pt>
                <c:pt idx="792">
                  <c:v>334000</c:v>
                </c:pt>
                <c:pt idx="793">
                  <c:v>334500</c:v>
                </c:pt>
                <c:pt idx="794">
                  <c:v>335000</c:v>
                </c:pt>
                <c:pt idx="795">
                  <c:v>335500</c:v>
                </c:pt>
                <c:pt idx="796">
                  <c:v>336000</c:v>
                </c:pt>
                <c:pt idx="797">
                  <c:v>336500</c:v>
                </c:pt>
                <c:pt idx="798">
                  <c:v>337000</c:v>
                </c:pt>
                <c:pt idx="799">
                  <c:v>337500</c:v>
                </c:pt>
                <c:pt idx="800">
                  <c:v>338000</c:v>
                </c:pt>
                <c:pt idx="801">
                  <c:v>337500</c:v>
                </c:pt>
                <c:pt idx="802">
                  <c:v>338000</c:v>
                </c:pt>
                <c:pt idx="803">
                  <c:v>338500</c:v>
                </c:pt>
                <c:pt idx="804">
                  <c:v>339000</c:v>
                </c:pt>
                <c:pt idx="805">
                  <c:v>338500</c:v>
                </c:pt>
                <c:pt idx="806">
                  <c:v>338000</c:v>
                </c:pt>
                <c:pt idx="807">
                  <c:v>338500</c:v>
                </c:pt>
                <c:pt idx="808">
                  <c:v>339000</c:v>
                </c:pt>
                <c:pt idx="809">
                  <c:v>339500</c:v>
                </c:pt>
                <c:pt idx="810">
                  <c:v>340000</c:v>
                </c:pt>
                <c:pt idx="811">
                  <c:v>339500</c:v>
                </c:pt>
                <c:pt idx="812">
                  <c:v>340000</c:v>
                </c:pt>
                <c:pt idx="813">
                  <c:v>340500</c:v>
                </c:pt>
                <c:pt idx="814">
                  <c:v>341000</c:v>
                </c:pt>
                <c:pt idx="815">
                  <c:v>340500</c:v>
                </c:pt>
                <c:pt idx="816">
                  <c:v>341000</c:v>
                </c:pt>
                <c:pt idx="817">
                  <c:v>341500</c:v>
                </c:pt>
                <c:pt idx="818">
                  <c:v>342000</c:v>
                </c:pt>
                <c:pt idx="819">
                  <c:v>342500</c:v>
                </c:pt>
                <c:pt idx="820">
                  <c:v>343000</c:v>
                </c:pt>
                <c:pt idx="821">
                  <c:v>343500</c:v>
                </c:pt>
                <c:pt idx="822">
                  <c:v>344000</c:v>
                </c:pt>
                <c:pt idx="823">
                  <c:v>344500</c:v>
                </c:pt>
                <c:pt idx="824">
                  <c:v>345000</c:v>
                </c:pt>
                <c:pt idx="825">
                  <c:v>344500</c:v>
                </c:pt>
                <c:pt idx="826">
                  <c:v>344000</c:v>
                </c:pt>
                <c:pt idx="827">
                  <c:v>344500</c:v>
                </c:pt>
                <c:pt idx="828">
                  <c:v>345000</c:v>
                </c:pt>
                <c:pt idx="829">
                  <c:v>345500</c:v>
                </c:pt>
                <c:pt idx="830">
                  <c:v>346000</c:v>
                </c:pt>
                <c:pt idx="831">
                  <c:v>346500</c:v>
                </c:pt>
                <c:pt idx="832">
                  <c:v>347000</c:v>
                </c:pt>
                <c:pt idx="833">
                  <c:v>346500</c:v>
                </c:pt>
                <c:pt idx="834">
                  <c:v>346000</c:v>
                </c:pt>
                <c:pt idx="835">
                  <c:v>346500</c:v>
                </c:pt>
                <c:pt idx="836">
                  <c:v>347000</c:v>
                </c:pt>
                <c:pt idx="837">
                  <c:v>347500</c:v>
                </c:pt>
                <c:pt idx="838">
                  <c:v>348000</c:v>
                </c:pt>
                <c:pt idx="839">
                  <c:v>348500</c:v>
                </c:pt>
                <c:pt idx="840">
                  <c:v>349000</c:v>
                </c:pt>
                <c:pt idx="841">
                  <c:v>349500</c:v>
                </c:pt>
                <c:pt idx="842">
                  <c:v>350000</c:v>
                </c:pt>
                <c:pt idx="843">
                  <c:v>350500</c:v>
                </c:pt>
                <c:pt idx="844">
                  <c:v>350000</c:v>
                </c:pt>
                <c:pt idx="845">
                  <c:v>350500</c:v>
                </c:pt>
                <c:pt idx="846">
                  <c:v>351000</c:v>
                </c:pt>
                <c:pt idx="847">
                  <c:v>351500</c:v>
                </c:pt>
                <c:pt idx="848">
                  <c:v>352000</c:v>
                </c:pt>
                <c:pt idx="849">
                  <c:v>352500</c:v>
                </c:pt>
                <c:pt idx="850">
                  <c:v>353000</c:v>
                </c:pt>
                <c:pt idx="851">
                  <c:v>353500</c:v>
                </c:pt>
                <c:pt idx="852">
                  <c:v>354000</c:v>
                </c:pt>
                <c:pt idx="853">
                  <c:v>353500</c:v>
                </c:pt>
                <c:pt idx="854">
                  <c:v>354000</c:v>
                </c:pt>
                <c:pt idx="855">
                  <c:v>354500</c:v>
                </c:pt>
                <c:pt idx="856">
                  <c:v>355000</c:v>
                </c:pt>
                <c:pt idx="857">
                  <c:v>355500</c:v>
                </c:pt>
                <c:pt idx="858">
                  <c:v>356000</c:v>
                </c:pt>
                <c:pt idx="859">
                  <c:v>356500</c:v>
                </c:pt>
                <c:pt idx="860">
                  <c:v>357000</c:v>
                </c:pt>
                <c:pt idx="861">
                  <c:v>357500</c:v>
                </c:pt>
                <c:pt idx="862">
                  <c:v>357000</c:v>
                </c:pt>
                <c:pt idx="863">
                  <c:v>357500</c:v>
                </c:pt>
                <c:pt idx="864">
                  <c:v>358000</c:v>
                </c:pt>
                <c:pt idx="865">
                  <c:v>358500</c:v>
                </c:pt>
                <c:pt idx="866">
                  <c:v>359000</c:v>
                </c:pt>
                <c:pt idx="867">
                  <c:v>358500</c:v>
                </c:pt>
                <c:pt idx="868">
                  <c:v>359000</c:v>
                </c:pt>
                <c:pt idx="869">
                  <c:v>359500</c:v>
                </c:pt>
                <c:pt idx="870">
                  <c:v>360000</c:v>
                </c:pt>
                <c:pt idx="871">
                  <c:v>360500</c:v>
                </c:pt>
                <c:pt idx="872">
                  <c:v>361000</c:v>
                </c:pt>
                <c:pt idx="873">
                  <c:v>361500</c:v>
                </c:pt>
                <c:pt idx="874">
                  <c:v>362000</c:v>
                </c:pt>
                <c:pt idx="875">
                  <c:v>361500</c:v>
                </c:pt>
                <c:pt idx="876">
                  <c:v>361000</c:v>
                </c:pt>
                <c:pt idx="877">
                  <c:v>361500</c:v>
                </c:pt>
                <c:pt idx="878">
                  <c:v>362000</c:v>
                </c:pt>
                <c:pt idx="879">
                  <c:v>362500</c:v>
                </c:pt>
                <c:pt idx="880">
                  <c:v>363000</c:v>
                </c:pt>
                <c:pt idx="881">
                  <c:v>363500</c:v>
                </c:pt>
                <c:pt idx="882">
                  <c:v>364000</c:v>
                </c:pt>
                <c:pt idx="883">
                  <c:v>363500</c:v>
                </c:pt>
                <c:pt idx="884">
                  <c:v>364000</c:v>
                </c:pt>
                <c:pt idx="885">
                  <c:v>364500</c:v>
                </c:pt>
                <c:pt idx="886">
                  <c:v>365000</c:v>
                </c:pt>
                <c:pt idx="887">
                  <c:v>365500</c:v>
                </c:pt>
                <c:pt idx="888">
                  <c:v>366000</c:v>
                </c:pt>
                <c:pt idx="889">
                  <c:v>366500</c:v>
                </c:pt>
                <c:pt idx="890">
                  <c:v>367000</c:v>
                </c:pt>
                <c:pt idx="891">
                  <c:v>366500</c:v>
                </c:pt>
                <c:pt idx="892">
                  <c:v>367000</c:v>
                </c:pt>
                <c:pt idx="893">
                  <c:v>367500</c:v>
                </c:pt>
                <c:pt idx="894">
                  <c:v>368000</c:v>
                </c:pt>
                <c:pt idx="895">
                  <c:v>367500</c:v>
                </c:pt>
                <c:pt idx="896">
                  <c:v>367000</c:v>
                </c:pt>
                <c:pt idx="897">
                  <c:v>366500</c:v>
                </c:pt>
                <c:pt idx="898">
                  <c:v>366000</c:v>
                </c:pt>
                <c:pt idx="899">
                  <c:v>365500</c:v>
                </c:pt>
                <c:pt idx="900">
                  <c:v>366000</c:v>
                </c:pt>
                <c:pt idx="901">
                  <c:v>365500</c:v>
                </c:pt>
                <c:pt idx="902">
                  <c:v>366000</c:v>
                </c:pt>
                <c:pt idx="903">
                  <c:v>366500</c:v>
                </c:pt>
                <c:pt idx="904">
                  <c:v>367000</c:v>
                </c:pt>
                <c:pt idx="905">
                  <c:v>367500</c:v>
                </c:pt>
                <c:pt idx="906">
                  <c:v>368000</c:v>
                </c:pt>
                <c:pt idx="907">
                  <c:v>368500</c:v>
                </c:pt>
                <c:pt idx="908">
                  <c:v>369000</c:v>
                </c:pt>
                <c:pt idx="909">
                  <c:v>369500</c:v>
                </c:pt>
                <c:pt idx="910">
                  <c:v>370000</c:v>
                </c:pt>
                <c:pt idx="911">
                  <c:v>369500</c:v>
                </c:pt>
                <c:pt idx="912">
                  <c:v>370000</c:v>
                </c:pt>
                <c:pt idx="913">
                  <c:v>370500</c:v>
                </c:pt>
                <c:pt idx="914">
                  <c:v>371000</c:v>
                </c:pt>
                <c:pt idx="915">
                  <c:v>371500</c:v>
                </c:pt>
                <c:pt idx="916">
                  <c:v>372000</c:v>
                </c:pt>
                <c:pt idx="917">
                  <c:v>372500</c:v>
                </c:pt>
                <c:pt idx="918">
                  <c:v>373000</c:v>
                </c:pt>
                <c:pt idx="919">
                  <c:v>372500</c:v>
                </c:pt>
                <c:pt idx="920">
                  <c:v>373000</c:v>
                </c:pt>
                <c:pt idx="921">
                  <c:v>373500</c:v>
                </c:pt>
                <c:pt idx="922">
                  <c:v>373000</c:v>
                </c:pt>
                <c:pt idx="923">
                  <c:v>373500</c:v>
                </c:pt>
                <c:pt idx="924">
                  <c:v>373000</c:v>
                </c:pt>
                <c:pt idx="925">
                  <c:v>373500</c:v>
                </c:pt>
                <c:pt idx="926">
                  <c:v>373000</c:v>
                </c:pt>
                <c:pt idx="927">
                  <c:v>373500</c:v>
                </c:pt>
                <c:pt idx="928">
                  <c:v>374000</c:v>
                </c:pt>
                <c:pt idx="929">
                  <c:v>374500</c:v>
                </c:pt>
                <c:pt idx="930">
                  <c:v>375000</c:v>
                </c:pt>
                <c:pt idx="931">
                  <c:v>375500</c:v>
                </c:pt>
                <c:pt idx="932">
                  <c:v>375000</c:v>
                </c:pt>
                <c:pt idx="933">
                  <c:v>374500</c:v>
                </c:pt>
                <c:pt idx="934">
                  <c:v>375000</c:v>
                </c:pt>
                <c:pt idx="935">
                  <c:v>375500</c:v>
                </c:pt>
                <c:pt idx="936">
                  <c:v>376000</c:v>
                </c:pt>
                <c:pt idx="937">
                  <c:v>376500</c:v>
                </c:pt>
                <c:pt idx="938">
                  <c:v>377000</c:v>
                </c:pt>
                <c:pt idx="939">
                  <c:v>376500</c:v>
                </c:pt>
                <c:pt idx="940">
                  <c:v>377000</c:v>
                </c:pt>
                <c:pt idx="941">
                  <c:v>377500</c:v>
                </c:pt>
                <c:pt idx="942">
                  <c:v>378000</c:v>
                </c:pt>
                <c:pt idx="943">
                  <c:v>377500</c:v>
                </c:pt>
                <c:pt idx="944">
                  <c:v>378000</c:v>
                </c:pt>
                <c:pt idx="945">
                  <c:v>377500</c:v>
                </c:pt>
                <c:pt idx="946">
                  <c:v>378000</c:v>
                </c:pt>
                <c:pt idx="947">
                  <c:v>377500</c:v>
                </c:pt>
                <c:pt idx="948">
                  <c:v>378000</c:v>
                </c:pt>
                <c:pt idx="949">
                  <c:v>378500</c:v>
                </c:pt>
                <c:pt idx="950">
                  <c:v>378000</c:v>
                </c:pt>
                <c:pt idx="951">
                  <c:v>378500</c:v>
                </c:pt>
                <c:pt idx="952">
                  <c:v>379000</c:v>
                </c:pt>
                <c:pt idx="953">
                  <c:v>379500</c:v>
                </c:pt>
                <c:pt idx="954">
                  <c:v>380000</c:v>
                </c:pt>
                <c:pt idx="955">
                  <c:v>380500</c:v>
                </c:pt>
                <c:pt idx="956">
                  <c:v>380000</c:v>
                </c:pt>
                <c:pt idx="957">
                  <c:v>380500</c:v>
                </c:pt>
                <c:pt idx="958">
                  <c:v>380000</c:v>
                </c:pt>
                <c:pt idx="959">
                  <c:v>380500</c:v>
                </c:pt>
                <c:pt idx="960">
                  <c:v>381000</c:v>
                </c:pt>
                <c:pt idx="961">
                  <c:v>381500</c:v>
                </c:pt>
                <c:pt idx="962">
                  <c:v>382000</c:v>
                </c:pt>
                <c:pt idx="963">
                  <c:v>381500</c:v>
                </c:pt>
                <c:pt idx="964">
                  <c:v>381000</c:v>
                </c:pt>
                <c:pt idx="965">
                  <c:v>380500</c:v>
                </c:pt>
                <c:pt idx="966">
                  <c:v>381000</c:v>
                </c:pt>
                <c:pt idx="967">
                  <c:v>381500</c:v>
                </c:pt>
                <c:pt idx="968">
                  <c:v>382000</c:v>
                </c:pt>
                <c:pt idx="969">
                  <c:v>382500</c:v>
                </c:pt>
                <c:pt idx="970">
                  <c:v>382000</c:v>
                </c:pt>
                <c:pt idx="971">
                  <c:v>382500</c:v>
                </c:pt>
                <c:pt idx="972">
                  <c:v>382000</c:v>
                </c:pt>
                <c:pt idx="973">
                  <c:v>382500</c:v>
                </c:pt>
                <c:pt idx="974">
                  <c:v>383000</c:v>
                </c:pt>
                <c:pt idx="975">
                  <c:v>382500</c:v>
                </c:pt>
                <c:pt idx="976">
                  <c:v>383000</c:v>
                </c:pt>
                <c:pt idx="977">
                  <c:v>383500</c:v>
                </c:pt>
                <c:pt idx="978">
                  <c:v>384000</c:v>
                </c:pt>
                <c:pt idx="979">
                  <c:v>384500</c:v>
                </c:pt>
                <c:pt idx="980">
                  <c:v>385000</c:v>
                </c:pt>
                <c:pt idx="981">
                  <c:v>385500</c:v>
                </c:pt>
                <c:pt idx="982">
                  <c:v>386000</c:v>
                </c:pt>
                <c:pt idx="983">
                  <c:v>386500</c:v>
                </c:pt>
                <c:pt idx="984">
                  <c:v>387000</c:v>
                </c:pt>
                <c:pt idx="985">
                  <c:v>386500</c:v>
                </c:pt>
                <c:pt idx="986">
                  <c:v>387000</c:v>
                </c:pt>
                <c:pt idx="987">
                  <c:v>387500</c:v>
                </c:pt>
                <c:pt idx="988">
                  <c:v>388000</c:v>
                </c:pt>
                <c:pt idx="989">
                  <c:v>387500</c:v>
                </c:pt>
                <c:pt idx="990">
                  <c:v>388000</c:v>
                </c:pt>
                <c:pt idx="991">
                  <c:v>388500</c:v>
                </c:pt>
                <c:pt idx="992">
                  <c:v>389000</c:v>
                </c:pt>
                <c:pt idx="993">
                  <c:v>389500</c:v>
                </c:pt>
                <c:pt idx="994">
                  <c:v>390000</c:v>
                </c:pt>
                <c:pt idx="995">
                  <c:v>390500</c:v>
                </c:pt>
                <c:pt idx="996">
                  <c:v>390000</c:v>
                </c:pt>
                <c:pt idx="997">
                  <c:v>390500</c:v>
                </c:pt>
                <c:pt idx="998">
                  <c:v>390000</c:v>
                </c:pt>
                <c:pt idx="999">
                  <c:v>390500</c:v>
                </c:pt>
                <c:pt idx="1000">
                  <c:v>391000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11-442F-9E1C-DE268E0E68DD}"/>
            </c:ext>
          </c:extLst>
        </c:ser>
        <c:ser>
          <c:idx val="0"/>
          <c:order val="1"/>
          <c:tx>
            <c:v>Binomial Distribution Mean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Bankroll_2!$R$4:$R$1003</c:f>
              <c:numCache>
                <c:formatCode>"$"#,##0_);[Red]\("$"#,##0\)</c:formatCode>
                <c:ptCount val="1000"/>
                <c:pt idx="0">
                  <c:v>100300</c:v>
                </c:pt>
                <c:pt idx="1">
                  <c:v>100600</c:v>
                </c:pt>
                <c:pt idx="2">
                  <c:v>100900</c:v>
                </c:pt>
                <c:pt idx="3">
                  <c:v>101200</c:v>
                </c:pt>
                <c:pt idx="4">
                  <c:v>101500</c:v>
                </c:pt>
                <c:pt idx="5">
                  <c:v>101800</c:v>
                </c:pt>
                <c:pt idx="6">
                  <c:v>102100</c:v>
                </c:pt>
                <c:pt idx="7">
                  <c:v>102400</c:v>
                </c:pt>
                <c:pt idx="8">
                  <c:v>102700</c:v>
                </c:pt>
                <c:pt idx="9">
                  <c:v>103000</c:v>
                </c:pt>
                <c:pt idx="10">
                  <c:v>103300</c:v>
                </c:pt>
                <c:pt idx="11">
                  <c:v>103600</c:v>
                </c:pt>
                <c:pt idx="12">
                  <c:v>103900</c:v>
                </c:pt>
                <c:pt idx="13">
                  <c:v>104200</c:v>
                </c:pt>
                <c:pt idx="14">
                  <c:v>104500</c:v>
                </c:pt>
                <c:pt idx="15">
                  <c:v>104800</c:v>
                </c:pt>
                <c:pt idx="16">
                  <c:v>105100</c:v>
                </c:pt>
                <c:pt idx="17">
                  <c:v>105400</c:v>
                </c:pt>
                <c:pt idx="18">
                  <c:v>105700</c:v>
                </c:pt>
                <c:pt idx="19">
                  <c:v>106000</c:v>
                </c:pt>
                <c:pt idx="20">
                  <c:v>106300</c:v>
                </c:pt>
                <c:pt idx="21">
                  <c:v>106600</c:v>
                </c:pt>
                <c:pt idx="22">
                  <c:v>106900</c:v>
                </c:pt>
                <c:pt idx="23">
                  <c:v>107200</c:v>
                </c:pt>
                <c:pt idx="24">
                  <c:v>107500</c:v>
                </c:pt>
                <c:pt idx="25">
                  <c:v>107800</c:v>
                </c:pt>
                <c:pt idx="26">
                  <c:v>108100</c:v>
                </c:pt>
                <c:pt idx="27">
                  <c:v>108400</c:v>
                </c:pt>
                <c:pt idx="28">
                  <c:v>108700</c:v>
                </c:pt>
                <c:pt idx="29">
                  <c:v>109000</c:v>
                </c:pt>
                <c:pt idx="30">
                  <c:v>109300</c:v>
                </c:pt>
                <c:pt idx="31">
                  <c:v>109600</c:v>
                </c:pt>
                <c:pt idx="32">
                  <c:v>109900</c:v>
                </c:pt>
                <c:pt idx="33">
                  <c:v>110200</c:v>
                </c:pt>
                <c:pt idx="34">
                  <c:v>110500</c:v>
                </c:pt>
                <c:pt idx="35">
                  <c:v>110800</c:v>
                </c:pt>
                <c:pt idx="36">
                  <c:v>111100</c:v>
                </c:pt>
                <c:pt idx="37">
                  <c:v>111400</c:v>
                </c:pt>
                <c:pt idx="38">
                  <c:v>111700</c:v>
                </c:pt>
                <c:pt idx="39">
                  <c:v>112000</c:v>
                </c:pt>
                <c:pt idx="40">
                  <c:v>112300</c:v>
                </c:pt>
                <c:pt idx="41">
                  <c:v>112600</c:v>
                </c:pt>
                <c:pt idx="42">
                  <c:v>112900</c:v>
                </c:pt>
                <c:pt idx="43">
                  <c:v>113200</c:v>
                </c:pt>
                <c:pt idx="44">
                  <c:v>113500</c:v>
                </c:pt>
                <c:pt idx="45">
                  <c:v>113800</c:v>
                </c:pt>
                <c:pt idx="46">
                  <c:v>114100</c:v>
                </c:pt>
                <c:pt idx="47">
                  <c:v>114400</c:v>
                </c:pt>
                <c:pt idx="48">
                  <c:v>114700</c:v>
                </c:pt>
                <c:pt idx="49">
                  <c:v>115000</c:v>
                </c:pt>
                <c:pt idx="50">
                  <c:v>115300</c:v>
                </c:pt>
                <c:pt idx="51">
                  <c:v>115600</c:v>
                </c:pt>
                <c:pt idx="52">
                  <c:v>115900</c:v>
                </c:pt>
                <c:pt idx="53">
                  <c:v>116200</c:v>
                </c:pt>
                <c:pt idx="54">
                  <c:v>116500</c:v>
                </c:pt>
                <c:pt idx="55">
                  <c:v>116800</c:v>
                </c:pt>
                <c:pt idx="56">
                  <c:v>117100</c:v>
                </c:pt>
                <c:pt idx="57">
                  <c:v>117400</c:v>
                </c:pt>
                <c:pt idx="58">
                  <c:v>117700</c:v>
                </c:pt>
                <c:pt idx="59">
                  <c:v>118000</c:v>
                </c:pt>
                <c:pt idx="60">
                  <c:v>118300</c:v>
                </c:pt>
                <c:pt idx="61">
                  <c:v>118600</c:v>
                </c:pt>
                <c:pt idx="62">
                  <c:v>118900</c:v>
                </c:pt>
                <c:pt idx="63">
                  <c:v>119200</c:v>
                </c:pt>
                <c:pt idx="64">
                  <c:v>119500</c:v>
                </c:pt>
                <c:pt idx="65">
                  <c:v>119800</c:v>
                </c:pt>
                <c:pt idx="66">
                  <c:v>120100</c:v>
                </c:pt>
                <c:pt idx="67">
                  <c:v>120400</c:v>
                </c:pt>
                <c:pt idx="68">
                  <c:v>120700</c:v>
                </c:pt>
                <c:pt idx="69">
                  <c:v>121000</c:v>
                </c:pt>
                <c:pt idx="70">
                  <c:v>121300</c:v>
                </c:pt>
                <c:pt idx="71">
                  <c:v>121600</c:v>
                </c:pt>
                <c:pt idx="72">
                  <c:v>121900</c:v>
                </c:pt>
                <c:pt idx="73">
                  <c:v>122200</c:v>
                </c:pt>
                <c:pt idx="74">
                  <c:v>122500</c:v>
                </c:pt>
                <c:pt idx="75">
                  <c:v>122800</c:v>
                </c:pt>
                <c:pt idx="76">
                  <c:v>123100</c:v>
                </c:pt>
                <c:pt idx="77">
                  <c:v>123400</c:v>
                </c:pt>
                <c:pt idx="78">
                  <c:v>123700</c:v>
                </c:pt>
                <c:pt idx="79">
                  <c:v>124000</c:v>
                </c:pt>
                <c:pt idx="80">
                  <c:v>124300</c:v>
                </c:pt>
                <c:pt idx="81">
                  <c:v>124600.00000000001</c:v>
                </c:pt>
                <c:pt idx="82">
                  <c:v>124900</c:v>
                </c:pt>
                <c:pt idx="83">
                  <c:v>125200</c:v>
                </c:pt>
                <c:pt idx="84">
                  <c:v>125500</c:v>
                </c:pt>
                <c:pt idx="85">
                  <c:v>125800</c:v>
                </c:pt>
                <c:pt idx="86">
                  <c:v>126100.00000000001</c:v>
                </c:pt>
                <c:pt idx="87">
                  <c:v>126400</c:v>
                </c:pt>
                <c:pt idx="88">
                  <c:v>126700</c:v>
                </c:pt>
                <c:pt idx="89">
                  <c:v>127000</c:v>
                </c:pt>
                <c:pt idx="90">
                  <c:v>127300</c:v>
                </c:pt>
                <c:pt idx="91">
                  <c:v>127600.00000000001</c:v>
                </c:pt>
                <c:pt idx="92">
                  <c:v>127900</c:v>
                </c:pt>
                <c:pt idx="93">
                  <c:v>128200</c:v>
                </c:pt>
                <c:pt idx="94">
                  <c:v>128500</c:v>
                </c:pt>
                <c:pt idx="95">
                  <c:v>128800.00000000001</c:v>
                </c:pt>
                <c:pt idx="96">
                  <c:v>129100.00000000001</c:v>
                </c:pt>
                <c:pt idx="97">
                  <c:v>129400</c:v>
                </c:pt>
                <c:pt idx="98">
                  <c:v>129700</c:v>
                </c:pt>
                <c:pt idx="99">
                  <c:v>130000</c:v>
                </c:pt>
                <c:pt idx="100">
                  <c:v>130300.00000000001</c:v>
                </c:pt>
                <c:pt idx="101">
                  <c:v>130600.00000000001</c:v>
                </c:pt>
                <c:pt idx="102">
                  <c:v>130900</c:v>
                </c:pt>
                <c:pt idx="103">
                  <c:v>131200</c:v>
                </c:pt>
                <c:pt idx="104">
                  <c:v>131500</c:v>
                </c:pt>
                <c:pt idx="105">
                  <c:v>131800</c:v>
                </c:pt>
                <c:pt idx="106">
                  <c:v>132100</c:v>
                </c:pt>
                <c:pt idx="107">
                  <c:v>132400</c:v>
                </c:pt>
                <c:pt idx="108">
                  <c:v>132700</c:v>
                </c:pt>
                <c:pt idx="109">
                  <c:v>133000</c:v>
                </c:pt>
                <c:pt idx="110">
                  <c:v>133300</c:v>
                </c:pt>
                <c:pt idx="111">
                  <c:v>133600</c:v>
                </c:pt>
                <c:pt idx="112">
                  <c:v>133900</c:v>
                </c:pt>
                <c:pt idx="113">
                  <c:v>134200</c:v>
                </c:pt>
                <c:pt idx="114">
                  <c:v>134500</c:v>
                </c:pt>
                <c:pt idx="115">
                  <c:v>134800</c:v>
                </c:pt>
                <c:pt idx="116">
                  <c:v>135100</c:v>
                </c:pt>
                <c:pt idx="117">
                  <c:v>135400</c:v>
                </c:pt>
                <c:pt idx="118">
                  <c:v>135700</c:v>
                </c:pt>
                <c:pt idx="119">
                  <c:v>136000</c:v>
                </c:pt>
                <c:pt idx="120">
                  <c:v>136300</c:v>
                </c:pt>
                <c:pt idx="121">
                  <c:v>136600</c:v>
                </c:pt>
                <c:pt idx="122">
                  <c:v>136900</c:v>
                </c:pt>
                <c:pt idx="123">
                  <c:v>137200</c:v>
                </c:pt>
                <c:pt idx="124">
                  <c:v>137500</c:v>
                </c:pt>
                <c:pt idx="125">
                  <c:v>137800</c:v>
                </c:pt>
                <c:pt idx="126">
                  <c:v>138100</c:v>
                </c:pt>
                <c:pt idx="127">
                  <c:v>138400</c:v>
                </c:pt>
                <c:pt idx="128">
                  <c:v>138700</c:v>
                </c:pt>
                <c:pt idx="129">
                  <c:v>139000</c:v>
                </c:pt>
                <c:pt idx="130">
                  <c:v>139300</c:v>
                </c:pt>
                <c:pt idx="131">
                  <c:v>139600</c:v>
                </c:pt>
                <c:pt idx="132">
                  <c:v>139900</c:v>
                </c:pt>
                <c:pt idx="133">
                  <c:v>140200</c:v>
                </c:pt>
                <c:pt idx="134">
                  <c:v>140500</c:v>
                </c:pt>
                <c:pt idx="135">
                  <c:v>140800</c:v>
                </c:pt>
                <c:pt idx="136">
                  <c:v>141100</c:v>
                </c:pt>
                <c:pt idx="137">
                  <c:v>141400</c:v>
                </c:pt>
                <c:pt idx="138">
                  <c:v>141700</c:v>
                </c:pt>
                <c:pt idx="139">
                  <c:v>142000</c:v>
                </c:pt>
                <c:pt idx="140">
                  <c:v>142300</c:v>
                </c:pt>
                <c:pt idx="141">
                  <c:v>142600</c:v>
                </c:pt>
                <c:pt idx="142">
                  <c:v>142900</c:v>
                </c:pt>
                <c:pt idx="143">
                  <c:v>143200</c:v>
                </c:pt>
                <c:pt idx="144">
                  <c:v>143500</c:v>
                </c:pt>
                <c:pt idx="145">
                  <c:v>143800</c:v>
                </c:pt>
                <c:pt idx="146">
                  <c:v>144100</c:v>
                </c:pt>
                <c:pt idx="147">
                  <c:v>144400</c:v>
                </c:pt>
                <c:pt idx="148">
                  <c:v>144700</c:v>
                </c:pt>
                <c:pt idx="149">
                  <c:v>145000</c:v>
                </c:pt>
                <c:pt idx="150">
                  <c:v>145300</c:v>
                </c:pt>
                <c:pt idx="151">
                  <c:v>145600</c:v>
                </c:pt>
                <c:pt idx="152">
                  <c:v>145900</c:v>
                </c:pt>
                <c:pt idx="153">
                  <c:v>146200</c:v>
                </c:pt>
                <c:pt idx="154">
                  <c:v>146500</c:v>
                </c:pt>
                <c:pt idx="155">
                  <c:v>146800</c:v>
                </c:pt>
                <c:pt idx="156">
                  <c:v>147100</c:v>
                </c:pt>
                <c:pt idx="157">
                  <c:v>147400</c:v>
                </c:pt>
                <c:pt idx="158">
                  <c:v>147700</c:v>
                </c:pt>
                <c:pt idx="159">
                  <c:v>148000</c:v>
                </c:pt>
                <c:pt idx="160">
                  <c:v>148300</c:v>
                </c:pt>
                <c:pt idx="161">
                  <c:v>148600</c:v>
                </c:pt>
                <c:pt idx="162">
                  <c:v>148900</c:v>
                </c:pt>
                <c:pt idx="163">
                  <c:v>149200.00000000003</c:v>
                </c:pt>
                <c:pt idx="164">
                  <c:v>149500</c:v>
                </c:pt>
                <c:pt idx="165">
                  <c:v>149800</c:v>
                </c:pt>
                <c:pt idx="166">
                  <c:v>150100</c:v>
                </c:pt>
                <c:pt idx="167">
                  <c:v>150400</c:v>
                </c:pt>
                <c:pt idx="168">
                  <c:v>150700.00000000003</c:v>
                </c:pt>
                <c:pt idx="169">
                  <c:v>151000</c:v>
                </c:pt>
                <c:pt idx="170">
                  <c:v>151300</c:v>
                </c:pt>
                <c:pt idx="171">
                  <c:v>151600</c:v>
                </c:pt>
                <c:pt idx="172">
                  <c:v>151900</c:v>
                </c:pt>
                <c:pt idx="173">
                  <c:v>152200.00000000003</c:v>
                </c:pt>
                <c:pt idx="174">
                  <c:v>152500</c:v>
                </c:pt>
                <c:pt idx="175">
                  <c:v>152800</c:v>
                </c:pt>
                <c:pt idx="176">
                  <c:v>153100</c:v>
                </c:pt>
                <c:pt idx="177">
                  <c:v>153400</c:v>
                </c:pt>
                <c:pt idx="178">
                  <c:v>153700.00000000003</c:v>
                </c:pt>
                <c:pt idx="179">
                  <c:v>154000</c:v>
                </c:pt>
                <c:pt idx="180">
                  <c:v>154300</c:v>
                </c:pt>
                <c:pt idx="181">
                  <c:v>154600</c:v>
                </c:pt>
                <c:pt idx="182">
                  <c:v>154900</c:v>
                </c:pt>
                <c:pt idx="183">
                  <c:v>155200.00000000003</c:v>
                </c:pt>
                <c:pt idx="184">
                  <c:v>155500</c:v>
                </c:pt>
                <c:pt idx="185">
                  <c:v>155800</c:v>
                </c:pt>
                <c:pt idx="186">
                  <c:v>156100</c:v>
                </c:pt>
                <c:pt idx="187">
                  <c:v>156400</c:v>
                </c:pt>
                <c:pt idx="188">
                  <c:v>156700.00000000003</c:v>
                </c:pt>
                <c:pt idx="189">
                  <c:v>157000</c:v>
                </c:pt>
                <c:pt idx="190">
                  <c:v>157300</c:v>
                </c:pt>
                <c:pt idx="191">
                  <c:v>157600.00000000003</c:v>
                </c:pt>
                <c:pt idx="192">
                  <c:v>157900</c:v>
                </c:pt>
                <c:pt idx="193">
                  <c:v>158200.00000000003</c:v>
                </c:pt>
                <c:pt idx="194">
                  <c:v>158500</c:v>
                </c:pt>
                <c:pt idx="195">
                  <c:v>158800</c:v>
                </c:pt>
                <c:pt idx="196">
                  <c:v>159100.00000000003</c:v>
                </c:pt>
                <c:pt idx="197">
                  <c:v>159400</c:v>
                </c:pt>
                <c:pt idx="198">
                  <c:v>159700.00000000003</c:v>
                </c:pt>
                <c:pt idx="199">
                  <c:v>160000</c:v>
                </c:pt>
                <c:pt idx="200">
                  <c:v>160300</c:v>
                </c:pt>
                <c:pt idx="201">
                  <c:v>160600.00000000003</c:v>
                </c:pt>
                <c:pt idx="202">
                  <c:v>160900</c:v>
                </c:pt>
                <c:pt idx="203">
                  <c:v>161200.00000000003</c:v>
                </c:pt>
                <c:pt idx="204">
                  <c:v>161500</c:v>
                </c:pt>
                <c:pt idx="205">
                  <c:v>161800</c:v>
                </c:pt>
                <c:pt idx="206">
                  <c:v>162100.00000000003</c:v>
                </c:pt>
                <c:pt idx="207">
                  <c:v>162400</c:v>
                </c:pt>
                <c:pt idx="208">
                  <c:v>162700.00000000003</c:v>
                </c:pt>
                <c:pt idx="209">
                  <c:v>163000</c:v>
                </c:pt>
                <c:pt idx="210">
                  <c:v>163300</c:v>
                </c:pt>
                <c:pt idx="211">
                  <c:v>163600.00000000003</c:v>
                </c:pt>
                <c:pt idx="212">
                  <c:v>163900</c:v>
                </c:pt>
                <c:pt idx="213">
                  <c:v>164200.00000000003</c:v>
                </c:pt>
                <c:pt idx="214">
                  <c:v>164500</c:v>
                </c:pt>
                <c:pt idx="215">
                  <c:v>164800</c:v>
                </c:pt>
                <c:pt idx="216">
                  <c:v>165100.00000000003</c:v>
                </c:pt>
                <c:pt idx="217">
                  <c:v>165400</c:v>
                </c:pt>
                <c:pt idx="218">
                  <c:v>165700.00000000003</c:v>
                </c:pt>
                <c:pt idx="219">
                  <c:v>166000</c:v>
                </c:pt>
                <c:pt idx="220">
                  <c:v>166300</c:v>
                </c:pt>
                <c:pt idx="221">
                  <c:v>166600.00000000003</c:v>
                </c:pt>
                <c:pt idx="222">
                  <c:v>166900</c:v>
                </c:pt>
                <c:pt idx="223">
                  <c:v>167200.00000000003</c:v>
                </c:pt>
                <c:pt idx="224">
                  <c:v>167500</c:v>
                </c:pt>
                <c:pt idx="225">
                  <c:v>167800</c:v>
                </c:pt>
                <c:pt idx="226">
                  <c:v>168100.00000000003</c:v>
                </c:pt>
                <c:pt idx="227">
                  <c:v>168400</c:v>
                </c:pt>
                <c:pt idx="228">
                  <c:v>168700.00000000003</c:v>
                </c:pt>
                <c:pt idx="229">
                  <c:v>169000</c:v>
                </c:pt>
                <c:pt idx="230">
                  <c:v>169300</c:v>
                </c:pt>
                <c:pt idx="231">
                  <c:v>169600.00000000003</c:v>
                </c:pt>
                <c:pt idx="232">
                  <c:v>169900</c:v>
                </c:pt>
                <c:pt idx="233">
                  <c:v>170200.00000000003</c:v>
                </c:pt>
                <c:pt idx="234">
                  <c:v>170500</c:v>
                </c:pt>
                <c:pt idx="235">
                  <c:v>170800</c:v>
                </c:pt>
                <c:pt idx="236">
                  <c:v>171100.00000000003</c:v>
                </c:pt>
                <c:pt idx="237">
                  <c:v>171400</c:v>
                </c:pt>
                <c:pt idx="238">
                  <c:v>171700.00000000003</c:v>
                </c:pt>
                <c:pt idx="239">
                  <c:v>172000</c:v>
                </c:pt>
                <c:pt idx="240">
                  <c:v>172300</c:v>
                </c:pt>
                <c:pt idx="241">
                  <c:v>172600.00000000003</c:v>
                </c:pt>
                <c:pt idx="242">
                  <c:v>172900</c:v>
                </c:pt>
                <c:pt idx="243">
                  <c:v>173200.00000000003</c:v>
                </c:pt>
                <c:pt idx="244">
                  <c:v>173500</c:v>
                </c:pt>
                <c:pt idx="245">
                  <c:v>173800</c:v>
                </c:pt>
                <c:pt idx="246">
                  <c:v>174100.00000000003</c:v>
                </c:pt>
                <c:pt idx="247">
                  <c:v>174400</c:v>
                </c:pt>
                <c:pt idx="248">
                  <c:v>174700.00000000003</c:v>
                </c:pt>
                <c:pt idx="249">
                  <c:v>175000</c:v>
                </c:pt>
                <c:pt idx="250">
                  <c:v>175300</c:v>
                </c:pt>
                <c:pt idx="251">
                  <c:v>175600.00000000003</c:v>
                </c:pt>
                <c:pt idx="252">
                  <c:v>175900</c:v>
                </c:pt>
                <c:pt idx="253">
                  <c:v>176200.00000000003</c:v>
                </c:pt>
                <c:pt idx="254">
                  <c:v>176500</c:v>
                </c:pt>
                <c:pt idx="255">
                  <c:v>176800</c:v>
                </c:pt>
                <c:pt idx="256">
                  <c:v>177100.00000000003</c:v>
                </c:pt>
                <c:pt idx="257">
                  <c:v>177400</c:v>
                </c:pt>
                <c:pt idx="258">
                  <c:v>177700.00000000003</c:v>
                </c:pt>
                <c:pt idx="259">
                  <c:v>178000</c:v>
                </c:pt>
                <c:pt idx="260">
                  <c:v>178300</c:v>
                </c:pt>
                <c:pt idx="261">
                  <c:v>178600.00000000003</c:v>
                </c:pt>
                <c:pt idx="262">
                  <c:v>178900</c:v>
                </c:pt>
                <c:pt idx="263">
                  <c:v>179200.00000000003</c:v>
                </c:pt>
                <c:pt idx="264">
                  <c:v>179500</c:v>
                </c:pt>
                <c:pt idx="265">
                  <c:v>179800</c:v>
                </c:pt>
                <c:pt idx="266">
                  <c:v>180100.00000000003</c:v>
                </c:pt>
                <c:pt idx="267">
                  <c:v>180400</c:v>
                </c:pt>
                <c:pt idx="268">
                  <c:v>180700.00000000003</c:v>
                </c:pt>
                <c:pt idx="269">
                  <c:v>181000</c:v>
                </c:pt>
                <c:pt idx="270">
                  <c:v>181300</c:v>
                </c:pt>
                <c:pt idx="271">
                  <c:v>181600.00000000003</c:v>
                </c:pt>
                <c:pt idx="272">
                  <c:v>181900</c:v>
                </c:pt>
                <c:pt idx="273">
                  <c:v>182200.00000000003</c:v>
                </c:pt>
                <c:pt idx="274">
                  <c:v>182500</c:v>
                </c:pt>
                <c:pt idx="275">
                  <c:v>182800</c:v>
                </c:pt>
                <c:pt idx="276">
                  <c:v>183100.00000000003</c:v>
                </c:pt>
                <c:pt idx="277">
                  <c:v>183400</c:v>
                </c:pt>
                <c:pt idx="278">
                  <c:v>183700.00000000003</c:v>
                </c:pt>
                <c:pt idx="279">
                  <c:v>184000</c:v>
                </c:pt>
                <c:pt idx="280">
                  <c:v>184300</c:v>
                </c:pt>
                <c:pt idx="281">
                  <c:v>184600.00000000003</c:v>
                </c:pt>
                <c:pt idx="282">
                  <c:v>184900</c:v>
                </c:pt>
                <c:pt idx="283">
                  <c:v>185200.00000000003</c:v>
                </c:pt>
                <c:pt idx="284">
                  <c:v>185500</c:v>
                </c:pt>
                <c:pt idx="285">
                  <c:v>185800</c:v>
                </c:pt>
                <c:pt idx="286">
                  <c:v>186100.00000000003</c:v>
                </c:pt>
                <c:pt idx="287">
                  <c:v>186400</c:v>
                </c:pt>
                <c:pt idx="288">
                  <c:v>186700.00000000003</c:v>
                </c:pt>
                <c:pt idx="289">
                  <c:v>187000</c:v>
                </c:pt>
                <c:pt idx="290">
                  <c:v>187300</c:v>
                </c:pt>
                <c:pt idx="291">
                  <c:v>187600.00000000003</c:v>
                </c:pt>
                <c:pt idx="292">
                  <c:v>187900</c:v>
                </c:pt>
                <c:pt idx="293">
                  <c:v>188200.00000000003</c:v>
                </c:pt>
                <c:pt idx="294">
                  <c:v>188500</c:v>
                </c:pt>
                <c:pt idx="295">
                  <c:v>188800</c:v>
                </c:pt>
                <c:pt idx="296">
                  <c:v>189100.00000000003</c:v>
                </c:pt>
                <c:pt idx="297">
                  <c:v>189400</c:v>
                </c:pt>
                <c:pt idx="298">
                  <c:v>189700.00000000003</c:v>
                </c:pt>
                <c:pt idx="299">
                  <c:v>190000</c:v>
                </c:pt>
                <c:pt idx="300">
                  <c:v>190300</c:v>
                </c:pt>
                <c:pt idx="301">
                  <c:v>190600.00000000003</c:v>
                </c:pt>
                <c:pt idx="302">
                  <c:v>190900</c:v>
                </c:pt>
                <c:pt idx="303">
                  <c:v>191200.00000000003</c:v>
                </c:pt>
                <c:pt idx="304">
                  <c:v>191500</c:v>
                </c:pt>
                <c:pt idx="305">
                  <c:v>191800</c:v>
                </c:pt>
                <c:pt idx="306">
                  <c:v>192100.00000000003</c:v>
                </c:pt>
                <c:pt idx="307">
                  <c:v>192400</c:v>
                </c:pt>
                <c:pt idx="308">
                  <c:v>192700.00000000003</c:v>
                </c:pt>
                <c:pt idx="309">
                  <c:v>193000</c:v>
                </c:pt>
                <c:pt idx="310">
                  <c:v>193300</c:v>
                </c:pt>
                <c:pt idx="311">
                  <c:v>193600.00000000003</c:v>
                </c:pt>
                <c:pt idx="312">
                  <c:v>193900</c:v>
                </c:pt>
                <c:pt idx="313">
                  <c:v>194200.00000000003</c:v>
                </c:pt>
                <c:pt idx="314">
                  <c:v>194500</c:v>
                </c:pt>
                <c:pt idx="315">
                  <c:v>194800</c:v>
                </c:pt>
                <c:pt idx="316">
                  <c:v>195100.00000000003</c:v>
                </c:pt>
                <c:pt idx="317">
                  <c:v>195400</c:v>
                </c:pt>
                <c:pt idx="318">
                  <c:v>195700.00000000003</c:v>
                </c:pt>
                <c:pt idx="319">
                  <c:v>196000</c:v>
                </c:pt>
                <c:pt idx="320">
                  <c:v>196300</c:v>
                </c:pt>
                <c:pt idx="321">
                  <c:v>196600.00000000003</c:v>
                </c:pt>
                <c:pt idx="322">
                  <c:v>196900.00000000003</c:v>
                </c:pt>
                <c:pt idx="323">
                  <c:v>197200</c:v>
                </c:pt>
                <c:pt idx="324">
                  <c:v>197500</c:v>
                </c:pt>
                <c:pt idx="325">
                  <c:v>197800</c:v>
                </c:pt>
                <c:pt idx="326">
                  <c:v>198100.00000000003</c:v>
                </c:pt>
                <c:pt idx="327">
                  <c:v>198400.00000000006</c:v>
                </c:pt>
                <c:pt idx="328">
                  <c:v>198700</c:v>
                </c:pt>
                <c:pt idx="329">
                  <c:v>199000</c:v>
                </c:pt>
                <c:pt idx="330">
                  <c:v>199300</c:v>
                </c:pt>
                <c:pt idx="331">
                  <c:v>199600</c:v>
                </c:pt>
                <c:pt idx="332">
                  <c:v>199900.00000000006</c:v>
                </c:pt>
                <c:pt idx="333">
                  <c:v>200200</c:v>
                </c:pt>
                <c:pt idx="334">
                  <c:v>200500</c:v>
                </c:pt>
                <c:pt idx="335">
                  <c:v>200800</c:v>
                </c:pt>
                <c:pt idx="336">
                  <c:v>201100</c:v>
                </c:pt>
                <c:pt idx="337">
                  <c:v>201400.00000000006</c:v>
                </c:pt>
                <c:pt idx="338">
                  <c:v>201700</c:v>
                </c:pt>
                <c:pt idx="339">
                  <c:v>202000</c:v>
                </c:pt>
                <c:pt idx="340">
                  <c:v>202300</c:v>
                </c:pt>
                <c:pt idx="341">
                  <c:v>202600</c:v>
                </c:pt>
                <c:pt idx="342">
                  <c:v>202900.00000000006</c:v>
                </c:pt>
                <c:pt idx="343">
                  <c:v>203200</c:v>
                </c:pt>
                <c:pt idx="344">
                  <c:v>203500</c:v>
                </c:pt>
                <c:pt idx="345">
                  <c:v>203800</c:v>
                </c:pt>
                <c:pt idx="346">
                  <c:v>204100</c:v>
                </c:pt>
                <c:pt idx="347">
                  <c:v>204400.00000000006</c:v>
                </c:pt>
                <c:pt idx="348">
                  <c:v>204700</c:v>
                </c:pt>
                <c:pt idx="349">
                  <c:v>205000</c:v>
                </c:pt>
                <c:pt idx="350">
                  <c:v>205300</c:v>
                </c:pt>
                <c:pt idx="351">
                  <c:v>205600</c:v>
                </c:pt>
                <c:pt idx="352">
                  <c:v>205900.00000000006</c:v>
                </c:pt>
                <c:pt idx="353">
                  <c:v>206200</c:v>
                </c:pt>
                <c:pt idx="354">
                  <c:v>206500</c:v>
                </c:pt>
                <c:pt idx="355">
                  <c:v>206800</c:v>
                </c:pt>
                <c:pt idx="356">
                  <c:v>207100</c:v>
                </c:pt>
                <c:pt idx="357">
                  <c:v>207400.00000000006</c:v>
                </c:pt>
                <c:pt idx="358">
                  <c:v>207700</c:v>
                </c:pt>
                <c:pt idx="359">
                  <c:v>208000</c:v>
                </c:pt>
                <c:pt idx="360">
                  <c:v>208300</c:v>
                </c:pt>
                <c:pt idx="361">
                  <c:v>208600</c:v>
                </c:pt>
                <c:pt idx="362">
                  <c:v>208900.00000000006</c:v>
                </c:pt>
                <c:pt idx="363">
                  <c:v>209200</c:v>
                </c:pt>
                <c:pt idx="364">
                  <c:v>209500</c:v>
                </c:pt>
                <c:pt idx="365">
                  <c:v>209800</c:v>
                </c:pt>
                <c:pt idx="366">
                  <c:v>210100</c:v>
                </c:pt>
                <c:pt idx="367">
                  <c:v>210400.00000000006</c:v>
                </c:pt>
                <c:pt idx="368">
                  <c:v>210700</c:v>
                </c:pt>
                <c:pt idx="369">
                  <c:v>211000</c:v>
                </c:pt>
                <c:pt idx="370">
                  <c:v>211300</c:v>
                </c:pt>
                <c:pt idx="371">
                  <c:v>211600</c:v>
                </c:pt>
                <c:pt idx="372">
                  <c:v>211900.00000000006</c:v>
                </c:pt>
                <c:pt idx="373">
                  <c:v>212200</c:v>
                </c:pt>
                <c:pt idx="374">
                  <c:v>212500</c:v>
                </c:pt>
                <c:pt idx="375">
                  <c:v>212800</c:v>
                </c:pt>
                <c:pt idx="376">
                  <c:v>213100</c:v>
                </c:pt>
                <c:pt idx="377">
                  <c:v>213400.00000000006</c:v>
                </c:pt>
                <c:pt idx="378">
                  <c:v>213700</c:v>
                </c:pt>
                <c:pt idx="379">
                  <c:v>214000</c:v>
                </c:pt>
                <c:pt idx="380">
                  <c:v>214300</c:v>
                </c:pt>
                <c:pt idx="381">
                  <c:v>214600</c:v>
                </c:pt>
                <c:pt idx="382">
                  <c:v>214900.00000000006</c:v>
                </c:pt>
                <c:pt idx="383">
                  <c:v>215200.00000000006</c:v>
                </c:pt>
                <c:pt idx="384">
                  <c:v>215500</c:v>
                </c:pt>
                <c:pt idx="385">
                  <c:v>215800</c:v>
                </c:pt>
                <c:pt idx="386">
                  <c:v>216100</c:v>
                </c:pt>
                <c:pt idx="387">
                  <c:v>216400.00000000006</c:v>
                </c:pt>
                <c:pt idx="388">
                  <c:v>216700.00000000006</c:v>
                </c:pt>
                <c:pt idx="389">
                  <c:v>217000</c:v>
                </c:pt>
                <c:pt idx="390">
                  <c:v>217300</c:v>
                </c:pt>
                <c:pt idx="391">
                  <c:v>217600</c:v>
                </c:pt>
                <c:pt idx="392">
                  <c:v>217900.00000000006</c:v>
                </c:pt>
                <c:pt idx="393">
                  <c:v>218200.00000000006</c:v>
                </c:pt>
                <c:pt idx="394">
                  <c:v>218500</c:v>
                </c:pt>
                <c:pt idx="395">
                  <c:v>218800</c:v>
                </c:pt>
                <c:pt idx="396">
                  <c:v>219100</c:v>
                </c:pt>
                <c:pt idx="397">
                  <c:v>219400.00000000006</c:v>
                </c:pt>
                <c:pt idx="398">
                  <c:v>219700.00000000006</c:v>
                </c:pt>
                <c:pt idx="399">
                  <c:v>220000</c:v>
                </c:pt>
                <c:pt idx="400">
                  <c:v>220300</c:v>
                </c:pt>
                <c:pt idx="401">
                  <c:v>220600</c:v>
                </c:pt>
                <c:pt idx="402">
                  <c:v>220900.00000000006</c:v>
                </c:pt>
                <c:pt idx="403">
                  <c:v>221200.00000000006</c:v>
                </c:pt>
                <c:pt idx="404">
                  <c:v>221500</c:v>
                </c:pt>
                <c:pt idx="405">
                  <c:v>221800</c:v>
                </c:pt>
                <c:pt idx="406">
                  <c:v>222100</c:v>
                </c:pt>
                <c:pt idx="407">
                  <c:v>222400.00000000006</c:v>
                </c:pt>
                <c:pt idx="408">
                  <c:v>222700.00000000006</c:v>
                </c:pt>
                <c:pt idx="409">
                  <c:v>223000</c:v>
                </c:pt>
                <c:pt idx="410">
                  <c:v>223300</c:v>
                </c:pt>
                <c:pt idx="411">
                  <c:v>223600</c:v>
                </c:pt>
                <c:pt idx="412">
                  <c:v>223900.00000000006</c:v>
                </c:pt>
                <c:pt idx="413">
                  <c:v>224200.00000000006</c:v>
                </c:pt>
                <c:pt idx="414">
                  <c:v>224500</c:v>
                </c:pt>
                <c:pt idx="415">
                  <c:v>224800</c:v>
                </c:pt>
                <c:pt idx="416">
                  <c:v>225100</c:v>
                </c:pt>
                <c:pt idx="417">
                  <c:v>225400.00000000006</c:v>
                </c:pt>
                <c:pt idx="418">
                  <c:v>225700.00000000006</c:v>
                </c:pt>
                <c:pt idx="419">
                  <c:v>226000</c:v>
                </c:pt>
                <c:pt idx="420">
                  <c:v>226300</c:v>
                </c:pt>
                <c:pt idx="421">
                  <c:v>226600</c:v>
                </c:pt>
                <c:pt idx="422">
                  <c:v>226900.00000000006</c:v>
                </c:pt>
                <c:pt idx="423">
                  <c:v>227200.00000000006</c:v>
                </c:pt>
                <c:pt idx="424">
                  <c:v>227500</c:v>
                </c:pt>
                <c:pt idx="425">
                  <c:v>227800</c:v>
                </c:pt>
                <c:pt idx="426">
                  <c:v>228100</c:v>
                </c:pt>
                <c:pt idx="427">
                  <c:v>228400.00000000006</c:v>
                </c:pt>
                <c:pt idx="428">
                  <c:v>228700.00000000006</c:v>
                </c:pt>
                <c:pt idx="429">
                  <c:v>229000</c:v>
                </c:pt>
                <c:pt idx="430">
                  <c:v>229300</c:v>
                </c:pt>
                <c:pt idx="431">
                  <c:v>229600</c:v>
                </c:pt>
                <c:pt idx="432">
                  <c:v>229900.00000000006</c:v>
                </c:pt>
                <c:pt idx="433">
                  <c:v>230200.00000000006</c:v>
                </c:pt>
                <c:pt idx="434">
                  <c:v>230500</c:v>
                </c:pt>
                <c:pt idx="435">
                  <c:v>230800</c:v>
                </c:pt>
                <c:pt idx="436">
                  <c:v>231100</c:v>
                </c:pt>
                <c:pt idx="437">
                  <c:v>231400.00000000006</c:v>
                </c:pt>
                <c:pt idx="438">
                  <c:v>231700.00000000006</c:v>
                </c:pt>
                <c:pt idx="439">
                  <c:v>232000</c:v>
                </c:pt>
                <c:pt idx="440">
                  <c:v>232300</c:v>
                </c:pt>
                <c:pt idx="441">
                  <c:v>232600</c:v>
                </c:pt>
                <c:pt idx="442">
                  <c:v>232900.00000000006</c:v>
                </c:pt>
                <c:pt idx="443">
                  <c:v>233200.00000000006</c:v>
                </c:pt>
                <c:pt idx="444">
                  <c:v>233500</c:v>
                </c:pt>
                <c:pt idx="445">
                  <c:v>233800</c:v>
                </c:pt>
                <c:pt idx="446">
                  <c:v>234100</c:v>
                </c:pt>
                <c:pt idx="447">
                  <c:v>234400.00000000006</c:v>
                </c:pt>
                <c:pt idx="448">
                  <c:v>234700.00000000006</c:v>
                </c:pt>
                <c:pt idx="449">
                  <c:v>235000</c:v>
                </c:pt>
                <c:pt idx="450">
                  <c:v>235300</c:v>
                </c:pt>
                <c:pt idx="451">
                  <c:v>235600</c:v>
                </c:pt>
                <c:pt idx="452">
                  <c:v>235900.00000000006</c:v>
                </c:pt>
                <c:pt idx="453">
                  <c:v>236200.00000000006</c:v>
                </c:pt>
                <c:pt idx="454">
                  <c:v>236500</c:v>
                </c:pt>
                <c:pt idx="455">
                  <c:v>236800</c:v>
                </c:pt>
                <c:pt idx="456">
                  <c:v>237100</c:v>
                </c:pt>
                <c:pt idx="457">
                  <c:v>237400.00000000006</c:v>
                </c:pt>
                <c:pt idx="458">
                  <c:v>237700.00000000006</c:v>
                </c:pt>
                <c:pt idx="459">
                  <c:v>238000</c:v>
                </c:pt>
                <c:pt idx="460">
                  <c:v>238300</c:v>
                </c:pt>
                <c:pt idx="461">
                  <c:v>238600</c:v>
                </c:pt>
                <c:pt idx="462">
                  <c:v>238900.00000000006</c:v>
                </c:pt>
                <c:pt idx="463">
                  <c:v>239200.00000000006</c:v>
                </c:pt>
                <c:pt idx="464">
                  <c:v>239500</c:v>
                </c:pt>
                <c:pt idx="465">
                  <c:v>239800</c:v>
                </c:pt>
                <c:pt idx="466">
                  <c:v>240100</c:v>
                </c:pt>
                <c:pt idx="467">
                  <c:v>240400.00000000006</c:v>
                </c:pt>
                <c:pt idx="468">
                  <c:v>240700.00000000006</c:v>
                </c:pt>
                <c:pt idx="469">
                  <c:v>241000</c:v>
                </c:pt>
                <c:pt idx="470">
                  <c:v>241300</c:v>
                </c:pt>
                <c:pt idx="471">
                  <c:v>241600</c:v>
                </c:pt>
                <c:pt idx="472">
                  <c:v>241900.00000000006</c:v>
                </c:pt>
                <c:pt idx="473">
                  <c:v>242200.00000000006</c:v>
                </c:pt>
                <c:pt idx="474">
                  <c:v>242500</c:v>
                </c:pt>
                <c:pt idx="475">
                  <c:v>242800</c:v>
                </c:pt>
                <c:pt idx="476">
                  <c:v>243100</c:v>
                </c:pt>
                <c:pt idx="477">
                  <c:v>243400.00000000006</c:v>
                </c:pt>
                <c:pt idx="478">
                  <c:v>243700.00000000006</c:v>
                </c:pt>
                <c:pt idx="479">
                  <c:v>244000</c:v>
                </c:pt>
                <c:pt idx="480">
                  <c:v>244300</c:v>
                </c:pt>
                <c:pt idx="481">
                  <c:v>244600</c:v>
                </c:pt>
                <c:pt idx="482">
                  <c:v>244900.00000000006</c:v>
                </c:pt>
                <c:pt idx="483">
                  <c:v>245200.00000000006</c:v>
                </c:pt>
                <c:pt idx="484">
                  <c:v>245500</c:v>
                </c:pt>
                <c:pt idx="485">
                  <c:v>245800</c:v>
                </c:pt>
                <c:pt idx="486">
                  <c:v>246100</c:v>
                </c:pt>
                <c:pt idx="487">
                  <c:v>246400.00000000006</c:v>
                </c:pt>
                <c:pt idx="488">
                  <c:v>246700.00000000006</c:v>
                </c:pt>
                <c:pt idx="489">
                  <c:v>247000</c:v>
                </c:pt>
                <c:pt idx="490">
                  <c:v>247300</c:v>
                </c:pt>
                <c:pt idx="491">
                  <c:v>247600</c:v>
                </c:pt>
                <c:pt idx="492">
                  <c:v>247900.00000000006</c:v>
                </c:pt>
                <c:pt idx="493">
                  <c:v>248200.00000000006</c:v>
                </c:pt>
                <c:pt idx="494">
                  <c:v>248500</c:v>
                </c:pt>
                <c:pt idx="495">
                  <c:v>248800</c:v>
                </c:pt>
                <c:pt idx="496">
                  <c:v>249100</c:v>
                </c:pt>
                <c:pt idx="497">
                  <c:v>249400.00000000006</c:v>
                </c:pt>
                <c:pt idx="498">
                  <c:v>249700.00000000006</c:v>
                </c:pt>
                <c:pt idx="499">
                  <c:v>250000</c:v>
                </c:pt>
                <c:pt idx="500">
                  <c:v>250300</c:v>
                </c:pt>
                <c:pt idx="501">
                  <c:v>250600</c:v>
                </c:pt>
                <c:pt idx="502">
                  <c:v>250900.00000000006</c:v>
                </c:pt>
                <c:pt idx="503">
                  <c:v>251200.00000000006</c:v>
                </c:pt>
                <c:pt idx="504">
                  <c:v>251500</c:v>
                </c:pt>
                <c:pt idx="505">
                  <c:v>251800</c:v>
                </c:pt>
                <c:pt idx="506">
                  <c:v>252100</c:v>
                </c:pt>
                <c:pt idx="507">
                  <c:v>252400.00000000006</c:v>
                </c:pt>
                <c:pt idx="508">
                  <c:v>252700.00000000006</c:v>
                </c:pt>
                <c:pt idx="509">
                  <c:v>253000</c:v>
                </c:pt>
                <c:pt idx="510">
                  <c:v>253300</c:v>
                </c:pt>
                <c:pt idx="511">
                  <c:v>253600</c:v>
                </c:pt>
                <c:pt idx="512">
                  <c:v>253900.00000000006</c:v>
                </c:pt>
                <c:pt idx="513">
                  <c:v>254200.00000000006</c:v>
                </c:pt>
                <c:pt idx="514">
                  <c:v>254500</c:v>
                </c:pt>
                <c:pt idx="515">
                  <c:v>254800</c:v>
                </c:pt>
                <c:pt idx="516">
                  <c:v>255100</c:v>
                </c:pt>
                <c:pt idx="517">
                  <c:v>255400.00000000006</c:v>
                </c:pt>
                <c:pt idx="518">
                  <c:v>255700.00000000006</c:v>
                </c:pt>
                <c:pt idx="519">
                  <c:v>256000</c:v>
                </c:pt>
                <c:pt idx="520">
                  <c:v>256300</c:v>
                </c:pt>
                <c:pt idx="521">
                  <c:v>256600</c:v>
                </c:pt>
                <c:pt idx="522">
                  <c:v>256900.00000000006</c:v>
                </c:pt>
                <c:pt idx="523">
                  <c:v>257200.00000000006</c:v>
                </c:pt>
                <c:pt idx="524">
                  <c:v>257500</c:v>
                </c:pt>
                <c:pt idx="525">
                  <c:v>257800</c:v>
                </c:pt>
                <c:pt idx="526">
                  <c:v>258100</c:v>
                </c:pt>
                <c:pt idx="527">
                  <c:v>258400.00000000006</c:v>
                </c:pt>
                <c:pt idx="528">
                  <c:v>258700.00000000006</c:v>
                </c:pt>
                <c:pt idx="529">
                  <c:v>259000</c:v>
                </c:pt>
                <c:pt idx="530">
                  <c:v>259300</c:v>
                </c:pt>
                <c:pt idx="531">
                  <c:v>259600</c:v>
                </c:pt>
                <c:pt idx="532">
                  <c:v>259900.00000000006</c:v>
                </c:pt>
                <c:pt idx="533">
                  <c:v>260200.00000000006</c:v>
                </c:pt>
                <c:pt idx="534">
                  <c:v>260500</c:v>
                </c:pt>
                <c:pt idx="535">
                  <c:v>260800</c:v>
                </c:pt>
                <c:pt idx="536">
                  <c:v>261100</c:v>
                </c:pt>
                <c:pt idx="537">
                  <c:v>261400.00000000006</c:v>
                </c:pt>
                <c:pt idx="538">
                  <c:v>261700.00000000006</c:v>
                </c:pt>
                <c:pt idx="539">
                  <c:v>262000</c:v>
                </c:pt>
                <c:pt idx="540">
                  <c:v>262300</c:v>
                </c:pt>
                <c:pt idx="541">
                  <c:v>262600</c:v>
                </c:pt>
                <c:pt idx="542">
                  <c:v>262900.00000000006</c:v>
                </c:pt>
                <c:pt idx="543">
                  <c:v>263200.00000000006</c:v>
                </c:pt>
                <c:pt idx="544">
                  <c:v>263500</c:v>
                </c:pt>
                <c:pt idx="545">
                  <c:v>263800</c:v>
                </c:pt>
                <c:pt idx="546">
                  <c:v>264100</c:v>
                </c:pt>
                <c:pt idx="547">
                  <c:v>264400.00000000006</c:v>
                </c:pt>
                <c:pt idx="548">
                  <c:v>264700.00000000006</c:v>
                </c:pt>
                <c:pt idx="549">
                  <c:v>265000</c:v>
                </c:pt>
                <c:pt idx="550">
                  <c:v>265300</c:v>
                </c:pt>
                <c:pt idx="551">
                  <c:v>265600</c:v>
                </c:pt>
                <c:pt idx="552">
                  <c:v>265900.00000000006</c:v>
                </c:pt>
                <c:pt idx="553">
                  <c:v>266200.00000000006</c:v>
                </c:pt>
                <c:pt idx="554">
                  <c:v>266500</c:v>
                </c:pt>
                <c:pt idx="555">
                  <c:v>266800</c:v>
                </c:pt>
                <c:pt idx="556">
                  <c:v>267100</c:v>
                </c:pt>
                <c:pt idx="557">
                  <c:v>267400.00000000006</c:v>
                </c:pt>
                <c:pt idx="558">
                  <c:v>267700.00000000006</c:v>
                </c:pt>
                <c:pt idx="559">
                  <c:v>268000</c:v>
                </c:pt>
                <c:pt idx="560">
                  <c:v>268300</c:v>
                </c:pt>
                <c:pt idx="561">
                  <c:v>268600</c:v>
                </c:pt>
                <c:pt idx="562">
                  <c:v>268900.00000000006</c:v>
                </c:pt>
                <c:pt idx="563">
                  <c:v>269200.00000000006</c:v>
                </c:pt>
                <c:pt idx="564">
                  <c:v>269500</c:v>
                </c:pt>
                <c:pt idx="565">
                  <c:v>269800</c:v>
                </c:pt>
                <c:pt idx="566">
                  <c:v>270100</c:v>
                </c:pt>
                <c:pt idx="567">
                  <c:v>270400.00000000006</c:v>
                </c:pt>
                <c:pt idx="568">
                  <c:v>270700.00000000006</c:v>
                </c:pt>
                <c:pt idx="569">
                  <c:v>271000</c:v>
                </c:pt>
                <c:pt idx="570">
                  <c:v>271300</c:v>
                </c:pt>
                <c:pt idx="571">
                  <c:v>271600</c:v>
                </c:pt>
                <c:pt idx="572">
                  <c:v>271900.00000000006</c:v>
                </c:pt>
                <c:pt idx="573">
                  <c:v>272200.00000000006</c:v>
                </c:pt>
                <c:pt idx="574">
                  <c:v>272500</c:v>
                </c:pt>
                <c:pt idx="575">
                  <c:v>272800</c:v>
                </c:pt>
                <c:pt idx="576">
                  <c:v>273100</c:v>
                </c:pt>
                <c:pt idx="577">
                  <c:v>273400.00000000006</c:v>
                </c:pt>
                <c:pt idx="578">
                  <c:v>273700.00000000006</c:v>
                </c:pt>
                <c:pt idx="579">
                  <c:v>274000</c:v>
                </c:pt>
                <c:pt idx="580">
                  <c:v>274300</c:v>
                </c:pt>
                <c:pt idx="581">
                  <c:v>274600</c:v>
                </c:pt>
                <c:pt idx="582">
                  <c:v>274900.00000000006</c:v>
                </c:pt>
                <c:pt idx="583">
                  <c:v>275200.00000000006</c:v>
                </c:pt>
                <c:pt idx="584">
                  <c:v>275500</c:v>
                </c:pt>
                <c:pt idx="585">
                  <c:v>275800</c:v>
                </c:pt>
                <c:pt idx="586">
                  <c:v>276100</c:v>
                </c:pt>
                <c:pt idx="587">
                  <c:v>276400.00000000006</c:v>
                </c:pt>
                <c:pt idx="588">
                  <c:v>276700.00000000006</c:v>
                </c:pt>
                <c:pt idx="589">
                  <c:v>277000</c:v>
                </c:pt>
                <c:pt idx="590">
                  <c:v>277300</c:v>
                </c:pt>
                <c:pt idx="591">
                  <c:v>277600</c:v>
                </c:pt>
                <c:pt idx="592">
                  <c:v>277900.00000000006</c:v>
                </c:pt>
                <c:pt idx="593">
                  <c:v>278200.00000000006</c:v>
                </c:pt>
                <c:pt idx="594">
                  <c:v>278500</c:v>
                </c:pt>
                <c:pt idx="595">
                  <c:v>278800</c:v>
                </c:pt>
                <c:pt idx="596">
                  <c:v>279100</c:v>
                </c:pt>
                <c:pt idx="597">
                  <c:v>279400.00000000006</c:v>
                </c:pt>
                <c:pt idx="598">
                  <c:v>279700.00000000006</c:v>
                </c:pt>
                <c:pt idx="599">
                  <c:v>280000</c:v>
                </c:pt>
                <c:pt idx="600">
                  <c:v>280300</c:v>
                </c:pt>
                <c:pt idx="601">
                  <c:v>280600</c:v>
                </c:pt>
                <c:pt idx="602">
                  <c:v>280900.00000000006</c:v>
                </c:pt>
                <c:pt idx="603">
                  <c:v>281200.00000000006</c:v>
                </c:pt>
                <c:pt idx="604">
                  <c:v>281500</c:v>
                </c:pt>
                <c:pt idx="605">
                  <c:v>281800</c:v>
                </c:pt>
                <c:pt idx="606">
                  <c:v>282100</c:v>
                </c:pt>
                <c:pt idx="607">
                  <c:v>282400.00000000006</c:v>
                </c:pt>
                <c:pt idx="608">
                  <c:v>282700.00000000006</c:v>
                </c:pt>
                <c:pt idx="609">
                  <c:v>283000</c:v>
                </c:pt>
                <c:pt idx="610">
                  <c:v>283300</c:v>
                </c:pt>
                <c:pt idx="611">
                  <c:v>283600</c:v>
                </c:pt>
                <c:pt idx="612">
                  <c:v>283900.00000000006</c:v>
                </c:pt>
                <c:pt idx="613">
                  <c:v>284200.00000000006</c:v>
                </c:pt>
                <c:pt idx="614">
                  <c:v>284500</c:v>
                </c:pt>
                <c:pt idx="615">
                  <c:v>284800</c:v>
                </c:pt>
                <c:pt idx="616">
                  <c:v>285100</c:v>
                </c:pt>
                <c:pt idx="617">
                  <c:v>285400.00000000006</c:v>
                </c:pt>
                <c:pt idx="618">
                  <c:v>285700.00000000006</c:v>
                </c:pt>
                <c:pt idx="619">
                  <c:v>286000</c:v>
                </c:pt>
                <c:pt idx="620">
                  <c:v>286300</c:v>
                </c:pt>
                <c:pt idx="621">
                  <c:v>286600</c:v>
                </c:pt>
                <c:pt idx="622">
                  <c:v>286900.00000000006</c:v>
                </c:pt>
                <c:pt idx="623">
                  <c:v>287200.00000000006</c:v>
                </c:pt>
                <c:pt idx="624">
                  <c:v>287500</c:v>
                </c:pt>
                <c:pt idx="625">
                  <c:v>287800</c:v>
                </c:pt>
                <c:pt idx="626">
                  <c:v>288100</c:v>
                </c:pt>
                <c:pt idx="627">
                  <c:v>288400.00000000006</c:v>
                </c:pt>
                <c:pt idx="628">
                  <c:v>288700.00000000006</c:v>
                </c:pt>
                <c:pt idx="629">
                  <c:v>289000</c:v>
                </c:pt>
                <c:pt idx="630">
                  <c:v>289300</c:v>
                </c:pt>
                <c:pt idx="631">
                  <c:v>289600</c:v>
                </c:pt>
                <c:pt idx="632">
                  <c:v>289900.00000000006</c:v>
                </c:pt>
                <c:pt idx="633">
                  <c:v>290200.00000000006</c:v>
                </c:pt>
                <c:pt idx="634">
                  <c:v>290500</c:v>
                </c:pt>
                <c:pt idx="635">
                  <c:v>290800</c:v>
                </c:pt>
                <c:pt idx="636">
                  <c:v>291100</c:v>
                </c:pt>
                <c:pt idx="637">
                  <c:v>291400.00000000006</c:v>
                </c:pt>
                <c:pt idx="638">
                  <c:v>291700.00000000006</c:v>
                </c:pt>
                <c:pt idx="639">
                  <c:v>292000</c:v>
                </c:pt>
                <c:pt idx="640">
                  <c:v>292300.00000000006</c:v>
                </c:pt>
                <c:pt idx="641">
                  <c:v>292600</c:v>
                </c:pt>
                <c:pt idx="642">
                  <c:v>292900</c:v>
                </c:pt>
                <c:pt idx="643">
                  <c:v>293200.00000000006</c:v>
                </c:pt>
                <c:pt idx="644">
                  <c:v>293500</c:v>
                </c:pt>
                <c:pt idx="645">
                  <c:v>293800.00000000006</c:v>
                </c:pt>
                <c:pt idx="646">
                  <c:v>294100</c:v>
                </c:pt>
                <c:pt idx="647">
                  <c:v>294400</c:v>
                </c:pt>
                <c:pt idx="648">
                  <c:v>294700.00000000006</c:v>
                </c:pt>
                <c:pt idx="649">
                  <c:v>295000</c:v>
                </c:pt>
                <c:pt idx="650">
                  <c:v>295300.00000000006</c:v>
                </c:pt>
                <c:pt idx="651">
                  <c:v>295600</c:v>
                </c:pt>
                <c:pt idx="652">
                  <c:v>295900</c:v>
                </c:pt>
                <c:pt idx="653">
                  <c:v>296200.00000000006</c:v>
                </c:pt>
                <c:pt idx="654">
                  <c:v>296500</c:v>
                </c:pt>
                <c:pt idx="655">
                  <c:v>296800.00000000012</c:v>
                </c:pt>
                <c:pt idx="656">
                  <c:v>297100</c:v>
                </c:pt>
                <c:pt idx="657">
                  <c:v>297400</c:v>
                </c:pt>
                <c:pt idx="658">
                  <c:v>297700</c:v>
                </c:pt>
                <c:pt idx="659">
                  <c:v>298000</c:v>
                </c:pt>
                <c:pt idx="660">
                  <c:v>298300.00000000012</c:v>
                </c:pt>
                <c:pt idx="661">
                  <c:v>298600</c:v>
                </c:pt>
                <c:pt idx="662">
                  <c:v>298900</c:v>
                </c:pt>
                <c:pt idx="663">
                  <c:v>299200</c:v>
                </c:pt>
                <c:pt idx="664">
                  <c:v>299500</c:v>
                </c:pt>
                <c:pt idx="665">
                  <c:v>299800.00000000012</c:v>
                </c:pt>
                <c:pt idx="666">
                  <c:v>300100</c:v>
                </c:pt>
                <c:pt idx="667">
                  <c:v>300400</c:v>
                </c:pt>
                <c:pt idx="668">
                  <c:v>300700</c:v>
                </c:pt>
                <c:pt idx="669">
                  <c:v>301000</c:v>
                </c:pt>
                <c:pt idx="670">
                  <c:v>301300.00000000012</c:v>
                </c:pt>
                <c:pt idx="671">
                  <c:v>301600</c:v>
                </c:pt>
                <c:pt idx="672">
                  <c:v>301900</c:v>
                </c:pt>
                <c:pt idx="673">
                  <c:v>302200</c:v>
                </c:pt>
                <c:pt idx="674">
                  <c:v>302500</c:v>
                </c:pt>
                <c:pt idx="675">
                  <c:v>302800.00000000012</c:v>
                </c:pt>
                <c:pt idx="676">
                  <c:v>303100</c:v>
                </c:pt>
                <c:pt idx="677">
                  <c:v>303400</c:v>
                </c:pt>
                <c:pt idx="678">
                  <c:v>303700</c:v>
                </c:pt>
                <c:pt idx="679">
                  <c:v>304000</c:v>
                </c:pt>
                <c:pt idx="680">
                  <c:v>304300.00000000012</c:v>
                </c:pt>
                <c:pt idx="681">
                  <c:v>304600</c:v>
                </c:pt>
                <c:pt idx="682">
                  <c:v>304900</c:v>
                </c:pt>
                <c:pt idx="683">
                  <c:v>305200</c:v>
                </c:pt>
                <c:pt idx="684">
                  <c:v>305500</c:v>
                </c:pt>
                <c:pt idx="685">
                  <c:v>305800.00000000012</c:v>
                </c:pt>
                <c:pt idx="686">
                  <c:v>306100</c:v>
                </c:pt>
                <c:pt idx="687">
                  <c:v>306400</c:v>
                </c:pt>
                <c:pt idx="688">
                  <c:v>306700</c:v>
                </c:pt>
                <c:pt idx="689">
                  <c:v>307000</c:v>
                </c:pt>
                <c:pt idx="690">
                  <c:v>307300.00000000012</c:v>
                </c:pt>
                <c:pt idx="691">
                  <c:v>307600</c:v>
                </c:pt>
                <c:pt idx="692">
                  <c:v>307900</c:v>
                </c:pt>
                <c:pt idx="693">
                  <c:v>308200</c:v>
                </c:pt>
                <c:pt idx="694">
                  <c:v>308500</c:v>
                </c:pt>
                <c:pt idx="695">
                  <c:v>308800.00000000012</c:v>
                </c:pt>
                <c:pt idx="696">
                  <c:v>309100</c:v>
                </c:pt>
                <c:pt idx="697">
                  <c:v>309400</c:v>
                </c:pt>
                <c:pt idx="698">
                  <c:v>309700</c:v>
                </c:pt>
                <c:pt idx="699">
                  <c:v>310000</c:v>
                </c:pt>
                <c:pt idx="700">
                  <c:v>310300.00000000012</c:v>
                </c:pt>
                <c:pt idx="701">
                  <c:v>310600</c:v>
                </c:pt>
                <c:pt idx="702">
                  <c:v>310900</c:v>
                </c:pt>
                <c:pt idx="703">
                  <c:v>311200</c:v>
                </c:pt>
                <c:pt idx="704">
                  <c:v>311500</c:v>
                </c:pt>
                <c:pt idx="705">
                  <c:v>311800.00000000012</c:v>
                </c:pt>
                <c:pt idx="706">
                  <c:v>312100</c:v>
                </c:pt>
                <c:pt idx="707">
                  <c:v>312400</c:v>
                </c:pt>
                <c:pt idx="708">
                  <c:v>312700</c:v>
                </c:pt>
                <c:pt idx="709">
                  <c:v>313000</c:v>
                </c:pt>
                <c:pt idx="710">
                  <c:v>313300.00000000012</c:v>
                </c:pt>
                <c:pt idx="711">
                  <c:v>313600</c:v>
                </c:pt>
                <c:pt idx="712">
                  <c:v>313900</c:v>
                </c:pt>
                <c:pt idx="713">
                  <c:v>314200</c:v>
                </c:pt>
                <c:pt idx="714">
                  <c:v>314500</c:v>
                </c:pt>
                <c:pt idx="715">
                  <c:v>314800.00000000012</c:v>
                </c:pt>
                <c:pt idx="716">
                  <c:v>315100</c:v>
                </c:pt>
                <c:pt idx="717">
                  <c:v>315400</c:v>
                </c:pt>
                <c:pt idx="718">
                  <c:v>315700</c:v>
                </c:pt>
                <c:pt idx="719">
                  <c:v>316000</c:v>
                </c:pt>
                <c:pt idx="720">
                  <c:v>316300.00000000012</c:v>
                </c:pt>
                <c:pt idx="721">
                  <c:v>316600</c:v>
                </c:pt>
                <c:pt idx="722">
                  <c:v>316900</c:v>
                </c:pt>
                <c:pt idx="723">
                  <c:v>317200</c:v>
                </c:pt>
                <c:pt idx="724">
                  <c:v>317500</c:v>
                </c:pt>
                <c:pt idx="725">
                  <c:v>317800.00000000012</c:v>
                </c:pt>
                <c:pt idx="726">
                  <c:v>318100</c:v>
                </c:pt>
                <c:pt idx="727">
                  <c:v>318400</c:v>
                </c:pt>
                <c:pt idx="728">
                  <c:v>318700</c:v>
                </c:pt>
                <c:pt idx="729">
                  <c:v>319000</c:v>
                </c:pt>
                <c:pt idx="730">
                  <c:v>319300.00000000012</c:v>
                </c:pt>
                <c:pt idx="731">
                  <c:v>319600</c:v>
                </c:pt>
                <c:pt idx="732">
                  <c:v>319900</c:v>
                </c:pt>
                <c:pt idx="733">
                  <c:v>320200</c:v>
                </c:pt>
                <c:pt idx="734">
                  <c:v>320500</c:v>
                </c:pt>
                <c:pt idx="735">
                  <c:v>320800.00000000012</c:v>
                </c:pt>
                <c:pt idx="736">
                  <c:v>321100</c:v>
                </c:pt>
                <c:pt idx="737">
                  <c:v>321400</c:v>
                </c:pt>
                <c:pt idx="738">
                  <c:v>321700</c:v>
                </c:pt>
                <c:pt idx="739">
                  <c:v>322000</c:v>
                </c:pt>
                <c:pt idx="740">
                  <c:v>322300.00000000012</c:v>
                </c:pt>
                <c:pt idx="741">
                  <c:v>322600</c:v>
                </c:pt>
                <c:pt idx="742">
                  <c:v>322900</c:v>
                </c:pt>
                <c:pt idx="743">
                  <c:v>323200</c:v>
                </c:pt>
                <c:pt idx="744">
                  <c:v>323500</c:v>
                </c:pt>
                <c:pt idx="745">
                  <c:v>323800.00000000012</c:v>
                </c:pt>
                <c:pt idx="746">
                  <c:v>324100</c:v>
                </c:pt>
                <c:pt idx="747">
                  <c:v>324400</c:v>
                </c:pt>
                <c:pt idx="748">
                  <c:v>324700</c:v>
                </c:pt>
                <c:pt idx="749">
                  <c:v>325000</c:v>
                </c:pt>
                <c:pt idx="750">
                  <c:v>325300.00000000012</c:v>
                </c:pt>
                <c:pt idx="751">
                  <c:v>325600</c:v>
                </c:pt>
                <c:pt idx="752">
                  <c:v>325900</c:v>
                </c:pt>
                <c:pt idx="753">
                  <c:v>326200</c:v>
                </c:pt>
                <c:pt idx="754">
                  <c:v>326500</c:v>
                </c:pt>
                <c:pt idx="755">
                  <c:v>326800.00000000012</c:v>
                </c:pt>
                <c:pt idx="756">
                  <c:v>327100</c:v>
                </c:pt>
                <c:pt idx="757">
                  <c:v>327400</c:v>
                </c:pt>
                <c:pt idx="758">
                  <c:v>327700</c:v>
                </c:pt>
                <c:pt idx="759">
                  <c:v>328000</c:v>
                </c:pt>
                <c:pt idx="760">
                  <c:v>328300.00000000012</c:v>
                </c:pt>
                <c:pt idx="761">
                  <c:v>328600</c:v>
                </c:pt>
                <c:pt idx="762">
                  <c:v>328900</c:v>
                </c:pt>
                <c:pt idx="763">
                  <c:v>329200</c:v>
                </c:pt>
                <c:pt idx="764">
                  <c:v>329500</c:v>
                </c:pt>
                <c:pt idx="765">
                  <c:v>329800.00000000012</c:v>
                </c:pt>
                <c:pt idx="766">
                  <c:v>330100</c:v>
                </c:pt>
                <c:pt idx="767">
                  <c:v>330400.00000000012</c:v>
                </c:pt>
                <c:pt idx="768">
                  <c:v>330700</c:v>
                </c:pt>
                <c:pt idx="769">
                  <c:v>331000</c:v>
                </c:pt>
                <c:pt idx="770">
                  <c:v>331300.00000000012</c:v>
                </c:pt>
                <c:pt idx="771">
                  <c:v>331600</c:v>
                </c:pt>
                <c:pt idx="772">
                  <c:v>331900.00000000012</c:v>
                </c:pt>
                <c:pt idx="773">
                  <c:v>332200</c:v>
                </c:pt>
                <c:pt idx="774">
                  <c:v>332500</c:v>
                </c:pt>
                <c:pt idx="775">
                  <c:v>332800.00000000012</c:v>
                </c:pt>
                <c:pt idx="776">
                  <c:v>333100</c:v>
                </c:pt>
                <c:pt idx="777">
                  <c:v>333400.00000000012</c:v>
                </c:pt>
                <c:pt idx="778">
                  <c:v>333700</c:v>
                </c:pt>
                <c:pt idx="779">
                  <c:v>334000</c:v>
                </c:pt>
                <c:pt idx="780">
                  <c:v>334300.00000000012</c:v>
                </c:pt>
                <c:pt idx="781">
                  <c:v>334600</c:v>
                </c:pt>
                <c:pt idx="782">
                  <c:v>334900.00000000012</c:v>
                </c:pt>
                <c:pt idx="783">
                  <c:v>335200</c:v>
                </c:pt>
                <c:pt idx="784">
                  <c:v>335500</c:v>
                </c:pt>
                <c:pt idx="785">
                  <c:v>335800.00000000012</c:v>
                </c:pt>
                <c:pt idx="786">
                  <c:v>336100</c:v>
                </c:pt>
                <c:pt idx="787">
                  <c:v>336400.00000000012</c:v>
                </c:pt>
                <c:pt idx="788">
                  <c:v>336700</c:v>
                </c:pt>
                <c:pt idx="789">
                  <c:v>337000</c:v>
                </c:pt>
                <c:pt idx="790">
                  <c:v>337300.00000000012</c:v>
                </c:pt>
                <c:pt idx="791">
                  <c:v>337600</c:v>
                </c:pt>
                <c:pt idx="792">
                  <c:v>337900.00000000012</c:v>
                </c:pt>
                <c:pt idx="793">
                  <c:v>338200</c:v>
                </c:pt>
                <c:pt idx="794">
                  <c:v>338500</c:v>
                </c:pt>
                <c:pt idx="795">
                  <c:v>338800.00000000012</c:v>
                </c:pt>
                <c:pt idx="796">
                  <c:v>339100</c:v>
                </c:pt>
                <c:pt idx="797">
                  <c:v>339400.00000000012</c:v>
                </c:pt>
                <c:pt idx="798">
                  <c:v>339700</c:v>
                </c:pt>
                <c:pt idx="799">
                  <c:v>340000</c:v>
                </c:pt>
                <c:pt idx="800">
                  <c:v>340300.00000000012</c:v>
                </c:pt>
                <c:pt idx="801">
                  <c:v>340600</c:v>
                </c:pt>
                <c:pt idx="802">
                  <c:v>340900.00000000012</c:v>
                </c:pt>
                <c:pt idx="803">
                  <c:v>341200</c:v>
                </c:pt>
                <c:pt idx="804">
                  <c:v>341500</c:v>
                </c:pt>
                <c:pt idx="805">
                  <c:v>341800.00000000012</c:v>
                </c:pt>
                <c:pt idx="806">
                  <c:v>342100</c:v>
                </c:pt>
                <c:pt idx="807">
                  <c:v>342400.00000000012</c:v>
                </c:pt>
                <c:pt idx="808">
                  <c:v>342700</c:v>
                </c:pt>
                <c:pt idx="809">
                  <c:v>343000</c:v>
                </c:pt>
                <c:pt idx="810">
                  <c:v>343300.00000000012</c:v>
                </c:pt>
                <c:pt idx="811">
                  <c:v>343600</c:v>
                </c:pt>
                <c:pt idx="812">
                  <c:v>343900.00000000012</c:v>
                </c:pt>
                <c:pt idx="813">
                  <c:v>344200</c:v>
                </c:pt>
                <c:pt idx="814">
                  <c:v>344500</c:v>
                </c:pt>
                <c:pt idx="815">
                  <c:v>344800.00000000012</c:v>
                </c:pt>
                <c:pt idx="816">
                  <c:v>345100</c:v>
                </c:pt>
                <c:pt idx="817">
                  <c:v>345400.00000000012</c:v>
                </c:pt>
                <c:pt idx="818">
                  <c:v>345700</c:v>
                </c:pt>
                <c:pt idx="819">
                  <c:v>346000</c:v>
                </c:pt>
                <c:pt idx="820">
                  <c:v>346300.00000000012</c:v>
                </c:pt>
                <c:pt idx="821">
                  <c:v>346600</c:v>
                </c:pt>
                <c:pt idx="822">
                  <c:v>346900.00000000012</c:v>
                </c:pt>
                <c:pt idx="823">
                  <c:v>347200</c:v>
                </c:pt>
                <c:pt idx="824">
                  <c:v>347500</c:v>
                </c:pt>
                <c:pt idx="825">
                  <c:v>347800.00000000012</c:v>
                </c:pt>
                <c:pt idx="826">
                  <c:v>348100</c:v>
                </c:pt>
                <c:pt idx="827">
                  <c:v>348400.00000000012</c:v>
                </c:pt>
                <c:pt idx="828">
                  <c:v>348700</c:v>
                </c:pt>
                <c:pt idx="829">
                  <c:v>349000</c:v>
                </c:pt>
                <c:pt idx="830">
                  <c:v>349300.00000000012</c:v>
                </c:pt>
                <c:pt idx="831">
                  <c:v>349600</c:v>
                </c:pt>
                <c:pt idx="832">
                  <c:v>349900.00000000012</c:v>
                </c:pt>
                <c:pt idx="833">
                  <c:v>350200</c:v>
                </c:pt>
                <c:pt idx="834">
                  <c:v>350500</c:v>
                </c:pt>
                <c:pt idx="835">
                  <c:v>350800.00000000012</c:v>
                </c:pt>
                <c:pt idx="836">
                  <c:v>351100</c:v>
                </c:pt>
                <c:pt idx="837">
                  <c:v>351400.00000000012</c:v>
                </c:pt>
                <c:pt idx="838">
                  <c:v>351700</c:v>
                </c:pt>
                <c:pt idx="839">
                  <c:v>352000</c:v>
                </c:pt>
                <c:pt idx="840">
                  <c:v>352300.00000000012</c:v>
                </c:pt>
                <c:pt idx="841">
                  <c:v>352600</c:v>
                </c:pt>
                <c:pt idx="842">
                  <c:v>352900.00000000012</c:v>
                </c:pt>
                <c:pt idx="843">
                  <c:v>353200</c:v>
                </c:pt>
                <c:pt idx="844">
                  <c:v>353500</c:v>
                </c:pt>
                <c:pt idx="845">
                  <c:v>353800.00000000012</c:v>
                </c:pt>
                <c:pt idx="846">
                  <c:v>354100</c:v>
                </c:pt>
                <c:pt idx="847">
                  <c:v>354400.00000000012</c:v>
                </c:pt>
                <c:pt idx="848">
                  <c:v>354700</c:v>
                </c:pt>
                <c:pt idx="849">
                  <c:v>355000</c:v>
                </c:pt>
                <c:pt idx="850">
                  <c:v>355300.00000000012</c:v>
                </c:pt>
                <c:pt idx="851">
                  <c:v>355600</c:v>
                </c:pt>
                <c:pt idx="852">
                  <c:v>355900.00000000012</c:v>
                </c:pt>
                <c:pt idx="853">
                  <c:v>356200</c:v>
                </c:pt>
                <c:pt idx="854">
                  <c:v>356500</c:v>
                </c:pt>
                <c:pt idx="855">
                  <c:v>356800.00000000012</c:v>
                </c:pt>
                <c:pt idx="856">
                  <c:v>357100</c:v>
                </c:pt>
                <c:pt idx="857">
                  <c:v>357400.00000000012</c:v>
                </c:pt>
                <c:pt idx="858">
                  <c:v>357700</c:v>
                </c:pt>
                <c:pt idx="859">
                  <c:v>358000</c:v>
                </c:pt>
                <c:pt idx="860">
                  <c:v>358300.00000000012</c:v>
                </c:pt>
                <c:pt idx="861">
                  <c:v>358600</c:v>
                </c:pt>
                <c:pt idx="862">
                  <c:v>358900.00000000012</c:v>
                </c:pt>
                <c:pt idx="863">
                  <c:v>359200</c:v>
                </c:pt>
                <c:pt idx="864">
                  <c:v>359500</c:v>
                </c:pt>
                <c:pt idx="865">
                  <c:v>359800.00000000012</c:v>
                </c:pt>
                <c:pt idx="866">
                  <c:v>360100</c:v>
                </c:pt>
                <c:pt idx="867">
                  <c:v>360400.00000000012</c:v>
                </c:pt>
                <c:pt idx="868">
                  <c:v>360700</c:v>
                </c:pt>
                <c:pt idx="869">
                  <c:v>361000</c:v>
                </c:pt>
                <c:pt idx="870">
                  <c:v>361300.00000000012</c:v>
                </c:pt>
                <c:pt idx="871">
                  <c:v>361600</c:v>
                </c:pt>
                <c:pt idx="872">
                  <c:v>361900.00000000012</c:v>
                </c:pt>
                <c:pt idx="873">
                  <c:v>362200</c:v>
                </c:pt>
                <c:pt idx="874">
                  <c:v>362500</c:v>
                </c:pt>
                <c:pt idx="875">
                  <c:v>362800.00000000012</c:v>
                </c:pt>
                <c:pt idx="876">
                  <c:v>363100</c:v>
                </c:pt>
                <c:pt idx="877">
                  <c:v>363400.00000000012</c:v>
                </c:pt>
                <c:pt idx="878">
                  <c:v>363700</c:v>
                </c:pt>
                <c:pt idx="879">
                  <c:v>364000</c:v>
                </c:pt>
                <c:pt idx="880">
                  <c:v>364300.00000000012</c:v>
                </c:pt>
                <c:pt idx="881">
                  <c:v>364600</c:v>
                </c:pt>
                <c:pt idx="882">
                  <c:v>364900.00000000012</c:v>
                </c:pt>
                <c:pt idx="883">
                  <c:v>365200</c:v>
                </c:pt>
                <c:pt idx="884">
                  <c:v>365500</c:v>
                </c:pt>
                <c:pt idx="885">
                  <c:v>365800.00000000012</c:v>
                </c:pt>
                <c:pt idx="886">
                  <c:v>366100</c:v>
                </c:pt>
                <c:pt idx="887">
                  <c:v>366400.00000000012</c:v>
                </c:pt>
                <c:pt idx="888">
                  <c:v>366700</c:v>
                </c:pt>
                <c:pt idx="889">
                  <c:v>367000</c:v>
                </c:pt>
                <c:pt idx="890">
                  <c:v>367300.00000000012</c:v>
                </c:pt>
                <c:pt idx="891">
                  <c:v>367600</c:v>
                </c:pt>
                <c:pt idx="892">
                  <c:v>367900.00000000012</c:v>
                </c:pt>
                <c:pt idx="893">
                  <c:v>368200</c:v>
                </c:pt>
                <c:pt idx="894">
                  <c:v>368500</c:v>
                </c:pt>
                <c:pt idx="895">
                  <c:v>368800.00000000012</c:v>
                </c:pt>
                <c:pt idx="896">
                  <c:v>369100</c:v>
                </c:pt>
                <c:pt idx="897">
                  <c:v>369400.00000000012</c:v>
                </c:pt>
                <c:pt idx="898">
                  <c:v>369700</c:v>
                </c:pt>
                <c:pt idx="899">
                  <c:v>370000</c:v>
                </c:pt>
                <c:pt idx="900">
                  <c:v>370300.00000000012</c:v>
                </c:pt>
                <c:pt idx="901">
                  <c:v>370600</c:v>
                </c:pt>
                <c:pt idx="902">
                  <c:v>370900.00000000012</c:v>
                </c:pt>
                <c:pt idx="903">
                  <c:v>371200</c:v>
                </c:pt>
                <c:pt idx="904">
                  <c:v>371500</c:v>
                </c:pt>
                <c:pt idx="905">
                  <c:v>371800.00000000012</c:v>
                </c:pt>
                <c:pt idx="906">
                  <c:v>372100</c:v>
                </c:pt>
                <c:pt idx="907">
                  <c:v>372400.00000000012</c:v>
                </c:pt>
                <c:pt idx="908">
                  <c:v>372700</c:v>
                </c:pt>
                <c:pt idx="909">
                  <c:v>373000</c:v>
                </c:pt>
                <c:pt idx="910">
                  <c:v>373300.00000000012</c:v>
                </c:pt>
                <c:pt idx="911">
                  <c:v>373600</c:v>
                </c:pt>
                <c:pt idx="912">
                  <c:v>373900.00000000012</c:v>
                </c:pt>
                <c:pt idx="913">
                  <c:v>374200</c:v>
                </c:pt>
                <c:pt idx="914">
                  <c:v>374500</c:v>
                </c:pt>
                <c:pt idx="915">
                  <c:v>374800.00000000012</c:v>
                </c:pt>
                <c:pt idx="916">
                  <c:v>375100</c:v>
                </c:pt>
                <c:pt idx="917">
                  <c:v>375400.00000000012</c:v>
                </c:pt>
                <c:pt idx="918">
                  <c:v>375700</c:v>
                </c:pt>
                <c:pt idx="919">
                  <c:v>376000</c:v>
                </c:pt>
                <c:pt idx="920">
                  <c:v>376300.00000000012</c:v>
                </c:pt>
                <c:pt idx="921">
                  <c:v>376600</c:v>
                </c:pt>
                <c:pt idx="922">
                  <c:v>376900.00000000012</c:v>
                </c:pt>
                <c:pt idx="923">
                  <c:v>377200</c:v>
                </c:pt>
                <c:pt idx="924">
                  <c:v>377500</c:v>
                </c:pt>
                <c:pt idx="925">
                  <c:v>377800.00000000012</c:v>
                </c:pt>
                <c:pt idx="926">
                  <c:v>378100</c:v>
                </c:pt>
                <c:pt idx="927">
                  <c:v>378400.00000000012</c:v>
                </c:pt>
                <c:pt idx="928">
                  <c:v>378700</c:v>
                </c:pt>
                <c:pt idx="929">
                  <c:v>379000</c:v>
                </c:pt>
                <c:pt idx="930">
                  <c:v>379300.00000000012</c:v>
                </c:pt>
                <c:pt idx="931">
                  <c:v>379600</c:v>
                </c:pt>
                <c:pt idx="932">
                  <c:v>379900.00000000012</c:v>
                </c:pt>
                <c:pt idx="933">
                  <c:v>380200</c:v>
                </c:pt>
                <c:pt idx="934">
                  <c:v>380500</c:v>
                </c:pt>
                <c:pt idx="935">
                  <c:v>380800.00000000012</c:v>
                </c:pt>
                <c:pt idx="936">
                  <c:v>381100</c:v>
                </c:pt>
                <c:pt idx="937">
                  <c:v>381400.00000000012</c:v>
                </c:pt>
                <c:pt idx="938">
                  <c:v>381700</c:v>
                </c:pt>
                <c:pt idx="939">
                  <c:v>382000</c:v>
                </c:pt>
                <c:pt idx="940">
                  <c:v>382300.00000000012</c:v>
                </c:pt>
                <c:pt idx="941">
                  <c:v>382600</c:v>
                </c:pt>
                <c:pt idx="942">
                  <c:v>382900.00000000012</c:v>
                </c:pt>
                <c:pt idx="943">
                  <c:v>383200</c:v>
                </c:pt>
                <c:pt idx="944">
                  <c:v>383500</c:v>
                </c:pt>
                <c:pt idx="945">
                  <c:v>383800.00000000012</c:v>
                </c:pt>
                <c:pt idx="946">
                  <c:v>384100</c:v>
                </c:pt>
                <c:pt idx="947">
                  <c:v>384400.00000000012</c:v>
                </c:pt>
                <c:pt idx="948">
                  <c:v>384700</c:v>
                </c:pt>
                <c:pt idx="949">
                  <c:v>385000</c:v>
                </c:pt>
                <c:pt idx="950">
                  <c:v>385300.00000000012</c:v>
                </c:pt>
                <c:pt idx="951">
                  <c:v>385600</c:v>
                </c:pt>
                <c:pt idx="952">
                  <c:v>385900.00000000012</c:v>
                </c:pt>
                <c:pt idx="953">
                  <c:v>386200</c:v>
                </c:pt>
                <c:pt idx="954">
                  <c:v>386500</c:v>
                </c:pt>
                <c:pt idx="955">
                  <c:v>386800.00000000012</c:v>
                </c:pt>
                <c:pt idx="956">
                  <c:v>387100</c:v>
                </c:pt>
                <c:pt idx="957">
                  <c:v>387400.00000000012</c:v>
                </c:pt>
                <c:pt idx="958">
                  <c:v>387700</c:v>
                </c:pt>
                <c:pt idx="959">
                  <c:v>388000</c:v>
                </c:pt>
                <c:pt idx="960">
                  <c:v>388300.00000000012</c:v>
                </c:pt>
                <c:pt idx="961">
                  <c:v>388600</c:v>
                </c:pt>
                <c:pt idx="962">
                  <c:v>388900.00000000012</c:v>
                </c:pt>
                <c:pt idx="963">
                  <c:v>389200</c:v>
                </c:pt>
                <c:pt idx="964">
                  <c:v>389500</c:v>
                </c:pt>
                <c:pt idx="965">
                  <c:v>389800.00000000012</c:v>
                </c:pt>
                <c:pt idx="966">
                  <c:v>390100</c:v>
                </c:pt>
                <c:pt idx="967">
                  <c:v>390400.00000000012</c:v>
                </c:pt>
                <c:pt idx="968">
                  <c:v>390700</c:v>
                </c:pt>
                <c:pt idx="969">
                  <c:v>391000</c:v>
                </c:pt>
                <c:pt idx="970">
                  <c:v>391300.00000000012</c:v>
                </c:pt>
                <c:pt idx="971">
                  <c:v>391600</c:v>
                </c:pt>
                <c:pt idx="972">
                  <c:v>391900.00000000012</c:v>
                </c:pt>
                <c:pt idx="973">
                  <c:v>392200</c:v>
                </c:pt>
                <c:pt idx="974">
                  <c:v>392500</c:v>
                </c:pt>
                <c:pt idx="975">
                  <c:v>392800.00000000012</c:v>
                </c:pt>
                <c:pt idx="976">
                  <c:v>393100</c:v>
                </c:pt>
                <c:pt idx="977">
                  <c:v>393400.00000000012</c:v>
                </c:pt>
                <c:pt idx="978">
                  <c:v>393700</c:v>
                </c:pt>
                <c:pt idx="979">
                  <c:v>394000</c:v>
                </c:pt>
                <c:pt idx="980">
                  <c:v>394300.00000000012</c:v>
                </c:pt>
                <c:pt idx="981">
                  <c:v>394600</c:v>
                </c:pt>
                <c:pt idx="982">
                  <c:v>394900.00000000012</c:v>
                </c:pt>
                <c:pt idx="983">
                  <c:v>395200</c:v>
                </c:pt>
                <c:pt idx="984">
                  <c:v>395500</c:v>
                </c:pt>
                <c:pt idx="985">
                  <c:v>395800.00000000012</c:v>
                </c:pt>
                <c:pt idx="986">
                  <c:v>396100</c:v>
                </c:pt>
                <c:pt idx="987">
                  <c:v>396400.00000000012</c:v>
                </c:pt>
                <c:pt idx="988">
                  <c:v>396700</c:v>
                </c:pt>
                <c:pt idx="989">
                  <c:v>397000</c:v>
                </c:pt>
                <c:pt idx="990">
                  <c:v>397300.00000000012</c:v>
                </c:pt>
                <c:pt idx="991">
                  <c:v>397600</c:v>
                </c:pt>
                <c:pt idx="992">
                  <c:v>397900.00000000012</c:v>
                </c:pt>
                <c:pt idx="993">
                  <c:v>398200</c:v>
                </c:pt>
                <c:pt idx="994">
                  <c:v>398500</c:v>
                </c:pt>
                <c:pt idx="995">
                  <c:v>398800.00000000012</c:v>
                </c:pt>
                <c:pt idx="996">
                  <c:v>399100</c:v>
                </c:pt>
                <c:pt idx="997">
                  <c:v>399400.00000000012</c:v>
                </c:pt>
                <c:pt idx="998">
                  <c:v>399700</c:v>
                </c:pt>
                <c:pt idx="999">
                  <c:v>400000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11-442F-9E1C-DE268E0E6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208223"/>
        <c:axId val="123214047"/>
      </c:lineChart>
      <c:catAx>
        <c:axId val="1232082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700" b="1">
                    <a:solidFill>
                      <a:srgbClr val="C00000"/>
                    </a:solidFill>
                  </a:rPr>
                  <a:t>Proposition</a:t>
                </a:r>
              </a:p>
            </c:rich>
          </c:tx>
          <c:layout>
            <c:manualLayout>
              <c:xMode val="edge"/>
              <c:yMode val="edge"/>
              <c:x val="0.46447103350470342"/>
              <c:y val="0.952812613211397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214047"/>
        <c:crosses val="autoZero"/>
        <c:auto val="1"/>
        <c:lblAlgn val="ctr"/>
        <c:lblOffset val="100"/>
        <c:noMultiLvlLbl val="0"/>
      </c:catAx>
      <c:valAx>
        <c:axId val="123214047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700" b="1">
                    <a:solidFill>
                      <a:srgbClr val="C00000"/>
                    </a:solidFill>
                  </a:rPr>
                  <a:t>Bankroll Balance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208223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Impact to Stack Through</a:t>
            </a:r>
            <a:r>
              <a:rPr lang="en-US" baseline="0"/>
              <a:t> 500 Hands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BluffEconomics!$B$15:$B$514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cat>
          <c:val>
            <c:numRef>
              <c:f>BluffEconomics!$G$15:$G$514</c:f>
              <c:numCache>
                <c:formatCode>"$"#,##0_);[Red]\("$"#,##0\)</c:formatCode>
                <c:ptCount val="500"/>
                <c:pt idx="0">
                  <c:v>-70</c:v>
                </c:pt>
                <c:pt idx="1">
                  <c:v>30</c:v>
                </c:pt>
                <c:pt idx="2">
                  <c:v>130</c:v>
                </c:pt>
                <c:pt idx="3">
                  <c:v>60</c:v>
                </c:pt>
                <c:pt idx="4">
                  <c:v>-10</c:v>
                </c:pt>
                <c:pt idx="5">
                  <c:v>90</c:v>
                </c:pt>
                <c:pt idx="6">
                  <c:v>20</c:v>
                </c:pt>
                <c:pt idx="7">
                  <c:v>-50</c:v>
                </c:pt>
                <c:pt idx="8">
                  <c:v>50</c:v>
                </c:pt>
                <c:pt idx="9">
                  <c:v>150</c:v>
                </c:pt>
                <c:pt idx="10">
                  <c:v>250</c:v>
                </c:pt>
                <c:pt idx="11">
                  <c:v>180</c:v>
                </c:pt>
                <c:pt idx="12">
                  <c:v>110</c:v>
                </c:pt>
                <c:pt idx="13">
                  <c:v>40</c:v>
                </c:pt>
                <c:pt idx="14">
                  <c:v>140</c:v>
                </c:pt>
                <c:pt idx="15">
                  <c:v>70</c:v>
                </c:pt>
                <c:pt idx="16">
                  <c:v>0</c:v>
                </c:pt>
                <c:pt idx="17">
                  <c:v>-70</c:v>
                </c:pt>
                <c:pt idx="18">
                  <c:v>30</c:v>
                </c:pt>
                <c:pt idx="19">
                  <c:v>-40</c:v>
                </c:pt>
                <c:pt idx="20">
                  <c:v>60</c:v>
                </c:pt>
                <c:pt idx="21">
                  <c:v>-10</c:v>
                </c:pt>
                <c:pt idx="22">
                  <c:v>-80</c:v>
                </c:pt>
                <c:pt idx="23">
                  <c:v>-150</c:v>
                </c:pt>
                <c:pt idx="24">
                  <c:v>-50</c:v>
                </c:pt>
                <c:pt idx="25">
                  <c:v>50</c:v>
                </c:pt>
                <c:pt idx="26">
                  <c:v>-20</c:v>
                </c:pt>
                <c:pt idx="27">
                  <c:v>-90</c:v>
                </c:pt>
                <c:pt idx="28">
                  <c:v>10</c:v>
                </c:pt>
                <c:pt idx="29">
                  <c:v>-60</c:v>
                </c:pt>
                <c:pt idx="30">
                  <c:v>-130</c:v>
                </c:pt>
                <c:pt idx="31">
                  <c:v>-30</c:v>
                </c:pt>
                <c:pt idx="32">
                  <c:v>70</c:v>
                </c:pt>
                <c:pt idx="33">
                  <c:v>170</c:v>
                </c:pt>
                <c:pt idx="34">
                  <c:v>100</c:v>
                </c:pt>
                <c:pt idx="35">
                  <c:v>30</c:v>
                </c:pt>
                <c:pt idx="36">
                  <c:v>-40</c:v>
                </c:pt>
                <c:pt idx="37">
                  <c:v>60</c:v>
                </c:pt>
                <c:pt idx="38">
                  <c:v>-10</c:v>
                </c:pt>
                <c:pt idx="39">
                  <c:v>-80</c:v>
                </c:pt>
                <c:pt idx="40">
                  <c:v>20</c:v>
                </c:pt>
                <c:pt idx="41">
                  <c:v>120</c:v>
                </c:pt>
                <c:pt idx="42">
                  <c:v>220</c:v>
                </c:pt>
                <c:pt idx="43">
                  <c:v>320</c:v>
                </c:pt>
                <c:pt idx="44">
                  <c:v>420</c:v>
                </c:pt>
                <c:pt idx="45">
                  <c:v>520</c:v>
                </c:pt>
                <c:pt idx="46">
                  <c:v>620</c:v>
                </c:pt>
                <c:pt idx="47">
                  <c:v>550</c:v>
                </c:pt>
                <c:pt idx="48">
                  <c:v>650</c:v>
                </c:pt>
                <c:pt idx="49">
                  <c:v>580</c:v>
                </c:pt>
                <c:pt idx="50">
                  <c:v>680</c:v>
                </c:pt>
                <c:pt idx="51">
                  <c:v>610</c:v>
                </c:pt>
                <c:pt idx="52">
                  <c:v>540</c:v>
                </c:pt>
                <c:pt idx="53">
                  <c:v>640</c:v>
                </c:pt>
                <c:pt idx="54">
                  <c:v>570</c:v>
                </c:pt>
                <c:pt idx="55">
                  <c:v>670</c:v>
                </c:pt>
                <c:pt idx="56">
                  <c:v>770</c:v>
                </c:pt>
                <c:pt idx="57">
                  <c:v>700</c:v>
                </c:pt>
                <c:pt idx="58">
                  <c:v>800</c:v>
                </c:pt>
                <c:pt idx="59">
                  <c:v>900</c:v>
                </c:pt>
                <c:pt idx="60">
                  <c:v>1000</c:v>
                </c:pt>
                <c:pt idx="61">
                  <c:v>1100</c:v>
                </c:pt>
                <c:pt idx="62">
                  <c:v>1200</c:v>
                </c:pt>
                <c:pt idx="63">
                  <c:v>1300</c:v>
                </c:pt>
                <c:pt idx="64">
                  <c:v>1230</c:v>
                </c:pt>
                <c:pt idx="65">
                  <c:v>1160</c:v>
                </c:pt>
                <c:pt idx="66">
                  <c:v>1260</c:v>
                </c:pt>
                <c:pt idx="67">
                  <c:v>1190</c:v>
                </c:pt>
                <c:pt idx="68">
                  <c:v>1120</c:v>
                </c:pt>
                <c:pt idx="69">
                  <c:v>1050</c:v>
                </c:pt>
                <c:pt idx="70">
                  <c:v>1150</c:v>
                </c:pt>
                <c:pt idx="71">
                  <c:v>1250</c:v>
                </c:pt>
                <c:pt idx="72">
                  <c:v>1180</c:v>
                </c:pt>
                <c:pt idx="73">
                  <c:v>1110</c:v>
                </c:pt>
                <c:pt idx="74">
                  <c:v>1210</c:v>
                </c:pt>
                <c:pt idx="75">
                  <c:v>1140</c:v>
                </c:pt>
                <c:pt idx="76">
                  <c:v>1070</c:v>
                </c:pt>
                <c:pt idx="77">
                  <c:v>1170</c:v>
                </c:pt>
                <c:pt idx="78">
                  <c:v>1270</c:v>
                </c:pt>
                <c:pt idx="79">
                  <c:v>1370</c:v>
                </c:pt>
                <c:pt idx="80">
                  <c:v>1470</c:v>
                </c:pt>
                <c:pt idx="81">
                  <c:v>1570</c:v>
                </c:pt>
                <c:pt idx="82">
                  <c:v>1670</c:v>
                </c:pt>
                <c:pt idx="83">
                  <c:v>1770</c:v>
                </c:pt>
                <c:pt idx="84">
                  <c:v>1700</c:v>
                </c:pt>
                <c:pt idx="85">
                  <c:v>1800</c:v>
                </c:pt>
                <c:pt idx="86">
                  <c:v>1730</c:v>
                </c:pt>
                <c:pt idx="87">
                  <c:v>1830</c:v>
                </c:pt>
                <c:pt idx="88">
                  <c:v>1930</c:v>
                </c:pt>
                <c:pt idx="89">
                  <c:v>2030</c:v>
                </c:pt>
                <c:pt idx="90">
                  <c:v>1960</c:v>
                </c:pt>
                <c:pt idx="91">
                  <c:v>2060</c:v>
                </c:pt>
                <c:pt idx="92">
                  <c:v>1990</c:v>
                </c:pt>
                <c:pt idx="93">
                  <c:v>1920</c:v>
                </c:pt>
                <c:pt idx="94">
                  <c:v>1850</c:v>
                </c:pt>
                <c:pt idx="95">
                  <c:v>1950</c:v>
                </c:pt>
                <c:pt idx="96">
                  <c:v>2050</c:v>
                </c:pt>
                <c:pt idx="97">
                  <c:v>1980</c:v>
                </c:pt>
                <c:pt idx="98">
                  <c:v>1910</c:v>
                </c:pt>
                <c:pt idx="99">
                  <c:v>1840</c:v>
                </c:pt>
                <c:pt idx="100">
                  <c:v>1770</c:v>
                </c:pt>
                <c:pt idx="101">
                  <c:v>1870</c:v>
                </c:pt>
                <c:pt idx="102">
                  <c:v>1800</c:v>
                </c:pt>
                <c:pt idx="103">
                  <c:v>1900</c:v>
                </c:pt>
                <c:pt idx="104">
                  <c:v>2000</c:v>
                </c:pt>
                <c:pt idx="105">
                  <c:v>2100</c:v>
                </c:pt>
                <c:pt idx="106">
                  <c:v>2200</c:v>
                </c:pt>
                <c:pt idx="107">
                  <c:v>2300</c:v>
                </c:pt>
                <c:pt idx="108">
                  <c:v>2230</c:v>
                </c:pt>
                <c:pt idx="109">
                  <c:v>2160</c:v>
                </c:pt>
                <c:pt idx="110">
                  <c:v>2090</c:v>
                </c:pt>
                <c:pt idx="111">
                  <c:v>2190</c:v>
                </c:pt>
                <c:pt idx="112">
                  <c:v>2290</c:v>
                </c:pt>
                <c:pt idx="113">
                  <c:v>2220</c:v>
                </c:pt>
                <c:pt idx="114">
                  <c:v>2150</c:v>
                </c:pt>
                <c:pt idx="115">
                  <c:v>2080</c:v>
                </c:pt>
                <c:pt idx="116">
                  <c:v>2010</c:v>
                </c:pt>
                <c:pt idx="117">
                  <c:v>1940</c:v>
                </c:pt>
                <c:pt idx="118">
                  <c:v>1870</c:v>
                </c:pt>
                <c:pt idx="119">
                  <c:v>1970</c:v>
                </c:pt>
                <c:pt idx="120">
                  <c:v>2070</c:v>
                </c:pt>
                <c:pt idx="121">
                  <c:v>2170</c:v>
                </c:pt>
                <c:pt idx="122">
                  <c:v>2270</c:v>
                </c:pt>
                <c:pt idx="123">
                  <c:v>2370</c:v>
                </c:pt>
                <c:pt idx="124">
                  <c:v>2470</c:v>
                </c:pt>
                <c:pt idx="125">
                  <c:v>2400</c:v>
                </c:pt>
                <c:pt idx="126">
                  <c:v>2330</c:v>
                </c:pt>
                <c:pt idx="127">
                  <c:v>2260</c:v>
                </c:pt>
                <c:pt idx="128">
                  <c:v>2190</c:v>
                </c:pt>
                <c:pt idx="129">
                  <c:v>2290</c:v>
                </c:pt>
                <c:pt idx="130">
                  <c:v>2390</c:v>
                </c:pt>
                <c:pt idx="131">
                  <c:v>2320</c:v>
                </c:pt>
                <c:pt idx="132">
                  <c:v>2420</c:v>
                </c:pt>
                <c:pt idx="133">
                  <c:v>2520</c:v>
                </c:pt>
                <c:pt idx="134">
                  <c:v>2450</c:v>
                </c:pt>
                <c:pt idx="135">
                  <c:v>2550</c:v>
                </c:pt>
                <c:pt idx="136">
                  <c:v>2480</c:v>
                </c:pt>
                <c:pt idx="137">
                  <c:v>2580</c:v>
                </c:pt>
                <c:pt idx="138">
                  <c:v>2510</c:v>
                </c:pt>
                <c:pt idx="139">
                  <c:v>2440</c:v>
                </c:pt>
                <c:pt idx="140">
                  <c:v>2540</c:v>
                </c:pt>
                <c:pt idx="141">
                  <c:v>2470</c:v>
                </c:pt>
                <c:pt idx="142">
                  <c:v>2400</c:v>
                </c:pt>
                <c:pt idx="143">
                  <c:v>2330</c:v>
                </c:pt>
                <c:pt idx="144">
                  <c:v>2260</c:v>
                </c:pt>
                <c:pt idx="145">
                  <c:v>2360</c:v>
                </c:pt>
                <c:pt idx="146">
                  <c:v>2460</c:v>
                </c:pt>
                <c:pt idx="147">
                  <c:v>2560</c:v>
                </c:pt>
                <c:pt idx="148">
                  <c:v>2490</c:v>
                </c:pt>
                <c:pt idx="149">
                  <c:v>2590</c:v>
                </c:pt>
                <c:pt idx="150">
                  <c:v>2690</c:v>
                </c:pt>
                <c:pt idx="151">
                  <c:v>2790</c:v>
                </c:pt>
                <c:pt idx="152">
                  <c:v>2890</c:v>
                </c:pt>
                <c:pt idx="153">
                  <c:v>2990</c:v>
                </c:pt>
                <c:pt idx="154">
                  <c:v>2920</c:v>
                </c:pt>
                <c:pt idx="155">
                  <c:v>2850</c:v>
                </c:pt>
                <c:pt idx="156">
                  <c:v>2780</c:v>
                </c:pt>
                <c:pt idx="157">
                  <c:v>2710</c:v>
                </c:pt>
                <c:pt idx="158">
                  <c:v>2810</c:v>
                </c:pt>
                <c:pt idx="159">
                  <c:v>2910</c:v>
                </c:pt>
                <c:pt idx="160">
                  <c:v>3010</c:v>
                </c:pt>
                <c:pt idx="161">
                  <c:v>2940</c:v>
                </c:pt>
                <c:pt idx="162">
                  <c:v>2870</c:v>
                </c:pt>
                <c:pt idx="163">
                  <c:v>2970</c:v>
                </c:pt>
                <c:pt idx="164">
                  <c:v>2900</c:v>
                </c:pt>
                <c:pt idx="165">
                  <c:v>3000</c:v>
                </c:pt>
                <c:pt idx="166">
                  <c:v>2930</c:v>
                </c:pt>
                <c:pt idx="167">
                  <c:v>3030</c:v>
                </c:pt>
                <c:pt idx="168">
                  <c:v>2960</c:v>
                </c:pt>
                <c:pt idx="169">
                  <c:v>3060</c:v>
                </c:pt>
                <c:pt idx="170">
                  <c:v>3160</c:v>
                </c:pt>
                <c:pt idx="171">
                  <c:v>3090</c:v>
                </c:pt>
                <c:pt idx="172">
                  <c:v>3190</c:v>
                </c:pt>
                <c:pt idx="173">
                  <c:v>3120</c:v>
                </c:pt>
                <c:pt idx="174">
                  <c:v>3050</c:v>
                </c:pt>
                <c:pt idx="175">
                  <c:v>2980</c:v>
                </c:pt>
                <c:pt idx="176">
                  <c:v>3080</c:v>
                </c:pt>
                <c:pt idx="177">
                  <c:v>3180</c:v>
                </c:pt>
                <c:pt idx="178">
                  <c:v>3110</c:v>
                </c:pt>
                <c:pt idx="179">
                  <c:v>3210</c:v>
                </c:pt>
                <c:pt idx="180">
                  <c:v>3310</c:v>
                </c:pt>
                <c:pt idx="181">
                  <c:v>3240</c:v>
                </c:pt>
                <c:pt idx="182">
                  <c:v>3170</c:v>
                </c:pt>
                <c:pt idx="183">
                  <c:v>3270</c:v>
                </c:pt>
                <c:pt idx="184">
                  <c:v>3200</c:v>
                </c:pt>
                <c:pt idx="185">
                  <c:v>3130</c:v>
                </c:pt>
                <c:pt idx="186">
                  <c:v>3230</c:v>
                </c:pt>
                <c:pt idx="187">
                  <c:v>3330</c:v>
                </c:pt>
                <c:pt idx="188">
                  <c:v>3260</c:v>
                </c:pt>
                <c:pt idx="189">
                  <c:v>3190</c:v>
                </c:pt>
                <c:pt idx="190">
                  <c:v>3290</c:v>
                </c:pt>
                <c:pt idx="191">
                  <c:v>3220</c:v>
                </c:pt>
                <c:pt idx="192">
                  <c:v>3150</c:v>
                </c:pt>
                <c:pt idx="193">
                  <c:v>3080</c:v>
                </c:pt>
                <c:pt idx="194">
                  <c:v>3010</c:v>
                </c:pt>
                <c:pt idx="195">
                  <c:v>2940</c:v>
                </c:pt>
                <c:pt idx="196">
                  <c:v>2870</c:v>
                </c:pt>
                <c:pt idx="197">
                  <c:v>2970</c:v>
                </c:pt>
                <c:pt idx="198">
                  <c:v>3070</c:v>
                </c:pt>
                <c:pt idx="199">
                  <c:v>3170</c:v>
                </c:pt>
                <c:pt idx="200">
                  <c:v>3100</c:v>
                </c:pt>
                <c:pt idx="201">
                  <c:v>3200</c:v>
                </c:pt>
                <c:pt idx="202">
                  <c:v>3300</c:v>
                </c:pt>
                <c:pt idx="203">
                  <c:v>3400</c:v>
                </c:pt>
                <c:pt idx="204">
                  <c:v>3330</c:v>
                </c:pt>
                <c:pt idx="205">
                  <c:v>3260</c:v>
                </c:pt>
                <c:pt idx="206">
                  <c:v>3190</c:v>
                </c:pt>
                <c:pt idx="207">
                  <c:v>3120</c:v>
                </c:pt>
                <c:pt idx="208">
                  <c:v>3050</c:v>
                </c:pt>
                <c:pt idx="209">
                  <c:v>3150</c:v>
                </c:pt>
                <c:pt idx="210">
                  <c:v>3080</c:v>
                </c:pt>
                <c:pt idx="211">
                  <c:v>3180</c:v>
                </c:pt>
                <c:pt idx="212">
                  <c:v>3110</c:v>
                </c:pt>
                <c:pt idx="213">
                  <c:v>3210</c:v>
                </c:pt>
                <c:pt idx="214">
                  <c:v>3310</c:v>
                </c:pt>
                <c:pt idx="215">
                  <c:v>3240</c:v>
                </c:pt>
                <c:pt idx="216">
                  <c:v>3340</c:v>
                </c:pt>
                <c:pt idx="217">
                  <c:v>3440</c:v>
                </c:pt>
                <c:pt idx="218">
                  <c:v>3540</c:v>
                </c:pt>
                <c:pt idx="219">
                  <c:v>3470</c:v>
                </c:pt>
                <c:pt idx="220">
                  <c:v>3400</c:v>
                </c:pt>
                <c:pt idx="221">
                  <c:v>3330</c:v>
                </c:pt>
                <c:pt idx="222">
                  <c:v>3260</c:v>
                </c:pt>
                <c:pt idx="223">
                  <c:v>3190</c:v>
                </c:pt>
                <c:pt idx="224">
                  <c:v>3290</c:v>
                </c:pt>
                <c:pt idx="225">
                  <c:v>3220</c:v>
                </c:pt>
                <c:pt idx="226">
                  <c:v>3320</c:v>
                </c:pt>
                <c:pt idx="227">
                  <c:v>3420</c:v>
                </c:pt>
                <c:pt idx="228">
                  <c:v>3520</c:v>
                </c:pt>
                <c:pt idx="229">
                  <c:v>3450</c:v>
                </c:pt>
                <c:pt idx="230">
                  <c:v>3550</c:v>
                </c:pt>
                <c:pt idx="231">
                  <c:v>3480</c:v>
                </c:pt>
                <c:pt idx="232">
                  <c:v>3580</c:v>
                </c:pt>
                <c:pt idx="233">
                  <c:v>3680</c:v>
                </c:pt>
                <c:pt idx="234">
                  <c:v>3610</c:v>
                </c:pt>
                <c:pt idx="235">
                  <c:v>3540</c:v>
                </c:pt>
                <c:pt idx="236">
                  <c:v>3470</c:v>
                </c:pt>
                <c:pt idx="237">
                  <c:v>3570</c:v>
                </c:pt>
                <c:pt idx="238">
                  <c:v>3670</c:v>
                </c:pt>
                <c:pt idx="239">
                  <c:v>3770</c:v>
                </c:pt>
                <c:pt idx="240">
                  <c:v>3870</c:v>
                </c:pt>
                <c:pt idx="241">
                  <c:v>3970</c:v>
                </c:pt>
                <c:pt idx="242">
                  <c:v>3900</c:v>
                </c:pt>
                <c:pt idx="243">
                  <c:v>3830</c:v>
                </c:pt>
                <c:pt idx="244">
                  <c:v>3760</c:v>
                </c:pt>
                <c:pt idx="245">
                  <c:v>3860</c:v>
                </c:pt>
                <c:pt idx="246">
                  <c:v>3790</c:v>
                </c:pt>
                <c:pt idx="247">
                  <c:v>3890</c:v>
                </c:pt>
                <c:pt idx="248">
                  <c:v>3820</c:v>
                </c:pt>
                <c:pt idx="249">
                  <c:v>3750</c:v>
                </c:pt>
                <c:pt idx="250">
                  <c:v>3850</c:v>
                </c:pt>
                <c:pt idx="251">
                  <c:v>3780</c:v>
                </c:pt>
                <c:pt idx="252">
                  <c:v>3710</c:v>
                </c:pt>
                <c:pt idx="253">
                  <c:v>3810</c:v>
                </c:pt>
                <c:pt idx="254">
                  <c:v>3910</c:v>
                </c:pt>
                <c:pt idx="255">
                  <c:v>4010</c:v>
                </c:pt>
                <c:pt idx="256">
                  <c:v>3940</c:v>
                </c:pt>
                <c:pt idx="257">
                  <c:v>3870</c:v>
                </c:pt>
                <c:pt idx="258">
                  <c:v>3800</c:v>
                </c:pt>
                <c:pt idx="259">
                  <c:v>3900</c:v>
                </c:pt>
                <c:pt idx="260">
                  <c:v>4000</c:v>
                </c:pt>
                <c:pt idx="261">
                  <c:v>4100</c:v>
                </c:pt>
                <c:pt idx="262">
                  <c:v>4200</c:v>
                </c:pt>
                <c:pt idx="263">
                  <c:v>4300</c:v>
                </c:pt>
                <c:pt idx="264">
                  <c:v>4230</c:v>
                </c:pt>
                <c:pt idx="265">
                  <c:v>4160</c:v>
                </c:pt>
                <c:pt idx="266">
                  <c:v>4090</c:v>
                </c:pt>
                <c:pt idx="267">
                  <c:v>4190</c:v>
                </c:pt>
                <c:pt idx="268">
                  <c:v>4120</c:v>
                </c:pt>
                <c:pt idx="269">
                  <c:v>4220</c:v>
                </c:pt>
                <c:pt idx="270">
                  <c:v>4320</c:v>
                </c:pt>
                <c:pt idx="271">
                  <c:v>4420</c:v>
                </c:pt>
                <c:pt idx="272">
                  <c:v>4520</c:v>
                </c:pt>
                <c:pt idx="273">
                  <c:v>4450</c:v>
                </c:pt>
                <c:pt idx="274">
                  <c:v>4380</c:v>
                </c:pt>
                <c:pt idx="275">
                  <c:v>4310</c:v>
                </c:pt>
                <c:pt idx="276">
                  <c:v>4410</c:v>
                </c:pt>
                <c:pt idx="277">
                  <c:v>4510</c:v>
                </c:pt>
                <c:pt idx="278">
                  <c:v>4610</c:v>
                </c:pt>
                <c:pt idx="279">
                  <c:v>4540</c:v>
                </c:pt>
                <c:pt idx="280">
                  <c:v>4640</c:v>
                </c:pt>
                <c:pt idx="281">
                  <c:v>4570</c:v>
                </c:pt>
                <c:pt idx="282">
                  <c:v>4670</c:v>
                </c:pt>
                <c:pt idx="283">
                  <c:v>4770</c:v>
                </c:pt>
                <c:pt idx="284">
                  <c:v>4700</c:v>
                </c:pt>
                <c:pt idx="285">
                  <c:v>4800</c:v>
                </c:pt>
                <c:pt idx="286">
                  <c:v>4730</c:v>
                </c:pt>
                <c:pt idx="287">
                  <c:v>4830</c:v>
                </c:pt>
                <c:pt idx="288">
                  <c:v>4930</c:v>
                </c:pt>
                <c:pt idx="289">
                  <c:v>4860</c:v>
                </c:pt>
                <c:pt idx="290">
                  <c:v>4790</c:v>
                </c:pt>
                <c:pt idx="291">
                  <c:v>4720</c:v>
                </c:pt>
                <c:pt idx="292">
                  <c:v>4650</c:v>
                </c:pt>
                <c:pt idx="293">
                  <c:v>4750</c:v>
                </c:pt>
                <c:pt idx="294">
                  <c:v>4680</c:v>
                </c:pt>
                <c:pt idx="295">
                  <c:v>4610</c:v>
                </c:pt>
                <c:pt idx="296">
                  <c:v>4710</c:v>
                </c:pt>
                <c:pt idx="297">
                  <c:v>4810</c:v>
                </c:pt>
                <c:pt idx="298">
                  <c:v>4910</c:v>
                </c:pt>
                <c:pt idx="299">
                  <c:v>4840</c:v>
                </c:pt>
                <c:pt idx="300">
                  <c:v>4770</c:v>
                </c:pt>
                <c:pt idx="301">
                  <c:v>4870</c:v>
                </c:pt>
                <c:pt idx="302">
                  <c:v>4800</c:v>
                </c:pt>
                <c:pt idx="303">
                  <c:v>4730</c:v>
                </c:pt>
                <c:pt idx="304">
                  <c:v>4830</c:v>
                </c:pt>
                <c:pt idx="305">
                  <c:v>4760</c:v>
                </c:pt>
                <c:pt idx="306">
                  <c:v>4690</c:v>
                </c:pt>
                <c:pt idx="307">
                  <c:v>4620</c:v>
                </c:pt>
                <c:pt idx="308">
                  <c:v>4720</c:v>
                </c:pt>
                <c:pt idx="309">
                  <c:v>4820</c:v>
                </c:pt>
                <c:pt idx="310">
                  <c:v>4750</c:v>
                </c:pt>
                <c:pt idx="311">
                  <c:v>4680</c:v>
                </c:pt>
                <c:pt idx="312">
                  <c:v>4610</c:v>
                </c:pt>
                <c:pt idx="313">
                  <c:v>4710</c:v>
                </c:pt>
                <c:pt idx="314">
                  <c:v>4810</c:v>
                </c:pt>
                <c:pt idx="315">
                  <c:v>4910</c:v>
                </c:pt>
                <c:pt idx="316">
                  <c:v>4840</c:v>
                </c:pt>
                <c:pt idx="317">
                  <c:v>4940</c:v>
                </c:pt>
                <c:pt idx="318">
                  <c:v>5040</c:v>
                </c:pt>
                <c:pt idx="319">
                  <c:v>5140</c:v>
                </c:pt>
                <c:pt idx="320">
                  <c:v>5070</c:v>
                </c:pt>
                <c:pt idx="321">
                  <c:v>5170</c:v>
                </c:pt>
                <c:pt idx="322">
                  <c:v>5100</c:v>
                </c:pt>
                <c:pt idx="323">
                  <c:v>5200</c:v>
                </c:pt>
                <c:pt idx="324">
                  <c:v>5300</c:v>
                </c:pt>
                <c:pt idx="325">
                  <c:v>5230</c:v>
                </c:pt>
                <c:pt idx="326">
                  <c:v>5330</c:v>
                </c:pt>
                <c:pt idx="327">
                  <c:v>5430</c:v>
                </c:pt>
                <c:pt idx="328">
                  <c:v>5360</c:v>
                </c:pt>
                <c:pt idx="329">
                  <c:v>5460</c:v>
                </c:pt>
                <c:pt idx="330">
                  <c:v>5560</c:v>
                </c:pt>
                <c:pt idx="331">
                  <c:v>5490</c:v>
                </c:pt>
                <c:pt idx="332">
                  <c:v>5420</c:v>
                </c:pt>
                <c:pt idx="333">
                  <c:v>5350</c:v>
                </c:pt>
                <c:pt idx="334">
                  <c:v>5450</c:v>
                </c:pt>
                <c:pt idx="335">
                  <c:v>5550</c:v>
                </c:pt>
                <c:pt idx="336">
                  <c:v>5650</c:v>
                </c:pt>
                <c:pt idx="337">
                  <c:v>5750</c:v>
                </c:pt>
                <c:pt idx="338">
                  <c:v>5680</c:v>
                </c:pt>
                <c:pt idx="339">
                  <c:v>5610</c:v>
                </c:pt>
                <c:pt idx="340">
                  <c:v>5710</c:v>
                </c:pt>
                <c:pt idx="341">
                  <c:v>5640</c:v>
                </c:pt>
                <c:pt idx="342">
                  <c:v>5740</c:v>
                </c:pt>
                <c:pt idx="343">
                  <c:v>5840</c:v>
                </c:pt>
                <c:pt idx="344">
                  <c:v>5770</c:v>
                </c:pt>
                <c:pt idx="345">
                  <c:v>5700</c:v>
                </c:pt>
                <c:pt idx="346">
                  <c:v>5800</c:v>
                </c:pt>
                <c:pt idx="347">
                  <c:v>5900</c:v>
                </c:pt>
                <c:pt idx="348">
                  <c:v>5830</c:v>
                </c:pt>
                <c:pt idx="349">
                  <c:v>5930</c:v>
                </c:pt>
                <c:pt idx="350">
                  <c:v>5860</c:v>
                </c:pt>
                <c:pt idx="351">
                  <c:v>5960</c:v>
                </c:pt>
                <c:pt idx="352">
                  <c:v>5890</c:v>
                </c:pt>
                <c:pt idx="353">
                  <c:v>5990</c:v>
                </c:pt>
                <c:pt idx="354">
                  <c:v>5920</c:v>
                </c:pt>
                <c:pt idx="355">
                  <c:v>6020</c:v>
                </c:pt>
                <c:pt idx="356">
                  <c:v>5950</c:v>
                </c:pt>
                <c:pt idx="357">
                  <c:v>5880</c:v>
                </c:pt>
                <c:pt idx="358">
                  <c:v>5810</c:v>
                </c:pt>
                <c:pt idx="359">
                  <c:v>5740</c:v>
                </c:pt>
                <c:pt idx="360">
                  <c:v>5840</c:v>
                </c:pt>
                <c:pt idx="361">
                  <c:v>5770</c:v>
                </c:pt>
                <c:pt idx="362">
                  <c:v>5700</c:v>
                </c:pt>
                <c:pt idx="363">
                  <c:v>5800</c:v>
                </c:pt>
                <c:pt idx="364">
                  <c:v>5730</c:v>
                </c:pt>
                <c:pt idx="365">
                  <c:v>5830</c:v>
                </c:pt>
                <c:pt idx="366">
                  <c:v>5930</c:v>
                </c:pt>
                <c:pt idx="367">
                  <c:v>6030</c:v>
                </c:pt>
                <c:pt idx="368">
                  <c:v>6130</c:v>
                </c:pt>
                <c:pt idx="369">
                  <c:v>6060</c:v>
                </c:pt>
                <c:pt idx="370">
                  <c:v>5990</c:v>
                </c:pt>
                <c:pt idx="371">
                  <c:v>5920</c:v>
                </c:pt>
                <c:pt idx="372">
                  <c:v>5850</c:v>
                </c:pt>
                <c:pt idx="373">
                  <c:v>5780</c:v>
                </c:pt>
                <c:pt idx="374">
                  <c:v>5710</c:v>
                </c:pt>
                <c:pt idx="375">
                  <c:v>5810</c:v>
                </c:pt>
                <c:pt idx="376">
                  <c:v>5740</c:v>
                </c:pt>
                <c:pt idx="377">
                  <c:v>5670</c:v>
                </c:pt>
                <c:pt idx="378">
                  <c:v>5770</c:v>
                </c:pt>
                <c:pt idx="379">
                  <c:v>5700</c:v>
                </c:pt>
                <c:pt idx="380">
                  <c:v>5630</c:v>
                </c:pt>
                <c:pt idx="381">
                  <c:v>5730</c:v>
                </c:pt>
                <c:pt idx="382">
                  <c:v>5830</c:v>
                </c:pt>
                <c:pt idx="383">
                  <c:v>5760</c:v>
                </c:pt>
                <c:pt idx="384">
                  <c:v>5690</c:v>
                </c:pt>
                <c:pt idx="385">
                  <c:v>5620</c:v>
                </c:pt>
                <c:pt idx="386">
                  <c:v>5550</c:v>
                </c:pt>
                <c:pt idx="387">
                  <c:v>5650</c:v>
                </c:pt>
                <c:pt idx="388">
                  <c:v>5580</c:v>
                </c:pt>
                <c:pt idx="389">
                  <c:v>5510</c:v>
                </c:pt>
                <c:pt idx="390">
                  <c:v>5440</c:v>
                </c:pt>
                <c:pt idx="391">
                  <c:v>5370</c:v>
                </c:pt>
                <c:pt idx="392">
                  <c:v>5300</c:v>
                </c:pt>
                <c:pt idx="393">
                  <c:v>5230</c:v>
                </c:pt>
                <c:pt idx="394">
                  <c:v>5330</c:v>
                </c:pt>
                <c:pt idx="395">
                  <c:v>5430</c:v>
                </c:pt>
                <c:pt idx="396">
                  <c:v>5360</c:v>
                </c:pt>
                <c:pt idx="397">
                  <c:v>5460</c:v>
                </c:pt>
                <c:pt idx="398">
                  <c:v>5560</c:v>
                </c:pt>
                <c:pt idx="399">
                  <c:v>5660</c:v>
                </c:pt>
                <c:pt idx="400">
                  <c:v>5760</c:v>
                </c:pt>
                <c:pt idx="401">
                  <c:v>5690</c:v>
                </c:pt>
                <c:pt idx="402">
                  <c:v>5790</c:v>
                </c:pt>
                <c:pt idx="403">
                  <c:v>5720</c:v>
                </c:pt>
                <c:pt idx="404">
                  <c:v>5650</c:v>
                </c:pt>
                <c:pt idx="405">
                  <c:v>5580</c:v>
                </c:pt>
                <c:pt idx="406">
                  <c:v>5680</c:v>
                </c:pt>
                <c:pt idx="407">
                  <c:v>5780</c:v>
                </c:pt>
                <c:pt idx="408">
                  <c:v>5710</c:v>
                </c:pt>
                <c:pt idx="409">
                  <c:v>5640</c:v>
                </c:pt>
                <c:pt idx="410">
                  <c:v>5570</c:v>
                </c:pt>
                <c:pt idx="411">
                  <c:v>5670</c:v>
                </c:pt>
                <c:pt idx="412">
                  <c:v>5600</c:v>
                </c:pt>
                <c:pt idx="413">
                  <c:v>5700</c:v>
                </c:pt>
                <c:pt idx="414">
                  <c:v>5800</c:v>
                </c:pt>
                <c:pt idx="415">
                  <c:v>5730</c:v>
                </c:pt>
                <c:pt idx="416">
                  <c:v>5660</c:v>
                </c:pt>
                <c:pt idx="417">
                  <c:v>5760</c:v>
                </c:pt>
                <c:pt idx="418">
                  <c:v>5690</c:v>
                </c:pt>
                <c:pt idx="419">
                  <c:v>5790</c:v>
                </c:pt>
                <c:pt idx="420">
                  <c:v>5890</c:v>
                </c:pt>
                <c:pt idx="421">
                  <c:v>5990</c:v>
                </c:pt>
                <c:pt idx="422">
                  <c:v>6090</c:v>
                </c:pt>
                <c:pt idx="423">
                  <c:v>6190</c:v>
                </c:pt>
                <c:pt idx="424">
                  <c:v>6120</c:v>
                </c:pt>
                <c:pt idx="425">
                  <c:v>6220</c:v>
                </c:pt>
                <c:pt idx="426">
                  <c:v>6320</c:v>
                </c:pt>
                <c:pt idx="427">
                  <c:v>6420</c:v>
                </c:pt>
                <c:pt idx="428">
                  <c:v>6350</c:v>
                </c:pt>
                <c:pt idx="429">
                  <c:v>6280</c:v>
                </c:pt>
                <c:pt idx="430">
                  <c:v>6210</c:v>
                </c:pt>
                <c:pt idx="431">
                  <c:v>6140</c:v>
                </c:pt>
                <c:pt idx="432">
                  <c:v>6240</c:v>
                </c:pt>
                <c:pt idx="433">
                  <c:v>6340</c:v>
                </c:pt>
                <c:pt idx="434">
                  <c:v>6270</c:v>
                </c:pt>
                <c:pt idx="435">
                  <c:v>6370</c:v>
                </c:pt>
                <c:pt idx="436">
                  <c:v>6300</c:v>
                </c:pt>
                <c:pt idx="437">
                  <c:v>6400</c:v>
                </c:pt>
                <c:pt idx="438">
                  <c:v>6500</c:v>
                </c:pt>
                <c:pt idx="439">
                  <c:v>6600</c:v>
                </c:pt>
                <c:pt idx="440">
                  <c:v>6530</c:v>
                </c:pt>
                <c:pt idx="441">
                  <c:v>6460</c:v>
                </c:pt>
                <c:pt idx="442">
                  <c:v>6560</c:v>
                </c:pt>
                <c:pt idx="443">
                  <c:v>6660</c:v>
                </c:pt>
                <c:pt idx="444">
                  <c:v>6590</c:v>
                </c:pt>
                <c:pt idx="445">
                  <c:v>6520</c:v>
                </c:pt>
                <c:pt idx="446">
                  <c:v>6620</c:v>
                </c:pt>
                <c:pt idx="447">
                  <c:v>6720</c:v>
                </c:pt>
                <c:pt idx="448">
                  <c:v>6650</c:v>
                </c:pt>
                <c:pt idx="449">
                  <c:v>6750</c:v>
                </c:pt>
                <c:pt idx="450">
                  <c:v>6850</c:v>
                </c:pt>
                <c:pt idx="451">
                  <c:v>6950</c:v>
                </c:pt>
                <c:pt idx="452">
                  <c:v>7050</c:v>
                </c:pt>
                <c:pt idx="453">
                  <c:v>6980</c:v>
                </c:pt>
                <c:pt idx="454">
                  <c:v>7080</c:v>
                </c:pt>
                <c:pt idx="455">
                  <c:v>7180</c:v>
                </c:pt>
                <c:pt idx="456">
                  <c:v>7110</c:v>
                </c:pt>
                <c:pt idx="457">
                  <c:v>7040</c:v>
                </c:pt>
                <c:pt idx="458">
                  <c:v>6970</c:v>
                </c:pt>
                <c:pt idx="459">
                  <c:v>6900</c:v>
                </c:pt>
                <c:pt idx="460">
                  <c:v>7000</c:v>
                </c:pt>
                <c:pt idx="461">
                  <c:v>6930</c:v>
                </c:pt>
                <c:pt idx="462">
                  <c:v>6860</c:v>
                </c:pt>
                <c:pt idx="463">
                  <c:v>6790</c:v>
                </c:pt>
                <c:pt idx="464">
                  <c:v>6890</c:v>
                </c:pt>
                <c:pt idx="465">
                  <c:v>6990</c:v>
                </c:pt>
                <c:pt idx="466">
                  <c:v>6920</c:v>
                </c:pt>
                <c:pt idx="467">
                  <c:v>7020</c:v>
                </c:pt>
                <c:pt idx="468">
                  <c:v>6950</c:v>
                </c:pt>
                <c:pt idx="469">
                  <c:v>7050</c:v>
                </c:pt>
                <c:pt idx="470">
                  <c:v>7150</c:v>
                </c:pt>
                <c:pt idx="471">
                  <c:v>7080</c:v>
                </c:pt>
                <c:pt idx="472">
                  <c:v>7180</c:v>
                </c:pt>
                <c:pt idx="473">
                  <c:v>7280</c:v>
                </c:pt>
                <c:pt idx="474">
                  <c:v>7210</c:v>
                </c:pt>
                <c:pt idx="475">
                  <c:v>7310</c:v>
                </c:pt>
                <c:pt idx="476">
                  <c:v>7240</c:v>
                </c:pt>
                <c:pt idx="477">
                  <c:v>7170</c:v>
                </c:pt>
                <c:pt idx="478">
                  <c:v>7270</c:v>
                </c:pt>
                <c:pt idx="479">
                  <c:v>7370</c:v>
                </c:pt>
                <c:pt idx="480">
                  <c:v>7300</c:v>
                </c:pt>
                <c:pt idx="481">
                  <c:v>7230</c:v>
                </c:pt>
                <c:pt idx="482">
                  <c:v>7160</c:v>
                </c:pt>
                <c:pt idx="483">
                  <c:v>7090</c:v>
                </c:pt>
                <c:pt idx="484">
                  <c:v>7190</c:v>
                </c:pt>
                <c:pt idx="485">
                  <c:v>7290</c:v>
                </c:pt>
                <c:pt idx="486">
                  <c:v>7220</c:v>
                </c:pt>
                <c:pt idx="487">
                  <c:v>7320</c:v>
                </c:pt>
                <c:pt idx="488">
                  <c:v>7420</c:v>
                </c:pt>
                <c:pt idx="489">
                  <c:v>7350</c:v>
                </c:pt>
                <c:pt idx="490">
                  <c:v>7280</c:v>
                </c:pt>
                <c:pt idx="491">
                  <c:v>7380</c:v>
                </c:pt>
                <c:pt idx="492">
                  <c:v>7310</c:v>
                </c:pt>
                <c:pt idx="493">
                  <c:v>7240</c:v>
                </c:pt>
                <c:pt idx="494">
                  <c:v>7170</c:v>
                </c:pt>
                <c:pt idx="495">
                  <c:v>7270</c:v>
                </c:pt>
                <c:pt idx="496">
                  <c:v>7200</c:v>
                </c:pt>
                <c:pt idx="497">
                  <c:v>7130</c:v>
                </c:pt>
                <c:pt idx="498">
                  <c:v>7060</c:v>
                </c:pt>
                <c:pt idx="499">
                  <c:v>7160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D4-4898-9466-9A4551B8C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1594064"/>
        <c:axId val="1275911904"/>
      </c:lineChart>
      <c:catAx>
        <c:axId val="130159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911904"/>
        <c:crosses val="autoZero"/>
        <c:auto val="1"/>
        <c:lblAlgn val="ctr"/>
        <c:lblOffset val="100"/>
        <c:noMultiLvlLbl val="0"/>
      </c:catAx>
      <c:valAx>
        <c:axId val="127591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59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32941</xdr:colOff>
      <xdr:row>13</xdr:row>
      <xdr:rowOff>57150</xdr:rowOff>
    </xdr:from>
    <xdr:to>
      <xdr:col>4</xdr:col>
      <xdr:colOff>184150</xdr:colOff>
      <xdr:row>29</xdr:row>
      <xdr:rowOff>147637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0</xdr:row>
      <xdr:rowOff>114300</xdr:rowOff>
    </xdr:from>
    <xdr:to>
      <xdr:col>3</xdr:col>
      <xdr:colOff>4053</xdr:colOff>
      <xdr:row>1</xdr:row>
      <xdr:rowOff>342900</xdr:rowOff>
    </xdr:to>
    <xdr:sp macro="[0]!RefreshTrial" textlink="">
      <xdr:nvSpPr>
        <xdr:cNvPr id="5" name="Rounded Rectangle 4"/>
        <xdr:cNvSpPr/>
      </xdr:nvSpPr>
      <xdr:spPr>
        <a:xfrm>
          <a:off x="141862" y="114300"/>
          <a:ext cx="2318425" cy="4191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Run New</a:t>
          </a:r>
          <a:r>
            <a:rPr lang="en-US" sz="1200" baseline="0"/>
            <a:t> Set of 1K Propositions</a:t>
          </a:r>
          <a:endParaRPr 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32941</xdr:colOff>
      <xdr:row>13</xdr:row>
      <xdr:rowOff>57150</xdr:rowOff>
    </xdr:from>
    <xdr:to>
      <xdr:col>4</xdr:col>
      <xdr:colOff>184150</xdr:colOff>
      <xdr:row>29</xdr:row>
      <xdr:rowOff>147637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114300</xdr:colOff>
      <xdr:row>0</xdr:row>
      <xdr:rowOff>114300</xdr:rowOff>
    </xdr:from>
    <xdr:to>
      <xdr:col>3</xdr:col>
      <xdr:colOff>19050</xdr:colOff>
      <xdr:row>1</xdr:row>
      <xdr:rowOff>342900</xdr:rowOff>
    </xdr:to>
    <xdr:sp macro="[0]!RefreshTrial" textlink="">
      <xdr:nvSpPr>
        <xdr:cNvPr id="3" name="Rounded Rectangle 2"/>
        <xdr:cNvSpPr/>
      </xdr:nvSpPr>
      <xdr:spPr>
        <a:xfrm>
          <a:off x="114300" y="114300"/>
          <a:ext cx="2276475" cy="4191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Run New</a:t>
          </a:r>
          <a:r>
            <a:rPr lang="en-US" sz="1200" baseline="0"/>
            <a:t> Set of 1K Propositions</a:t>
          </a:r>
          <a:endParaRPr lang="en-US" sz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695325</xdr:colOff>
      <xdr:row>2</xdr:row>
      <xdr:rowOff>28575</xdr:rowOff>
    </xdr:from>
    <xdr:to>
      <xdr:col>12</xdr:col>
      <xdr:colOff>600075</xdr:colOff>
      <xdr:row>5</xdr:row>
      <xdr:rowOff>161925</xdr:rowOff>
    </xdr:to>
    <xdr:sp macro="[0]!Macro1" textlink="">
      <xdr:nvSpPr>
        <xdr:cNvPr id="2" name="Heart 1">
          <a:extLst>
            <a:ext uri="{FF2B5EF4-FFF2-40B4-BE49-F238E27FC236}">
              <a16:creationId xmlns:a16="http://schemas.microsoft.com/office/drawing/2014/main" id="{AD0473C8-3D6C-3283-A37C-AAF40CFACAF6}"/>
            </a:ext>
          </a:extLst>
        </xdr:cNvPr>
        <xdr:cNvSpPr/>
      </xdr:nvSpPr>
      <xdr:spPr>
        <a:xfrm>
          <a:off x="9324975" y="409575"/>
          <a:ext cx="809625" cy="704850"/>
        </a:xfrm>
        <a:prstGeom prst="hear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790575</xdr:colOff>
      <xdr:row>1</xdr:row>
      <xdr:rowOff>85725</xdr:rowOff>
    </xdr:from>
    <xdr:to>
      <xdr:col>6</xdr:col>
      <xdr:colOff>238125</xdr:colOff>
      <xdr:row>3</xdr:row>
      <xdr:rowOff>161925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8317B4-4220-6A28-4870-D00D44DEB1A4}"/>
            </a:ext>
          </a:extLst>
        </xdr:cNvPr>
        <xdr:cNvSpPr/>
      </xdr:nvSpPr>
      <xdr:spPr>
        <a:xfrm>
          <a:off x="3076575" y="180975"/>
          <a:ext cx="1438275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276225</xdr:colOff>
      <xdr:row>1</xdr:row>
      <xdr:rowOff>133349</xdr:rowOff>
    </xdr:from>
    <xdr:to>
      <xdr:col>20</xdr:col>
      <xdr:colOff>200025</xdr:colOff>
      <xdr:row>23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411D4BD-6799-4B48-A451-0500B2D688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K1003"/>
  <sheetViews>
    <sheetView showGridLines="0" tabSelected="1" zoomScale="150" zoomScaleNormal="150" workbookViewId="0">
      <selection activeCell="C4" sqref="C4"/>
    </sheetView>
  </sheetViews>
  <sheetFormatPr defaultRowHeight="15" x14ac:dyDescent="0.25"/>
  <cols>
    <col min="1" max="1" width="2.140625" customWidth="1"/>
    <col min="2" max="2" width="22.42578125" customWidth="1"/>
    <col min="3" max="3" width="12.28515625" customWidth="1"/>
    <col min="5" max="5" width="11.28515625" bestFit="1" customWidth="1"/>
    <col min="6" max="6" width="10.85546875" style="2" customWidth="1"/>
    <col min="7" max="7" width="12" customWidth="1"/>
    <col min="8" max="8" width="11.85546875" style="1" customWidth="1"/>
    <col min="9" max="9" width="10" style="2" customWidth="1"/>
    <col min="10" max="10" width="14.5703125" style="2" customWidth="1"/>
    <col min="11" max="11" width="12.42578125" style="2" customWidth="1"/>
  </cols>
  <sheetData>
    <row r="2" spans="2:11" ht="30.75" thickBot="1" x14ac:dyDescent="0.3">
      <c r="E2" s="49" t="s">
        <v>65</v>
      </c>
      <c r="F2" s="50" t="s">
        <v>64</v>
      </c>
      <c r="G2" s="54" t="s">
        <v>69</v>
      </c>
      <c r="H2" s="56" t="s">
        <v>66</v>
      </c>
      <c r="I2" s="50" t="s">
        <v>67</v>
      </c>
      <c r="J2" s="55" t="s">
        <v>71</v>
      </c>
      <c r="K2" s="55" t="s">
        <v>72</v>
      </c>
    </row>
    <row r="3" spans="2:11" x14ac:dyDescent="0.25">
      <c r="B3" s="44" t="s">
        <v>60</v>
      </c>
      <c r="C3" s="47">
        <v>0.55000000000000004</v>
      </c>
      <c r="E3" s="1">
        <v>0</v>
      </c>
      <c r="F3" s="4">
        <f>C7</f>
        <v>100000</v>
      </c>
      <c r="G3" s="57"/>
      <c r="H3" s="58"/>
      <c r="I3" s="59"/>
      <c r="J3" s="59"/>
      <c r="K3" s="59"/>
    </row>
    <row r="4" spans="2:11" x14ac:dyDescent="0.25">
      <c r="B4" s="45" t="s">
        <v>61</v>
      </c>
      <c r="C4" s="48">
        <f>1-C3</f>
        <v>0.44999999999999996</v>
      </c>
      <c r="E4" s="1">
        <f>E3+1</f>
        <v>1</v>
      </c>
      <c r="F4" s="4">
        <f ca="1">F3+K4</f>
        <v>105000</v>
      </c>
      <c r="G4" s="1" t="s">
        <v>70</v>
      </c>
      <c r="H4" s="26">
        <f t="shared" ref="H4:H67" ca="1" si="0">RAND()</f>
        <v>0.45356695203940967</v>
      </c>
      <c r="I4" s="4">
        <f>IF(G4="Yes",-$C$8,0)</f>
        <v>-5000</v>
      </c>
      <c r="J4" s="4">
        <f>IF(G4="Yes",$C$8-I4,0)</f>
        <v>10000</v>
      </c>
      <c r="K4" s="4">
        <f ca="1">IF(H4&gt;=$C$4,J4+I4,I4)</f>
        <v>5000</v>
      </c>
    </row>
    <row r="5" spans="2:11" x14ac:dyDescent="0.25">
      <c r="B5" s="45" t="s">
        <v>62</v>
      </c>
      <c r="C5" s="48">
        <f>C3-C4</f>
        <v>0.10000000000000009</v>
      </c>
      <c r="E5" s="1">
        <f t="shared" ref="E5:G68" si="1">E4+1</f>
        <v>2</v>
      </c>
      <c r="F5" s="4">
        <f t="shared" ref="F5:F68" ca="1" si="2">F4+K5</f>
        <v>110000</v>
      </c>
      <c r="G5" s="1" t="s">
        <v>70</v>
      </c>
      <c r="H5" s="26">
        <f t="shared" ca="1" si="0"/>
        <v>0.99999501376074729</v>
      </c>
      <c r="I5" s="4">
        <f>IF(G5="Yes",-$C$8,0)</f>
        <v>-5000</v>
      </c>
      <c r="J5" s="4">
        <f>IF(G5="Yes",$C$8-I5,0)</f>
        <v>10000</v>
      </c>
      <c r="K5" s="4">
        <f ca="1">IF(H5&gt;=$C$4,J5+I5,I5)</f>
        <v>5000</v>
      </c>
    </row>
    <row r="6" spans="2:11" ht="15.75" thickBot="1" x14ac:dyDescent="0.3">
      <c r="B6" s="45" t="s">
        <v>63</v>
      </c>
      <c r="C6" s="48">
        <f>C3-0.5</f>
        <v>5.0000000000000044E-2</v>
      </c>
      <c r="E6" s="1">
        <f t="shared" si="1"/>
        <v>3</v>
      </c>
      <c r="F6" s="4">
        <f t="shared" ca="1" si="2"/>
        <v>105000</v>
      </c>
      <c r="G6" s="1" t="s">
        <v>70</v>
      </c>
      <c r="H6" s="26">
        <f t="shared" ca="1" si="0"/>
        <v>0.13159542095092902</v>
      </c>
      <c r="I6" s="4">
        <f>IF(G6="Yes",-$C$8,0)</f>
        <v>-5000</v>
      </c>
      <c r="J6" s="4">
        <f>IF(G6="Yes",$C$8-I6,0)</f>
        <v>10000</v>
      </c>
      <c r="K6" s="4">
        <f ca="1">IF(H6&gt;=$C$4,J6+I6,I6)</f>
        <v>-5000</v>
      </c>
    </row>
    <row r="7" spans="2:11" x14ac:dyDescent="0.25">
      <c r="B7" s="44" t="s">
        <v>40</v>
      </c>
      <c r="C7" s="51">
        <v>100000</v>
      </c>
      <c r="E7" s="1">
        <f t="shared" si="1"/>
        <v>4</v>
      </c>
      <c r="F7" s="4">
        <f t="shared" ca="1" si="2"/>
        <v>110000</v>
      </c>
      <c r="G7" s="1" t="s">
        <v>70</v>
      </c>
      <c r="H7" s="26">
        <f t="shared" ca="1" si="0"/>
        <v>0.84211594652826638</v>
      </c>
      <c r="I7" s="4">
        <f>IF(G7="Yes",-$C$8,0)</f>
        <v>-5000</v>
      </c>
      <c r="J7" s="4">
        <f>IF(G7="Yes",$C$8-I7,0)</f>
        <v>10000</v>
      </c>
      <c r="K7" s="4">
        <f ca="1">IF(H7&gt;=$C$4,J7+I7,I7)</f>
        <v>5000</v>
      </c>
    </row>
    <row r="8" spans="2:11" x14ac:dyDescent="0.25">
      <c r="B8" s="45" t="s">
        <v>67</v>
      </c>
      <c r="C8" s="52">
        <v>5000</v>
      </c>
      <c r="E8" s="1">
        <f t="shared" si="1"/>
        <v>5</v>
      </c>
      <c r="F8" s="4">
        <f t="shared" ca="1" si="2"/>
        <v>105000</v>
      </c>
      <c r="G8" s="1" t="s">
        <v>70</v>
      </c>
      <c r="H8" s="26">
        <f t="shared" ca="1" si="0"/>
        <v>0.41241617325076219</v>
      </c>
      <c r="I8" s="4">
        <f>IF(G8="Yes",-$C$8,0)</f>
        <v>-5000</v>
      </c>
      <c r="J8" s="4">
        <f>IF(G8="Yes",$C$8-I8,0)</f>
        <v>10000</v>
      </c>
      <c r="K8" s="4">
        <f ca="1">IF(H8&gt;=$C$4,J8+I8,I8)</f>
        <v>-5000</v>
      </c>
    </row>
    <row r="9" spans="2:11" ht="15.75" thickBot="1" x14ac:dyDescent="0.3">
      <c r="B9" s="45" t="s">
        <v>68</v>
      </c>
      <c r="C9" s="60">
        <f>C8/C7</f>
        <v>0.05</v>
      </c>
      <c r="E9" s="1">
        <f t="shared" si="1"/>
        <v>6</v>
      </c>
      <c r="F9" s="4">
        <f t="shared" ca="1" si="2"/>
        <v>100000</v>
      </c>
      <c r="G9" s="1" t="s">
        <v>70</v>
      </c>
      <c r="H9" s="26">
        <f t="shared" ca="1" si="0"/>
        <v>0.17304189877238585</v>
      </c>
      <c r="I9" s="4">
        <f>IF(G9="Yes",-$C$8,0)</f>
        <v>-5000</v>
      </c>
      <c r="J9" s="4">
        <f>IF(G9="Yes",$C$8-I9,0)</f>
        <v>10000</v>
      </c>
      <c r="K9" s="4">
        <f ca="1">IF(H9&gt;=$C$4,J9+I9,I9)</f>
        <v>-5000</v>
      </c>
    </row>
    <row r="10" spans="2:11" x14ac:dyDescent="0.25">
      <c r="B10" s="44" t="s">
        <v>18</v>
      </c>
      <c r="C10" s="51">
        <f ca="1">$F$1003</f>
        <v>490000</v>
      </c>
      <c r="E10" s="1">
        <f t="shared" si="1"/>
        <v>7</v>
      </c>
      <c r="F10" s="4">
        <f t="shared" ca="1" si="2"/>
        <v>105000</v>
      </c>
      <c r="G10" s="1" t="s">
        <v>70</v>
      </c>
      <c r="H10" s="26">
        <f t="shared" ca="1" si="0"/>
        <v>0.62540395901739099</v>
      </c>
      <c r="I10" s="4">
        <f>IF(G10="Yes",-$C$8,0)</f>
        <v>-5000</v>
      </c>
      <c r="J10" s="4">
        <f>IF(G10="Yes",$C$8-I10,0)</f>
        <v>10000</v>
      </c>
      <c r="K10" s="4">
        <f ca="1">IF(H10&gt;=$C$4,J10+I10,I10)</f>
        <v>5000</v>
      </c>
    </row>
    <row r="11" spans="2:11" x14ac:dyDescent="0.25">
      <c r="B11" s="45" t="s">
        <v>37</v>
      </c>
      <c r="C11" s="52">
        <f ca="1">C10-C7</f>
        <v>390000</v>
      </c>
      <c r="E11" s="1">
        <f t="shared" si="1"/>
        <v>8</v>
      </c>
      <c r="F11" s="4">
        <f t="shared" ca="1" si="2"/>
        <v>100000</v>
      </c>
      <c r="G11" s="1" t="s">
        <v>70</v>
      </c>
      <c r="H11" s="26">
        <f t="shared" ca="1" si="0"/>
        <v>1.3616374445406421E-2</v>
      </c>
      <c r="I11" s="4">
        <f>IF(G11="Yes",-$C$8,0)</f>
        <v>-5000</v>
      </c>
      <c r="J11" s="4">
        <f>IF(G11="Yes",$C$8-I11,0)</f>
        <v>10000</v>
      </c>
      <c r="K11" s="4">
        <f ca="1">IF(H11&gt;=$C$4,J11+I11,I11)</f>
        <v>-5000</v>
      </c>
    </row>
    <row r="12" spans="2:11" ht="15.75" thickBot="1" x14ac:dyDescent="0.3">
      <c r="B12" s="46" t="s">
        <v>73</v>
      </c>
      <c r="C12" s="62">
        <f ca="1">C11/C7</f>
        <v>3.9</v>
      </c>
      <c r="E12" s="1">
        <f t="shared" si="1"/>
        <v>9</v>
      </c>
      <c r="F12" s="4">
        <f t="shared" ca="1" si="2"/>
        <v>95000</v>
      </c>
      <c r="G12" s="1" t="s">
        <v>70</v>
      </c>
      <c r="H12" s="26">
        <f t="shared" ca="1" si="0"/>
        <v>6.9727133997533719E-2</v>
      </c>
      <c r="I12" s="4">
        <f>IF(G12="Yes",-$C$8,0)</f>
        <v>-5000</v>
      </c>
      <c r="J12" s="4">
        <f>IF(G12="Yes",$C$8-I12,0)</f>
        <v>10000</v>
      </c>
      <c r="K12" s="4">
        <f ca="1">IF(H12&gt;=$C$4,J12+I12,I12)</f>
        <v>-5000</v>
      </c>
    </row>
    <row r="13" spans="2:11" x14ac:dyDescent="0.25">
      <c r="E13" s="1">
        <f t="shared" si="1"/>
        <v>10</v>
      </c>
      <c r="F13" s="4">
        <f t="shared" ca="1" si="2"/>
        <v>100000</v>
      </c>
      <c r="G13" s="1" t="s">
        <v>70</v>
      </c>
      <c r="H13" s="26">
        <f t="shared" ca="1" si="0"/>
        <v>0.70663154047198495</v>
      </c>
      <c r="I13" s="4">
        <f>IF(G13="Yes",-$C$8,0)</f>
        <v>-5000</v>
      </c>
      <c r="J13" s="4">
        <f>IF(G13="Yes",$C$8-I13,0)</f>
        <v>10000</v>
      </c>
      <c r="K13" s="4">
        <f ca="1">IF(H13&gt;=$C$4,J13+I13,I13)</f>
        <v>5000</v>
      </c>
    </row>
    <row r="14" spans="2:11" x14ac:dyDescent="0.25">
      <c r="E14" s="1">
        <f t="shared" si="1"/>
        <v>11</v>
      </c>
      <c r="F14" s="4">
        <f t="shared" ca="1" si="2"/>
        <v>95000</v>
      </c>
      <c r="G14" s="1" t="s">
        <v>70</v>
      </c>
      <c r="H14" s="26">
        <f t="shared" ca="1" si="0"/>
        <v>0.14007165849356451</v>
      </c>
      <c r="I14" s="4">
        <f>IF(G14="Yes",-$C$8,0)</f>
        <v>-5000</v>
      </c>
      <c r="J14" s="4">
        <f>IF(G14="Yes",$C$8-I14,0)</f>
        <v>10000</v>
      </c>
      <c r="K14" s="4">
        <f ca="1">IF(H14&gt;=$C$4,J14+I14,I14)</f>
        <v>-5000</v>
      </c>
    </row>
    <row r="15" spans="2:11" x14ac:dyDescent="0.25">
      <c r="E15" s="1">
        <f t="shared" si="1"/>
        <v>12</v>
      </c>
      <c r="F15" s="4">
        <f t="shared" ca="1" si="2"/>
        <v>100000</v>
      </c>
      <c r="G15" s="1" t="s">
        <v>70</v>
      </c>
      <c r="H15" s="26">
        <f t="shared" ca="1" si="0"/>
        <v>0.66296701358982513</v>
      </c>
      <c r="I15" s="4">
        <f>IF(G15="Yes",-$C$8,0)</f>
        <v>-5000</v>
      </c>
      <c r="J15" s="4">
        <f>IF(G15="Yes",$C$8-I15,0)</f>
        <v>10000</v>
      </c>
      <c r="K15" s="4">
        <f ca="1">IF(H15&gt;=$C$4,J15+I15,I15)</f>
        <v>5000</v>
      </c>
    </row>
    <row r="16" spans="2:11" x14ac:dyDescent="0.25">
      <c r="E16" s="1">
        <f t="shared" si="1"/>
        <v>13</v>
      </c>
      <c r="F16" s="4">
        <f t="shared" ca="1" si="2"/>
        <v>105000</v>
      </c>
      <c r="G16" s="1" t="s">
        <v>70</v>
      </c>
      <c r="H16" s="26">
        <f t="shared" ca="1" si="0"/>
        <v>0.67955429113113552</v>
      </c>
      <c r="I16" s="4">
        <f>IF(G16="Yes",-$C$8,0)</f>
        <v>-5000</v>
      </c>
      <c r="J16" s="4">
        <f>IF(G16="Yes",$C$8-I16,0)</f>
        <v>10000</v>
      </c>
      <c r="K16" s="4">
        <f ca="1">IF(H16&gt;=$C$4,J16+I16,I16)</f>
        <v>5000</v>
      </c>
    </row>
    <row r="17" spans="5:11" x14ac:dyDescent="0.25">
      <c r="E17" s="1">
        <f t="shared" si="1"/>
        <v>14</v>
      </c>
      <c r="F17" s="4">
        <f t="shared" ca="1" si="2"/>
        <v>110000</v>
      </c>
      <c r="G17" s="1" t="s">
        <v>70</v>
      </c>
      <c r="H17" s="26">
        <f t="shared" ca="1" si="0"/>
        <v>0.94579163872385874</v>
      </c>
      <c r="I17" s="4">
        <f>IF(G17="Yes",-$C$8,0)</f>
        <v>-5000</v>
      </c>
      <c r="J17" s="4">
        <f>IF(G17="Yes",$C$8-I17,0)</f>
        <v>10000</v>
      </c>
      <c r="K17" s="4">
        <f ca="1">IF(H17&gt;=$C$4,J17+I17,I17)</f>
        <v>5000</v>
      </c>
    </row>
    <row r="18" spans="5:11" x14ac:dyDescent="0.25">
      <c r="E18" s="1">
        <f t="shared" si="1"/>
        <v>15</v>
      </c>
      <c r="F18" s="4">
        <f t="shared" ca="1" si="2"/>
        <v>105000</v>
      </c>
      <c r="G18" s="1" t="s">
        <v>70</v>
      </c>
      <c r="H18" s="26">
        <f t="shared" ca="1" si="0"/>
        <v>0.16958017500908762</v>
      </c>
      <c r="I18" s="4">
        <f>IF(G18="Yes",-$C$8,0)</f>
        <v>-5000</v>
      </c>
      <c r="J18" s="4">
        <f>IF(G18="Yes",$C$8-I18,0)</f>
        <v>10000</v>
      </c>
      <c r="K18" s="4">
        <f ca="1">IF(H18&gt;=$C$4,J18+I18,I18)</f>
        <v>-5000</v>
      </c>
    </row>
    <row r="19" spans="5:11" x14ac:dyDescent="0.25">
      <c r="E19" s="1">
        <f t="shared" si="1"/>
        <v>16</v>
      </c>
      <c r="F19" s="4">
        <f t="shared" ca="1" si="2"/>
        <v>110000</v>
      </c>
      <c r="G19" s="1" t="s">
        <v>70</v>
      </c>
      <c r="H19" s="26">
        <f t="shared" ca="1" si="0"/>
        <v>0.95221637962785888</v>
      </c>
      <c r="I19" s="4">
        <f>IF(G19="Yes",-$C$8,0)</f>
        <v>-5000</v>
      </c>
      <c r="J19" s="4">
        <f>IF(G19="Yes",$C$8-I19,0)</f>
        <v>10000</v>
      </c>
      <c r="K19" s="4">
        <f ca="1">IF(H19&gt;=$C$4,J19+I19,I19)</f>
        <v>5000</v>
      </c>
    </row>
    <row r="20" spans="5:11" x14ac:dyDescent="0.25">
      <c r="E20" s="1">
        <f t="shared" si="1"/>
        <v>17</v>
      </c>
      <c r="F20" s="4">
        <f t="shared" ca="1" si="2"/>
        <v>105000</v>
      </c>
      <c r="G20" s="1" t="s">
        <v>70</v>
      </c>
      <c r="H20" s="26">
        <f t="shared" ca="1" si="0"/>
        <v>0.14596372634289512</v>
      </c>
      <c r="I20" s="4">
        <f>IF(G20="Yes",-$C$8,0)</f>
        <v>-5000</v>
      </c>
      <c r="J20" s="4">
        <f>IF(G20="Yes",$C$8-I20,0)</f>
        <v>10000</v>
      </c>
      <c r="K20" s="4">
        <f ca="1">IF(H20&gt;=$C$4,J20+I20,I20)</f>
        <v>-5000</v>
      </c>
    </row>
    <row r="21" spans="5:11" x14ac:dyDescent="0.25">
      <c r="E21" s="1">
        <f t="shared" si="1"/>
        <v>18</v>
      </c>
      <c r="F21" s="4">
        <f t="shared" ca="1" si="2"/>
        <v>110000</v>
      </c>
      <c r="G21" s="1" t="s">
        <v>70</v>
      </c>
      <c r="H21" s="26">
        <f t="shared" ca="1" si="0"/>
        <v>0.93791457074097495</v>
      </c>
      <c r="I21" s="4">
        <f>IF(G21="Yes",-$C$8,0)</f>
        <v>-5000</v>
      </c>
      <c r="J21" s="4">
        <f>IF(G21="Yes",$C$8-I21,0)</f>
        <v>10000</v>
      </c>
      <c r="K21" s="4">
        <f ca="1">IF(H21&gt;=$C$4,J21+I21,I21)</f>
        <v>5000</v>
      </c>
    </row>
    <row r="22" spans="5:11" x14ac:dyDescent="0.25">
      <c r="E22" s="1">
        <f t="shared" si="1"/>
        <v>19</v>
      </c>
      <c r="F22" s="4">
        <f t="shared" ca="1" si="2"/>
        <v>105000</v>
      </c>
      <c r="G22" s="1" t="s">
        <v>70</v>
      </c>
      <c r="H22" s="26">
        <f t="shared" ca="1" si="0"/>
        <v>0.37608806660370153</v>
      </c>
      <c r="I22" s="4">
        <f>IF(G22="Yes",-$C$8,0)</f>
        <v>-5000</v>
      </c>
      <c r="J22" s="4">
        <f>IF(G22="Yes",$C$8-I22,0)</f>
        <v>10000</v>
      </c>
      <c r="K22" s="4">
        <f ca="1">IF(H22&gt;=$C$4,J22+I22,I22)</f>
        <v>-5000</v>
      </c>
    </row>
    <row r="23" spans="5:11" x14ac:dyDescent="0.25">
      <c r="E23" s="1">
        <f t="shared" si="1"/>
        <v>20</v>
      </c>
      <c r="F23" s="4">
        <f t="shared" ca="1" si="2"/>
        <v>110000</v>
      </c>
      <c r="G23" s="1" t="s">
        <v>70</v>
      </c>
      <c r="H23" s="26">
        <f t="shared" ca="1" si="0"/>
        <v>0.55681654837428307</v>
      </c>
      <c r="I23" s="4">
        <f>IF(G23="Yes",-$C$8,0)</f>
        <v>-5000</v>
      </c>
      <c r="J23" s="4">
        <f>IF(G23="Yes",$C$8-I23,0)</f>
        <v>10000</v>
      </c>
      <c r="K23" s="4">
        <f ca="1">IF(H23&gt;=$C$4,J23+I23,I23)</f>
        <v>5000</v>
      </c>
    </row>
    <row r="24" spans="5:11" x14ac:dyDescent="0.25">
      <c r="E24" s="1">
        <f t="shared" si="1"/>
        <v>21</v>
      </c>
      <c r="F24" s="4">
        <f t="shared" ca="1" si="2"/>
        <v>105000</v>
      </c>
      <c r="G24" s="1" t="s">
        <v>70</v>
      </c>
      <c r="H24" s="26">
        <f t="shared" ca="1" si="0"/>
        <v>0.22239232746517956</v>
      </c>
      <c r="I24" s="4">
        <f>IF(G24="Yes",-$C$8,0)</f>
        <v>-5000</v>
      </c>
      <c r="J24" s="4">
        <f>IF(G24="Yes",$C$8-I24,0)</f>
        <v>10000</v>
      </c>
      <c r="K24" s="4">
        <f ca="1">IF(H24&gt;=$C$4,J24+I24,I24)</f>
        <v>-5000</v>
      </c>
    </row>
    <row r="25" spans="5:11" x14ac:dyDescent="0.25">
      <c r="E25" s="1">
        <f t="shared" si="1"/>
        <v>22</v>
      </c>
      <c r="F25" s="4">
        <f t="shared" ca="1" si="2"/>
        <v>110000</v>
      </c>
      <c r="G25" s="1" t="s">
        <v>70</v>
      </c>
      <c r="H25" s="26">
        <f t="shared" ca="1" si="0"/>
        <v>0.65973139672665559</v>
      </c>
      <c r="I25" s="4">
        <f>IF(G25="Yes",-$C$8,0)</f>
        <v>-5000</v>
      </c>
      <c r="J25" s="4">
        <f>IF(G25="Yes",$C$8-I25,0)</f>
        <v>10000</v>
      </c>
      <c r="K25" s="4">
        <f ca="1">IF(H25&gt;=$C$4,J25+I25,I25)</f>
        <v>5000</v>
      </c>
    </row>
    <row r="26" spans="5:11" x14ac:dyDescent="0.25">
      <c r="E26" s="1">
        <f t="shared" si="1"/>
        <v>23</v>
      </c>
      <c r="F26" s="4">
        <f t="shared" ca="1" si="2"/>
        <v>115000</v>
      </c>
      <c r="G26" s="1" t="s">
        <v>70</v>
      </c>
      <c r="H26" s="26">
        <f t="shared" ca="1" si="0"/>
        <v>0.57226740373345741</v>
      </c>
      <c r="I26" s="4">
        <f>IF(G26="Yes",-$C$8,0)</f>
        <v>-5000</v>
      </c>
      <c r="J26" s="4">
        <f>IF(G26="Yes",$C$8-I26,0)</f>
        <v>10000</v>
      </c>
      <c r="K26" s="4">
        <f ca="1">IF(H26&gt;=$C$4,J26+I26,I26)</f>
        <v>5000</v>
      </c>
    </row>
    <row r="27" spans="5:11" x14ac:dyDescent="0.25">
      <c r="E27" s="1">
        <f t="shared" si="1"/>
        <v>24</v>
      </c>
      <c r="F27" s="4">
        <f t="shared" ca="1" si="2"/>
        <v>120000</v>
      </c>
      <c r="G27" s="1" t="s">
        <v>70</v>
      </c>
      <c r="H27" s="26">
        <f t="shared" ca="1" si="0"/>
        <v>0.80281462676977433</v>
      </c>
      <c r="I27" s="4">
        <f>IF(G27="Yes",-$C$8,0)</f>
        <v>-5000</v>
      </c>
      <c r="J27" s="4">
        <f>IF(G27="Yes",$C$8-I27,0)</f>
        <v>10000</v>
      </c>
      <c r="K27" s="4">
        <f ca="1">IF(H27&gt;=$C$4,J27+I27,I27)</f>
        <v>5000</v>
      </c>
    </row>
    <row r="28" spans="5:11" x14ac:dyDescent="0.25">
      <c r="E28" s="1">
        <f t="shared" si="1"/>
        <v>25</v>
      </c>
      <c r="F28" s="4">
        <f t="shared" ca="1" si="2"/>
        <v>125000</v>
      </c>
      <c r="G28" s="1" t="s">
        <v>70</v>
      </c>
      <c r="H28" s="26">
        <f t="shared" ca="1" si="0"/>
        <v>0.60154995550227841</v>
      </c>
      <c r="I28" s="4">
        <f>IF(G28="Yes",-$C$8,0)</f>
        <v>-5000</v>
      </c>
      <c r="J28" s="4">
        <f>IF(G28="Yes",$C$8-I28,0)</f>
        <v>10000</v>
      </c>
      <c r="K28" s="4">
        <f ca="1">IF(H28&gt;=$C$4,J28+I28,I28)</f>
        <v>5000</v>
      </c>
    </row>
    <row r="29" spans="5:11" x14ac:dyDescent="0.25">
      <c r="E29" s="1">
        <f t="shared" si="1"/>
        <v>26</v>
      </c>
      <c r="F29" s="4">
        <f t="shared" ca="1" si="2"/>
        <v>130000</v>
      </c>
      <c r="G29" s="1" t="s">
        <v>70</v>
      </c>
      <c r="H29" s="26">
        <f t="shared" ca="1" si="0"/>
        <v>0.87646364688477951</v>
      </c>
      <c r="I29" s="4">
        <f>IF(G29="Yes",-$C$8,0)</f>
        <v>-5000</v>
      </c>
      <c r="J29" s="4">
        <f>IF(G29="Yes",$C$8-I29,0)</f>
        <v>10000</v>
      </c>
      <c r="K29" s="4">
        <f ca="1">IF(H29&gt;=$C$4,J29+I29,I29)</f>
        <v>5000</v>
      </c>
    </row>
    <row r="30" spans="5:11" x14ac:dyDescent="0.25">
      <c r="E30" s="1">
        <f t="shared" si="1"/>
        <v>27</v>
      </c>
      <c r="F30" s="4">
        <f t="shared" ca="1" si="2"/>
        <v>125000</v>
      </c>
      <c r="G30" s="1" t="s">
        <v>70</v>
      </c>
      <c r="H30" s="26">
        <f t="shared" ca="1" si="0"/>
        <v>0.25597602661510399</v>
      </c>
      <c r="I30" s="4">
        <f>IF(G30="Yes",-$C$8,0)</f>
        <v>-5000</v>
      </c>
      <c r="J30" s="4">
        <f>IF(G30="Yes",$C$8-I30,0)</f>
        <v>10000</v>
      </c>
      <c r="K30" s="4">
        <f ca="1">IF(H30&gt;=$C$4,J30+I30,I30)</f>
        <v>-5000</v>
      </c>
    </row>
    <row r="31" spans="5:11" x14ac:dyDescent="0.25">
      <c r="E31" s="1">
        <f t="shared" si="1"/>
        <v>28</v>
      </c>
      <c r="F31" s="4">
        <f t="shared" ca="1" si="2"/>
        <v>130000</v>
      </c>
      <c r="G31" s="1" t="s">
        <v>70</v>
      </c>
      <c r="H31" s="26">
        <f t="shared" ca="1" si="0"/>
        <v>0.58825262215364849</v>
      </c>
      <c r="I31" s="4">
        <f>IF(G31="Yes",-$C$8,0)</f>
        <v>-5000</v>
      </c>
      <c r="J31" s="4">
        <f>IF(G31="Yes",$C$8-I31,0)</f>
        <v>10000</v>
      </c>
      <c r="K31" s="4">
        <f ca="1">IF(H31&gt;=$C$4,J31+I31,I31)</f>
        <v>5000</v>
      </c>
    </row>
    <row r="32" spans="5:11" x14ac:dyDescent="0.25">
      <c r="E32" s="1">
        <f t="shared" si="1"/>
        <v>29</v>
      </c>
      <c r="F32" s="4">
        <f t="shared" ca="1" si="2"/>
        <v>125000</v>
      </c>
      <c r="G32" s="1" t="s">
        <v>70</v>
      </c>
      <c r="H32" s="26">
        <f t="shared" ca="1" si="0"/>
        <v>0.11127534041570375</v>
      </c>
      <c r="I32" s="4">
        <f>IF(G32="Yes",-$C$8,0)</f>
        <v>-5000</v>
      </c>
      <c r="J32" s="4">
        <f>IF(G32="Yes",$C$8-I32,0)</f>
        <v>10000</v>
      </c>
      <c r="K32" s="4">
        <f ca="1">IF(H32&gt;=$C$4,J32+I32,I32)</f>
        <v>-5000</v>
      </c>
    </row>
    <row r="33" spans="5:11" x14ac:dyDescent="0.25">
      <c r="E33" s="1">
        <f t="shared" si="1"/>
        <v>30</v>
      </c>
      <c r="F33" s="4">
        <f t="shared" ca="1" si="2"/>
        <v>120000</v>
      </c>
      <c r="G33" s="1" t="s">
        <v>70</v>
      </c>
      <c r="H33" s="26">
        <f t="shared" ca="1" si="0"/>
        <v>0.11299125592628356</v>
      </c>
      <c r="I33" s="4">
        <f>IF(G33="Yes",-$C$8,0)</f>
        <v>-5000</v>
      </c>
      <c r="J33" s="4">
        <f>IF(G33="Yes",$C$8-I33,0)</f>
        <v>10000</v>
      </c>
      <c r="K33" s="4">
        <f ca="1">IF(H33&gt;=$C$4,J33+I33,I33)</f>
        <v>-5000</v>
      </c>
    </row>
    <row r="34" spans="5:11" x14ac:dyDescent="0.25">
      <c r="E34" s="1">
        <f t="shared" si="1"/>
        <v>31</v>
      </c>
      <c r="F34" s="4">
        <f t="shared" ca="1" si="2"/>
        <v>115000</v>
      </c>
      <c r="G34" s="1" t="s">
        <v>70</v>
      </c>
      <c r="H34" s="26">
        <f t="shared" ca="1" si="0"/>
        <v>6.3094465723115833E-2</v>
      </c>
      <c r="I34" s="4">
        <f>IF(G34="Yes",-$C$8,0)</f>
        <v>-5000</v>
      </c>
      <c r="J34" s="4">
        <f>IF(G34="Yes",$C$8-I34,0)</f>
        <v>10000</v>
      </c>
      <c r="K34" s="4">
        <f ca="1">IF(H34&gt;=$C$4,J34+I34,I34)</f>
        <v>-5000</v>
      </c>
    </row>
    <row r="35" spans="5:11" x14ac:dyDescent="0.25">
      <c r="E35" s="1">
        <f t="shared" si="1"/>
        <v>32</v>
      </c>
      <c r="F35" s="4">
        <f t="shared" ca="1" si="2"/>
        <v>110000</v>
      </c>
      <c r="G35" s="1" t="s">
        <v>70</v>
      </c>
      <c r="H35" s="26">
        <f t="shared" ca="1" si="0"/>
        <v>0.41048309685323803</v>
      </c>
      <c r="I35" s="4">
        <f>IF(G35="Yes",-$C$8,0)</f>
        <v>-5000</v>
      </c>
      <c r="J35" s="4">
        <f>IF(G35="Yes",$C$8-I35,0)</f>
        <v>10000</v>
      </c>
      <c r="K35" s="4">
        <f ca="1">IF(H35&gt;=$C$4,J35+I35,I35)</f>
        <v>-5000</v>
      </c>
    </row>
    <row r="36" spans="5:11" x14ac:dyDescent="0.25">
      <c r="E36" s="1">
        <f t="shared" si="1"/>
        <v>33</v>
      </c>
      <c r="F36" s="4">
        <f t="shared" ca="1" si="2"/>
        <v>105000</v>
      </c>
      <c r="G36" s="1" t="s">
        <v>70</v>
      </c>
      <c r="H36" s="26">
        <f t="shared" ca="1" si="0"/>
        <v>0.35843411254112445</v>
      </c>
      <c r="I36" s="4">
        <f>IF(G36="Yes",-$C$8,0)</f>
        <v>-5000</v>
      </c>
      <c r="J36" s="4">
        <f>IF(G36="Yes",$C$8-I36,0)</f>
        <v>10000</v>
      </c>
      <c r="K36" s="4">
        <f ca="1">IF(H36&gt;=$C$4,J36+I36,I36)</f>
        <v>-5000</v>
      </c>
    </row>
    <row r="37" spans="5:11" x14ac:dyDescent="0.25">
      <c r="E37" s="1">
        <f t="shared" si="1"/>
        <v>34</v>
      </c>
      <c r="F37" s="4">
        <f t="shared" ca="1" si="2"/>
        <v>100000</v>
      </c>
      <c r="G37" s="1" t="s">
        <v>70</v>
      </c>
      <c r="H37" s="26">
        <f t="shared" ca="1" si="0"/>
        <v>3.1449091067527024E-2</v>
      </c>
      <c r="I37" s="4">
        <f>IF(G37="Yes",-$C$8,0)</f>
        <v>-5000</v>
      </c>
      <c r="J37" s="4">
        <f>IF(G37="Yes",$C$8-I37,0)</f>
        <v>10000</v>
      </c>
      <c r="K37" s="4">
        <f ca="1">IF(H37&gt;=$C$4,J37+I37,I37)</f>
        <v>-5000</v>
      </c>
    </row>
    <row r="38" spans="5:11" x14ac:dyDescent="0.25">
      <c r="E38" s="1">
        <f t="shared" si="1"/>
        <v>35</v>
      </c>
      <c r="F38" s="4">
        <f t="shared" ca="1" si="2"/>
        <v>105000</v>
      </c>
      <c r="G38" s="1" t="s">
        <v>70</v>
      </c>
      <c r="H38" s="26">
        <f t="shared" ca="1" si="0"/>
        <v>0.90416803189712858</v>
      </c>
      <c r="I38" s="4">
        <f>IF(G38="Yes",-$C$8,0)</f>
        <v>-5000</v>
      </c>
      <c r="J38" s="4">
        <f>IF(G38="Yes",$C$8-I38,0)</f>
        <v>10000</v>
      </c>
      <c r="K38" s="4">
        <f ca="1">IF(H38&gt;=$C$4,J38+I38,I38)</f>
        <v>5000</v>
      </c>
    </row>
    <row r="39" spans="5:11" x14ac:dyDescent="0.25">
      <c r="E39" s="1">
        <f t="shared" si="1"/>
        <v>36</v>
      </c>
      <c r="F39" s="4">
        <f t="shared" ca="1" si="2"/>
        <v>110000</v>
      </c>
      <c r="G39" s="1" t="s">
        <v>70</v>
      </c>
      <c r="H39" s="26">
        <f t="shared" ca="1" si="0"/>
        <v>0.71127238951837368</v>
      </c>
      <c r="I39" s="4">
        <f>IF(G39="Yes",-$C$8,0)</f>
        <v>-5000</v>
      </c>
      <c r="J39" s="4">
        <f>IF(G39="Yes",$C$8-I39,0)</f>
        <v>10000</v>
      </c>
      <c r="K39" s="4">
        <f ca="1">IF(H39&gt;=$C$4,J39+I39,I39)</f>
        <v>5000</v>
      </c>
    </row>
    <row r="40" spans="5:11" x14ac:dyDescent="0.25">
      <c r="E40" s="1">
        <f t="shared" si="1"/>
        <v>37</v>
      </c>
      <c r="F40" s="4">
        <f t="shared" ca="1" si="2"/>
        <v>115000</v>
      </c>
      <c r="G40" s="1" t="s">
        <v>70</v>
      </c>
      <c r="H40" s="26">
        <f t="shared" ca="1" si="0"/>
        <v>0.48752568095348081</v>
      </c>
      <c r="I40" s="4">
        <f>IF(G40="Yes",-$C$8,0)</f>
        <v>-5000</v>
      </c>
      <c r="J40" s="4">
        <f>IF(G40="Yes",$C$8-I40,0)</f>
        <v>10000</v>
      </c>
      <c r="K40" s="4">
        <f ca="1">IF(H40&gt;=$C$4,J40+I40,I40)</f>
        <v>5000</v>
      </c>
    </row>
    <row r="41" spans="5:11" x14ac:dyDescent="0.25">
      <c r="E41" s="1">
        <f t="shared" si="1"/>
        <v>38</v>
      </c>
      <c r="F41" s="4">
        <f t="shared" ca="1" si="2"/>
        <v>110000</v>
      </c>
      <c r="G41" s="1" t="s">
        <v>70</v>
      </c>
      <c r="H41" s="26">
        <f t="shared" ca="1" si="0"/>
        <v>0.31056178717189042</v>
      </c>
      <c r="I41" s="4">
        <f>IF(G41="Yes",-$C$8,0)</f>
        <v>-5000</v>
      </c>
      <c r="J41" s="4">
        <f>IF(G41="Yes",$C$8-I41,0)</f>
        <v>10000</v>
      </c>
      <c r="K41" s="4">
        <f ca="1">IF(H41&gt;=$C$4,J41+I41,I41)</f>
        <v>-5000</v>
      </c>
    </row>
    <row r="42" spans="5:11" x14ac:dyDescent="0.25">
      <c r="E42" s="1">
        <f t="shared" si="1"/>
        <v>39</v>
      </c>
      <c r="F42" s="4">
        <f t="shared" ca="1" si="2"/>
        <v>105000</v>
      </c>
      <c r="G42" s="1" t="s">
        <v>70</v>
      </c>
      <c r="H42" s="26">
        <f t="shared" ca="1" si="0"/>
        <v>0.36925698127996809</v>
      </c>
      <c r="I42" s="4">
        <f>IF(G42="Yes",-$C$8,0)</f>
        <v>-5000</v>
      </c>
      <c r="J42" s="4">
        <f>IF(G42="Yes",$C$8-I42,0)</f>
        <v>10000</v>
      </c>
      <c r="K42" s="4">
        <f ca="1">IF(H42&gt;=$C$4,J42+I42,I42)</f>
        <v>-5000</v>
      </c>
    </row>
    <row r="43" spans="5:11" x14ac:dyDescent="0.25">
      <c r="E43" s="1">
        <f t="shared" si="1"/>
        <v>40</v>
      </c>
      <c r="F43" s="4">
        <f t="shared" ca="1" si="2"/>
        <v>100000</v>
      </c>
      <c r="G43" s="1" t="s">
        <v>70</v>
      </c>
      <c r="H43" s="26">
        <f t="shared" ca="1" si="0"/>
        <v>8.5941820680748293E-3</v>
      </c>
      <c r="I43" s="4">
        <f>IF(G43="Yes",-$C$8,0)</f>
        <v>-5000</v>
      </c>
      <c r="J43" s="4">
        <f>IF(G43="Yes",$C$8-I43,0)</f>
        <v>10000</v>
      </c>
      <c r="K43" s="4">
        <f ca="1">IF(H43&gt;=$C$4,J43+I43,I43)</f>
        <v>-5000</v>
      </c>
    </row>
    <row r="44" spans="5:11" x14ac:dyDescent="0.25">
      <c r="E44" s="1">
        <f t="shared" si="1"/>
        <v>41</v>
      </c>
      <c r="F44" s="4">
        <f t="shared" ca="1" si="2"/>
        <v>105000</v>
      </c>
      <c r="G44" s="1" t="s">
        <v>70</v>
      </c>
      <c r="H44" s="26">
        <f t="shared" ca="1" si="0"/>
        <v>0.60171408307431684</v>
      </c>
      <c r="I44" s="4">
        <f>IF(G44="Yes",-$C$8,0)</f>
        <v>-5000</v>
      </c>
      <c r="J44" s="4">
        <f>IF(G44="Yes",$C$8-I44,0)</f>
        <v>10000</v>
      </c>
      <c r="K44" s="4">
        <f ca="1">IF(H44&gt;=$C$4,J44+I44,I44)</f>
        <v>5000</v>
      </c>
    </row>
    <row r="45" spans="5:11" x14ac:dyDescent="0.25">
      <c r="E45" s="1">
        <f t="shared" si="1"/>
        <v>42</v>
      </c>
      <c r="F45" s="4">
        <f t="shared" ca="1" si="2"/>
        <v>110000</v>
      </c>
      <c r="G45" s="1" t="s">
        <v>70</v>
      </c>
      <c r="H45" s="26">
        <f t="shared" ca="1" si="0"/>
        <v>0.83963834471265542</v>
      </c>
      <c r="I45" s="4">
        <f>IF(G45="Yes",-$C$8,0)</f>
        <v>-5000</v>
      </c>
      <c r="J45" s="4">
        <f>IF(G45="Yes",$C$8-I45,0)</f>
        <v>10000</v>
      </c>
      <c r="K45" s="4">
        <f ca="1">IF(H45&gt;=$C$4,J45+I45,I45)</f>
        <v>5000</v>
      </c>
    </row>
    <row r="46" spans="5:11" x14ac:dyDescent="0.25">
      <c r="E46" s="1">
        <f t="shared" si="1"/>
        <v>43</v>
      </c>
      <c r="F46" s="4">
        <f t="shared" ca="1" si="2"/>
        <v>105000</v>
      </c>
      <c r="G46" s="1" t="s">
        <v>70</v>
      </c>
      <c r="H46" s="26">
        <f t="shared" ca="1" si="0"/>
        <v>1.701265021189835E-3</v>
      </c>
      <c r="I46" s="4">
        <f>IF(G46="Yes",-$C$8,0)</f>
        <v>-5000</v>
      </c>
      <c r="J46" s="4">
        <f>IF(G46="Yes",$C$8-I46,0)</f>
        <v>10000</v>
      </c>
      <c r="K46" s="4">
        <f ca="1">IF(H46&gt;=$C$4,J46+I46,I46)</f>
        <v>-5000</v>
      </c>
    </row>
    <row r="47" spans="5:11" x14ac:dyDescent="0.25">
      <c r="E47" s="1">
        <f t="shared" si="1"/>
        <v>44</v>
      </c>
      <c r="F47" s="4">
        <f t="shared" ca="1" si="2"/>
        <v>100000</v>
      </c>
      <c r="G47" s="1" t="s">
        <v>70</v>
      </c>
      <c r="H47" s="26">
        <f t="shared" ca="1" si="0"/>
        <v>0.34124954862435264</v>
      </c>
      <c r="I47" s="4">
        <f>IF(G47="Yes",-$C$8,0)</f>
        <v>-5000</v>
      </c>
      <c r="J47" s="4">
        <f>IF(G47="Yes",$C$8-I47,0)</f>
        <v>10000</v>
      </c>
      <c r="K47" s="4">
        <f ca="1">IF(H47&gt;=$C$4,J47+I47,I47)</f>
        <v>-5000</v>
      </c>
    </row>
    <row r="48" spans="5:11" x14ac:dyDescent="0.25">
      <c r="E48" s="1">
        <f t="shared" si="1"/>
        <v>45</v>
      </c>
      <c r="F48" s="4">
        <f t="shared" ca="1" si="2"/>
        <v>105000</v>
      </c>
      <c r="G48" s="1" t="s">
        <v>70</v>
      </c>
      <c r="H48" s="26">
        <f t="shared" ca="1" si="0"/>
        <v>0.95639853364888217</v>
      </c>
      <c r="I48" s="4">
        <f>IF(G48="Yes",-$C$8,0)</f>
        <v>-5000</v>
      </c>
      <c r="J48" s="4">
        <f>IF(G48="Yes",$C$8-I48,0)</f>
        <v>10000</v>
      </c>
      <c r="K48" s="4">
        <f ca="1">IF(H48&gt;=$C$4,J48+I48,I48)</f>
        <v>5000</v>
      </c>
    </row>
    <row r="49" spans="5:11" x14ac:dyDescent="0.25">
      <c r="E49" s="1">
        <f t="shared" si="1"/>
        <v>46</v>
      </c>
      <c r="F49" s="4">
        <f t="shared" ca="1" si="2"/>
        <v>100000</v>
      </c>
      <c r="G49" s="1" t="s">
        <v>70</v>
      </c>
      <c r="H49" s="26">
        <f t="shared" ca="1" si="0"/>
        <v>0.37790196956071953</v>
      </c>
      <c r="I49" s="4">
        <f>IF(G49="Yes",-$C$8,0)</f>
        <v>-5000</v>
      </c>
      <c r="J49" s="4">
        <f>IF(G49="Yes",$C$8-I49,0)</f>
        <v>10000</v>
      </c>
      <c r="K49" s="4">
        <f ca="1">IF(H49&gt;=$C$4,J49+I49,I49)</f>
        <v>-5000</v>
      </c>
    </row>
    <row r="50" spans="5:11" x14ac:dyDescent="0.25">
      <c r="E50" s="1">
        <f t="shared" si="1"/>
        <v>47</v>
      </c>
      <c r="F50" s="4">
        <f t="shared" ca="1" si="2"/>
        <v>95000</v>
      </c>
      <c r="G50" s="1" t="s">
        <v>70</v>
      </c>
      <c r="H50" s="26">
        <f t="shared" ca="1" si="0"/>
        <v>0.23922248846630045</v>
      </c>
      <c r="I50" s="4">
        <f>IF(G50="Yes",-$C$8,0)</f>
        <v>-5000</v>
      </c>
      <c r="J50" s="4">
        <f>IF(G50="Yes",$C$8-I50,0)</f>
        <v>10000</v>
      </c>
      <c r="K50" s="4">
        <f ca="1">IF(H50&gt;=$C$4,J50+I50,I50)</f>
        <v>-5000</v>
      </c>
    </row>
    <row r="51" spans="5:11" x14ac:dyDescent="0.25">
      <c r="E51" s="1">
        <f t="shared" si="1"/>
        <v>48</v>
      </c>
      <c r="F51" s="4">
        <f t="shared" ca="1" si="2"/>
        <v>90000</v>
      </c>
      <c r="G51" s="1" t="s">
        <v>70</v>
      </c>
      <c r="H51" s="26">
        <f t="shared" ca="1" si="0"/>
        <v>0.20583054800144773</v>
      </c>
      <c r="I51" s="4">
        <f>IF(G51="Yes",-$C$8,0)</f>
        <v>-5000</v>
      </c>
      <c r="J51" s="4">
        <f>IF(G51="Yes",$C$8-I51,0)</f>
        <v>10000</v>
      </c>
      <c r="K51" s="4">
        <f ca="1">IF(H51&gt;=$C$4,J51+I51,I51)</f>
        <v>-5000</v>
      </c>
    </row>
    <row r="52" spans="5:11" x14ac:dyDescent="0.25">
      <c r="E52" s="1">
        <f t="shared" si="1"/>
        <v>49</v>
      </c>
      <c r="F52" s="4">
        <f t="shared" ca="1" si="2"/>
        <v>85000</v>
      </c>
      <c r="G52" s="1" t="s">
        <v>70</v>
      </c>
      <c r="H52" s="26">
        <f t="shared" ca="1" si="0"/>
        <v>0.30907057723541198</v>
      </c>
      <c r="I52" s="4">
        <f>IF(G52="Yes",-$C$8,0)</f>
        <v>-5000</v>
      </c>
      <c r="J52" s="4">
        <f>IF(G52="Yes",$C$8-I52,0)</f>
        <v>10000</v>
      </c>
      <c r="K52" s="4">
        <f ca="1">IF(H52&gt;=$C$4,J52+I52,I52)</f>
        <v>-5000</v>
      </c>
    </row>
    <row r="53" spans="5:11" x14ac:dyDescent="0.25">
      <c r="E53" s="1">
        <f t="shared" si="1"/>
        <v>50</v>
      </c>
      <c r="F53" s="4">
        <f t="shared" ca="1" si="2"/>
        <v>80000</v>
      </c>
      <c r="G53" s="1" t="s">
        <v>70</v>
      </c>
      <c r="H53" s="26">
        <f t="shared" ca="1" si="0"/>
        <v>9.4084809942742043E-2</v>
      </c>
      <c r="I53" s="4">
        <f>IF(G53="Yes",-$C$8,0)</f>
        <v>-5000</v>
      </c>
      <c r="J53" s="4">
        <f>IF(G53="Yes",$C$8-I53,0)</f>
        <v>10000</v>
      </c>
      <c r="K53" s="4">
        <f ca="1">IF(H53&gt;=$C$4,J53+I53,I53)</f>
        <v>-5000</v>
      </c>
    </row>
    <row r="54" spans="5:11" x14ac:dyDescent="0.25">
      <c r="E54" s="1">
        <f t="shared" si="1"/>
        <v>51</v>
      </c>
      <c r="F54" s="4">
        <f t="shared" ca="1" si="2"/>
        <v>85000</v>
      </c>
      <c r="G54" s="1" t="s">
        <v>70</v>
      </c>
      <c r="H54" s="26">
        <f t="shared" ca="1" si="0"/>
        <v>0.6585408176229911</v>
      </c>
      <c r="I54" s="4">
        <f>IF(G54="Yes",-$C$8,0)</f>
        <v>-5000</v>
      </c>
      <c r="J54" s="4">
        <f>IF(G54="Yes",$C$8-I54,0)</f>
        <v>10000</v>
      </c>
      <c r="K54" s="4">
        <f ca="1">IF(H54&gt;=$C$4,J54+I54,I54)</f>
        <v>5000</v>
      </c>
    </row>
    <row r="55" spans="5:11" x14ac:dyDescent="0.25">
      <c r="E55" s="1">
        <f t="shared" si="1"/>
        <v>52</v>
      </c>
      <c r="F55" s="4">
        <f t="shared" ca="1" si="2"/>
        <v>80000</v>
      </c>
      <c r="G55" s="1" t="s">
        <v>70</v>
      </c>
      <c r="H55" s="26">
        <f t="shared" ca="1" si="0"/>
        <v>0.20728772803408679</v>
      </c>
      <c r="I55" s="4">
        <f>IF(G55="Yes",-$C$8,0)</f>
        <v>-5000</v>
      </c>
      <c r="J55" s="4">
        <f>IF(G55="Yes",$C$8-I55,0)</f>
        <v>10000</v>
      </c>
      <c r="K55" s="4">
        <f ca="1">IF(H55&gt;=$C$4,J55+I55,I55)</f>
        <v>-5000</v>
      </c>
    </row>
    <row r="56" spans="5:11" x14ac:dyDescent="0.25">
      <c r="E56" s="1">
        <f t="shared" si="1"/>
        <v>53</v>
      </c>
      <c r="F56" s="4">
        <f t="shared" ca="1" si="2"/>
        <v>85000</v>
      </c>
      <c r="G56" s="1" t="s">
        <v>70</v>
      </c>
      <c r="H56" s="26">
        <f t="shared" ca="1" si="0"/>
        <v>0.91740165139360608</v>
      </c>
      <c r="I56" s="4">
        <f>IF(G56="Yes",-$C$8,0)</f>
        <v>-5000</v>
      </c>
      <c r="J56" s="4">
        <f>IF(G56="Yes",$C$8-I56,0)</f>
        <v>10000</v>
      </c>
      <c r="K56" s="4">
        <f ca="1">IF(H56&gt;=$C$4,J56+I56,I56)</f>
        <v>5000</v>
      </c>
    </row>
    <row r="57" spans="5:11" x14ac:dyDescent="0.25">
      <c r="E57" s="1">
        <f t="shared" si="1"/>
        <v>54</v>
      </c>
      <c r="F57" s="4">
        <f t="shared" ca="1" si="2"/>
        <v>90000</v>
      </c>
      <c r="G57" s="1" t="s">
        <v>70</v>
      </c>
      <c r="H57" s="26">
        <f t="shared" ca="1" si="0"/>
        <v>0.9715216602975274</v>
      </c>
      <c r="I57" s="4">
        <f>IF(G57="Yes",-$C$8,0)</f>
        <v>-5000</v>
      </c>
      <c r="J57" s="4">
        <f>IF(G57="Yes",$C$8-I57,0)</f>
        <v>10000</v>
      </c>
      <c r="K57" s="4">
        <f ca="1">IF(H57&gt;=$C$4,J57+I57,I57)</f>
        <v>5000</v>
      </c>
    </row>
    <row r="58" spans="5:11" x14ac:dyDescent="0.25">
      <c r="E58" s="1">
        <f t="shared" si="1"/>
        <v>55</v>
      </c>
      <c r="F58" s="4">
        <f t="shared" ca="1" si="2"/>
        <v>95000</v>
      </c>
      <c r="G58" s="1" t="s">
        <v>70</v>
      </c>
      <c r="H58" s="26">
        <f t="shared" ca="1" si="0"/>
        <v>0.59488717391342827</v>
      </c>
      <c r="I58" s="4">
        <f>IF(G58="Yes",-$C$8,0)</f>
        <v>-5000</v>
      </c>
      <c r="J58" s="4">
        <f>IF(G58="Yes",$C$8-I58,0)</f>
        <v>10000</v>
      </c>
      <c r="K58" s="4">
        <f ca="1">IF(H58&gt;=$C$4,J58+I58,I58)</f>
        <v>5000</v>
      </c>
    </row>
    <row r="59" spans="5:11" x14ac:dyDescent="0.25">
      <c r="E59" s="1">
        <f t="shared" si="1"/>
        <v>56</v>
      </c>
      <c r="F59" s="4">
        <f t="shared" ca="1" si="2"/>
        <v>100000</v>
      </c>
      <c r="G59" s="1" t="s">
        <v>70</v>
      </c>
      <c r="H59" s="26">
        <f t="shared" ca="1" si="0"/>
        <v>0.60574633959093493</v>
      </c>
      <c r="I59" s="4">
        <f>IF(G59="Yes",-$C$8,0)</f>
        <v>-5000</v>
      </c>
      <c r="J59" s="4">
        <f>IF(G59="Yes",$C$8-I59,0)</f>
        <v>10000</v>
      </c>
      <c r="K59" s="4">
        <f ca="1">IF(H59&gt;=$C$4,J59+I59,I59)</f>
        <v>5000</v>
      </c>
    </row>
    <row r="60" spans="5:11" x14ac:dyDescent="0.25">
      <c r="E60" s="1">
        <f t="shared" si="1"/>
        <v>57</v>
      </c>
      <c r="F60" s="4">
        <f t="shared" ca="1" si="2"/>
        <v>105000</v>
      </c>
      <c r="G60" s="1" t="s">
        <v>70</v>
      </c>
      <c r="H60" s="26">
        <f t="shared" ca="1" si="0"/>
        <v>0.82483864446199151</v>
      </c>
      <c r="I60" s="4">
        <f>IF(G60="Yes",-$C$8,0)</f>
        <v>-5000</v>
      </c>
      <c r="J60" s="4">
        <f>IF(G60="Yes",$C$8-I60,0)</f>
        <v>10000</v>
      </c>
      <c r="K60" s="4">
        <f ca="1">IF(H60&gt;=$C$4,J60+I60,I60)</f>
        <v>5000</v>
      </c>
    </row>
    <row r="61" spans="5:11" x14ac:dyDescent="0.25">
      <c r="E61" s="1">
        <f t="shared" si="1"/>
        <v>58</v>
      </c>
      <c r="F61" s="4">
        <f t="shared" ca="1" si="2"/>
        <v>110000</v>
      </c>
      <c r="G61" s="1" t="s">
        <v>70</v>
      </c>
      <c r="H61" s="26">
        <f t="shared" ca="1" si="0"/>
        <v>0.53036207754786513</v>
      </c>
      <c r="I61" s="4">
        <f>IF(G61="Yes",-$C$8,0)</f>
        <v>-5000</v>
      </c>
      <c r="J61" s="4">
        <f>IF(G61="Yes",$C$8-I61,0)</f>
        <v>10000</v>
      </c>
      <c r="K61" s="4">
        <f ca="1">IF(H61&gt;=$C$4,J61+I61,I61)</f>
        <v>5000</v>
      </c>
    </row>
    <row r="62" spans="5:11" x14ac:dyDescent="0.25">
      <c r="E62" s="1">
        <f t="shared" si="1"/>
        <v>59</v>
      </c>
      <c r="F62" s="4">
        <f t="shared" ca="1" si="2"/>
        <v>115000</v>
      </c>
      <c r="G62" s="1" t="s">
        <v>70</v>
      </c>
      <c r="H62" s="26">
        <f t="shared" ca="1" si="0"/>
        <v>0.50914136014653699</v>
      </c>
      <c r="I62" s="4">
        <f>IF(G62="Yes",-$C$8,0)</f>
        <v>-5000</v>
      </c>
      <c r="J62" s="4">
        <f>IF(G62="Yes",$C$8-I62,0)</f>
        <v>10000</v>
      </c>
      <c r="K62" s="4">
        <f ca="1">IF(H62&gt;=$C$4,J62+I62,I62)</f>
        <v>5000</v>
      </c>
    </row>
    <row r="63" spans="5:11" x14ac:dyDescent="0.25">
      <c r="E63" s="1">
        <f t="shared" si="1"/>
        <v>60</v>
      </c>
      <c r="F63" s="4">
        <f t="shared" ca="1" si="2"/>
        <v>120000</v>
      </c>
      <c r="G63" s="1" t="s">
        <v>70</v>
      </c>
      <c r="H63" s="26">
        <f t="shared" ca="1" si="0"/>
        <v>0.94299513457125994</v>
      </c>
      <c r="I63" s="4">
        <f>IF(G63="Yes",-$C$8,0)</f>
        <v>-5000</v>
      </c>
      <c r="J63" s="4">
        <f>IF(G63="Yes",$C$8-I63,0)</f>
        <v>10000</v>
      </c>
      <c r="K63" s="4">
        <f ca="1">IF(H63&gt;=$C$4,J63+I63,I63)</f>
        <v>5000</v>
      </c>
    </row>
    <row r="64" spans="5:11" x14ac:dyDescent="0.25">
      <c r="E64" s="1">
        <f t="shared" si="1"/>
        <v>61</v>
      </c>
      <c r="F64" s="4">
        <f t="shared" ca="1" si="2"/>
        <v>125000</v>
      </c>
      <c r="G64" s="1" t="s">
        <v>70</v>
      </c>
      <c r="H64" s="26">
        <f t="shared" ca="1" si="0"/>
        <v>0.56942820045062548</v>
      </c>
      <c r="I64" s="4">
        <f>IF(G64="Yes",-$C$8,0)</f>
        <v>-5000</v>
      </c>
      <c r="J64" s="4">
        <f>IF(G64="Yes",$C$8-I64,0)</f>
        <v>10000</v>
      </c>
      <c r="K64" s="4">
        <f ca="1">IF(H64&gt;=$C$4,J64+I64,I64)</f>
        <v>5000</v>
      </c>
    </row>
    <row r="65" spans="5:11" x14ac:dyDescent="0.25">
      <c r="E65" s="1">
        <f t="shared" si="1"/>
        <v>62</v>
      </c>
      <c r="F65" s="4">
        <f t="shared" ca="1" si="2"/>
        <v>130000</v>
      </c>
      <c r="G65" s="1" t="s">
        <v>70</v>
      </c>
      <c r="H65" s="26">
        <f t="shared" ca="1" si="0"/>
        <v>0.64689003670305445</v>
      </c>
      <c r="I65" s="4">
        <f>IF(G65="Yes",-$C$8,0)</f>
        <v>-5000</v>
      </c>
      <c r="J65" s="4">
        <f>IF(G65="Yes",$C$8-I65,0)</f>
        <v>10000</v>
      </c>
      <c r="K65" s="4">
        <f ca="1">IF(H65&gt;=$C$4,J65+I65,I65)</f>
        <v>5000</v>
      </c>
    </row>
    <row r="66" spans="5:11" x14ac:dyDescent="0.25">
      <c r="E66" s="1">
        <f t="shared" si="1"/>
        <v>63</v>
      </c>
      <c r="F66" s="4">
        <f t="shared" ca="1" si="2"/>
        <v>125000</v>
      </c>
      <c r="G66" s="1" t="s">
        <v>70</v>
      </c>
      <c r="H66" s="26">
        <f t="shared" ca="1" si="0"/>
        <v>0.17248179392394736</v>
      </c>
      <c r="I66" s="4">
        <f>IF(G66="Yes",-$C$8,0)</f>
        <v>-5000</v>
      </c>
      <c r="J66" s="4">
        <f>IF(G66="Yes",$C$8-I66,0)</f>
        <v>10000</v>
      </c>
      <c r="K66" s="4">
        <f ca="1">IF(H66&gt;=$C$4,J66+I66,I66)</f>
        <v>-5000</v>
      </c>
    </row>
    <row r="67" spans="5:11" x14ac:dyDescent="0.25">
      <c r="E67" s="1">
        <f t="shared" si="1"/>
        <v>64</v>
      </c>
      <c r="F67" s="4">
        <f t="shared" ca="1" si="2"/>
        <v>120000</v>
      </c>
      <c r="G67" s="1" t="s">
        <v>70</v>
      </c>
      <c r="H67" s="26">
        <f t="shared" ca="1" si="0"/>
        <v>6.6570617280116928E-2</v>
      </c>
      <c r="I67" s="4">
        <f>IF(G67="Yes",-$C$8,0)</f>
        <v>-5000</v>
      </c>
      <c r="J67" s="4">
        <f>IF(G67="Yes",$C$8-I67,0)</f>
        <v>10000</v>
      </c>
      <c r="K67" s="4">
        <f ca="1">IF(H67&gt;=$C$4,J67+I67,I67)</f>
        <v>-5000</v>
      </c>
    </row>
    <row r="68" spans="5:11" x14ac:dyDescent="0.25">
      <c r="E68" s="1">
        <f t="shared" si="1"/>
        <v>65</v>
      </c>
      <c r="F68" s="4">
        <f t="shared" ca="1" si="2"/>
        <v>125000</v>
      </c>
      <c r="G68" s="1" t="s">
        <v>70</v>
      </c>
      <c r="H68" s="26">
        <f t="shared" ref="H68:H131" ca="1" si="3">RAND()</f>
        <v>0.75950755383323854</v>
      </c>
      <c r="I68" s="4">
        <f>IF(G68="Yes",-$C$8,0)</f>
        <v>-5000</v>
      </c>
      <c r="J68" s="4">
        <f>IF(G68="Yes",$C$8-I68,0)</f>
        <v>10000</v>
      </c>
      <c r="K68" s="4">
        <f ca="1">IF(H68&gt;=$C$4,J68+I68,I68)</f>
        <v>5000</v>
      </c>
    </row>
    <row r="69" spans="5:11" x14ac:dyDescent="0.25">
      <c r="E69" s="1">
        <f t="shared" ref="E69:G132" si="4">E68+1</f>
        <v>66</v>
      </c>
      <c r="F69" s="4">
        <f t="shared" ref="F69:F132" ca="1" si="5">F68+K69</f>
        <v>130000</v>
      </c>
      <c r="G69" s="1" t="s">
        <v>70</v>
      </c>
      <c r="H69" s="26">
        <f t="shared" ca="1" si="3"/>
        <v>0.59424577453636263</v>
      </c>
      <c r="I69" s="4">
        <f>IF(G69="Yes",-$C$8,0)</f>
        <v>-5000</v>
      </c>
      <c r="J69" s="4">
        <f>IF(G69="Yes",$C$8-I69,0)</f>
        <v>10000</v>
      </c>
      <c r="K69" s="4">
        <f ca="1">IF(H69&gt;=$C$4,J69+I69,I69)</f>
        <v>5000</v>
      </c>
    </row>
    <row r="70" spans="5:11" x14ac:dyDescent="0.25">
      <c r="E70" s="1">
        <f t="shared" si="4"/>
        <v>67</v>
      </c>
      <c r="F70" s="4">
        <f t="shared" ca="1" si="5"/>
        <v>125000</v>
      </c>
      <c r="G70" s="1" t="s">
        <v>70</v>
      </c>
      <c r="H70" s="26">
        <f t="shared" ca="1" si="3"/>
        <v>4.3855078087025268E-2</v>
      </c>
      <c r="I70" s="4">
        <f>IF(G70="Yes",-$C$8,0)</f>
        <v>-5000</v>
      </c>
      <c r="J70" s="4">
        <f>IF(G70="Yes",$C$8-I70,0)</f>
        <v>10000</v>
      </c>
      <c r="K70" s="4">
        <f ca="1">IF(H70&gt;=$C$4,J70+I70,I70)</f>
        <v>-5000</v>
      </c>
    </row>
    <row r="71" spans="5:11" x14ac:dyDescent="0.25">
      <c r="E71" s="1">
        <f t="shared" si="4"/>
        <v>68</v>
      </c>
      <c r="F71" s="4">
        <f t="shared" ca="1" si="5"/>
        <v>120000</v>
      </c>
      <c r="G71" s="1" t="s">
        <v>70</v>
      </c>
      <c r="H71" s="26">
        <f t="shared" ca="1" si="3"/>
        <v>0.15997585606009923</v>
      </c>
      <c r="I71" s="4">
        <f>IF(G71="Yes",-$C$8,0)</f>
        <v>-5000</v>
      </c>
      <c r="J71" s="4">
        <f>IF(G71="Yes",$C$8-I71,0)</f>
        <v>10000</v>
      </c>
      <c r="K71" s="4">
        <f ca="1">IF(H71&gt;=$C$4,J71+I71,I71)</f>
        <v>-5000</v>
      </c>
    </row>
    <row r="72" spans="5:11" x14ac:dyDescent="0.25">
      <c r="E72" s="1">
        <f t="shared" si="4"/>
        <v>69</v>
      </c>
      <c r="F72" s="4">
        <f t="shared" ca="1" si="5"/>
        <v>125000</v>
      </c>
      <c r="G72" s="1" t="s">
        <v>70</v>
      </c>
      <c r="H72" s="26">
        <f t="shared" ca="1" si="3"/>
        <v>0.97955162997534184</v>
      </c>
      <c r="I72" s="4">
        <f>IF(G72="Yes",-$C$8,0)</f>
        <v>-5000</v>
      </c>
      <c r="J72" s="4">
        <f>IF(G72="Yes",$C$8-I72,0)</f>
        <v>10000</v>
      </c>
      <c r="K72" s="4">
        <f ca="1">IF(H72&gt;=$C$4,J72+I72,I72)</f>
        <v>5000</v>
      </c>
    </row>
    <row r="73" spans="5:11" x14ac:dyDescent="0.25">
      <c r="E73" s="1">
        <f t="shared" si="4"/>
        <v>70</v>
      </c>
      <c r="F73" s="4">
        <f t="shared" ca="1" si="5"/>
        <v>130000</v>
      </c>
      <c r="G73" s="1" t="s">
        <v>70</v>
      </c>
      <c r="H73" s="26">
        <f t="shared" ca="1" si="3"/>
        <v>0.62927734939079827</v>
      </c>
      <c r="I73" s="4">
        <f>IF(G73="Yes",-$C$8,0)</f>
        <v>-5000</v>
      </c>
      <c r="J73" s="4">
        <f>IF(G73="Yes",$C$8-I73,0)</f>
        <v>10000</v>
      </c>
      <c r="K73" s="4">
        <f ca="1">IF(H73&gt;=$C$4,J73+I73,I73)</f>
        <v>5000</v>
      </c>
    </row>
    <row r="74" spans="5:11" x14ac:dyDescent="0.25">
      <c r="E74" s="1">
        <f t="shared" si="4"/>
        <v>71</v>
      </c>
      <c r="F74" s="4">
        <f t="shared" ca="1" si="5"/>
        <v>125000</v>
      </c>
      <c r="G74" s="1" t="s">
        <v>70</v>
      </c>
      <c r="H74" s="26">
        <f t="shared" ca="1" si="3"/>
        <v>9.9129789305844263E-2</v>
      </c>
      <c r="I74" s="4">
        <f>IF(G74="Yes",-$C$8,0)</f>
        <v>-5000</v>
      </c>
      <c r="J74" s="4">
        <f>IF(G74="Yes",$C$8-I74,0)</f>
        <v>10000</v>
      </c>
      <c r="K74" s="4">
        <f ca="1">IF(H74&gt;=$C$4,J74+I74,I74)</f>
        <v>-5000</v>
      </c>
    </row>
    <row r="75" spans="5:11" x14ac:dyDescent="0.25">
      <c r="E75" s="1">
        <f t="shared" si="4"/>
        <v>72</v>
      </c>
      <c r="F75" s="4">
        <f t="shared" ca="1" si="5"/>
        <v>120000</v>
      </c>
      <c r="G75" s="1" t="s">
        <v>70</v>
      </c>
      <c r="H75" s="26">
        <f t="shared" ca="1" si="3"/>
        <v>7.4641269250607878E-2</v>
      </c>
      <c r="I75" s="4">
        <f>IF(G75="Yes",-$C$8,0)</f>
        <v>-5000</v>
      </c>
      <c r="J75" s="4">
        <f>IF(G75="Yes",$C$8-I75,0)</f>
        <v>10000</v>
      </c>
      <c r="K75" s="4">
        <f ca="1">IF(H75&gt;=$C$4,J75+I75,I75)</f>
        <v>-5000</v>
      </c>
    </row>
    <row r="76" spans="5:11" x14ac:dyDescent="0.25">
      <c r="E76" s="1">
        <f t="shared" si="4"/>
        <v>73</v>
      </c>
      <c r="F76" s="4">
        <f t="shared" ca="1" si="5"/>
        <v>115000</v>
      </c>
      <c r="G76" s="1" t="s">
        <v>70</v>
      </c>
      <c r="H76" s="26">
        <f t="shared" ca="1" si="3"/>
        <v>0.43611721804919346</v>
      </c>
      <c r="I76" s="4">
        <f>IF(G76="Yes",-$C$8,0)</f>
        <v>-5000</v>
      </c>
      <c r="J76" s="4">
        <f>IF(G76="Yes",$C$8-I76,0)</f>
        <v>10000</v>
      </c>
      <c r="K76" s="4">
        <f ca="1">IF(H76&gt;=$C$4,J76+I76,I76)</f>
        <v>-5000</v>
      </c>
    </row>
    <row r="77" spans="5:11" x14ac:dyDescent="0.25">
      <c r="E77" s="1">
        <f t="shared" si="4"/>
        <v>74</v>
      </c>
      <c r="F77" s="4">
        <f t="shared" ca="1" si="5"/>
        <v>120000</v>
      </c>
      <c r="G77" s="1" t="s">
        <v>70</v>
      </c>
      <c r="H77" s="26">
        <f t="shared" ca="1" si="3"/>
        <v>0.62468059907944329</v>
      </c>
      <c r="I77" s="4">
        <f>IF(G77="Yes",-$C$8,0)</f>
        <v>-5000</v>
      </c>
      <c r="J77" s="4">
        <f>IF(G77="Yes",$C$8-I77,0)</f>
        <v>10000</v>
      </c>
      <c r="K77" s="4">
        <f ca="1">IF(H77&gt;=$C$4,J77+I77,I77)</f>
        <v>5000</v>
      </c>
    </row>
    <row r="78" spans="5:11" x14ac:dyDescent="0.25">
      <c r="E78" s="1">
        <f t="shared" si="4"/>
        <v>75</v>
      </c>
      <c r="F78" s="4">
        <f t="shared" ca="1" si="5"/>
        <v>125000</v>
      </c>
      <c r="G78" s="1" t="s">
        <v>70</v>
      </c>
      <c r="H78" s="26">
        <f t="shared" ca="1" si="3"/>
        <v>0.93385221869978707</v>
      </c>
      <c r="I78" s="4">
        <f>IF(G78="Yes",-$C$8,0)</f>
        <v>-5000</v>
      </c>
      <c r="J78" s="4">
        <f>IF(G78="Yes",$C$8-I78,0)</f>
        <v>10000</v>
      </c>
      <c r="K78" s="4">
        <f ca="1">IF(H78&gt;=$C$4,J78+I78,I78)</f>
        <v>5000</v>
      </c>
    </row>
    <row r="79" spans="5:11" x14ac:dyDescent="0.25">
      <c r="E79" s="1">
        <f t="shared" si="4"/>
        <v>76</v>
      </c>
      <c r="F79" s="4">
        <f t="shared" ca="1" si="5"/>
        <v>120000</v>
      </c>
      <c r="G79" s="1" t="s">
        <v>70</v>
      </c>
      <c r="H79" s="26">
        <f t="shared" ca="1" si="3"/>
        <v>0.35939547792596394</v>
      </c>
      <c r="I79" s="4">
        <f>IF(G79="Yes",-$C$8,0)</f>
        <v>-5000</v>
      </c>
      <c r="J79" s="4">
        <f>IF(G79="Yes",$C$8-I79,0)</f>
        <v>10000</v>
      </c>
      <c r="K79" s="4">
        <f ca="1">IF(H79&gt;=$C$4,J79+I79,I79)</f>
        <v>-5000</v>
      </c>
    </row>
    <row r="80" spans="5:11" x14ac:dyDescent="0.25">
      <c r="E80" s="1">
        <f t="shared" si="4"/>
        <v>77</v>
      </c>
      <c r="F80" s="4">
        <f t="shared" ca="1" si="5"/>
        <v>125000</v>
      </c>
      <c r="G80" s="1" t="s">
        <v>70</v>
      </c>
      <c r="H80" s="26">
        <f t="shared" ca="1" si="3"/>
        <v>0.5238244559511932</v>
      </c>
      <c r="I80" s="4">
        <f>IF(G80="Yes",-$C$8,0)</f>
        <v>-5000</v>
      </c>
      <c r="J80" s="4">
        <f>IF(G80="Yes",$C$8-I80,0)</f>
        <v>10000</v>
      </c>
      <c r="K80" s="4">
        <f ca="1">IF(H80&gt;=$C$4,J80+I80,I80)</f>
        <v>5000</v>
      </c>
    </row>
    <row r="81" spans="5:11" x14ac:dyDescent="0.25">
      <c r="E81" s="1">
        <f t="shared" si="4"/>
        <v>78</v>
      </c>
      <c r="F81" s="4">
        <f t="shared" ca="1" si="5"/>
        <v>130000</v>
      </c>
      <c r="G81" s="1" t="s">
        <v>70</v>
      </c>
      <c r="H81" s="26">
        <f t="shared" ca="1" si="3"/>
        <v>0.71047608064145396</v>
      </c>
      <c r="I81" s="4">
        <f>IF(G81="Yes",-$C$8,0)</f>
        <v>-5000</v>
      </c>
      <c r="J81" s="4">
        <f>IF(G81="Yes",$C$8-I81,0)</f>
        <v>10000</v>
      </c>
      <c r="K81" s="4">
        <f ca="1">IF(H81&gt;=$C$4,J81+I81,I81)</f>
        <v>5000</v>
      </c>
    </row>
    <row r="82" spans="5:11" x14ac:dyDescent="0.25">
      <c r="E82" s="1">
        <f t="shared" si="4"/>
        <v>79</v>
      </c>
      <c r="F82" s="4">
        <f t="shared" ca="1" si="5"/>
        <v>135000</v>
      </c>
      <c r="G82" s="1" t="s">
        <v>70</v>
      </c>
      <c r="H82" s="26">
        <f t="shared" ca="1" si="3"/>
        <v>0.6499713544576099</v>
      </c>
      <c r="I82" s="4">
        <f>IF(G82="Yes",-$C$8,0)</f>
        <v>-5000</v>
      </c>
      <c r="J82" s="4">
        <f>IF(G82="Yes",$C$8-I82,0)</f>
        <v>10000</v>
      </c>
      <c r="K82" s="4">
        <f ca="1">IF(H82&gt;=$C$4,J82+I82,I82)</f>
        <v>5000</v>
      </c>
    </row>
    <row r="83" spans="5:11" x14ac:dyDescent="0.25">
      <c r="E83" s="1">
        <f t="shared" si="4"/>
        <v>80</v>
      </c>
      <c r="F83" s="4">
        <f t="shared" ca="1" si="5"/>
        <v>140000</v>
      </c>
      <c r="G83" s="1" t="s">
        <v>70</v>
      </c>
      <c r="H83" s="26">
        <f t="shared" ca="1" si="3"/>
        <v>0.94024508943540375</v>
      </c>
      <c r="I83" s="4">
        <f>IF(G83="Yes",-$C$8,0)</f>
        <v>-5000</v>
      </c>
      <c r="J83" s="4">
        <f>IF(G83="Yes",$C$8-I83,0)</f>
        <v>10000</v>
      </c>
      <c r="K83" s="4">
        <f ca="1">IF(H83&gt;=$C$4,J83+I83,I83)</f>
        <v>5000</v>
      </c>
    </row>
    <row r="84" spans="5:11" x14ac:dyDescent="0.25">
      <c r="E84" s="1">
        <f t="shared" si="4"/>
        <v>81</v>
      </c>
      <c r="F84" s="4">
        <f t="shared" ca="1" si="5"/>
        <v>145000</v>
      </c>
      <c r="G84" s="1" t="s">
        <v>70</v>
      </c>
      <c r="H84" s="26">
        <f t="shared" ca="1" si="3"/>
        <v>0.68152254645092269</v>
      </c>
      <c r="I84" s="4">
        <f>IF(G84="Yes",-$C$8,0)</f>
        <v>-5000</v>
      </c>
      <c r="J84" s="4">
        <f>IF(G84="Yes",$C$8-I84,0)</f>
        <v>10000</v>
      </c>
      <c r="K84" s="4">
        <f ca="1">IF(H84&gt;=$C$4,J84+I84,I84)</f>
        <v>5000</v>
      </c>
    </row>
    <row r="85" spans="5:11" x14ac:dyDescent="0.25">
      <c r="E85" s="1">
        <f t="shared" si="4"/>
        <v>82</v>
      </c>
      <c r="F85" s="4">
        <f t="shared" ca="1" si="5"/>
        <v>140000</v>
      </c>
      <c r="G85" s="1" t="s">
        <v>70</v>
      </c>
      <c r="H85" s="26">
        <f t="shared" ca="1" si="3"/>
        <v>0.21565628208357723</v>
      </c>
      <c r="I85" s="4">
        <f>IF(G85="Yes",-$C$8,0)</f>
        <v>-5000</v>
      </c>
      <c r="J85" s="4">
        <f>IF(G85="Yes",$C$8-I85,0)</f>
        <v>10000</v>
      </c>
      <c r="K85" s="4">
        <f ca="1">IF(H85&gt;=$C$4,J85+I85,I85)</f>
        <v>-5000</v>
      </c>
    </row>
    <row r="86" spans="5:11" x14ac:dyDescent="0.25">
      <c r="E86" s="1">
        <f t="shared" si="4"/>
        <v>83</v>
      </c>
      <c r="F86" s="4">
        <f t="shared" ca="1" si="5"/>
        <v>145000</v>
      </c>
      <c r="G86" s="1" t="s">
        <v>70</v>
      </c>
      <c r="H86" s="26">
        <f t="shared" ca="1" si="3"/>
        <v>0.50789191130097378</v>
      </c>
      <c r="I86" s="4">
        <f>IF(G86="Yes",-$C$8,0)</f>
        <v>-5000</v>
      </c>
      <c r="J86" s="4">
        <f>IF(G86="Yes",$C$8-I86,0)</f>
        <v>10000</v>
      </c>
      <c r="K86" s="4">
        <f ca="1">IF(H86&gt;=$C$4,J86+I86,I86)</f>
        <v>5000</v>
      </c>
    </row>
    <row r="87" spans="5:11" x14ac:dyDescent="0.25">
      <c r="E87" s="1">
        <f t="shared" si="4"/>
        <v>84</v>
      </c>
      <c r="F87" s="4">
        <f t="shared" ca="1" si="5"/>
        <v>150000</v>
      </c>
      <c r="G87" s="1" t="s">
        <v>70</v>
      </c>
      <c r="H87" s="26">
        <f t="shared" ca="1" si="3"/>
        <v>0.67490470490309551</v>
      </c>
      <c r="I87" s="4">
        <f>IF(G87="Yes",-$C$8,0)</f>
        <v>-5000</v>
      </c>
      <c r="J87" s="4">
        <f>IF(G87="Yes",$C$8-I87,0)</f>
        <v>10000</v>
      </c>
      <c r="K87" s="4">
        <f ca="1">IF(H87&gt;=$C$4,J87+I87,I87)</f>
        <v>5000</v>
      </c>
    </row>
    <row r="88" spans="5:11" x14ac:dyDescent="0.25">
      <c r="E88" s="1">
        <f t="shared" si="4"/>
        <v>85</v>
      </c>
      <c r="F88" s="4">
        <f t="shared" ca="1" si="5"/>
        <v>145000</v>
      </c>
      <c r="G88" s="1" t="s">
        <v>70</v>
      </c>
      <c r="H88" s="26">
        <f t="shared" ca="1" si="3"/>
        <v>7.154401633134666E-2</v>
      </c>
      <c r="I88" s="4">
        <f>IF(G88="Yes",-$C$8,0)</f>
        <v>-5000</v>
      </c>
      <c r="J88" s="4">
        <f>IF(G88="Yes",$C$8-I88,0)</f>
        <v>10000</v>
      </c>
      <c r="K88" s="4">
        <f ca="1">IF(H88&gt;=$C$4,J88+I88,I88)</f>
        <v>-5000</v>
      </c>
    </row>
    <row r="89" spans="5:11" x14ac:dyDescent="0.25">
      <c r="E89" s="1">
        <f t="shared" si="4"/>
        <v>86</v>
      </c>
      <c r="F89" s="4">
        <f t="shared" ca="1" si="5"/>
        <v>150000</v>
      </c>
      <c r="G89" s="1" t="s">
        <v>70</v>
      </c>
      <c r="H89" s="26">
        <f t="shared" ca="1" si="3"/>
        <v>0.89852317418507233</v>
      </c>
      <c r="I89" s="4">
        <f>IF(G89="Yes",-$C$8,0)</f>
        <v>-5000</v>
      </c>
      <c r="J89" s="4">
        <f>IF(G89="Yes",$C$8-I89,0)</f>
        <v>10000</v>
      </c>
      <c r="K89" s="4">
        <f ca="1">IF(H89&gt;=$C$4,J89+I89,I89)</f>
        <v>5000</v>
      </c>
    </row>
    <row r="90" spans="5:11" x14ac:dyDescent="0.25">
      <c r="E90" s="1">
        <f t="shared" si="4"/>
        <v>87</v>
      </c>
      <c r="F90" s="4">
        <f t="shared" ca="1" si="5"/>
        <v>145000</v>
      </c>
      <c r="G90" s="1" t="s">
        <v>70</v>
      </c>
      <c r="H90" s="26">
        <f t="shared" ca="1" si="3"/>
        <v>0.41017632033946727</v>
      </c>
      <c r="I90" s="4">
        <f>IF(G90="Yes",-$C$8,0)</f>
        <v>-5000</v>
      </c>
      <c r="J90" s="4">
        <f>IF(G90="Yes",$C$8-I90,0)</f>
        <v>10000</v>
      </c>
      <c r="K90" s="4">
        <f ca="1">IF(H90&gt;=$C$4,J90+I90,I90)</f>
        <v>-5000</v>
      </c>
    </row>
    <row r="91" spans="5:11" x14ac:dyDescent="0.25">
      <c r="E91" s="1">
        <f t="shared" si="4"/>
        <v>88</v>
      </c>
      <c r="F91" s="4">
        <f t="shared" ca="1" si="5"/>
        <v>150000</v>
      </c>
      <c r="G91" s="1" t="s">
        <v>70</v>
      </c>
      <c r="H91" s="26">
        <f t="shared" ca="1" si="3"/>
        <v>0.92137407028954277</v>
      </c>
      <c r="I91" s="4">
        <f>IF(G91="Yes",-$C$8,0)</f>
        <v>-5000</v>
      </c>
      <c r="J91" s="4">
        <f>IF(G91="Yes",$C$8-I91,0)</f>
        <v>10000</v>
      </c>
      <c r="K91" s="4">
        <f ca="1">IF(H91&gt;=$C$4,J91+I91,I91)</f>
        <v>5000</v>
      </c>
    </row>
    <row r="92" spans="5:11" x14ac:dyDescent="0.25">
      <c r="E92" s="1">
        <f t="shared" si="4"/>
        <v>89</v>
      </c>
      <c r="F92" s="4">
        <f t="shared" ca="1" si="5"/>
        <v>155000</v>
      </c>
      <c r="G92" s="1" t="s">
        <v>70</v>
      </c>
      <c r="H92" s="26">
        <f t="shared" ca="1" si="3"/>
        <v>0.84141736343624185</v>
      </c>
      <c r="I92" s="4">
        <f>IF(G92="Yes",-$C$8,0)</f>
        <v>-5000</v>
      </c>
      <c r="J92" s="4">
        <f>IF(G92="Yes",$C$8-I92,0)</f>
        <v>10000</v>
      </c>
      <c r="K92" s="4">
        <f ca="1">IF(H92&gt;=$C$4,J92+I92,I92)</f>
        <v>5000</v>
      </c>
    </row>
    <row r="93" spans="5:11" x14ac:dyDescent="0.25">
      <c r="E93" s="1">
        <f t="shared" si="4"/>
        <v>90</v>
      </c>
      <c r="F93" s="4">
        <f t="shared" ca="1" si="5"/>
        <v>150000</v>
      </c>
      <c r="G93" s="1" t="s">
        <v>70</v>
      </c>
      <c r="H93" s="26">
        <f t="shared" ca="1" si="3"/>
        <v>7.707460419428469E-2</v>
      </c>
      <c r="I93" s="4">
        <f>IF(G93="Yes",-$C$8,0)</f>
        <v>-5000</v>
      </c>
      <c r="J93" s="4">
        <f>IF(G93="Yes",$C$8-I93,0)</f>
        <v>10000</v>
      </c>
      <c r="K93" s="4">
        <f ca="1">IF(H93&gt;=$C$4,J93+I93,I93)</f>
        <v>-5000</v>
      </c>
    </row>
    <row r="94" spans="5:11" x14ac:dyDescent="0.25">
      <c r="E94" s="1">
        <f t="shared" si="4"/>
        <v>91</v>
      </c>
      <c r="F94" s="4">
        <f t="shared" ca="1" si="5"/>
        <v>145000</v>
      </c>
      <c r="G94" s="1" t="s">
        <v>70</v>
      </c>
      <c r="H94" s="26">
        <f t="shared" ca="1" si="3"/>
        <v>0.14155928863315614</v>
      </c>
      <c r="I94" s="4">
        <f>IF(G94="Yes",-$C$8,0)</f>
        <v>-5000</v>
      </c>
      <c r="J94" s="4">
        <f>IF(G94="Yes",$C$8-I94,0)</f>
        <v>10000</v>
      </c>
      <c r="K94" s="4">
        <f ca="1">IF(H94&gt;=$C$4,J94+I94,I94)</f>
        <v>-5000</v>
      </c>
    </row>
    <row r="95" spans="5:11" x14ac:dyDescent="0.25">
      <c r="E95" s="1">
        <f t="shared" si="4"/>
        <v>92</v>
      </c>
      <c r="F95" s="4">
        <f t="shared" ca="1" si="5"/>
        <v>150000</v>
      </c>
      <c r="G95" s="1" t="s">
        <v>70</v>
      </c>
      <c r="H95" s="26">
        <f t="shared" ca="1" si="3"/>
        <v>0.90187202188516224</v>
      </c>
      <c r="I95" s="4">
        <f>IF(G95="Yes",-$C$8,0)</f>
        <v>-5000</v>
      </c>
      <c r="J95" s="4">
        <f>IF(G95="Yes",$C$8-I95,0)</f>
        <v>10000</v>
      </c>
      <c r="K95" s="4">
        <f ca="1">IF(H95&gt;=$C$4,J95+I95,I95)</f>
        <v>5000</v>
      </c>
    </row>
    <row r="96" spans="5:11" x14ac:dyDescent="0.25">
      <c r="E96" s="1">
        <f t="shared" si="4"/>
        <v>93</v>
      </c>
      <c r="F96" s="4">
        <f t="shared" ca="1" si="5"/>
        <v>155000</v>
      </c>
      <c r="G96" s="1" t="s">
        <v>70</v>
      </c>
      <c r="H96" s="26">
        <f t="shared" ca="1" si="3"/>
        <v>0.79762616088176885</v>
      </c>
      <c r="I96" s="4">
        <f>IF(G96="Yes",-$C$8,0)</f>
        <v>-5000</v>
      </c>
      <c r="J96" s="4">
        <f>IF(G96="Yes",$C$8-I96,0)</f>
        <v>10000</v>
      </c>
      <c r="K96" s="4">
        <f ca="1">IF(H96&gt;=$C$4,J96+I96,I96)</f>
        <v>5000</v>
      </c>
    </row>
    <row r="97" spans="5:11" x14ac:dyDescent="0.25">
      <c r="E97" s="1">
        <f t="shared" si="4"/>
        <v>94</v>
      </c>
      <c r="F97" s="4">
        <f t="shared" ca="1" si="5"/>
        <v>150000</v>
      </c>
      <c r="G97" s="1" t="s">
        <v>70</v>
      </c>
      <c r="H97" s="26">
        <f t="shared" ca="1" si="3"/>
        <v>0.10739056339036246</v>
      </c>
      <c r="I97" s="4">
        <f>IF(G97="Yes",-$C$8,0)</f>
        <v>-5000</v>
      </c>
      <c r="J97" s="4">
        <f>IF(G97="Yes",$C$8-I97,0)</f>
        <v>10000</v>
      </c>
      <c r="K97" s="4">
        <f ca="1">IF(H97&gt;=$C$4,J97+I97,I97)</f>
        <v>-5000</v>
      </c>
    </row>
    <row r="98" spans="5:11" x14ac:dyDescent="0.25">
      <c r="E98" s="1">
        <f t="shared" si="4"/>
        <v>95</v>
      </c>
      <c r="F98" s="4">
        <f t="shared" ca="1" si="5"/>
        <v>155000</v>
      </c>
      <c r="G98" s="1" t="s">
        <v>70</v>
      </c>
      <c r="H98" s="26">
        <f t="shared" ca="1" si="3"/>
        <v>0.72548035676503719</v>
      </c>
      <c r="I98" s="4">
        <f>IF(G98="Yes",-$C$8,0)</f>
        <v>-5000</v>
      </c>
      <c r="J98" s="4">
        <f>IF(G98="Yes",$C$8-I98,0)</f>
        <v>10000</v>
      </c>
      <c r="K98" s="4">
        <f ca="1">IF(H98&gt;=$C$4,J98+I98,I98)</f>
        <v>5000</v>
      </c>
    </row>
    <row r="99" spans="5:11" x14ac:dyDescent="0.25">
      <c r="E99" s="1">
        <f t="shared" si="4"/>
        <v>96</v>
      </c>
      <c r="F99" s="4">
        <f t="shared" ca="1" si="5"/>
        <v>150000</v>
      </c>
      <c r="G99" s="1" t="s">
        <v>70</v>
      </c>
      <c r="H99" s="26">
        <f t="shared" ca="1" si="3"/>
        <v>8.2179727789348234E-2</v>
      </c>
      <c r="I99" s="4">
        <f>IF(G99="Yes",-$C$8,0)</f>
        <v>-5000</v>
      </c>
      <c r="J99" s="4">
        <f>IF(G99="Yes",$C$8-I99,0)</f>
        <v>10000</v>
      </c>
      <c r="K99" s="4">
        <f ca="1">IF(H99&gt;=$C$4,J99+I99,I99)</f>
        <v>-5000</v>
      </c>
    </row>
    <row r="100" spans="5:11" x14ac:dyDescent="0.25">
      <c r="E100" s="1">
        <f t="shared" si="4"/>
        <v>97</v>
      </c>
      <c r="F100" s="4">
        <f t="shared" ca="1" si="5"/>
        <v>145000</v>
      </c>
      <c r="G100" s="1" t="s">
        <v>70</v>
      </c>
      <c r="H100" s="26">
        <f t="shared" ca="1" si="3"/>
        <v>0.1034166929381729</v>
      </c>
      <c r="I100" s="4">
        <f>IF(G100="Yes",-$C$8,0)</f>
        <v>-5000</v>
      </c>
      <c r="J100" s="4">
        <f>IF(G100="Yes",$C$8-I100,0)</f>
        <v>10000</v>
      </c>
      <c r="K100" s="4">
        <f ca="1">IF(H100&gt;=$C$4,J100+I100,I100)</f>
        <v>-5000</v>
      </c>
    </row>
    <row r="101" spans="5:11" x14ac:dyDescent="0.25">
      <c r="E101" s="1">
        <f t="shared" si="4"/>
        <v>98</v>
      </c>
      <c r="F101" s="4">
        <f t="shared" ca="1" si="5"/>
        <v>150000</v>
      </c>
      <c r="G101" s="1" t="s">
        <v>70</v>
      </c>
      <c r="H101" s="26">
        <f t="shared" ca="1" si="3"/>
        <v>0.63605305153046277</v>
      </c>
      <c r="I101" s="4">
        <f>IF(G101="Yes",-$C$8,0)</f>
        <v>-5000</v>
      </c>
      <c r="J101" s="4">
        <f>IF(G101="Yes",$C$8-I101,0)</f>
        <v>10000</v>
      </c>
      <c r="K101" s="4">
        <f ca="1">IF(H101&gt;=$C$4,J101+I101,I101)</f>
        <v>5000</v>
      </c>
    </row>
    <row r="102" spans="5:11" x14ac:dyDescent="0.25">
      <c r="E102" s="1">
        <f t="shared" si="4"/>
        <v>99</v>
      </c>
      <c r="F102" s="4">
        <f t="shared" ca="1" si="5"/>
        <v>145000</v>
      </c>
      <c r="G102" s="1" t="s">
        <v>70</v>
      </c>
      <c r="H102" s="26">
        <f t="shared" ca="1" si="3"/>
        <v>0.33073350519831923</v>
      </c>
      <c r="I102" s="4">
        <f>IF(G102="Yes",-$C$8,0)</f>
        <v>-5000</v>
      </c>
      <c r="J102" s="4">
        <f>IF(G102="Yes",$C$8-I102,0)</f>
        <v>10000</v>
      </c>
      <c r="K102" s="4">
        <f ca="1">IF(H102&gt;=$C$4,J102+I102,I102)</f>
        <v>-5000</v>
      </c>
    </row>
    <row r="103" spans="5:11" x14ac:dyDescent="0.25">
      <c r="E103" s="1">
        <f t="shared" si="4"/>
        <v>100</v>
      </c>
      <c r="F103" s="4">
        <f t="shared" ca="1" si="5"/>
        <v>140000</v>
      </c>
      <c r="G103" s="1" t="s">
        <v>70</v>
      </c>
      <c r="H103" s="26">
        <f t="shared" ca="1" si="3"/>
        <v>0.39690748515929575</v>
      </c>
      <c r="I103" s="4">
        <f>IF(G103="Yes",-$C$8,0)</f>
        <v>-5000</v>
      </c>
      <c r="J103" s="4">
        <f>IF(G103="Yes",$C$8-I103,0)</f>
        <v>10000</v>
      </c>
      <c r="K103" s="4">
        <f ca="1">IF(H103&gt;=$C$4,J103+I103,I103)</f>
        <v>-5000</v>
      </c>
    </row>
    <row r="104" spans="5:11" x14ac:dyDescent="0.25">
      <c r="E104" s="1">
        <f t="shared" si="4"/>
        <v>101</v>
      </c>
      <c r="F104" s="4">
        <f t="shared" ca="1" si="5"/>
        <v>145000</v>
      </c>
      <c r="G104" s="1" t="s">
        <v>70</v>
      </c>
      <c r="H104" s="26">
        <f t="shared" ca="1" si="3"/>
        <v>0.61201394949734567</v>
      </c>
      <c r="I104" s="4">
        <f>IF(G104="Yes",-$C$8,0)</f>
        <v>-5000</v>
      </c>
      <c r="J104" s="4">
        <f>IF(G104="Yes",$C$8-I104,0)</f>
        <v>10000</v>
      </c>
      <c r="K104" s="4">
        <f ca="1">IF(H104&gt;=$C$4,J104+I104,I104)</f>
        <v>5000</v>
      </c>
    </row>
    <row r="105" spans="5:11" x14ac:dyDescent="0.25">
      <c r="E105" s="1">
        <f t="shared" si="4"/>
        <v>102</v>
      </c>
      <c r="F105" s="4">
        <f t="shared" ca="1" si="5"/>
        <v>150000</v>
      </c>
      <c r="G105" s="1" t="s">
        <v>70</v>
      </c>
      <c r="H105" s="26">
        <f t="shared" ca="1" si="3"/>
        <v>0.97078205394443395</v>
      </c>
      <c r="I105" s="4">
        <f>IF(G105="Yes",-$C$8,0)</f>
        <v>-5000</v>
      </c>
      <c r="J105" s="4">
        <f>IF(G105="Yes",$C$8-I105,0)</f>
        <v>10000</v>
      </c>
      <c r="K105" s="4">
        <f ca="1">IF(H105&gt;=$C$4,J105+I105,I105)</f>
        <v>5000</v>
      </c>
    </row>
    <row r="106" spans="5:11" x14ac:dyDescent="0.25">
      <c r="E106" s="1">
        <f t="shared" si="4"/>
        <v>103</v>
      </c>
      <c r="F106" s="4">
        <f t="shared" ca="1" si="5"/>
        <v>145000</v>
      </c>
      <c r="G106" s="1" t="s">
        <v>70</v>
      </c>
      <c r="H106" s="26">
        <f t="shared" ca="1" si="3"/>
        <v>9.6640401293747957E-2</v>
      </c>
      <c r="I106" s="4">
        <f>IF(G106="Yes",-$C$8,0)</f>
        <v>-5000</v>
      </c>
      <c r="J106" s="4">
        <f>IF(G106="Yes",$C$8-I106,0)</f>
        <v>10000</v>
      </c>
      <c r="K106" s="4">
        <f ca="1">IF(H106&gt;=$C$4,J106+I106,I106)</f>
        <v>-5000</v>
      </c>
    </row>
    <row r="107" spans="5:11" x14ac:dyDescent="0.25">
      <c r="E107" s="1">
        <f t="shared" si="4"/>
        <v>104</v>
      </c>
      <c r="F107" s="4">
        <f t="shared" ca="1" si="5"/>
        <v>150000</v>
      </c>
      <c r="G107" s="1" t="s">
        <v>70</v>
      </c>
      <c r="H107" s="26">
        <f t="shared" ca="1" si="3"/>
        <v>0.52504372847598835</v>
      </c>
      <c r="I107" s="4">
        <f>IF(G107="Yes",-$C$8,0)</f>
        <v>-5000</v>
      </c>
      <c r="J107" s="4">
        <f>IF(G107="Yes",$C$8-I107,0)</f>
        <v>10000</v>
      </c>
      <c r="K107" s="4">
        <f ca="1">IF(H107&gt;=$C$4,J107+I107,I107)</f>
        <v>5000</v>
      </c>
    </row>
    <row r="108" spans="5:11" x14ac:dyDescent="0.25">
      <c r="E108" s="1">
        <f t="shared" si="4"/>
        <v>105</v>
      </c>
      <c r="F108" s="4">
        <f t="shared" ca="1" si="5"/>
        <v>155000</v>
      </c>
      <c r="G108" s="1" t="s">
        <v>70</v>
      </c>
      <c r="H108" s="26">
        <f t="shared" ca="1" si="3"/>
        <v>0.94600545113870649</v>
      </c>
      <c r="I108" s="4">
        <f>IF(G108="Yes",-$C$8,0)</f>
        <v>-5000</v>
      </c>
      <c r="J108" s="4">
        <f>IF(G108="Yes",$C$8-I108,0)</f>
        <v>10000</v>
      </c>
      <c r="K108" s="4">
        <f ca="1">IF(H108&gt;=$C$4,J108+I108,I108)</f>
        <v>5000</v>
      </c>
    </row>
    <row r="109" spans="5:11" x14ac:dyDescent="0.25">
      <c r="E109" s="1">
        <f t="shared" si="4"/>
        <v>106</v>
      </c>
      <c r="F109" s="4">
        <f t="shared" ca="1" si="5"/>
        <v>160000</v>
      </c>
      <c r="G109" s="1" t="s">
        <v>70</v>
      </c>
      <c r="H109" s="26">
        <f t="shared" ca="1" si="3"/>
        <v>0.82339955013870725</v>
      </c>
      <c r="I109" s="4">
        <f>IF(G109="Yes",-$C$8,0)</f>
        <v>-5000</v>
      </c>
      <c r="J109" s="4">
        <f>IF(G109="Yes",$C$8-I109,0)</f>
        <v>10000</v>
      </c>
      <c r="K109" s="4">
        <f ca="1">IF(H109&gt;=$C$4,J109+I109,I109)</f>
        <v>5000</v>
      </c>
    </row>
    <row r="110" spans="5:11" x14ac:dyDescent="0.25">
      <c r="E110" s="1">
        <f t="shared" si="4"/>
        <v>107</v>
      </c>
      <c r="F110" s="4">
        <f t="shared" ca="1" si="5"/>
        <v>165000</v>
      </c>
      <c r="G110" s="1" t="s">
        <v>70</v>
      </c>
      <c r="H110" s="26">
        <f t="shared" ca="1" si="3"/>
        <v>0.71644276694770737</v>
      </c>
      <c r="I110" s="4">
        <f>IF(G110="Yes",-$C$8,0)</f>
        <v>-5000</v>
      </c>
      <c r="J110" s="4">
        <f>IF(G110="Yes",$C$8-I110,0)</f>
        <v>10000</v>
      </c>
      <c r="K110" s="4">
        <f ca="1">IF(H110&gt;=$C$4,J110+I110,I110)</f>
        <v>5000</v>
      </c>
    </row>
    <row r="111" spans="5:11" x14ac:dyDescent="0.25">
      <c r="E111" s="1">
        <f t="shared" si="4"/>
        <v>108</v>
      </c>
      <c r="F111" s="4">
        <f t="shared" ca="1" si="5"/>
        <v>170000</v>
      </c>
      <c r="G111" s="1" t="s">
        <v>70</v>
      </c>
      <c r="H111" s="26">
        <f t="shared" ca="1" si="3"/>
        <v>0.78751601556972595</v>
      </c>
      <c r="I111" s="4">
        <f>IF(G111="Yes",-$C$8,0)</f>
        <v>-5000</v>
      </c>
      <c r="J111" s="4">
        <f>IF(G111="Yes",$C$8-I111,0)</f>
        <v>10000</v>
      </c>
      <c r="K111" s="4">
        <f ca="1">IF(H111&gt;=$C$4,J111+I111,I111)</f>
        <v>5000</v>
      </c>
    </row>
    <row r="112" spans="5:11" x14ac:dyDescent="0.25">
      <c r="E112" s="1">
        <f t="shared" si="4"/>
        <v>109</v>
      </c>
      <c r="F112" s="4">
        <f t="shared" ca="1" si="5"/>
        <v>175000</v>
      </c>
      <c r="G112" s="1" t="s">
        <v>70</v>
      </c>
      <c r="H112" s="26">
        <f t="shared" ca="1" si="3"/>
        <v>0.48795783170559803</v>
      </c>
      <c r="I112" s="4">
        <f>IF(G112="Yes",-$C$8,0)</f>
        <v>-5000</v>
      </c>
      <c r="J112" s="4">
        <f>IF(G112="Yes",$C$8-I112,0)</f>
        <v>10000</v>
      </c>
      <c r="K112" s="4">
        <f ca="1">IF(H112&gt;=$C$4,J112+I112,I112)</f>
        <v>5000</v>
      </c>
    </row>
    <row r="113" spans="5:11" x14ac:dyDescent="0.25">
      <c r="E113" s="1">
        <f t="shared" si="4"/>
        <v>110</v>
      </c>
      <c r="F113" s="4">
        <f t="shared" ca="1" si="5"/>
        <v>170000</v>
      </c>
      <c r="G113" s="1" t="s">
        <v>70</v>
      </c>
      <c r="H113" s="26">
        <f t="shared" ca="1" si="3"/>
        <v>0.23867046138742321</v>
      </c>
      <c r="I113" s="4">
        <f>IF(G113="Yes",-$C$8,0)</f>
        <v>-5000</v>
      </c>
      <c r="J113" s="4">
        <f>IF(G113="Yes",$C$8-I113,0)</f>
        <v>10000</v>
      </c>
      <c r="K113" s="4">
        <f ca="1">IF(H113&gt;=$C$4,J113+I113,I113)</f>
        <v>-5000</v>
      </c>
    </row>
    <row r="114" spans="5:11" x14ac:dyDescent="0.25">
      <c r="E114" s="1">
        <f t="shared" si="4"/>
        <v>111</v>
      </c>
      <c r="F114" s="4">
        <f t="shared" ca="1" si="5"/>
        <v>165000</v>
      </c>
      <c r="G114" s="1" t="s">
        <v>70</v>
      </c>
      <c r="H114" s="26">
        <f t="shared" ca="1" si="3"/>
        <v>0.20280830654604109</v>
      </c>
      <c r="I114" s="4">
        <f>IF(G114="Yes",-$C$8,0)</f>
        <v>-5000</v>
      </c>
      <c r="J114" s="4">
        <f>IF(G114="Yes",$C$8-I114,0)</f>
        <v>10000</v>
      </c>
      <c r="K114" s="4">
        <f ca="1">IF(H114&gt;=$C$4,J114+I114,I114)</f>
        <v>-5000</v>
      </c>
    </row>
    <row r="115" spans="5:11" x14ac:dyDescent="0.25">
      <c r="E115" s="1">
        <f t="shared" si="4"/>
        <v>112</v>
      </c>
      <c r="F115" s="4">
        <f t="shared" ca="1" si="5"/>
        <v>160000</v>
      </c>
      <c r="G115" s="1" t="s">
        <v>70</v>
      </c>
      <c r="H115" s="26">
        <f t="shared" ca="1" si="3"/>
        <v>0.24141267027120927</v>
      </c>
      <c r="I115" s="4">
        <f>IF(G115="Yes",-$C$8,0)</f>
        <v>-5000</v>
      </c>
      <c r="J115" s="4">
        <f>IF(G115="Yes",$C$8-I115,0)</f>
        <v>10000</v>
      </c>
      <c r="K115" s="4">
        <f ca="1">IF(H115&gt;=$C$4,J115+I115,I115)</f>
        <v>-5000</v>
      </c>
    </row>
    <row r="116" spans="5:11" x14ac:dyDescent="0.25">
      <c r="E116" s="1">
        <f t="shared" si="4"/>
        <v>113</v>
      </c>
      <c r="F116" s="4">
        <f t="shared" ca="1" si="5"/>
        <v>165000</v>
      </c>
      <c r="G116" s="1" t="s">
        <v>70</v>
      </c>
      <c r="H116" s="26">
        <f t="shared" ca="1" si="3"/>
        <v>0.74757988299820766</v>
      </c>
      <c r="I116" s="4">
        <f>IF(G116="Yes",-$C$8,0)</f>
        <v>-5000</v>
      </c>
      <c r="J116" s="4">
        <f>IF(G116="Yes",$C$8-I116,0)</f>
        <v>10000</v>
      </c>
      <c r="K116" s="4">
        <f ca="1">IF(H116&gt;=$C$4,J116+I116,I116)</f>
        <v>5000</v>
      </c>
    </row>
    <row r="117" spans="5:11" x14ac:dyDescent="0.25">
      <c r="E117" s="1">
        <f t="shared" si="4"/>
        <v>114</v>
      </c>
      <c r="F117" s="4">
        <f t="shared" ca="1" si="5"/>
        <v>170000</v>
      </c>
      <c r="G117" s="1" t="s">
        <v>70</v>
      </c>
      <c r="H117" s="26">
        <f t="shared" ca="1" si="3"/>
        <v>0.77741067106947515</v>
      </c>
      <c r="I117" s="4">
        <f>IF(G117="Yes",-$C$8,0)</f>
        <v>-5000</v>
      </c>
      <c r="J117" s="4">
        <f>IF(G117="Yes",$C$8-I117,0)</f>
        <v>10000</v>
      </c>
      <c r="K117" s="4">
        <f ca="1">IF(H117&gt;=$C$4,J117+I117,I117)</f>
        <v>5000</v>
      </c>
    </row>
    <row r="118" spans="5:11" x14ac:dyDescent="0.25">
      <c r="E118" s="1">
        <f t="shared" si="4"/>
        <v>115</v>
      </c>
      <c r="F118" s="4">
        <f t="shared" ca="1" si="5"/>
        <v>165000</v>
      </c>
      <c r="G118" s="1" t="s">
        <v>70</v>
      </c>
      <c r="H118" s="26">
        <f t="shared" ca="1" si="3"/>
        <v>4.7260168591223728E-2</v>
      </c>
      <c r="I118" s="4">
        <f>IF(G118="Yes",-$C$8,0)</f>
        <v>-5000</v>
      </c>
      <c r="J118" s="4">
        <f>IF(G118="Yes",$C$8-I118,0)</f>
        <v>10000</v>
      </c>
      <c r="K118" s="4">
        <f ca="1">IF(H118&gt;=$C$4,J118+I118,I118)</f>
        <v>-5000</v>
      </c>
    </row>
    <row r="119" spans="5:11" x14ac:dyDescent="0.25">
      <c r="E119" s="1">
        <f t="shared" si="4"/>
        <v>116</v>
      </c>
      <c r="F119" s="4">
        <f t="shared" ca="1" si="5"/>
        <v>160000</v>
      </c>
      <c r="G119" s="1" t="s">
        <v>70</v>
      </c>
      <c r="H119" s="26">
        <f t="shared" ca="1" si="3"/>
        <v>1.5176942527061699E-2</v>
      </c>
      <c r="I119" s="4">
        <f>IF(G119="Yes",-$C$8,0)</f>
        <v>-5000</v>
      </c>
      <c r="J119" s="4">
        <f>IF(G119="Yes",$C$8-I119,0)</f>
        <v>10000</v>
      </c>
      <c r="K119" s="4">
        <f ca="1">IF(H119&gt;=$C$4,J119+I119,I119)</f>
        <v>-5000</v>
      </c>
    </row>
    <row r="120" spans="5:11" x14ac:dyDescent="0.25">
      <c r="E120" s="1">
        <f t="shared" si="4"/>
        <v>117</v>
      </c>
      <c r="F120" s="4">
        <f t="shared" ca="1" si="5"/>
        <v>165000</v>
      </c>
      <c r="G120" s="1" t="s">
        <v>70</v>
      </c>
      <c r="H120" s="26">
        <f t="shared" ca="1" si="3"/>
        <v>0.83119861289272401</v>
      </c>
      <c r="I120" s="4">
        <f>IF(G120="Yes",-$C$8,0)</f>
        <v>-5000</v>
      </c>
      <c r="J120" s="4">
        <f>IF(G120="Yes",$C$8-I120,0)</f>
        <v>10000</v>
      </c>
      <c r="K120" s="4">
        <f ca="1">IF(H120&gt;=$C$4,J120+I120,I120)</f>
        <v>5000</v>
      </c>
    </row>
    <row r="121" spans="5:11" x14ac:dyDescent="0.25">
      <c r="E121" s="1">
        <f t="shared" si="4"/>
        <v>118</v>
      </c>
      <c r="F121" s="4">
        <f t="shared" ca="1" si="5"/>
        <v>160000</v>
      </c>
      <c r="G121" s="1" t="s">
        <v>70</v>
      </c>
      <c r="H121" s="26">
        <f t="shared" ca="1" si="3"/>
        <v>0.14536285358222756</v>
      </c>
      <c r="I121" s="4">
        <f>IF(G121="Yes",-$C$8,0)</f>
        <v>-5000</v>
      </c>
      <c r="J121" s="4">
        <f>IF(G121="Yes",$C$8-I121,0)</f>
        <v>10000</v>
      </c>
      <c r="K121" s="4">
        <f ca="1">IF(H121&gt;=$C$4,J121+I121,I121)</f>
        <v>-5000</v>
      </c>
    </row>
    <row r="122" spans="5:11" x14ac:dyDescent="0.25">
      <c r="E122" s="1">
        <f t="shared" si="4"/>
        <v>119</v>
      </c>
      <c r="F122" s="4">
        <f t="shared" ca="1" si="5"/>
        <v>155000</v>
      </c>
      <c r="G122" s="1" t="s">
        <v>70</v>
      </c>
      <c r="H122" s="26">
        <f t="shared" ca="1" si="3"/>
        <v>0.19229727106986427</v>
      </c>
      <c r="I122" s="4">
        <f>IF(G122="Yes",-$C$8,0)</f>
        <v>-5000</v>
      </c>
      <c r="J122" s="4">
        <f>IF(G122="Yes",$C$8-I122,0)</f>
        <v>10000</v>
      </c>
      <c r="K122" s="4">
        <f ca="1">IF(H122&gt;=$C$4,J122+I122,I122)</f>
        <v>-5000</v>
      </c>
    </row>
    <row r="123" spans="5:11" x14ac:dyDescent="0.25">
      <c r="E123" s="1">
        <f t="shared" si="4"/>
        <v>120</v>
      </c>
      <c r="F123" s="4">
        <f t="shared" ca="1" si="5"/>
        <v>160000</v>
      </c>
      <c r="G123" s="1" t="s">
        <v>70</v>
      </c>
      <c r="H123" s="26">
        <f t="shared" ca="1" si="3"/>
        <v>0.66112376635680248</v>
      </c>
      <c r="I123" s="4">
        <f>IF(G123="Yes",-$C$8,0)</f>
        <v>-5000</v>
      </c>
      <c r="J123" s="4">
        <f>IF(G123="Yes",$C$8-I123,0)</f>
        <v>10000</v>
      </c>
      <c r="K123" s="4">
        <f ca="1">IF(H123&gt;=$C$4,J123+I123,I123)</f>
        <v>5000</v>
      </c>
    </row>
    <row r="124" spans="5:11" x14ac:dyDescent="0.25">
      <c r="E124" s="1">
        <f t="shared" si="4"/>
        <v>121</v>
      </c>
      <c r="F124" s="4">
        <f t="shared" ca="1" si="5"/>
        <v>165000</v>
      </c>
      <c r="G124" s="1" t="s">
        <v>70</v>
      </c>
      <c r="H124" s="26">
        <f t="shared" ca="1" si="3"/>
        <v>0.50355515510606974</v>
      </c>
      <c r="I124" s="4">
        <f>IF(G124="Yes",-$C$8,0)</f>
        <v>-5000</v>
      </c>
      <c r="J124" s="4">
        <f>IF(G124="Yes",$C$8-I124,0)</f>
        <v>10000</v>
      </c>
      <c r="K124" s="4">
        <f ca="1">IF(H124&gt;=$C$4,J124+I124,I124)</f>
        <v>5000</v>
      </c>
    </row>
    <row r="125" spans="5:11" x14ac:dyDescent="0.25">
      <c r="E125" s="1">
        <f t="shared" si="4"/>
        <v>122</v>
      </c>
      <c r="F125" s="4">
        <f t="shared" ca="1" si="5"/>
        <v>170000</v>
      </c>
      <c r="G125" s="1" t="s">
        <v>70</v>
      </c>
      <c r="H125" s="26">
        <f t="shared" ca="1" si="3"/>
        <v>0.88584370318145134</v>
      </c>
      <c r="I125" s="4">
        <f>IF(G125="Yes",-$C$8,0)</f>
        <v>-5000</v>
      </c>
      <c r="J125" s="4">
        <f>IF(G125="Yes",$C$8-I125,0)</f>
        <v>10000</v>
      </c>
      <c r="K125" s="4">
        <f ca="1">IF(H125&gt;=$C$4,J125+I125,I125)</f>
        <v>5000</v>
      </c>
    </row>
    <row r="126" spans="5:11" x14ac:dyDescent="0.25">
      <c r="E126" s="1">
        <f t="shared" si="4"/>
        <v>123</v>
      </c>
      <c r="F126" s="4">
        <f t="shared" ca="1" si="5"/>
        <v>175000</v>
      </c>
      <c r="G126" s="1" t="s">
        <v>70</v>
      </c>
      <c r="H126" s="26">
        <f t="shared" ca="1" si="3"/>
        <v>0.48023612715164632</v>
      </c>
      <c r="I126" s="4">
        <f>IF(G126="Yes",-$C$8,0)</f>
        <v>-5000</v>
      </c>
      <c r="J126" s="4">
        <f>IF(G126="Yes",$C$8-I126,0)</f>
        <v>10000</v>
      </c>
      <c r="K126" s="4">
        <f ca="1">IF(H126&gt;=$C$4,J126+I126,I126)</f>
        <v>5000</v>
      </c>
    </row>
    <row r="127" spans="5:11" x14ac:dyDescent="0.25">
      <c r="E127" s="1">
        <f t="shared" si="4"/>
        <v>124</v>
      </c>
      <c r="F127" s="4">
        <f t="shared" ca="1" si="5"/>
        <v>170000</v>
      </c>
      <c r="G127" s="1" t="s">
        <v>70</v>
      </c>
      <c r="H127" s="26">
        <f t="shared" ca="1" si="3"/>
        <v>0.19598182470911341</v>
      </c>
      <c r="I127" s="4">
        <f>IF(G127="Yes",-$C$8,0)</f>
        <v>-5000</v>
      </c>
      <c r="J127" s="4">
        <f>IF(G127="Yes",$C$8-I127,0)</f>
        <v>10000</v>
      </c>
      <c r="K127" s="4">
        <f ca="1">IF(H127&gt;=$C$4,J127+I127,I127)</f>
        <v>-5000</v>
      </c>
    </row>
    <row r="128" spans="5:11" x14ac:dyDescent="0.25">
      <c r="E128" s="1">
        <f t="shared" si="4"/>
        <v>125</v>
      </c>
      <c r="F128" s="4">
        <f t="shared" ca="1" si="5"/>
        <v>175000</v>
      </c>
      <c r="G128" s="1" t="s">
        <v>70</v>
      </c>
      <c r="H128" s="26">
        <f t="shared" ca="1" si="3"/>
        <v>0.91149576964066414</v>
      </c>
      <c r="I128" s="4">
        <f>IF(G128="Yes",-$C$8,0)</f>
        <v>-5000</v>
      </c>
      <c r="J128" s="4">
        <f>IF(G128="Yes",$C$8-I128,0)</f>
        <v>10000</v>
      </c>
      <c r="K128" s="4">
        <f ca="1">IF(H128&gt;=$C$4,J128+I128,I128)</f>
        <v>5000</v>
      </c>
    </row>
    <row r="129" spans="5:11" x14ac:dyDescent="0.25">
      <c r="E129" s="1">
        <f t="shared" si="4"/>
        <v>126</v>
      </c>
      <c r="F129" s="4">
        <f t="shared" ca="1" si="5"/>
        <v>180000</v>
      </c>
      <c r="G129" s="1" t="s">
        <v>70</v>
      </c>
      <c r="H129" s="26">
        <f t="shared" ca="1" si="3"/>
        <v>0.55155978844532105</v>
      </c>
      <c r="I129" s="4">
        <f>IF(G129="Yes",-$C$8,0)</f>
        <v>-5000</v>
      </c>
      <c r="J129" s="4">
        <f>IF(G129="Yes",$C$8-I129,0)</f>
        <v>10000</v>
      </c>
      <c r="K129" s="4">
        <f ca="1">IF(H129&gt;=$C$4,J129+I129,I129)</f>
        <v>5000</v>
      </c>
    </row>
    <row r="130" spans="5:11" x14ac:dyDescent="0.25">
      <c r="E130" s="1">
        <f t="shared" si="4"/>
        <v>127</v>
      </c>
      <c r="F130" s="4">
        <f t="shared" ca="1" si="5"/>
        <v>185000</v>
      </c>
      <c r="G130" s="1" t="s">
        <v>70</v>
      </c>
      <c r="H130" s="26">
        <f t="shared" ca="1" si="3"/>
        <v>0.62427372795545433</v>
      </c>
      <c r="I130" s="4">
        <f>IF(G130="Yes",-$C$8,0)</f>
        <v>-5000</v>
      </c>
      <c r="J130" s="4">
        <f>IF(G130="Yes",$C$8-I130,0)</f>
        <v>10000</v>
      </c>
      <c r="K130" s="4">
        <f ca="1">IF(H130&gt;=$C$4,J130+I130,I130)</f>
        <v>5000</v>
      </c>
    </row>
    <row r="131" spans="5:11" x14ac:dyDescent="0.25">
      <c r="E131" s="1">
        <f t="shared" si="4"/>
        <v>128</v>
      </c>
      <c r="F131" s="4">
        <f t="shared" ca="1" si="5"/>
        <v>180000</v>
      </c>
      <c r="G131" s="1" t="s">
        <v>70</v>
      </c>
      <c r="H131" s="26">
        <f t="shared" ca="1" si="3"/>
        <v>0.4304642219058874</v>
      </c>
      <c r="I131" s="4">
        <f>IF(G131="Yes",-$C$8,0)</f>
        <v>-5000</v>
      </c>
      <c r="J131" s="4">
        <f>IF(G131="Yes",$C$8-I131,0)</f>
        <v>10000</v>
      </c>
      <c r="K131" s="4">
        <f ca="1">IF(H131&gt;=$C$4,J131+I131,I131)</f>
        <v>-5000</v>
      </c>
    </row>
    <row r="132" spans="5:11" x14ac:dyDescent="0.25">
      <c r="E132" s="1">
        <f t="shared" si="4"/>
        <v>129</v>
      </c>
      <c r="F132" s="4">
        <f t="shared" ca="1" si="5"/>
        <v>185000</v>
      </c>
      <c r="G132" s="1" t="s">
        <v>70</v>
      </c>
      <c r="H132" s="26">
        <f t="shared" ref="H132:H195" ca="1" si="6">RAND()</f>
        <v>0.46060804328941007</v>
      </c>
      <c r="I132" s="4">
        <f>IF(G132="Yes",-$C$8,0)</f>
        <v>-5000</v>
      </c>
      <c r="J132" s="4">
        <f>IF(G132="Yes",$C$8-I132,0)</f>
        <v>10000</v>
      </c>
      <c r="K132" s="4">
        <f ca="1">IF(H132&gt;=$C$4,J132+I132,I132)</f>
        <v>5000</v>
      </c>
    </row>
    <row r="133" spans="5:11" x14ac:dyDescent="0.25">
      <c r="E133" s="1">
        <f t="shared" ref="E133:G196" si="7">E132+1</f>
        <v>130</v>
      </c>
      <c r="F133" s="4">
        <f t="shared" ref="F133:F196" ca="1" si="8">F132+K133</f>
        <v>180000</v>
      </c>
      <c r="G133" s="1" t="s">
        <v>70</v>
      </c>
      <c r="H133" s="26">
        <f t="shared" ca="1" si="6"/>
        <v>0.11437560285716475</v>
      </c>
      <c r="I133" s="4">
        <f>IF(G133="Yes",-$C$8,0)</f>
        <v>-5000</v>
      </c>
      <c r="J133" s="4">
        <f>IF(G133="Yes",$C$8-I133,0)</f>
        <v>10000</v>
      </c>
      <c r="K133" s="4">
        <f ca="1">IF(H133&gt;=$C$4,J133+I133,I133)</f>
        <v>-5000</v>
      </c>
    </row>
    <row r="134" spans="5:11" x14ac:dyDescent="0.25">
      <c r="E134" s="1">
        <f t="shared" si="7"/>
        <v>131</v>
      </c>
      <c r="F134" s="4">
        <f t="shared" ca="1" si="8"/>
        <v>175000</v>
      </c>
      <c r="G134" s="1" t="s">
        <v>70</v>
      </c>
      <c r="H134" s="26">
        <f t="shared" ca="1" si="6"/>
        <v>0.30733315023135499</v>
      </c>
      <c r="I134" s="4">
        <f>IF(G134="Yes",-$C$8,0)</f>
        <v>-5000</v>
      </c>
      <c r="J134" s="4">
        <f>IF(G134="Yes",$C$8-I134,0)</f>
        <v>10000</v>
      </c>
      <c r="K134" s="4">
        <f ca="1">IF(H134&gt;=$C$4,J134+I134,I134)</f>
        <v>-5000</v>
      </c>
    </row>
    <row r="135" spans="5:11" x14ac:dyDescent="0.25">
      <c r="E135" s="1">
        <f t="shared" si="7"/>
        <v>132</v>
      </c>
      <c r="F135" s="4">
        <f t="shared" ca="1" si="8"/>
        <v>180000</v>
      </c>
      <c r="G135" s="1" t="s">
        <v>70</v>
      </c>
      <c r="H135" s="26">
        <f t="shared" ca="1" si="6"/>
        <v>0.4531427579344629</v>
      </c>
      <c r="I135" s="4">
        <f>IF(G135="Yes",-$C$8,0)</f>
        <v>-5000</v>
      </c>
      <c r="J135" s="4">
        <f>IF(G135="Yes",$C$8-I135,0)</f>
        <v>10000</v>
      </c>
      <c r="K135" s="4">
        <f ca="1">IF(H135&gt;=$C$4,J135+I135,I135)</f>
        <v>5000</v>
      </c>
    </row>
    <row r="136" spans="5:11" x14ac:dyDescent="0.25">
      <c r="E136" s="1">
        <f t="shared" si="7"/>
        <v>133</v>
      </c>
      <c r="F136" s="4">
        <f t="shared" ca="1" si="8"/>
        <v>175000</v>
      </c>
      <c r="G136" s="1" t="s">
        <v>70</v>
      </c>
      <c r="H136" s="26">
        <f t="shared" ca="1" si="6"/>
        <v>0.19331983938628039</v>
      </c>
      <c r="I136" s="4">
        <f>IF(G136="Yes",-$C$8,0)</f>
        <v>-5000</v>
      </c>
      <c r="J136" s="4">
        <f>IF(G136="Yes",$C$8-I136,0)</f>
        <v>10000</v>
      </c>
      <c r="K136" s="4">
        <f ca="1">IF(H136&gt;=$C$4,J136+I136,I136)</f>
        <v>-5000</v>
      </c>
    </row>
    <row r="137" spans="5:11" x14ac:dyDescent="0.25">
      <c r="E137" s="1">
        <f t="shared" si="7"/>
        <v>134</v>
      </c>
      <c r="F137" s="4">
        <f t="shared" ca="1" si="8"/>
        <v>170000</v>
      </c>
      <c r="G137" s="1" t="s">
        <v>70</v>
      </c>
      <c r="H137" s="26">
        <f t="shared" ca="1" si="6"/>
        <v>0.36034263585669113</v>
      </c>
      <c r="I137" s="4">
        <f>IF(G137="Yes",-$C$8,0)</f>
        <v>-5000</v>
      </c>
      <c r="J137" s="4">
        <f>IF(G137="Yes",$C$8-I137,0)</f>
        <v>10000</v>
      </c>
      <c r="K137" s="4">
        <f ca="1">IF(H137&gt;=$C$4,J137+I137,I137)</f>
        <v>-5000</v>
      </c>
    </row>
    <row r="138" spans="5:11" x14ac:dyDescent="0.25">
      <c r="E138" s="1">
        <f t="shared" si="7"/>
        <v>135</v>
      </c>
      <c r="F138" s="4">
        <f t="shared" ca="1" si="8"/>
        <v>175000</v>
      </c>
      <c r="G138" s="1" t="s">
        <v>70</v>
      </c>
      <c r="H138" s="26">
        <f t="shared" ca="1" si="6"/>
        <v>0.98692489716849585</v>
      </c>
      <c r="I138" s="4">
        <f>IF(G138="Yes",-$C$8,0)</f>
        <v>-5000</v>
      </c>
      <c r="J138" s="4">
        <f>IF(G138="Yes",$C$8-I138,0)</f>
        <v>10000</v>
      </c>
      <c r="K138" s="4">
        <f ca="1">IF(H138&gt;=$C$4,J138+I138,I138)</f>
        <v>5000</v>
      </c>
    </row>
    <row r="139" spans="5:11" x14ac:dyDescent="0.25">
      <c r="E139" s="1">
        <f t="shared" si="7"/>
        <v>136</v>
      </c>
      <c r="F139" s="4">
        <f t="shared" ca="1" si="8"/>
        <v>180000</v>
      </c>
      <c r="G139" s="1" t="s">
        <v>70</v>
      </c>
      <c r="H139" s="26">
        <f t="shared" ca="1" si="6"/>
        <v>0.56963134167204554</v>
      </c>
      <c r="I139" s="4">
        <f>IF(G139="Yes",-$C$8,0)</f>
        <v>-5000</v>
      </c>
      <c r="J139" s="4">
        <f>IF(G139="Yes",$C$8-I139,0)</f>
        <v>10000</v>
      </c>
      <c r="K139" s="4">
        <f ca="1">IF(H139&gt;=$C$4,J139+I139,I139)</f>
        <v>5000</v>
      </c>
    </row>
    <row r="140" spans="5:11" x14ac:dyDescent="0.25">
      <c r="E140" s="1">
        <f t="shared" si="7"/>
        <v>137</v>
      </c>
      <c r="F140" s="4">
        <f t="shared" ca="1" si="8"/>
        <v>185000</v>
      </c>
      <c r="G140" s="1" t="s">
        <v>70</v>
      </c>
      <c r="H140" s="26">
        <f t="shared" ca="1" si="6"/>
        <v>0.56448641203352135</v>
      </c>
      <c r="I140" s="4">
        <f>IF(G140="Yes",-$C$8,0)</f>
        <v>-5000</v>
      </c>
      <c r="J140" s="4">
        <f>IF(G140="Yes",$C$8-I140,0)</f>
        <v>10000</v>
      </c>
      <c r="K140" s="4">
        <f ca="1">IF(H140&gt;=$C$4,J140+I140,I140)</f>
        <v>5000</v>
      </c>
    </row>
    <row r="141" spans="5:11" x14ac:dyDescent="0.25">
      <c r="E141" s="1">
        <f t="shared" si="7"/>
        <v>138</v>
      </c>
      <c r="F141" s="4">
        <f t="shared" ca="1" si="8"/>
        <v>180000</v>
      </c>
      <c r="G141" s="1" t="s">
        <v>70</v>
      </c>
      <c r="H141" s="26">
        <f t="shared" ca="1" si="6"/>
        <v>0.11048893489982969</v>
      </c>
      <c r="I141" s="4">
        <f>IF(G141="Yes",-$C$8,0)</f>
        <v>-5000</v>
      </c>
      <c r="J141" s="4">
        <f>IF(G141="Yes",$C$8-I141,0)</f>
        <v>10000</v>
      </c>
      <c r="K141" s="4">
        <f ca="1">IF(H141&gt;=$C$4,J141+I141,I141)</f>
        <v>-5000</v>
      </c>
    </row>
    <row r="142" spans="5:11" x14ac:dyDescent="0.25">
      <c r="E142" s="1">
        <f t="shared" si="7"/>
        <v>139</v>
      </c>
      <c r="F142" s="4">
        <f t="shared" ca="1" si="8"/>
        <v>185000</v>
      </c>
      <c r="G142" s="1" t="s">
        <v>70</v>
      </c>
      <c r="H142" s="26">
        <f t="shared" ca="1" si="6"/>
        <v>0.51540711246648985</v>
      </c>
      <c r="I142" s="4">
        <f>IF(G142="Yes",-$C$8,0)</f>
        <v>-5000</v>
      </c>
      <c r="J142" s="4">
        <f>IF(G142="Yes",$C$8-I142,0)</f>
        <v>10000</v>
      </c>
      <c r="K142" s="4">
        <f ca="1">IF(H142&gt;=$C$4,J142+I142,I142)</f>
        <v>5000</v>
      </c>
    </row>
    <row r="143" spans="5:11" x14ac:dyDescent="0.25">
      <c r="E143" s="1">
        <f t="shared" si="7"/>
        <v>140</v>
      </c>
      <c r="F143" s="4">
        <f t="shared" ca="1" si="8"/>
        <v>190000</v>
      </c>
      <c r="G143" s="1" t="s">
        <v>70</v>
      </c>
      <c r="H143" s="26">
        <f t="shared" ca="1" si="6"/>
        <v>0.58090161985201194</v>
      </c>
      <c r="I143" s="4">
        <f>IF(G143="Yes",-$C$8,0)</f>
        <v>-5000</v>
      </c>
      <c r="J143" s="4">
        <f>IF(G143="Yes",$C$8-I143,0)</f>
        <v>10000</v>
      </c>
      <c r="K143" s="4">
        <f ca="1">IF(H143&gt;=$C$4,J143+I143,I143)</f>
        <v>5000</v>
      </c>
    </row>
    <row r="144" spans="5:11" x14ac:dyDescent="0.25">
      <c r="E144" s="1">
        <f t="shared" si="7"/>
        <v>141</v>
      </c>
      <c r="F144" s="4">
        <f t="shared" ca="1" si="8"/>
        <v>195000</v>
      </c>
      <c r="G144" s="1" t="s">
        <v>70</v>
      </c>
      <c r="H144" s="26">
        <f t="shared" ca="1" si="6"/>
        <v>0.48118344674064617</v>
      </c>
      <c r="I144" s="4">
        <f>IF(G144="Yes",-$C$8,0)</f>
        <v>-5000</v>
      </c>
      <c r="J144" s="4">
        <f>IF(G144="Yes",$C$8-I144,0)</f>
        <v>10000</v>
      </c>
      <c r="K144" s="4">
        <f ca="1">IF(H144&gt;=$C$4,J144+I144,I144)</f>
        <v>5000</v>
      </c>
    </row>
    <row r="145" spans="5:11" x14ac:dyDescent="0.25">
      <c r="E145" s="1">
        <f t="shared" si="7"/>
        <v>142</v>
      </c>
      <c r="F145" s="4">
        <f t="shared" ca="1" si="8"/>
        <v>200000</v>
      </c>
      <c r="G145" s="1" t="s">
        <v>70</v>
      </c>
      <c r="H145" s="26">
        <f t="shared" ca="1" si="6"/>
        <v>0.51306260420424943</v>
      </c>
      <c r="I145" s="4">
        <f>IF(G145="Yes",-$C$8,0)</f>
        <v>-5000</v>
      </c>
      <c r="J145" s="4">
        <f>IF(G145="Yes",$C$8-I145,0)</f>
        <v>10000</v>
      </c>
      <c r="K145" s="4">
        <f ca="1">IF(H145&gt;=$C$4,J145+I145,I145)</f>
        <v>5000</v>
      </c>
    </row>
    <row r="146" spans="5:11" x14ac:dyDescent="0.25">
      <c r="E146" s="1">
        <f t="shared" si="7"/>
        <v>143</v>
      </c>
      <c r="F146" s="4">
        <f t="shared" ca="1" si="8"/>
        <v>205000</v>
      </c>
      <c r="G146" s="1" t="s">
        <v>70</v>
      </c>
      <c r="H146" s="26">
        <f t="shared" ca="1" si="6"/>
        <v>0.94890747542558829</v>
      </c>
      <c r="I146" s="4">
        <f>IF(G146="Yes",-$C$8,0)</f>
        <v>-5000</v>
      </c>
      <c r="J146" s="4">
        <f>IF(G146="Yes",$C$8-I146,0)</f>
        <v>10000</v>
      </c>
      <c r="K146" s="4">
        <f ca="1">IF(H146&gt;=$C$4,J146+I146,I146)</f>
        <v>5000</v>
      </c>
    </row>
    <row r="147" spans="5:11" x14ac:dyDescent="0.25">
      <c r="E147" s="1">
        <f t="shared" si="7"/>
        <v>144</v>
      </c>
      <c r="F147" s="4">
        <f t="shared" ca="1" si="8"/>
        <v>200000</v>
      </c>
      <c r="G147" s="1" t="s">
        <v>70</v>
      </c>
      <c r="H147" s="26">
        <f t="shared" ca="1" si="6"/>
        <v>8.8406989367169508E-2</v>
      </c>
      <c r="I147" s="4">
        <f>IF(G147="Yes",-$C$8,0)</f>
        <v>-5000</v>
      </c>
      <c r="J147" s="4">
        <f>IF(G147="Yes",$C$8-I147,0)</f>
        <v>10000</v>
      </c>
      <c r="K147" s="4">
        <f ca="1">IF(H147&gt;=$C$4,J147+I147,I147)</f>
        <v>-5000</v>
      </c>
    </row>
    <row r="148" spans="5:11" x14ac:dyDescent="0.25">
      <c r="E148" s="1">
        <f t="shared" si="7"/>
        <v>145</v>
      </c>
      <c r="F148" s="4">
        <f t="shared" ca="1" si="8"/>
        <v>205000</v>
      </c>
      <c r="G148" s="1" t="s">
        <v>70</v>
      </c>
      <c r="H148" s="26">
        <f t="shared" ca="1" si="6"/>
        <v>0.50096574180026776</v>
      </c>
      <c r="I148" s="4">
        <f>IF(G148="Yes",-$C$8,0)</f>
        <v>-5000</v>
      </c>
      <c r="J148" s="4">
        <f>IF(G148="Yes",$C$8-I148,0)</f>
        <v>10000</v>
      </c>
      <c r="K148" s="4">
        <f ca="1">IF(H148&gt;=$C$4,J148+I148,I148)</f>
        <v>5000</v>
      </c>
    </row>
    <row r="149" spans="5:11" x14ac:dyDescent="0.25">
      <c r="E149" s="1">
        <f t="shared" si="7"/>
        <v>146</v>
      </c>
      <c r="F149" s="4">
        <f t="shared" ca="1" si="8"/>
        <v>210000</v>
      </c>
      <c r="G149" s="1" t="s">
        <v>70</v>
      </c>
      <c r="H149" s="26">
        <f t="shared" ca="1" si="6"/>
        <v>0.77756807264016747</v>
      </c>
      <c r="I149" s="4">
        <f>IF(G149="Yes",-$C$8,0)</f>
        <v>-5000</v>
      </c>
      <c r="J149" s="4">
        <f>IF(G149="Yes",$C$8-I149,0)</f>
        <v>10000</v>
      </c>
      <c r="K149" s="4">
        <f ca="1">IF(H149&gt;=$C$4,J149+I149,I149)</f>
        <v>5000</v>
      </c>
    </row>
    <row r="150" spans="5:11" x14ac:dyDescent="0.25">
      <c r="E150" s="1">
        <f t="shared" si="7"/>
        <v>147</v>
      </c>
      <c r="F150" s="4">
        <f t="shared" ca="1" si="8"/>
        <v>215000</v>
      </c>
      <c r="G150" s="1" t="s">
        <v>70</v>
      </c>
      <c r="H150" s="26">
        <f t="shared" ca="1" si="6"/>
        <v>0.72726372231257186</v>
      </c>
      <c r="I150" s="4">
        <f>IF(G150="Yes",-$C$8,0)</f>
        <v>-5000</v>
      </c>
      <c r="J150" s="4">
        <f>IF(G150="Yes",$C$8-I150,0)</f>
        <v>10000</v>
      </c>
      <c r="K150" s="4">
        <f ca="1">IF(H150&gt;=$C$4,J150+I150,I150)</f>
        <v>5000</v>
      </c>
    </row>
    <row r="151" spans="5:11" x14ac:dyDescent="0.25">
      <c r="E151" s="1">
        <f t="shared" si="7"/>
        <v>148</v>
      </c>
      <c r="F151" s="4">
        <f t="shared" ca="1" si="8"/>
        <v>210000</v>
      </c>
      <c r="G151" s="1" t="s">
        <v>70</v>
      </c>
      <c r="H151" s="26">
        <f t="shared" ca="1" si="6"/>
        <v>0.3049539321642889</v>
      </c>
      <c r="I151" s="4">
        <f>IF(G151="Yes",-$C$8,0)</f>
        <v>-5000</v>
      </c>
      <c r="J151" s="4">
        <f>IF(G151="Yes",$C$8-I151,0)</f>
        <v>10000</v>
      </c>
      <c r="K151" s="4">
        <f ca="1">IF(H151&gt;=$C$4,J151+I151,I151)</f>
        <v>-5000</v>
      </c>
    </row>
    <row r="152" spans="5:11" x14ac:dyDescent="0.25">
      <c r="E152" s="1">
        <f t="shared" si="7"/>
        <v>149</v>
      </c>
      <c r="F152" s="4">
        <f t="shared" ca="1" si="8"/>
        <v>205000</v>
      </c>
      <c r="G152" s="1" t="s">
        <v>70</v>
      </c>
      <c r="H152" s="26">
        <f t="shared" ca="1" si="6"/>
        <v>6.0839103151561491E-2</v>
      </c>
      <c r="I152" s="4">
        <f>IF(G152="Yes",-$C$8,0)</f>
        <v>-5000</v>
      </c>
      <c r="J152" s="4">
        <f>IF(G152="Yes",$C$8-I152,0)</f>
        <v>10000</v>
      </c>
      <c r="K152" s="4">
        <f ca="1">IF(H152&gt;=$C$4,J152+I152,I152)</f>
        <v>-5000</v>
      </c>
    </row>
    <row r="153" spans="5:11" x14ac:dyDescent="0.25">
      <c r="E153" s="1">
        <f t="shared" si="7"/>
        <v>150</v>
      </c>
      <c r="F153" s="4">
        <f t="shared" ca="1" si="8"/>
        <v>200000</v>
      </c>
      <c r="G153" s="1" t="s">
        <v>70</v>
      </c>
      <c r="H153" s="26">
        <f t="shared" ca="1" si="6"/>
        <v>6.064064169656358E-2</v>
      </c>
      <c r="I153" s="4">
        <f>IF(G153="Yes",-$C$8,0)</f>
        <v>-5000</v>
      </c>
      <c r="J153" s="4">
        <f>IF(G153="Yes",$C$8-I153,0)</f>
        <v>10000</v>
      </c>
      <c r="K153" s="4">
        <f ca="1">IF(H153&gt;=$C$4,J153+I153,I153)</f>
        <v>-5000</v>
      </c>
    </row>
    <row r="154" spans="5:11" x14ac:dyDescent="0.25">
      <c r="E154" s="1">
        <f t="shared" si="7"/>
        <v>151</v>
      </c>
      <c r="F154" s="4">
        <f t="shared" ca="1" si="8"/>
        <v>205000</v>
      </c>
      <c r="G154" s="1" t="s">
        <v>70</v>
      </c>
      <c r="H154" s="26">
        <f t="shared" ca="1" si="6"/>
        <v>0.77599595703486957</v>
      </c>
      <c r="I154" s="4">
        <f>IF(G154="Yes",-$C$8,0)</f>
        <v>-5000</v>
      </c>
      <c r="J154" s="4">
        <f>IF(G154="Yes",$C$8-I154,0)</f>
        <v>10000</v>
      </c>
      <c r="K154" s="4">
        <f ca="1">IF(H154&gt;=$C$4,J154+I154,I154)</f>
        <v>5000</v>
      </c>
    </row>
    <row r="155" spans="5:11" x14ac:dyDescent="0.25">
      <c r="E155" s="1">
        <f t="shared" si="7"/>
        <v>152</v>
      </c>
      <c r="F155" s="4">
        <f t="shared" ca="1" si="8"/>
        <v>200000</v>
      </c>
      <c r="G155" s="1" t="s">
        <v>70</v>
      </c>
      <c r="H155" s="26">
        <f t="shared" ca="1" si="6"/>
        <v>0.27248755196170571</v>
      </c>
      <c r="I155" s="4">
        <f>IF(G155="Yes",-$C$8,0)</f>
        <v>-5000</v>
      </c>
      <c r="J155" s="4">
        <f>IF(G155="Yes",$C$8-I155,0)</f>
        <v>10000</v>
      </c>
      <c r="K155" s="4">
        <f ca="1">IF(H155&gt;=$C$4,J155+I155,I155)</f>
        <v>-5000</v>
      </c>
    </row>
    <row r="156" spans="5:11" x14ac:dyDescent="0.25">
      <c r="E156" s="1">
        <f t="shared" si="7"/>
        <v>153</v>
      </c>
      <c r="F156" s="4">
        <f t="shared" ca="1" si="8"/>
        <v>205000</v>
      </c>
      <c r="G156" s="1" t="s">
        <v>70</v>
      </c>
      <c r="H156" s="26">
        <f t="shared" ca="1" si="6"/>
        <v>0.50086189938125902</v>
      </c>
      <c r="I156" s="4">
        <f>IF(G156="Yes",-$C$8,0)</f>
        <v>-5000</v>
      </c>
      <c r="J156" s="4">
        <f>IF(G156="Yes",$C$8-I156,0)</f>
        <v>10000</v>
      </c>
      <c r="K156" s="4">
        <f ca="1">IF(H156&gt;=$C$4,J156+I156,I156)</f>
        <v>5000</v>
      </c>
    </row>
    <row r="157" spans="5:11" x14ac:dyDescent="0.25">
      <c r="E157" s="1">
        <f t="shared" si="7"/>
        <v>154</v>
      </c>
      <c r="F157" s="4">
        <f t="shared" ca="1" si="8"/>
        <v>200000</v>
      </c>
      <c r="G157" s="1" t="s">
        <v>70</v>
      </c>
      <c r="H157" s="26">
        <f t="shared" ca="1" si="6"/>
        <v>0.36095573916602763</v>
      </c>
      <c r="I157" s="4">
        <f>IF(G157="Yes",-$C$8,0)</f>
        <v>-5000</v>
      </c>
      <c r="J157" s="4">
        <f>IF(G157="Yes",$C$8-I157,0)</f>
        <v>10000</v>
      </c>
      <c r="K157" s="4">
        <f ca="1">IF(H157&gt;=$C$4,J157+I157,I157)</f>
        <v>-5000</v>
      </c>
    </row>
    <row r="158" spans="5:11" x14ac:dyDescent="0.25">
      <c r="E158" s="1">
        <f t="shared" si="7"/>
        <v>155</v>
      </c>
      <c r="F158" s="4">
        <f t="shared" ca="1" si="8"/>
        <v>205000</v>
      </c>
      <c r="G158" s="1" t="s">
        <v>70</v>
      </c>
      <c r="H158" s="26">
        <f t="shared" ca="1" si="6"/>
        <v>0.70413458615263702</v>
      </c>
      <c r="I158" s="4">
        <f>IF(G158="Yes",-$C$8,0)</f>
        <v>-5000</v>
      </c>
      <c r="J158" s="4">
        <f>IF(G158="Yes",$C$8-I158,0)</f>
        <v>10000</v>
      </c>
      <c r="K158" s="4">
        <f ca="1">IF(H158&gt;=$C$4,J158+I158,I158)</f>
        <v>5000</v>
      </c>
    </row>
    <row r="159" spans="5:11" x14ac:dyDescent="0.25">
      <c r="E159" s="1">
        <f t="shared" si="7"/>
        <v>156</v>
      </c>
      <c r="F159" s="4">
        <f t="shared" ca="1" si="8"/>
        <v>210000</v>
      </c>
      <c r="G159" s="1" t="s">
        <v>70</v>
      </c>
      <c r="H159" s="26">
        <f t="shared" ca="1" si="6"/>
        <v>0.88992883542361378</v>
      </c>
      <c r="I159" s="4">
        <f>IF(G159="Yes",-$C$8,0)</f>
        <v>-5000</v>
      </c>
      <c r="J159" s="4">
        <f>IF(G159="Yes",$C$8-I159,0)</f>
        <v>10000</v>
      </c>
      <c r="K159" s="4">
        <f ca="1">IF(H159&gt;=$C$4,J159+I159,I159)</f>
        <v>5000</v>
      </c>
    </row>
    <row r="160" spans="5:11" x14ac:dyDescent="0.25">
      <c r="E160" s="1">
        <f t="shared" si="7"/>
        <v>157</v>
      </c>
      <c r="F160" s="4">
        <f t="shared" ca="1" si="8"/>
        <v>215000</v>
      </c>
      <c r="G160" s="1" t="s">
        <v>70</v>
      </c>
      <c r="H160" s="26">
        <f t="shared" ca="1" si="6"/>
        <v>0.67278090198595453</v>
      </c>
      <c r="I160" s="4">
        <f>IF(G160="Yes",-$C$8,0)</f>
        <v>-5000</v>
      </c>
      <c r="J160" s="4">
        <f>IF(G160="Yes",$C$8-I160,0)</f>
        <v>10000</v>
      </c>
      <c r="K160" s="4">
        <f ca="1">IF(H160&gt;=$C$4,J160+I160,I160)</f>
        <v>5000</v>
      </c>
    </row>
    <row r="161" spans="5:11" x14ac:dyDescent="0.25">
      <c r="E161" s="1">
        <f t="shared" si="7"/>
        <v>158</v>
      </c>
      <c r="F161" s="4">
        <f t="shared" ca="1" si="8"/>
        <v>220000</v>
      </c>
      <c r="G161" s="1" t="s">
        <v>70</v>
      </c>
      <c r="H161" s="26">
        <f t="shared" ca="1" si="6"/>
        <v>0.63548429497954873</v>
      </c>
      <c r="I161" s="4">
        <f>IF(G161="Yes",-$C$8,0)</f>
        <v>-5000</v>
      </c>
      <c r="J161" s="4">
        <f>IF(G161="Yes",$C$8-I161,0)</f>
        <v>10000</v>
      </c>
      <c r="K161" s="4">
        <f ca="1">IF(H161&gt;=$C$4,J161+I161,I161)</f>
        <v>5000</v>
      </c>
    </row>
    <row r="162" spans="5:11" x14ac:dyDescent="0.25">
      <c r="E162" s="1">
        <f t="shared" si="7"/>
        <v>159</v>
      </c>
      <c r="F162" s="4">
        <f t="shared" ca="1" si="8"/>
        <v>225000</v>
      </c>
      <c r="G162" s="1" t="s">
        <v>70</v>
      </c>
      <c r="H162" s="26">
        <f t="shared" ca="1" si="6"/>
        <v>0.72866056811597391</v>
      </c>
      <c r="I162" s="4">
        <f>IF(G162="Yes",-$C$8,0)</f>
        <v>-5000</v>
      </c>
      <c r="J162" s="4">
        <f>IF(G162="Yes",$C$8-I162,0)</f>
        <v>10000</v>
      </c>
      <c r="K162" s="4">
        <f ca="1">IF(H162&gt;=$C$4,J162+I162,I162)</f>
        <v>5000</v>
      </c>
    </row>
    <row r="163" spans="5:11" x14ac:dyDescent="0.25">
      <c r="E163" s="1">
        <f t="shared" si="7"/>
        <v>160</v>
      </c>
      <c r="F163" s="4">
        <f t="shared" ca="1" si="8"/>
        <v>230000</v>
      </c>
      <c r="G163" s="1" t="s">
        <v>70</v>
      </c>
      <c r="H163" s="26">
        <f t="shared" ca="1" si="6"/>
        <v>0.67917771239548286</v>
      </c>
      <c r="I163" s="4">
        <f>IF(G163="Yes",-$C$8,0)</f>
        <v>-5000</v>
      </c>
      <c r="J163" s="4">
        <f>IF(G163="Yes",$C$8-I163,0)</f>
        <v>10000</v>
      </c>
      <c r="K163" s="4">
        <f ca="1">IF(H163&gt;=$C$4,J163+I163,I163)</f>
        <v>5000</v>
      </c>
    </row>
    <row r="164" spans="5:11" x14ac:dyDescent="0.25">
      <c r="E164" s="1">
        <f t="shared" si="7"/>
        <v>161</v>
      </c>
      <c r="F164" s="4">
        <f t="shared" ca="1" si="8"/>
        <v>225000</v>
      </c>
      <c r="G164" s="1" t="s">
        <v>70</v>
      </c>
      <c r="H164" s="26">
        <f t="shared" ca="1" si="6"/>
        <v>0.16002066173084117</v>
      </c>
      <c r="I164" s="4">
        <f>IF(G164="Yes",-$C$8,0)</f>
        <v>-5000</v>
      </c>
      <c r="J164" s="4">
        <f>IF(G164="Yes",$C$8-I164,0)</f>
        <v>10000</v>
      </c>
      <c r="K164" s="4">
        <f ca="1">IF(H164&gt;=$C$4,J164+I164,I164)</f>
        <v>-5000</v>
      </c>
    </row>
    <row r="165" spans="5:11" x14ac:dyDescent="0.25">
      <c r="E165" s="1">
        <f t="shared" si="7"/>
        <v>162</v>
      </c>
      <c r="F165" s="4">
        <f t="shared" ca="1" si="8"/>
        <v>220000</v>
      </c>
      <c r="G165" s="1" t="s">
        <v>70</v>
      </c>
      <c r="H165" s="26">
        <f t="shared" ca="1" si="6"/>
        <v>0.31326694107445718</v>
      </c>
      <c r="I165" s="4">
        <f>IF(G165="Yes",-$C$8,0)</f>
        <v>-5000</v>
      </c>
      <c r="J165" s="4">
        <f>IF(G165="Yes",$C$8-I165,0)</f>
        <v>10000</v>
      </c>
      <c r="K165" s="4">
        <f ca="1">IF(H165&gt;=$C$4,J165+I165,I165)</f>
        <v>-5000</v>
      </c>
    </row>
    <row r="166" spans="5:11" x14ac:dyDescent="0.25">
      <c r="E166" s="1">
        <f t="shared" si="7"/>
        <v>163</v>
      </c>
      <c r="F166" s="4">
        <f t="shared" ca="1" si="8"/>
        <v>215000</v>
      </c>
      <c r="G166" s="1" t="s">
        <v>70</v>
      </c>
      <c r="H166" s="26">
        <f t="shared" ca="1" si="6"/>
        <v>0.21653645811761135</v>
      </c>
      <c r="I166" s="4">
        <f>IF(G166="Yes",-$C$8,0)</f>
        <v>-5000</v>
      </c>
      <c r="J166" s="4">
        <f>IF(G166="Yes",$C$8-I166,0)</f>
        <v>10000</v>
      </c>
      <c r="K166" s="4">
        <f ca="1">IF(H166&gt;=$C$4,J166+I166,I166)</f>
        <v>-5000</v>
      </c>
    </row>
    <row r="167" spans="5:11" x14ac:dyDescent="0.25">
      <c r="E167" s="1">
        <f t="shared" si="7"/>
        <v>164</v>
      </c>
      <c r="F167" s="4">
        <f t="shared" ca="1" si="8"/>
        <v>210000</v>
      </c>
      <c r="G167" s="1" t="s">
        <v>70</v>
      </c>
      <c r="H167" s="26">
        <f t="shared" ca="1" si="6"/>
        <v>7.1932937448569212E-2</v>
      </c>
      <c r="I167" s="4">
        <f>IF(G167="Yes",-$C$8,0)</f>
        <v>-5000</v>
      </c>
      <c r="J167" s="4">
        <f>IF(G167="Yes",$C$8-I167,0)</f>
        <v>10000</v>
      </c>
      <c r="K167" s="4">
        <f ca="1">IF(H167&gt;=$C$4,J167+I167,I167)</f>
        <v>-5000</v>
      </c>
    </row>
    <row r="168" spans="5:11" x14ac:dyDescent="0.25">
      <c r="E168" s="1">
        <f t="shared" si="7"/>
        <v>165</v>
      </c>
      <c r="F168" s="4">
        <f t="shared" ca="1" si="8"/>
        <v>215000</v>
      </c>
      <c r="G168" s="1" t="s">
        <v>70</v>
      </c>
      <c r="H168" s="26">
        <f t="shared" ca="1" si="6"/>
        <v>0.58559117247612447</v>
      </c>
      <c r="I168" s="4">
        <f>IF(G168="Yes",-$C$8,0)</f>
        <v>-5000</v>
      </c>
      <c r="J168" s="4">
        <f>IF(G168="Yes",$C$8-I168,0)</f>
        <v>10000</v>
      </c>
      <c r="K168" s="4">
        <f ca="1">IF(H168&gt;=$C$4,J168+I168,I168)</f>
        <v>5000</v>
      </c>
    </row>
    <row r="169" spans="5:11" x14ac:dyDescent="0.25">
      <c r="E169" s="1">
        <f t="shared" si="7"/>
        <v>166</v>
      </c>
      <c r="F169" s="4">
        <f t="shared" ca="1" si="8"/>
        <v>220000</v>
      </c>
      <c r="G169" s="1" t="s">
        <v>70</v>
      </c>
      <c r="H169" s="26">
        <f t="shared" ca="1" si="6"/>
        <v>0.82477351441546209</v>
      </c>
      <c r="I169" s="4">
        <f>IF(G169="Yes",-$C$8,0)</f>
        <v>-5000</v>
      </c>
      <c r="J169" s="4">
        <f>IF(G169="Yes",$C$8-I169,0)</f>
        <v>10000</v>
      </c>
      <c r="K169" s="4">
        <f ca="1">IF(H169&gt;=$C$4,J169+I169,I169)</f>
        <v>5000</v>
      </c>
    </row>
    <row r="170" spans="5:11" x14ac:dyDescent="0.25">
      <c r="E170" s="1">
        <f t="shared" si="7"/>
        <v>167</v>
      </c>
      <c r="F170" s="4">
        <f t="shared" ca="1" si="8"/>
        <v>215000</v>
      </c>
      <c r="G170" s="1" t="s">
        <v>70</v>
      </c>
      <c r="H170" s="26">
        <f t="shared" ca="1" si="6"/>
        <v>0.17780431004976505</v>
      </c>
      <c r="I170" s="4">
        <f>IF(G170="Yes",-$C$8,0)</f>
        <v>-5000</v>
      </c>
      <c r="J170" s="4">
        <f>IF(G170="Yes",$C$8-I170,0)</f>
        <v>10000</v>
      </c>
      <c r="K170" s="4">
        <f ca="1">IF(H170&gt;=$C$4,J170+I170,I170)</f>
        <v>-5000</v>
      </c>
    </row>
    <row r="171" spans="5:11" x14ac:dyDescent="0.25">
      <c r="E171" s="1">
        <f t="shared" si="7"/>
        <v>168</v>
      </c>
      <c r="F171" s="4">
        <f t="shared" ca="1" si="8"/>
        <v>210000</v>
      </c>
      <c r="G171" s="1" t="s">
        <v>70</v>
      </c>
      <c r="H171" s="26">
        <f t="shared" ca="1" si="6"/>
        <v>0.33141824264456077</v>
      </c>
      <c r="I171" s="4">
        <f>IF(G171="Yes",-$C$8,0)</f>
        <v>-5000</v>
      </c>
      <c r="J171" s="4">
        <f>IF(G171="Yes",$C$8-I171,0)</f>
        <v>10000</v>
      </c>
      <c r="K171" s="4">
        <f ca="1">IF(H171&gt;=$C$4,J171+I171,I171)</f>
        <v>-5000</v>
      </c>
    </row>
    <row r="172" spans="5:11" x14ac:dyDescent="0.25">
      <c r="E172" s="1">
        <f t="shared" si="7"/>
        <v>169</v>
      </c>
      <c r="F172" s="4">
        <f t="shared" ca="1" si="8"/>
        <v>215000</v>
      </c>
      <c r="G172" s="1" t="s">
        <v>70</v>
      </c>
      <c r="H172" s="26">
        <f t="shared" ca="1" si="6"/>
        <v>0.58280756940512579</v>
      </c>
      <c r="I172" s="4">
        <f>IF(G172="Yes",-$C$8,0)</f>
        <v>-5000</v>
      </c>
      <c r="J172" s="4">
        <f>IF(G172="Yes",$C$8-I172,0)</f>
        <v>10000</v>
      </c>
      <c r="K172" s="4">
        <f ca="1">IF(H172&gt;=$C$4,J172+I172,I172)</f>
        <v>5000</v>
      </c>
    </row>
    <row r="173" spans="5:11" x14ac:dyDescent="0.25">
      <c r="E173" s="1">
        <f t="shared" si="7"/>
        <v>170</v>
      </c>
      <c r="F173" s="4">
        <f t="shared" ca="1" si="8"/>
        <v>220000</v>
      </c>
      <c r="G173" s="1" t="s">
        <v>70</v>
      </c>
      <c r="H173" s="26">
        <f t="shared" ca="1" si="6"/>
        <v>0.52724403443389634</v>
      </c>
      <c r="I173" s="4">
        <f>IF(G173="Yes",-$C$8,0)</f>
        <v>-5000</v>
      </c>
      <c r="J173" s="4">
        <f>IF(G173="Yes",$C$8-I173,0)</f>
        <v>10000</v>
      </c>
      <c r="K173" s="4">
        <f ca="1">IF(H173&gt;=$C$4,J173+I173,I173)</f>
        <v>5000</v>
      </c>
    </row>
    <row r="174" spans="5:11" x14ac:dyDescent="0.25">
      <c r="E174" s="1">
        <f t="shared" si="7"/>
        <v>171</v>
      </c>
      <c r="F174" s="4">
        <f t="shared" ca="1" si="8"/>
        <v>225000</v>
      </c>
      <c r="G174" s="1" t="s">
        <v>70</v>
      </c>
      <c r="H174" s="26">
        <f t="shared" ca="1" si="6"/>
        <v>0.75075176583452874</v>
      </c>
      <c r="I174" s="4">
        <f>IF(G174="Yes",-$C$8,0)</f>
        <v>-5000</v>
      </c>
      <c r="J174" s="4">
        <f>IF(G174="Yes",$C$8-I174,0)</f>
        <v>10000</v>
      </c>
      <c r="K174" s="4">
        <f ca="1">IF(H174&gt;=$C$4,J174+I174,I174)</f>
        <v>5000</v>
      </c>
    </row>
    <row r="175" spans="5:11" x14ac:dyDescent="0.25">
      <c r="E175" s="1">
        <f t="shared" si="7"/>
        <v>172</v>
      </c>
      <c r="F175" s="4">
        <f t="shared" ca="1" si="8"/>
        <v>220000</v>
      </c>
      <c r="G175" s="1" t="s">
        <v>70</v>
      </c>
      <c r="H175" s="26">
        <f t="shared" ca="1" si="6"/>
        <v>0.1326432184255798</v>
      </c>
      <c r="I175" s="4">
        <f>IF(G175="Yes",-$C$8,0)</f>
        <v>-5000</v>
      </c>
      <c r="J175" s="4">
        <f>IF(G175="Yes",$C$8-I175,0)</f>
        <v>10000</v>
      </c>
      <c r="K175" s="4">
        <f ca="1">IF(H175&gt;=$C$4,J175+I175,I175)</f>
        <v>-5000</v>
      </c>
    </row>
    <row r="176" spans="5:11" x14ac:dyDescent="0.25">
      <c r="E176" s="1">
        <f t="shared" si="7"/>
        <v>173</v>
      </c>
      <c r="F176" s="4">
        <f t="shared" ca="1" si="8"/>
        <v>225000</v>
      </c>
      <c r="G176" s="1" t="s">
        <v>70</v>
      </c>
      <c r="H176" s="26">
        <f t="shared" ca="1" si="6"/>
        <v>0.8850458983716295</v>
      </c>
      <c r="I176" s="4">
        <f>IF(G176="Yes",-$C$8,0)</f>
        <v>-5000</v>
      </c>
      <c r="J176" s="4">
        <f>IF(G176="Yes",$C$8-I176,0)</f>
        <v>10000</v>
      </c>
      <c r="K176" s="4">
        <f ca="1">IF(H176&gt;=$C$4,J176+I176,I176)</f>
        <v>5000</v>
      </c>
    </row>
    <row r="177" spans="5:11" x14ac:dyDescent="0.25">
      <c r="E177" s="1">
        <f t="shared" si="7"/>
        <v>174</v>
      </c>
      <c r="F177" s="4">
        <f t="shared" ca="1" si="8"/>
        <v>230000</v>
      </c>
      <c r="G177" s="1" t="s">
        <v>70</v>
      </c>
      <c r="H177" s="26">
        <f t="shared" ca="1" si="6"/>
        <v>0.88600665847643978</v>
      </c>
      <c r="I177" s="4">
        <f>IF(G177="Yes",-$C$8,0)</f>
        <v>-5000</v>
      </c>
      <c r="J177" s="4">
        <f>IF(G177="Yes",$C$8-I177,0)</f>
        <v>10000</v>
      </c>
      <c r="K177" s="4">
        <f ca="1">IF(H177&gt;=$C$4,J177+I177,I177)</f>
        <v>5000</v>
      </c>
    </row>
    <row r="178" spans="5:11" x14ac:dyDescent="0.25">
      <c r="E178" s="1">
        <f t="shared" si="7"/>
        <v>175</v>
      </c>
      <c r="F178" s="4">
        <f t="shared" ca="1" si="8"/>
        <v>225000</v>
      </c>
      <c r="G178" s="1" t="s">
        <v>70</v>
      </c>
      <c r="H178" s="26">
        <f t="shared" ca="1" si="6"/>
        <v>0.2481216182442284</v>
      </c>
      <c r="I178" s="4">
        <f>IF(G178="Yes",-$C$8,0)</f>
        <v>-5000</v>
      </c>
      <c r="J178" s="4">
        <f>IF(G178="Yes",$C$8-I178,0)</f>
        <v>10000</v>
      </c>
      <c r="K178" s="4">
        <f ca="1">IF(H178&gt;=$C$4,J178+I178,I178)</f>
        <v>-5000</v>
      </c>
    </row>
    <row r="179" spans="5:11" x14ac:dyDescent="0.25">
      <c r="E179" s="1">
        <f t="shared" si="7"/>
        <v>176</v>
      </c>
      <c r="F179" s="4">
        <f t="shared" ca="1" si="8"/>
        <v>220000</v>
      </c>
      <c r="G179" s="1" t="s">
        <v>70</v>
      </c>
      <c r="H179" s="26">
        <f t="shared" ca="1" si="6"/>
        <v>0.42164734217479816</v>
      </c>
      <c r="I179" s="4">
        <f>IF(G179="Yes",-$C$8,0)</f>
        <v>-5000</v>
      </c>
      <c r="J179" s="4">
        <f>IF(G179="Yes",$C$8-I179,0)</f>
        <v>10000</v>
      </c>
      <c r="K179" s="4">
        <f ca="1">IF(H179&gt;=$C$4,J179+I179,I179)</f>
        <v>-5000</v>
      </c>
    </row>
    <row r="180" spans="5:11" x14ac:dyDescent="0.25">
      <c r="E180" s="1">
        <f t="shared" si="7"/>
        <v>177</v>
      </c>
      <c r="F180" s="4">
        <f t="shared" ca="1" si="8"/>
        <v>225000</v>
      </c>
      <c r="G180" s="1" t="s">
        <v>70</v>
      </c>
      <c r="H180" s="26">
        <f t="shared" ca="1" si="6"/>
        <v>0.60952696149948538</v>
      </c>
      <c r="I180" s="4">
        <f>IF(G180="Yes",-$C$8,0)</f>
        <v>-5000</v>
      </c>
      <c r="J180" s="4">
        <f>IF(G180="Yes",$C$8-I180,0)</f>
        <v>10000</v>
      </c>
      <c r="K180" s="4">
        <f ca="1">IF(H180&gt;=$C$4,J180+I180,I180)</f>
        <v>5000</v>
      </c>
    </row>
    <row r="181" spans="5:11" x14ac:dyDescent="0.25">
      <c r="E181" s="1">
        <f t="shared" si="7"/>
        <v>178</v>
      </c>
      <c r="F181" s="4">
        <f t="shared" ca="1" si="8"/>
        <v>220000</v>
      </c>
      <c r="G181" s="1" t="s">
        <v>70</v>
      </c>
      <c r="H181" s="26">
        <f t="shared" ca="1" si="6"/>
        <v>0.17134145153376035</v>
      </c>
      <c r="I181" s="4">
        <f>IF(G181="Yes",-$C$8,0)</f>
        <v>-5000</v>
      </c>
      <c r="J181" s="4">
        <f>IF(G181="Yes",$C$8-I181,0)</f>
        <v>10000</v>
      </c>
      <c r="K181" s="4">
        <f ca="1">IF(H181&gt;=$C$4,J181+I181,I181)</f>
        <v>-5000</v>
      </c>
    </row>
    <row r="182" spans="5:11" x14ac:dyDescent="0.25">
      <c r="E182" s="1">
        <f t="shared" si="7"/>
        <v>179</v>
      </c>
      <c r="F182" s="4">
        <f t="shared" ca="1" si="8"/>
        <v>225000</v>
      </c>
      <c r="G182" s="1" t="s">
        <v>70</v>
      </c>
      <c r="H182" s="26">
        <f t="shared" ca="1" si="6"/>
        <v>0.69039470400330538</v>
      </c>
      <c r="I182" s="4">
        <f>IF(G182="Yes",-$C$8,0)</f>
        <v>-5000</v>
      </c>
      <c r="J182" s="4">
        <f>IF(G182="Yes",$C$8-I182,0)</f>
        <v>10000</v>
      </c>
      <c r="K182" s="4">
        <f ca="1">IF(H182&gt;=$C$4,J182+I182,I182)</f>
        <v>5000</v>
      </c>
    </row>
    <row r="183" spans="5:11" x14ac:dyDescent="0.25">
      <c r="E183" s="1">
        <f t="shared" si="7"/>
        <v>180</v>
      </c>
      <c r="F183" s="4">
        <f t="shared" ca="1" si="8"/>
        <v>230000</v>
      </c>
      <c r="G183" s="1" t="s">
        <v>70</v>
      </c>
      <c r="H183" s="26">
        <f t="shared" ca="1" si="6"/>
        <v>0.63979855394809082</v>
      </c>
      <c r="I183" s="4">
        <f>IF(G183="Yes",-$C$8,0)</f>
        <v>-5000</v>
      </c>
      <c r="J183" s="4">
        <f>IF(G183="Yes",$C$8-I183,0)</f>
        <v>10000</v>
      </c>
      <c r="K183" s="4">
        <f ca="1">IF(H183&gt;=$C$4,J183+I183,I183)</f>
        <v>5000</v>
      </c>
    </row>
    <row r="184" spans="5:11" x14ac:dyDescent="0.25">
      <c r="E184" s="1">
        <f t="shared" si="7"/>
        <v>181</v>
      </c>
      <c r="F184" s="4">
        <f t="shared" ca="1" si="8"/>
        <v>235000</v>
      </c>
      <c r="G184" s="1" t="s">
        <v>70</v>
      </c>
      <c r="H184" s="26">
        <f t="shared" ca="1" si="6"/>
        <v>0.67856787900659188</v>
      </c>
      <c r="I184" s="4">
        <f>IF(G184="Yes",-$C$8,0)</f>
        <v>-5000</v>
      </c>
      <c r="J184" s="4">
        <f>IF(G184="Yes",$C$8-I184,0)</f>
        <v>10000</v>
      </c>
      <c r="K184" s="4">
        <f ca="1">IF(H184&gt;=$C$4,J184+I184,I184)</f>
        <v>5000</v>
      </c>
    </row>
    <row r="185" spans="5:11" x14ac:dyDescent="0.25">
      <c r="E185" s="1">
        <f t="shared" si="7"/>
        <v>182</v>
      </c>
      <c r="F185" s="4">
        <f t="shared" ca="1" si="8"/>
        <v>240000</v>
      </c>
      <c r="G185" s="1" t="s">
        <v>70</v>
      </c>
      <c r="H185" s="26">
        <f t="shared" ca="1" si="6"/>
        <v>0.82016740867744775</v>
      </c>
      <c r="I185" s="4">
        <f>IF(G185="Yes",-$C$8,0)</f>
        <v>-5000</v>
      </c>
      <c r="J185" s="4">
        <f>IF(G185="Yes",$C$8-I185,0)</f>
        <v>10000</v>
      </c>
      <c r="K185" s="4">
        <f ca="1">IF(H185&gt;=$C$4,J185+I185,I185)</f>
        <v>5000</v>
      </c>
    </row>
    <row r="186" spans="5:11" x14ac:dyDescent="0.25">
      <c r="E186" s="1">
        <f t="shared" si="7"/>
        <v>183</v>
      </c>
      <c r="F186" s="4">
        <f t="shared" ca="1" si="8"/>
        <v>235000</v>
      </c>
      <c r="G186" s="1" t="s">
        <v>70</v>
      </c>
      <c r="H186" s="26">
        <f t="shared" ca="1" si="6"/>
        <v>7.9356182161631872E-2</v>
      </c>
      <c r="I186" s="4">
        <f>IF(G186="Yes",-$C$8,0)</f>
        <v>-5000</v>
      </c>
      <c r="J186" s="4">
        <f>IF(G186="Yes",$C$8-I186,0)</f>
        <v>10000</v>
      </c>
      <c r="K186" s="4">
        <f ca="1">IF(H186&gt;=$C$4,J186+I186,I186)</f>
        <v>-5000</v>
      </c>
    </row>
    <row r="187" spans="5:11" x14ac:dyDescent="0.25">
      <c r="E187" s="1">
        <f t="shared" si="7"/>
        <v>184</v>
      </c>
      <c r="F187" s="4">
        <f t="shared" ca="1" si="8"/>
        <v>230000</v>
      </c>
      <c r="G187" s="1" t="s">
        <v>70</v>
      </c>
      <c r="H187" s="26">
        <f t="shared" ca="1" si="6"/>
        <v>0.4095216650137905</v>
      </c>
      <c r="I187" s="4">
        <f>IF(G187="Yes",-$C$8,0)</f>
        <v>-5000</v>
      </c>
      <c r="J187" s="4">
        <f>IF(G187="Yes",$C$8-I187,0)</f>
        <v>10000</v>
      </c>
      <c r="K187" s="4">
        <f ca="1">IF(H187&gt;=$C$4,J187+I187,I187)</f>
        <v>-5000</v>
      </c>
    </row>
    <row r="188" spans="5:11" x14ac:dyDescent="0.25">
      <c r="E188" s="1">
        <f t="shared" si="7"/>
        <v>185</v>
      </c>
      <c r="F188" s="4">
        <f t="shared" ca="1" si="8"/>
        <v>225000</v>
      </c>
      <c r="G188" s="1" t="s">
        <v>70</v>
      </c>
      <c r="H188" s="26">
        <f t="shared" ca="1" si="6"/>
        <v>0.30030662965039356</v>
      </c>
      <c r="I188" s="4">
        <f>IF(G188="Yes",-$C$8,0)</f>
        <v>-5000</v>
      </c>
      <c r="J188" s="4">
        <f>IF(G188="Yes",$C$8-I188,0)</f>
        <v>10000</v>
      </c>
      <c r="K188" s="4">
        <f ca="1">IF(H188&gt;=$C$4,J188+I188,I188)</f>
        <v>-5000</v>
      </c>
    </row>
    <row r="189" spans="5:11" x14ac:dyDescent="0.25">
      <c r="E189" s="1">
        <f t="shared" si="7"/>
        <v>186</v>
      </c>
      <c r="F189" s="4">
        <f t="shared" ca="1" si="8"/>
        <v>230000</v>
      </c>
      <c r="G189" s="1" t="s">
        <v>70</v>
      </c>
      <c r="H189" s="26">
        <f t="shared" ca="1" si="6"/>
        <v>0.83083152485215295</v>
      </c>
      <c r="I189" s="4">
        <f>IF(G189="Yes",-$C$8,0)</f>
        <v>-5000</v>
      </c>
      <c r="J189" s="4">
        <f>IF(G189="Yes",$C$8-I189,0)</f>
        <v>10000</v>
      </c>
      <c r="K189" s="4">
        <f ca="1">IF(H189&gt;=$C$4,J189+I189,I189)</f>
        <v>5000</v>
      </c>
    </row>
    <row r="190" spans="5:11" x14ac:dyDescent="0.25">
      <c r="E190" s="1">
        <f t="shared" si="7"/>
        <v>187</v>
      </c>
      <c r="F190" s="4">
        <f t="shared" ca="1" si="8"/>
        <v>235000</v>
      </c>
      <c r="G190" s="1" t="s">
        <v>70</v>
      </c>
      <c r="H190" s="26">
        <f t="shared" ca="1" si="6"/>
        <v>0.61094140819993437</v>
      </c>
      <c r="I190" s="4">
        <f>IF(G190="Yes",-$C$8,0)</f>
        <v>-5000</v>
      </c>
      <c r="J190" s="4">
        <f>IF(G190="Yes",$C$8-I190,0)</f>
        <v>10000</v>
      </c>
      <c r="K190" s="4">
        <f ca="1">IF(H190&gt;=$C$4,J190+I190,I190)</f>
        <v>5000</v>
      </c>
    </row>
    <row r="191" spans="5:11" x14ac:dyDescent="0.25">
      <c r="E191" s="1">
        <f t="shared" si="7"/>
        <v>188</v>
      </c>
      <c r="F191" s="4">
        <f t="shared" ca="1" si="8"/>
        <v>240000</v>
      </c>
      <c r="G191" s="1" t="s">
        <v>70</v>
      </c>
      <c r="H191" s="26">
        <f t="shared" ca="1" si="6"/>
        <v>0.91267388699681007</v>
      </c>
      <c r="I191" s="4">
        <f>IF(G191="Yes",-$C$8,0)</f>
        <v>-5000</v>
      </c>
      <c r="J191" s="4">
        <f>IF(G191="Yes",$C$8-I191,0)</f>
        <v>10000</v>
      </c>
      <c r="K191" s="4">
        <f ca="1">IF(H191&gt;=$C$4,J191+I191,I191)</f>
        <v>5000</v>
      </c>
    </row>
    <row r="192" spans="5:11" x14ac:dyDescent="0.25">
      <c r="E192" s="1">
        <f t="shared" si="7"/>
        <v>189</v>
      </c>
      <c r="F192" s="4">
        <f t="shared" ca="1" si="8"/>
        <v>235000</v>
      </c>
      <c r="G192" s="1" t="s">
        <v>70</v>
      </c>
      <c r="H192" s="26">
        <f t="shared" ca="1" si="6"/>
        <v>0.3799120540069062</v>
      </c>
      <c r="I192" s="4">
        <f>IF(G192="Yes",-$C$8,0)</f>
        <v>-5000</v>
      </c>
      <c r="J192" s="4">
        <f>IF(G192="Yes",$C$8-I192,0)</f>
        <v>10000</v>
      </c>
      <c r="K192" s="4">
        <f ca="1">IF(H192&gt;=$C$4,J192+I192,I192)</f>
        <v>-5000</v>
      </c>
    </row>
    <row r="193" spans="5:11" x14ac:dyDescent="0.25">
      <c r="E193" s="1">
        <f t="shared" si="7"/>
        <v>190</v>
      </c>
      <c r="F193" s="4">
        <f t="shared" ca="1" si="8"/>
        <v>240000</v>
      </c>
      <c r="G193" s="1" t="s">
        <v>70</v>
      </c>
      <c r="H193" s="26">
        <f t="shared" ca="1" si="6"/>
        <v>0.65294281227896056</v>
      </c>
      <c r="I193" s="4">
        <f>IF(G193="Yes",-$C$8,0)</f>
        <v>-5000</v>
      </c>
      <c r="J193" s="4">
        <f>IF(G193="Yes",$C$8-I193,0)</f>
        <v>10000</v>
      </c>
      <c r="K193" s="4">
        <f ca="1">IF(H193&gt;=$C$4,J193+I193,I193)</f>
        <v>5000</v>
      </c>
    </row>
    <row r="194" spans="5:11" x14ac:dyDescent="0.25">
      <c r="E194" s="1">
        <f t="shared" si="7"/>
        <v>191</v>
      </c>
      <c r="F194" s="4">
        <f t="shared" ca="1" si="8"/>
        <v>235000</v>
      </c>
      <c r="G194" s="1" t="s">
        <v>70</v>
      </c>
      <c r="H194" s="26">
        <f t="shared" ca="1" si="6"/>
        <v>0.1713250016362049</v>
      </c>
      <c r="I194" s="4">
        <f>IF(G194="Yes",-$C$8,0)</f>
        <v>-5000</v>
      </c>
      <c r="J194" s="4">
        <f>IF(G194="Yes",$C$8-I194,0)</f>
        <v>10000</v>
      </c>
      <c r="K194" s="4">
        <f ca="1">IF(H194&gt;=$C$4,J194+I194,I194)</f>
        <v>-5000</v>
      </c>
    </row>
    <row r="195" spans="5:11" x14ac:dyDescent="0.25">
      <c r="E195" s="1">
        <f t="shared" si="7"/>
        <v>192</v>
      </c>
      <c r="F195" s="4">
        <f t="shared" ca="1" si="8"/>
        <v>230000</v>
      </c>
      <c r="G195" s="1" t="s">
        <v>70</v>
      </c>
      <c r="H195" s="26">
        <f t="shared" ca="1" si="6"/>
        <v>0.22002560783411029</v>
      </c>
      <c r="I195" s="4">
        <f>IF(G195="Yes",-$C$8,0)</f>
        <v>-5000</v>
      </c>
      <c r="J195" s="4">
        <f>IF(G195="Yes",$C$8-I195,0)</f>
        <v>10000</v>
      </c>
      <c r="K195" s="4">
        <f ca="1">IF(H195&gt;=$C$4,J195+I195,I195)</f>
        <v>-5000</v>
      </c>
    </row>
    <row r="196" spans="5:11" x14ac:dyDescent="0.25">
      <c r="E196" s="1">
        <f t="shared" si="7"/>
        <v>193</v>
      </c>
      <c r="F196" s="4">
        <f t="shared" ca="1" si="8"/>
        <v>225000</v>
      </c>
      <c r="G196" s="1" t="s">
        <v>70</v>
      </c>
      <c r="H196" s="26">
        <f t="shared" ref="H196:H259" ca="1" si="9">RAND()</f>
        <v>0.3843710781977977</v>
      </c>
      <c r="I196" s="4">
        <f>IF(G196="Yes",-$C$8,0)</f>
        <v>-5000</v>
      </c>
      <c r="J196" s="4">
        <f>IF(G196="Yes",$C$8-I196,0)</f>
        <v>10000</v>
      </c>
      <c r="K196" s="4">
        <f ca="1">IF(H196&gt;=$C$4,J196+I196,I196)</f>
        <v>-5000</v>
      </c>
    </row>
    <row r="197" spans="5:11" x14ac:dyDescent="0.25">
      <c r="E197" s="1">
        <f t="shared" ref="E197:G260" si="10">E196+1</f>
        <v>194</v>
      </c>
      <c r="F197" s="4">
        <f t="shared" ref="F197:F260" ca="1" si="11">F196+K197</f>
        <v>230000</v>
      </c>
      <c r="G197" s="1" t="s">
        <v>70</v>
      </c>
      <c r="H197" s="26">
        <f t="shared" ca="1" si="9"/>
        <v>0.82579274025481009</v>
      </c>
      <c r="I197" s="4">
        <f>IF(G197="Yes",-$C$8,0)</f>
        <v>-5000</v>
      </c>
      <c r="J197" s="4">
        <f>IF(G197="Yes",$C$8-I197,0)</f>
        <v>10000</v>
      </c>
      <c r="K197" s="4">
        <f ca="1">IF(H197&gt;=$C$4,J197+I197,I197)</f>
        <v>5000</v>
      </c>
    </row>
    <row r="198" spans="5:11" x14ac:dyDescent="0.25">
      <c r="E198" s="1">
        <f t="shared" si="10"/>
        <v>195</v>
      </c>
      <c r="F198" s="4">
        <f t="shared" ca="1" si="11"/>
        <v>225000</v>
      </c>
      <c r="G198" s="1" t="s">
        <v>70</v>
      </c>
      <c r="H198" s="26">
        <f t="shared" ca="1" si="9"/>
        <v>2.7842027615424425E-2</v>
      </c>
      <c r="I198" s="4">
        <f>IF(G198="Yes",-$C$8,0)</f>
        <v>-5000</v>
      </c>
      <c r="J198" s="4">
        <f>IF(G198="Yes",$C$8-I198,0)</f>
        <v>10000</v>
      </c>
      <c r="K198" s="4">
        <f ca="1">IF(H198&gt;=$C$4,J198+I198,I198)</f>
        <v>-5000</v>
      </c>
    </row>
    <row r="199" spans="5:11" x14ac:dyDescent="0.25">
      <c r="E199" s="1">
        <f t="shared" si="10"/>
        <v>196</v>
      </c>
      <c r="F199" s="4">
        <f t="shared" ca="1" si="11"/>
        <v>220000</v>
      </c>
      <c r="G199" s="1" t="s">
        <v>70</v>
      </c>
      <c r="H199" s="26">
        <f t="shared" ca="1" si="9"/>
        <v>6.4327048194680714E-2</v>
      </c>
      <c r="I199" s="4">
        <f>IF(G199="Yes",-$C$8,0)</f>
        <v>-5000</v>
      </c>
      <c r="J199" s="4">
        <f>IF(G199="Yes",$C$8-I199,0)</f>
        <v>10000</v>
      </c>
      <c r="K199" s="4">
        <f ca="1">IF(H199&gt;=$C$4,J199+I199,I199)</f>
        <v>-5000</v>
      </c>
    </row>
    <row r="200" spans="5:11" x14ac:dyDescent="0.25">
      <c r="E200" s="1">
        <f t="shared" si="10"/>
        <v>197</v>
      </c>
      <c r="F200" s="4">
        <f t="shared" ca="1" si="11"/>
        <v>225000</v>
      </c>
      <c r="G200" s="1" t="s">
        <v>70</v>
      </c>
      <c r="H200" s="26">
        <f t="shared" ca="1" si="9"/>
        <v>0.6669313076552662</v>
      </c>
      <c r="I200" s="4">
        <f>IF(G200="Yes",-$C$8,0)</f>
        <v>-5000</v>
      </c>
      <c r="J200" s="4">
        <f>IF(G200="Yes",$C$8-I200,0)</f>
        <v>10000</v>
      </c>
      <c r="K200" s="4">
        <f ca="1">IF(H200&gt;=$C$4,J200+I200,I200)</f>
        <v>5000</v>
      </c>
    </row>
    <row r="201" spans="5:11" x14ac:dyDescent="0.25">
      <c r="E201" s="1">
        <f t="shared" si="10"/>
        <v>198</v>
      </c>
      <c r="F201" s="4">
        <f t="shared" ca="1" si="11"/>
        <v>220000</v>
      </c>
      <c r="G201" s="1" t="s">
        <v>70</v>
      </c>
      <c r="H201" s="26">
        <f t="shared" ca="1" si="9"/>
        <v>6.1813616364310486E-2</v>
      </c>
      <c r="I201" s="4">
        <f>IF(G201="Yes",-$C$8,0)</f>
        <v>-5000</v>
      </c>
      <c r="J201" s="4">
        <f>IF(G201="Yes",$C$8-I201,0)</f>
        <v>10000</v>
      </c>
      <c r="K201" s="4">
        <f ca="1">IF(H201&gt;=$C$4,J201+I201,I201)</f>
        <v>-5000</v>
      </c>
    </row>
    <row r="202" spans="5:11" x14ac:dyDescent="0.25">
      <c r="E202" s="1">
        <f t="shared" si="10"/>
        <v>199</v>
      </c>
      <c r="F202" s="4">
        <f t="shared" ca="1" si="11"/>
        <v>225000</v>
      </c>
      <c r="G202" s="1" t="s">
        <v>70</v>
      </c>
      <c r="H202" s="26">
        <f t="shared" ca="1" si="9"/>
        <v>0.73053329329633365</v>
      </c>
      <c r="I202" s="4">
        <f>IF(G202="Yes",-$C$8,0)</f>
        <v>-5000</v>
      </c>
      <c r="J202" s="4">
        <f>IF(G202="Yes",$C$8-I202,0)</f>
        <v>10000</v>
      </c>
      <c r="K202" s="4">
        <f ca="1">IF(H202&gt;=$C$4,J202+I202,I202)</f>
        <v>5000</v>
      </c>
    </row>
    <row r="203" spans="5:11" x14ac:dyDescent="0.25">
      <c r="E203" s="1">
        <f t="shared" si="10"/>
        <v>200</v>
      </c>
      <c r="F203" s="4">
        <f t="shared" ca="1" si="11"/>
        <v>230000</v>
      </c>
      <c r="G203" s="1" t="s">
        <v>70</v>
      </c>
      <c r="H203" s="26">
        <f t="shared" ca="1" si="9"/>
        <v>0.87455251405854073</v>
      </c>
      <c r="I203" s="4">
        <f>IF(G203="Yes",-$C$8,0)</f>
        <v>-5000</v>
      </c>
      <c r="J203" s="4">
        <f>IF(G203="Yes",$C$8-I203,0)</f>
        <v>10000</v>
      </c>
      <c r="K203" s="4">
        <f ca="1">IF(H203&gt;=$C$4,J203+I203,I203)</f>
        <v>5000</v>
      </c>
    </row>
    <row r="204" spans="5:11" x14ac:dyDescent="0.25">
      <c r="E204" s="1">
        <f t="shared" si="10"/>
        <v>201</v>
      </c>
      <c r="F204" s="4">
        <f t="shared" ca="1" si="11"/>
        <v>235000</v>
      </c>
      <c r="G204" s="1" t="s">
        <v>70</v>
      </c>
      <c r="H204" s="26">
        <f t="shared" ca="1" si="9"/>
        <v>0.79445970298850432</v>
      </c>
      <c r="I204" s="4">
        <f>IF(G204="Yes",-$C$8,0)</f>
        <v>-5000</v>
      </c>
      <c r="J204" s="4">
        <f>IF(G204="Yes",$C$8-I204,0)</f>
        <v>10000</v>
      </c>
      <c r="K204" s="4">
        <f ca="1">IF(H204&gt;=$C$4,J204+I204,I204)</f>
        <v>5000</v>
      </c>
    </row>
    <row r="205" spans="5:11" x14ac:dyDescent="0.25">
      <c r="E205" s="1">
        <f t="shared" si="10"/>
        <v>202</v>
      </c>
      <c r="F205" s="4">
        <f t="shared" ca="1" si="11"/>
        <v>230000</v>
      </c>
      <c r="G205" s="1" t="s">
        <v>70</v>
      </c>
      <c r="H205" s="26">
        <f t="shared" ca="1" si="9"/>
        <v>0.34344770933993163</v>
      </c>
      <c r="I205" s="4">
        <f>IF(G205="Yes",-$C$8,0)</f>
        <v>-5000</v>
      </c>
      <c r="J205" s="4">
        <f>IF(G205="Yes",$C$8-I205,0)</f>
        <v>10000</v>
      </c>
      <c r="K205" s="4">
        <f ca="1">IF(H205&gt;=$C$4,J205+I205,I205)</f>
        <v>-5000</v>
      </c>
    </row>
    <row r="206" spans="5:11" x14ac:dyDescent="0.25">
      <c r="E206" s="1">
        <f t="shared" si="10"/>
        <v>203</v>
      </c>
      <c r="F206" s="4">
        <f t="shared" ca="1" si="11"/>
        <v>225000</v>
      </c>
      <c r="G206" s="1" t="s">
        <v>70</v>
      </c>
      <c r="H206" s="26">
        <f t="shared" ca="1" si="9"/>
        <v>0.20340167314460011</v>
      </c>
      <c r="I206" s="4">
        <f>IF(G206="Yes",-$C$8,0)</f>
        <v>-5000</v>
      </c>
      <c r="J206" s="4">
        <f>IF(G206="Yes",$C$8-I206,0)</f>
        <v>10000</v>
      </c>
      <c r="K206" s="4">
        <f ca="1">IF(H206&gt;=$C$4,J206+I206,I206)</f>
        <v>-5000</v>
      </c>
    </row>
    <row r="207" spans="5:11" x14ac:dyDescent="0.25">
      <c r="E207" s="1">
        <f t="shared" si="10"/>
        <v>204</v>
      </c>
      <c r="F207" s="4">
        <f t="shared" ca="1" si="11"/>
        <v>220000</v>
      </c>
      <c r="G207" s="1" t="s">
        <v>70</v>
      </c>
      <c r="H207" s="26">
        <f t="shared" ca="1" si="9"/>
        <v>0.39022406214191796</v>
      </c>
      <c r="I207" s="4">
        <f>IF(G207="Yes",-$C$8,0)</f>
        <v>-5000</v>
      </c>
      <c r="J207" s="4">
        <f>IF(G207="Yes",$C$8-I207,0)</f>
        <v>10000</v>
      </c>
      <c r="K207" s="4">
        <f ca="1">IF(H207&gt;=$C$4,J207+I207,I207)</f>
        <v>-5000</v>
      </c>
    </row>
    <row r="208" spans="5:11" x14ac:dyDescent="0.25">
      <c r="E208" s="1">
        <f t="shared" si="10"/>
        <v>205</v>
      </c>
      <c r="F208" s="4">
        <f t="shared" ca="1" si="11"/>
        <v>215000</v>
      </c>
      <c r="G208" s="1" t="s">
        <v>70</v>
      </c>
      <c r="H208" s="26">
        <f t="shared" ca="1" si="9"/>
        <v>8.4405244239553978E-2</v>
      </c>
      <c r="I208" s="4">
        <f>IF(G208="Yes",-$C$8,0)</f>
        <v>-5000</v>
      </c>
      <c r="J208" s="4">
        <f>IF(G208="Yes",$C$8-I208,0)</f>
        <v>10000</v>
      </c>
      <c r="K208" s="4">
        <f ca="1">IF(H208&gt;=$C$4,J208+I208,I208)</f>
        <v>-5000</v>
      </c>
    </row>
    <row r="209" spans="5:11" x14ac:dyDescent="0.25">
      <c r="E209" s="1">
        <f t="shared" si="10"/>
        <v>206</v>
      </c>
      <c r="F209" s="4">
        <f t="shared" ca="1" si="11"/>
        <v>220000</v>
      </c>
      <c r="G209" s="1" t="s">
        <v>70</v>
      </c>
      <c r="H209" s="26">
        <f t="shared" ca="1" si="9"/>
        <v>0.75434304705459143</v>
      </c>
      <c r="I209" s="4">
        <f>IF(G209="Yes",-$C$8,0)</f>
        <v>-5000</v>
      </c>
      <c r="J209" s="4">
        <f>IF(G209="Yes",$C$8-I209,0)</f>
        <v>10000</v>
      </c>
      <c r="K209" s="4">
        <f ca="1">IF(H209&gt;=$C$4,J209+I209,I209)</f>
        <v>5000</v>
      </c>
    </row>
    <row r="210" spans="5:11" x14ac:dyDescent="0.25">
      <c r="E210" s="1">
        <f t="shared" si="10"/>
        <v>207</v>
      </c>
      <c r="F210" s="4">
        <f t="shared" ca="1" si="11"/>
        <v>215000</v>
      </c>
      <c r="G210" s="1" t="s">
        <v>70</v>
      </c>
      <c r="H210" s="26">
        <f t="shared" ca="1" si="9"/>
        <v>0.37339369911041831</v>
      </c>
      <c r="I210" s="4">
        <f>IF(G210="Yes",-$C$8,0)</f>
        <v>-5000</v>
      </c>
      <c r="J210" s="4">
        <f>IF(G210="Yes",$C$8-I210,0)</f>
        <v>10000</v>
      </c>
      <c r="K210" s="4">
        <f ca="1">IF(H210&gt;=$C$4,J210+I210,I210)</f>
        <v>-5000</v>
      </c>
    </row>
    <row r="211" spans="5:11" x14ac:dyDescent="0.25">
      <c r="E211" s="1">
        <f t="shared" si="10"/>
        <v>208</v>
      </c>
      <c r="F211" s="4">
        <f t="shared" ca="1" si="11"/>
        <v>210000</v>
      </c>
      <c r="G211" s="1" t="s">
        <v>70</v>
      </c>
      <c r="H211" s="26">
        <f t="shared" ca="1" si="9"/>
        <v>0.43567394015075855</v>
      </c>
      <c r="I211" s="4">
        <f>IF(G211="Yes",-$C$8,0)</f>
        <v>-5000</v>
      </c>
      <c r="J211" s="4">
        <f>IF(G211="Yes",$C$8-I211,0)</f>
        <v>10000</v>
      </c>
      <c r="K211" s="4">
        <f ca="1">IF(H211&gt;=$C$4,J211+I211,I211)</f>
        <v>-5000</v>
      </c>
    </row>
    <row r="212" spans="5:11" x14ac:dyDescent="0.25">
      <c r="E212" s="1">
        <f t="shared" si="10"/>
        <v>209</v>
      </c>
      <c r="F212" s="4">
        <f t="shared" ca="1" si="11"/>
        <v>205000</v>
      </c>
      <c r="G212" s="1" t="s">
        <v>70</v>
      </c>
      <c r="H212" s="26">
        <f t="shared" ca="1" si="9"/>
        <v>0.28663814189948922</v>
      </c>
      <c r="I212" s="4">
        <f>IF(G212="Yes",-$C$8,0)</f>
        <v>-5000</v>
      </c>
      <c r="J212" s="4">
        <f>IF(G212="Yes",$C$8-I212,0)</f>
        <v>10000</v>
      </c>
      <c r="K212" s="4">
        <f ca="1">IF(H212&gt;=$C$4,J212+I212,I212)</f>
        <v>-5000</v>
      </c>
    </row>
    <row r="213" spans="5:11" x14ac:dyDescent="0.25">
      <c r="E213" s="1">
        <f t="shared" si="10"/>
        <v>210</v>
      </c>
      <c r="F213" s="4">
        <f t="shared" ca="1" si="11"/>
        <v>210000</v>
      </c>
      <c r="G213" s="1" t="s">
        <v>70</v>
      </c>
      <c r="H213" s="26">
        <f t="shared" ca="1" si="9"/>
        <v>0.71608150158380846</v>
      </c>
      <c r="I213" s="4">
        <f>IF(G213="Yes",-$C$8,0)</f>
        <v>-5000</v>
      </c>
      <c r="J213" s="4">
        <f>IF(G213="Yes",$C$8-I213,0)</f>
        <v>10000</v>
      </c>
      <c r="K213" s="4">
        <f ca="1">IF(H213&gt;=$C$4,J213+I213,I213)</f>
        <v>5000</v>
      </c>
    </row>
    <row r="214" spans="5:11" x14ac:dyDescent="0.25">
      <c r="E214" s="1">
        <f t="shared" si="10"/>
        <v>211</v>
      </c>
      <c r="F214" s="4">
        <f t="shared" ca="1" si="11"/>
        <v>215000</v>
      </c>
      <c r="G214" s="1" t="s">
        <v>70</v>
      </c>
      <c r="H214" s="26">
        <f t="shared" ca="1" si="9"/>
        <v>0.630966779147348</v>
      </c>
      <c r="I214" s="4">
        <f>IF(G214="Yes",-$C$8,0)</f>
        <v>-5000</v>
      </c>
      <c r="J214" s="4">
        <f>IF(G214="Yes",$C$8-I214,0)</f>
        <v>10000</v>
      </c>
      <c r="K214" s="4">
        <f ca="1">IF(H214&gt;=$C$4,J214+I214,I214)</f>
        <v>5000</v>
      </c>
    </row>
    <row r="215" spans="5:11" x14ac:dyDescent="0.25">
      <c r="E215" s="1">
        <f t="shared" si="10"/>
        <v>212</v>
      </c>
      <c r="F215" s="4">
        <f t="shared" ca="1" si="11"/>
        <v>220000</v>
      </c>
      <c r="G215" s="1" t="s">
        <v>70</v>
      </c>
      <c r="H215" s="26">
        <f t="shared" ca="1" si="9"/>
        <v>0.84823043757764638</v>
      </c>
      <c r="I215" s="4">
        <f>IF(G215="Yes",-$C$8,0)</f>
        <v>-5000</v>
      </c>
      <c r="J215" s="4">
        <f>IF(G215="Yes",$C$8-I215,0)</f>
        <v>10000</v>
      </c>
      <c r="K215" s="4">
        <f ca="1">IF(H215&gt;=$C$4,J215+I215,I215)</f>
        <v>5000</v>
      </c>
    </row>
    <row r="216" spans="5:11" x14ac:dyDescent="0.25">
      <c r="E216" s="1">
        <f t="shared" si="10"/>
        <v>213</v>
      </c>
      <c r="F216" s="4">
        <f t="shared" ca="1" si="11"/>
        <v>215000</v>
      </c>
      <c r="G216" s="1" t="s">
        <v>70</v>
      </c>
      <c r="H216" s="26">
        <f t="shared" ca="1" si="9"/>
        <v>0.31419287142638819</v>
      </c>
      <c r="I216" s="4">
        <f>IF(G216="Yes",-$C$8,0)</f>
        <v>-5000</v>
      </c>
      <c r="J216" s="4">
        <f>IF(G216="Yes",$C$8-I216,0)</f>
        <v>10000</v>
      </c>
      <c r="K216" s="4">
        <f ca="1">IF(H216&gt;=$C$4,J216+I216,I216)</f>
        <v>-5000</v>
      </c>
    </row>
    <row r="217" spans="5:11" x14ac:dyDescent="0.25">
      <c r="E217" s="1">
        <f t="shared" si="10"/>
        <v>214</v>
      </c>
      <c r="F217" s="4">
        <f t="shared" ca="1" si="11"/>
        <v>220000</v>
      </c>
      <c r="G217" s="1" t="s">
        <v>70</v>
      </c>
      <c r="H217" s="26">
        <f t="shared" ca="1" si="9"/>
        <v>0.8706127002505184</v>
      </c>
      <c r="I217" s="4">
        <f>IF(G217="Yes",-$C$8,0)</f>
        <v>-5000</v>
      </c>
      <c r="J217" s="4">
        <f>IF(G217="Yes",$C$8-I217,0)</f>
        <v>10000</v>
      </c>
      <c r="K217" s="4">
        <f ca="1">IF(H217&gt;=$C$4,J217+I217,I217)</f>
        <v>5000</v>
      </c>
    </row>
    <row r="218" spans="5:11" x14ac:dyDescent="0.25">
      <c r="E218" s="1">
        <f t="shared" si="10"/>
        <v>215</v>
      </c>
      <c r="F218" s="4">
        <f t="shared" ca="1" si="11"/>
        <v>225000</v>
      </c>
      <c r="G218" s="1" t="s">
        <v>70</v>
      </c>
      <c r="H218" s="26">
        <f t="shared" ca="1" si="9"/>
        <v>0.88718991999742813</v>
      </c>
      <c r="I218" s="4">
        <f>IF(G218="Yes",-$C$8,0)</f>
        <v>-5000</v>
      </c>
      <c r="J218" s="4">
        <f>IF(G218="Yes",$C$8-I218,0)</f>
        <v>10000</v>
      </c>
      <c r="K218" s="4">
        <f ca="1">IF(H218&gt;=$C$4,J218+I218,I218)</f>
        <v>5000</v>
      </c>
    </row>
    <row r="219" spans="5:11" x14ac:dyDescent="0.25">
      <c r="E219" s="1">
        <f t="shared" si="10"/>
        <v>216</v>
      </c>
      <c r="F219" s="4">
        <f t="shared" ca="1" si="11"/>
        <v>230000</v>
      </c>
      <c r="G219" s="1" t="s">
        <v>70</v>
      </c>
      <c r="H219" s="26">
        <f t="shared" ca="1" si="9"/>
        <v>0.84159026974070605</v>
      </c>
      <c r="I219" s="4">
        <f>IF(G219="Yes",-$C$8,0)</f>
        <v>-5000</v>
      </c>
      <c r="J219" s="4">
        <f>IF(G219="Yes",$C$8-I219,0)</f>
        <v>10000</v>
      </c>
      <c r="K219" s="4">
        <f ca="1">IF(H219&gt;=$C$4,J219+I219,I219)</f>
        <v>5000</v>
      </c>
    </row>
    <row r="220" spans="5:11" x14ac:dyDescent="0.25">
      <c r="E220" s="1">
        <f t="shared" si="10"/>
        <v>217</v>
      </c>
      <c r="F220" s="4">
        <f t="shared" ca="1" si="11"/>
        <v>225000</v>
      </c>
      <c r="G220" s="1" t="s">
        <v>70</v>
      </c>
      <c r="H220" s="26">
        <f t="shared" ca="1" si="9"/>
        <v>0.15650927553328164</v>
      </c>
      <c r="I220" s="4">
        <f>IF(G220="Yes",-$C$8,0)</f>
        <v>-5000</v>
      </c>
      <c r="J220" s="4">
        <f>IF(G220="Yes",$C$8-I220,0)</f>
        <v>10000</v>
      </c>
      <c r="K220" s="4">
        <f ca="1">IF(H220&gt;=$C$4,J220+I220,I220)</f>
        <v>-5000</v>
      </c>
    </row>
    <row r="221" spans="5:11" x14ac:dyDescent="0.25">
      <c r="E221" s="1">
        <f t="shared" si="10"/>
        <v>218</v>
      </c>
      <c r="F221" s="4">
        <f t="shared" ca="1" si="11"/>
        <v>220000</v>
      </c>
      <c r="G221" s="1" t="s">
        <v>70</v>
      </c>
      <c r="H221" s="26">
        <f t="shared" ca="1" si="9"/>
        <v>0.43031226029369296</v>
      </c>
      <c r="I221" s="4">
        <f>IF(G221="Yes",-$C$8,0)</f>
        <v>-5000</v>
      </c>
      <c r="J221" s="4">
        <f>IF(G221="Yes",$C$8-I221,0)</f>
        <v>10000</v>
      </c>
      <c r="K221" s="4">
        <f ca="1">IF(H221&gt;=$C$4,J221+I221,I221)</f>
        <v>-5000</v>
      </c>
    </row>
    <row r="222" spans="5:11" x14ac:dyDescent="0.25">
      <c r="E222" s="1">
        <f t="shared" si="10"/>
        <v>219</v>
      </c>
      <c r="F222" s="4">
        <f t="shared" ca="1" si="11"/>
        <v>225000</v>
      </c>
      <c r="G222" s="1" t="s">
        <v>70</v>
      </c>
      <c r="H222" s="26">
        <f t="shared" ca="1" si="9"/>
        <v>0.60419760574233272</v>
      </c>
      <c r="I222" s="4">
        <f>IF(G222="Yes",-$C$8,0)</f>
        <v>-5000</v>
      </c>
      <c r="J222" s="4">
        <f>IF(G222="Yes",$C$8-I222,0)</f>
        <v>10000</v>
      </c>
      <c r="K222" s="4">
        <f ca="1">IF(H222&gt;=$C$4,J222+I222,I222)</f>
        <v>5000</v>
      </c>
    </row>
    <row r="223" spans="5:11" x14ac:dyDescent="0.25">
      <c r="E223" s="1">
        <f t="shared" si="10"/>
        <v>220</v>
      </c>
      <c r="F223" s="4">
        <f t="shared" ca="1" si="11"/>
        <v>220000</v>
      </c>
      <c r="G223" s="1" t="s">
        <v>70</v>
      </c>
      <c r="H223" s="26">
        <f t="shared" ca="1" si="9"/>
        <v>0.28306016910095044</v>
      </c>
      <c r="I223" s="4">
        <f>IF(G223="Yes",-$C$8,0)</f>
        <v>-5000</v>
      </c>
      <c r="J223" s="4">
        <f>IF(G223="Yes",$C$8-I223,0)</f>
        <v>10000</v>
      </c>
      <c r="K223" s="4">
        <f ca="1">IF(H223&gt;=$C$4,J223+I223,I223)</f>
        <v>-5000</v>
      </c>
    </row>
    <row r="224" spans="5:11" x14ac:dyDescent="0.25">
      <c r="E224" s="1">
        <f t="shared" si="10"/>
        <v>221</v>
      </c>
      <c r="F224" s="4">
        <f t="shared" ca="1" si="11"/>
        <v>215000</v>
      </c>
      <c r="G224" s="1" t="s">
        <v>70</v>
      </c>
      <c r="H224" s="26">
        <f t="shared" ca="1" si="9"/>
        <v>0.16528786001693752</v>
      </c>
      <c r="I224" s="4">
        <f>IF(G224="Yes",-$C$8,0)</f>
        <v>-5000</v>
      </c>
      <c r="J224" s="4">
        <f>IF(G224="Yes",$C$8-I224,0)</f>
        <v>10000</v>
      </c>
      <c r="K224" s="4">
        <f ca="1">IF(H224&gt;=$C$4,J224+I224,I224)</f>
        <v>-5000</v>
      </c>
    </row>
    <row r="225" spans="5:11" x14ac:dyDescent="0.25">
      <c r="E225" s="1">
        <f t="shared" si="10"/>
        <v>222</v>
      </c>
      <c r="F225" s="4">
        <f t="shared" ca="1" si="11"/>
        <v>210000</v>
      </c>
      <c r="G225" s="1" t="s">
        <v>70</v>
      </c>
      <c r="H225" s="26">
        <f t="shared" ca="1" si="9"/>
        <v>0.2425814554251623</v>
      </c>
      <c r="I225" s="4">
        <f>IF(G225="Yes",-$C$8,0)</f>
        <v>-5000</v>
      </c>
      <c r="J225" s="4">
        <f>IF(G225="Yes",$C$8-I225,0)</f>
        <v>10000</v>
      </c>
      <c r="K225" s="4">
        <f ca="1">IF(H225&gt;=$C$4,J225+I225,I225)</f>
        <v>-5000</v>
      </c>
    </row>
    <row r="226" spans="5:11" x14ac:dyDescent="0.25">
      <c r="E226" s="1">
        <f t="shared" si="10"/>
        <v>223</v>
      </c>
      <c r="F226" s="4">
        <f t="shared" ca="1" si="11"/>
        <v>215000</v>
      </c>
      <c r="G226" s="1" t="s">
        <v>70</v>
      </c>
      <c r="H226" s="26">
        <f t="shared" ca="1" si="9"/>
        <v>0.61835918109904198</v>
      </c>
      <c r="I226" s="4">
        <f>IF(G226="Yes",-$C$8,0)</f>
        <v>-5000</v>
      </c>
      <c r="J226" s="4">
        <f>IF(G226="Yes",$C$8-I226,0)</f>
        <v>10000</v>
      </c>
      <c r="K226" s="4">
        <f ca="1">IF(H226&gt;=$C$4,J226+I226,I226)</f>
        <v>5000</v>
      </c>
    </row>
    <row r="227" spans="5:11" x14ac:dyDescent="0.25">
      <c r="E227" s="1">
        <f t="shared" si="10"/>
        <v>224</v>
      </c>
      <c r="F227" s="4">
        <f t="shared" ca="1" si="11"/>
        <v>210000</v>
      </c>
      <c r="G227" s="1" t="s">
        <v>70</v>
      </c>
      <c r="H227" s="26">
        <f t="shared" ca="1" si="9"/>
        <v>0.44557087269991724</v>
      </c>
      <c r="I227" s="4">
        <f>IF(G227="Yes",-$C$8,0)</f>
        <v>-5000</v>
      </c>
      <c r="J227" s="4">
        <f>IF(G227="Yes",$C$8-I227,0)</f>
        <v>10000</v>
      </c>
      <c r="K227" s="4">
        <f ca="1">IF(H227&gt;=$C$4,J227+I227,I227)</f>
        <v>-5000</v>
      </c>
    </row>
    <row r="228" spans="5:11" x14ac:dyDescent="0.25">
      <c r="E228" s="1">
        <f t="shared" si="10"/>
        <v>225</v>
      </c>
      <c r="F228" s="4">
        <f t="shared" ca="1" si="11"/>
        <v>205000</v>
      </c>
      <c r="G228" s="1" t="s">
        <v>70</v>
      </c>
      <c r="H228" s="26">
        <f t="shared" ca="1" si="9"/>
        <v>0.23166706101744527</v>
      </c>
      <c r="I228" s="4">
        <f>IF(G228="Yes",-$C$8,0)</f>
        <v>-5000</v>
      </c>
      <c r="J228" s="4">
        <f>IF(G228="Yes",$C$8-I228,0)</f>
        <v>10000</v>
      </c>
      <c r="K228" s="4">
        <f ca="1">IF(H228&gt;=$C$4,J228+I228,I228)</f>
        <v>-5000</v>
      </c>
    </row>
    <row r="229" spans="5:11" x14ac:dyDescent="0.25">
      <c r="E229" s="1">
        <f t="shared" si="10"/>
        <v>226</v>
      </c>
      <c r="F229" s="4">
        <f t="shared" ca="1" si="11"/>
        <v>200000</v>
      </c>
      <c r="G229" s="1" t="s">
        <v>70</v>
      </c>
      <c r="H229" s="26">
        <f t="shared" ca="1" si="9"/>
        <v>0.13875116991249292</v>
      </c>
      <c r="I229" s="4">
        <f>IF(G229="Yes",-$C$8,0)</f>
        <v>-5000</v>
      </c>
      <c r="J229" s="4">
        <f>IF(G229="Yes",$C$8-I229,0)</f>
        <v>10000</v>
      </c>
      <c r="K229" s="4">
        <f ca="1">IF(H229&gt;=$C$4,J229+I229,I229)</f>
        <v>-5000</v>
      </c>
    </row>
    <row r="230" spans="5:11" x14ac:dyDescent="0.25">
      <c r="E230" s="1">
        <f t="shared" si="10"/>
        <v>227</v>
      </c>
      <c r="F230" s="4">
        <f t="shared" ca="1" si="11"/>
        <v>205000</v>
      </c>
      <c r="G230" s="1" t="s">
        <v>70</v>
      </c>
      <c r="H230" s="26">
        <f t="shared" ca="1" si="9"/>
        <v>0.74836706678289167</v>
      </c>
      <c r="I230" s="4">
        <f>IF(G230="Yes",-$C$8,0)</f>
        <v>-5000</v>
      </c>
      <c r="J230" s="4">
        <f>IF(G230="Yes",$C$8-I230,0)</f>
        <v>10000</v>
      </c>
      <c r="K230" s="4">
        <f ca="1">IF(H230&gt;=$C$4,J230+I230,I230)</f>
        <v>5000</v>
      </c>
    </row>
    <row r="231" spans="5:11" x14ac:dyDescent="0.25">
      <c r="E231" s="1">
        <f t="shared" si="10"/>
        <v>228</v>
      </c>
      <c r="F231" s="4">
        <f t="shared" ca="1" si="11"/>
        <v>210000</v>
      </c>
      <c r="G231" s="1" t="s">
        <v>70</v>
      </c>
      <c r="H231" s="26">
        <f t="shared" ca="1" si="9"/>
        <v>0.73899854031529733</v>
      </c>
      <c r="I231" s="4">
        <f>IF(G231="Yes",-$C$8,0)</f>
        <v>-5000</v>
      </c>
      <c r="J231" s="4">
        <f>IF(G231="Yes",$C$8-I231,0)</f>
        <v>10000</v>
      </c>
      <c r="K231" s="4">
        <f ca="1">IF(H231&gt;=$C$4,J231+I231,I231)</f>
        <v>5000</v>
      </c>
    </row>
    <row r="232" spans="5:11" x14ac:dyDescent="0.25">
      <c r="E232" s="1">
        <f t="shared" si="10"/>
        <v>229</v>
      </c>
      <c r="F232" s="4">
        <f t="shared" ca="1" si="11"/>
        <v>205000</v>
      </c>
      <c r="G232" s="1" t="s">
        <v>70</v>
      </c>
      <c r="H232" s="26">
        <f t="shared" ca="1" si="9"/>
        <v>0.12752711059576838</v>
      </c>
      <c r="I232" s="4">
        <f>IF(G232="Yes",-$C$8,0)</f>
        <v>-5000</v>
      </c>
      <c r="J232" s="4">
        <f>IF(G232="Yes",$C$8-I232,0)</f>
        <v>10000</v>
      </c>
      <c r="K232" s="4">
        <f ca="1">IF(H232&gt;=$C$4,J232+I232,I232)</f>
        <v>-5000</v>
      </c>
    </row>
    <row r="233" spans="5:11" x14ac:dyDescent="0.25">
      <c r="E233" s="1">
        <f t="shared" si="10"/>
        <v>230</v>
      </c>
      <c r="F233" s="4">
        <f t="shared" ca="1" si="11"/>
        <v>210000</v>
      </c>
      <c r="G233" s="1" t="s">
        <v>70</v>
      </c>
      <c r="H233" s="26">
        <f t="shared" ca="1" si="9"/>
        <v>0.82502056914500754</v>
      </c>
      <c r="I233" s="4">
        <f>IF(G233="Yes",-$C$8,0)</f>
        <v>-5000</v>
      </c>
      <c r="J233" s="4">
        <f>IF(G233="Yes",$C$8-I233,0)</f>
        <v>10000</v>
      </c>
      <c r="K233" s="4">
        <f ca="1">IF(H233&gt;=$C$4,J233+I233,I233)</f>
        <v>5000</v>
      </c>
    </row>
    <row r="234" spans="5:11" x14ac:dyDescent="0.25">
      <c r="E234" s="1">
        <f t="shared" si="10"/>
        <v>231</v>
      </c>
      <c r="F234" s="4">
        <f t="shared" ca="1" si="11"/>
        <v>215000</v>
      </c>
      <c r="G234" s="1" t="s">
        <v>70</v>
      </c>
      <c r="H234" s="26">
        <f t="shared" ca="1" si="9"/>
        <v>0.51872049228926664</v>
      </c>
      <c r="I234" s="4">
        <f>IF(G234="Yes",-$C$8,0)</f>
        <v>-5000</v>
      </c>
      <c r="J234" s="4">
        <f>IF(G234="Yes",$C$8-I234,0)</f>
        <v>10000</v>
      </c>
      <c r="K234" s="4">
        <f ca="1">IF(H234&gt;=$C$4,J234+I234,I234)</f>
        <v>5000</v>
      </c>
    </row>
    <row r="235" spans="5:11" x14ac:dyDescent="0.25">
      <c r="E235" s="1">
        <f t="shared" si="10"/>
        <v>232</v>
      </c>
      <c r="F235" s="4">
        <f t="shared" ca="1" si="11"/>
        <v>220000</v>
      </c>
      <c r="G235" s="1" t="s">
        <v>70</v>
      </c>
      <c r="H235" s="26">
        <f t="shared" ca="1" si="9"/>
        <v>0.52174179916431551</v>
      </c>
      <c r="I235" s="4">
        <f>IF(G235="Yes",-$C$8,0)</f>
        <v>-5000</v>
      </c>
      <c r="J235" s="4">
        <f>IF(G235="Yes",$C$8-I235,0)</f>
        <v>10000</v>
      </c>
      <c r="K235" s="4">
        <f ca="1">IF(H235&gt;=$C$4,J235+I235,I235)</f>
        <v>5000</v>
      </c>
    </row>
    <row r="236" spans="5:11" x14ac:dyDescent="0.25">
      <c r="E236" s="1">
        <f t="shared" si="10"/>
        <v>233</v>
      </c>
      <c r="F236" s="4">
        <f t="shared" ca="1" si="11"/>
        <v>215000</v>
      </c>
      <c r="G236" s="1" t="s">
        <v>70</v>
      </c>
      <c r="H236" s="26">
        <f t="shared" ca="1" si="9"/>
        <v>0.27018627237764159</v>
      </c>
      <c r="I236" s="4">
        <f>IF(G236="Yes",-$C$8,0)</f>
        <v>-5000</v>
      </c>
      <c r="J236" s="4">
        <f>IF(G236="Yes",$C$8-I236,0)</f>
        <v>10000</v>
      </c>
      <c r="K236" s="4">
        <f ca="1">IF(H236&gt;=$C$4,J236+I236,I236)</f>
        <v>-5000</v>
      </c>
    </row>
    <row r="237" spans="5:11" x14ac:dyDescent="0.25">
      <c r="E237" s="1">
        <f t="shared" si="10"/>
        <v>234</v>
      </c>
      <c r="F237" s="4">
        <f t="shared" ca="1" si="11"/>
        <v>210000</v>
      </c>
      <c r="G237" s="1" t="s">
        <v>70</v>
      </c>
      <c r="H237" s="26">
        <f t="shared" ca="1" si="9"/>
        <v>0.24524364534684406</v>
      </c>
      <c r="I237" s="4">
        <f>IF(G237="Yes",-$C$8,0)</f>
        <v>-5000</v>
      </c>
      <c r="J237" s="4">
        <f>IF(G237="Yes",$C$8-I237,0)</f>
        <v>10000</v>
      </c>
      <c r="K237" s="4">
        <f ca="1">IF(H237&gt;=$C$4,J237+I237,I237)</f>
        <v>-5000</v>
      </c>
    </row>
    <row r="238" spans="5:11" x14ac:dyDescent="0.25">
      <c r="E238" s="1">
        <f t="shared" si="10"/>
        <v>235</v>
      </c>
      <c r="F238" s="4">
        <f t="shared" ca="1" si="11"/>
        <v>205000</v>
      </c>
      <c r="G238" s="1" t="s">
        <v>70</v>
      </c>
      <c r="H238" s="26">
        <f t="shared" ca="1" si="9"/>
        <v>0.35810148937879027</v>
      </c>
      <c r="I238" s="4">
        <f>IF(G238="Yes",-$C$8,0)</f>
        <v>-5000</v>
      </c>
      <c r="J238" s="4">
        <f>IF(G238="Yes",$C$8-I238,0)</f>
        <v>10000</v>
      </c>
      <c r="K238" s="4">
        <f ca="1">IF(H238&gt;=$C$4,J238+I238,I238)</f>
        <v>-5000</v>
      </c>
    </row>
    <row r="239" spans="5:11" x14ac:dyDescent="0.25">
      <c r="E239" s="1">
        <f t="shared" si="10"/>
        <v>236</v>
      </c>
      <c r="F239" s="4">
        <f t="shared" ca="1" si="11"/>
        <v>200000</v>
      </c>
      <c r="G239" s="1" t="s">
        <v>70</v>
      </c>
      <c r="H239" s="26">
        <f t="shared" ca="1" si="9"/>
        <v>3.1757126090178223E-2</v>
      </c>
      <c r="I239" s="4">
        <f>IF(G239="Yes",-$C$8,0)</f>
        <v>-5000</v>
      </c>
      <c r="J239" s="4">
        <f>IF(G239="Yes",$C$8-I239,0)</f>
        <v>10000</v>
      </c>
      <c r="K239" s="4">
        <f ca="1">IF(H239&gt;=$C$4,J239+I239,I239)</f>
        <v>-5000</v>
      </c>
    </row>
    <row r="240" spans="5:11" x14ac:dyDescent="0.25">
      <c r="E240" s="1">
        <f t="shared" si="10"/>
        <v>237</v>
      </c>
      <c r="F240" s="4">
        <f t="shared" ca="1" si="11"/>
        <v>205000</v>
      </c>
      <c r="G240" s="1" t="s">
        <v>70</v>
      </c>
      <c r="H240" s="26">
        <f t="shared" ca="1" si="9"/>
        <v>0.58593357754676223</v>
      </c>
      <c r="I240" s="4">
        <f>IF(G240="Yes",-$C$8,0)</f>
        <v>-5000</v>
      </c>
      <c r="J240" s="4">
        <f>IF(G240="Yes",$C$8-I240,0)</f>
        <v>10000</v>
      </c>
      <c r="K240" s="4">
        <f ca="1">IF(H240&gt;=$C$4,J240+I240,I240)</f>
        <v>5000</v>
      </c>
    </row>
    <row r="241" spans="5:11" x14ac:dyDescent="0.25">
      <c r="E241" s="1">
        <f t="shared" si="10"/>
        <v>238</v>
      </c>
      <c r="F241" s="4">
        <f t="shared" ca="1" si="11"/>
        <v>200000</v>
      </c>
      <c r="G241" s="1" t="s">
        <v>70</v>
      </c>
      <c r="H241" s="26">
        <f t="shared" ca="1" si="9"/>
        <v>0.2760630067879325</v>
      </c>
      <c r="I241" s="4">
        <f>IF(G241="Yes",-$C$8,0)</f>
        <v>-5000</v>
      </c>
      <c r="J241" s="4">
        <f>IF(G241="Yes",$C$8-I241,0)</f>
        <v>10000</v>
      </c>
      <c r="K241" s="4">
        <f ca="1">IF(H241&gt;=$C$4,J241+I241,I241)</f>
        <v>-5000</v>
      </c>
    </row>
    <row r="242" spans="5:11" x14ac:dyDescent="0.25">
      <c r="E242" s="1">
        <f t="shared" si="10"/>
        <v>239</v>
      </c>
      <c r="F242" s="4">
        <f t="shared" ca="1" si="11"/>
        <v>205000</v>
      </c>
      <c r="G242" s="1" t="s">
        <v>70</v>
      </c>
      <c r="H242" s="26">
        <f t="shared" ca="1" si="9"/>
        <v>0.98612666018541184</v>
      </c>
      <c r="I242" s="4">
        <f>IF(G242="Yes",-$C$8,0)</f>
        <v>-5000</v>
      </c>
      <c r="J242" s="4">
        <f>IF(G242="Yes",$C$8-I242,0)</f>
        <v>10000</v>
      </c>
      <c r="K242" s="4">
        <f ca="1">IF(H242&gt;=$C$4,J242+I242,I242)</f>
        <v>5000</v>
      </c>
    </row>
    <row r="243" spans="5:11" x14ac:dyDescent="0.25">
      <c r="E243" s="1">
        <f t="shared" si="10"/>
        <v>240</v>
      </c>
      <c r="F243" s="4">
        <f t="shared" ca="1" si="11"/>
        <v>210000</v>
      </c>
      <c r="G243" s="1" t="s">
        <v>70</v>
      </c>
      <c r="H243" s="26">
        <f t="shared" ca="1" si="9"/>
        <v>0.944122271364641</v>
      </c>
      <c r="I243" s="4">
        <f>IF(G243="Yes",-$C$8,0)</f>
        <v>-5000</v>
      </c>
      <c r="J243" s="4">
        <f>IF(G243="Yes",$C$8-I243,0)</f>
        <v>10000</v>
      </c>
      <c r="K243" s="4">
        <f ca="1">IF(H243&gt;=$C$4,J243+I243,I243)</f>
        <v>5000</v>
      </c>
    </row>
    <row r="244" spans="5:11" x14ac:dyDescent="0.25">
      <c r="E244" s="1">
        <f t="shared" si="10"/>
        <v>241</v>
      </c>
      <c r="F244" s="4">
        <f t="shared" ca="1" si="11"/>
        <v>215000</v>
      </c>
      <c r="G244" s="1" t="s">
        <v>70</v>
      </c>
      <c r="H244" s="26">
        <f t="shared" ca="1" si="9"/>
        <v>0.73221858314683497</v>
      </c>
      <c r="I244" s="4">
        <f>IF(G244="Yes",-$C$8,0)</f>
        <v>-5000</v>
      </c>
      <c r="J244" s="4">
        <f>IF(G244="Yes",$C$8-I244,0)</f>
        <v>10000</v>
      </c>
      <c r="K244" s="4">
        <f ca="1">IF(H244&gt;=$C$4,J244+I244,I244)</f>
        <v>5000</v>
      </c>
    </row>
    <row r="245" spans="5:11" x14ac:dyDescent="0.25">
      <c r="E245" s="1">
        <f t="shared" si="10"/>
        <v>242</v>
      </c>
      <c r="F245" s="4">
        <f t="shared" ca="1" si="11"/>
        <v>210000</v>
      </c>
      <c r="G245" s="1" t="s">
        <v>70</v>
      </c>
      <c r="H245" s="26">
        <f t="shared" ca="1" si="9"/>
        <v>0.39837575182410689</v>
      </c>
      <c r="I245" s="4">
        <f>IF(G245="Yes",-$C$8,0)</f>
        <v>-5000</v>
      </c>
      <c r="J245" s="4">
        <f>IF(G245="Yes",$C$8-I245,0)</f>
        <v>10000</v>
      </c>
      <c r="K245" s="4">
        <f ca="1">IF(H245&gt;=$C$4,J245+I245,I245)</f>
        <v>-5000</v>
      </c>
    </row>
    <row r="246" spans="5:11" x14ac:dyDescent="0.25">
      <c r="E246" s="1">
        <f t="shared" si="10"/>
        <v>243</v>
      </c>
      <c r="F246" s="4">
        <f t="shared" ca="1" si="11"/>
        <v>205000</v>
      </c>
      <c r="G246" s="1" t="s">
        <v>70</v>
      </c>
      <c r="H246" s="26">
        <f t="shared" ca="1" si="9"/>
        <v>0.39652717697897721</v>
      </c>
      <c r="I246" s="4">
        <f>IF(G246="Yes",-$C$8,0)</f>
        <v>-5000</v>
      </c>
      <c r="J246" s="4">
        <f>IF(G246="Yes",$C$8-I246,0)</f>
        <v>10000</v>
      </c>
      <c r="K246" s="4">
        <f ca="1">IF(H246&gt;=$C$4,J246+I246,I246)</f>
        <v>-5000</v>
      </c>
    </row>
    <row r="247" spans="5:11" x14ac:dyDescent="0.25">
      <c r="E247" s="1">
        <f t="shared" si="10"/>
        <v>244</v>
      </c>
      <c r="F247" s="4">
        <f t="shared" ca="1" si="11"/>
        <v>200000</v>
      </c>
      <c r="G247" s="1" t="s">
        <v>70</v>
      </c>
      <c r="H247" s="26">
        <f t="shared" ca="1" si="9"/>
        <v>8.7992769502190149E-2</v>
      </c>
      <c r="I247" s="4">
        <f>IF(G247="Yes",-$C$8,0)</f>
        <v>-5000</v>
      </c>
      <c r="J247" s="4">
        <f>IF(G247="Yes",$C$8-I247,0)</f>
        <v>10000</v>
      </c>
      <c r="K247" s="4">
        <f ca="1">IF(H247&gt;=$C$4,J247+I247,I247)</f>
        <v>-5000</v>
      </c>
    </row>
    <row r="248" spans="5:11" x14ac:dyDescent="0.25">
      <c r="E248" s="1">
        <f t="shared" si="10"/>
        <v>245</v>
      </c>
      <c r="F248" s="4">
        <f t="shared" ca="1" si="11"/>
        <v>195000</v>
      </c>
      <c r="G248" s="1" t="s">
        <v>70</v>
      </c>
      <c r="H248" s="26">
        <f t="shared" ca="1" si="9"/>
        <v>0.11601359414133205</v>
      </c>
      <c r="I248" s="4">
        <f>IF(G248="Yes",-$C$8,0)</f>
        <v>-5000</v>
      </c>
      <c r="J248" s="4">
        <f>IF(G248="Yes",$C$8-I248,0)</f>
        <v>10000</v>
      </c>
      <c r="K248" s="4">
        <f ca="1">IF(H248&gt;=$C$4,J248+I248,I248)</f>
        <v>-5000</v>
      </c>
    </row>
    <row r="249" spans="5:11" x14ac:dyDescent="0.25">
      <c r="E249" s="1">
        <f t="shared" si="10"/>
        <v>246</v>
      </c>
      <c r="F249" s="4">
        <f t="shared" ca="1" si="11"/>
        <v>190000</v>
      </c>
      <c r="G249" s="1" t="s">
        <v>70</v>
      </c>
      <c r="H249" s="26">
        <f t="shared" ca="1" si="9"/>
        <v>0.15225507611144773</v>
      </c>
      <c r="I249" s="4">
        <f>IF(G249="Yes",-$C$8,0)</f>
        <v>-5000</v>
      </c>
      <c r="J249" s="4">
        <f>IF(G249="Yes",$C$8-I249,0)</f>
        <v>10000</v>
      </c>
      <c r="K249" s="4">
        <f ca="1">IF(H249&gt;=$C$4,J249+I249,I249)</f>
        <v>-5000</v>
      </c>
    </row>
    <row r="250" spans="5:11" x14ac:dyDescent="0.25">
      <c r="E250" s="1">
        <f t="shared" si="10"/>
        <v>247</v>
      </c>
      <c r="F250" s="4">
        <f t="shared" ca="1" si="11"/>
        <v>195000</v>
      </c>
      <c r="G250" s="1" t="s">
        <v>70</v>
      </c>
      <c r="H250" s="26">
        <f t="shared" ca="1" si="9"/>
        <v>0.94111035580066293</v>
      </c>
      <c r="I250" s="4">
        <f>IF(G250="Yes",-$C$8,0)</f>
        <v>-5000</v>
      </c>
      <c r="J250" s="4">
        <f>IF(G250="Yes",$C$8-I250,0)</f>
        <v>10000</v>
      </c>
      <c r="K250" s="4">
        <f ca="1">IF(H250&gt;=$C$4,J250+I250,I250)</f>
        <v>5000</v>
      </c>
    </row>
    <row r="251" spans="5:11" x14ac:dyDescent="0.25">
      <c r="E251" s="1">
        <f t="shared" si="10"/>
        <v>248</v>
      </c>
      <c r="F251" s="4">
        <f t="shared" ca="1" si="11"/>
        <v>200000</v>
      </c>
      <c r="G251" s="1" t="s">
        <v>70</v>
      </c>
      <c r="H251" s="26">
        <f t="shared" ca="1" si="9"/>
        <v>0.94107682940448523</v>
      </c>
      <c r="I251" s="4">
        <f>IF(G251="Yes",-$C$8,0)</f>
        <v>-5000</v>
      </c>
      <c r="J251" s="4">
        <f>IF(G251="Yes",$C$8-I251,0)</f>
        <v>10000</v>
      </c>
      <c r="K251" s="4">
        <f ca="1">IF(H251&gt;=$C$4,J251+I251,I251)</f>
        <v>5000</v>
      </c>
    </row>
    <row r="252" spans="5:11" x14ac:dyDescent="0.25">
      <c r="E252" s="1">
        <f t="shared" si="10"/>
        <v>249</v>
      </c>
      <c r="F252" s="4">
        <f t="shared" ca="1" si="11"/>
        <v>195000</v>
      </c>
      <c r="G252" s="1" t="s">
        <v>70</v>
      </c>
      <c r="H252" s="26">
        <f t="shared" ca="1" si="9"/>
        <v>1.533365276065235E-2</v>
      </c>
      <c r="I252" s="4">
        <f>IF(G252="Yes",-$C$8,0)</f>
        <v>-5000</v>
      </c>
      <c r="J252" s="4">
        <f>IF(G252="Yes",$C$8-I252,0)</f>
        <v>10000</v>
      </c>
      <c r="K252" s="4">
        <f ca="1">IF(H252&gt;=$C$4,J252+I252,I252)</f>
        <v>-5000</v>
      </c>
    </row>
    <row r="253" spans="5:11" x14ac:dyDescent="0.25">
      <c r="E253" s="1">
        <f t="shared" si="10"/>
        <v>250</v>
      </c>
      <c r="F253" s="4">
        <f t="shared" ca="1" si="11"/>
        <v>200000</v>
      </c>
      <c r="G253" s="1" t="s">
        <v>70</v>
      </c>
      <c r="H253" s="26">
        <f t="shared" ca="1" si="9"/>
        <v>0.64880327417789718</v>
      </c>
      <c r="I253" s="4">
        <f>IF(G253="Yes",-$C$8,0)</f>
        <v>-5000</v>
      </c>
      <c r="J253" s="4">
        <f>IF(G253="Yes",$C$8-I253,0)</f>
        <v>10000</v>
      </c>
      <c r="K253" s="4">
        <f ca="1">IF(H253&gt;=$C$4,J253+I253,I253)</f>
        <v>5000</v>
      </c>
    </row>
    <row r="254" spans="5:11" x14ac:dyDescent="0.25">
      <c r="E254" s="1">
        <f t="shared" si="10"/>
        <v>251</v>
      </c>
      <c r="F254" s="4">
        <f t="shared" ca="1" si="11"/>
        <v>195000</v>
      </c>
      <c r="G254" s="1" t="s">
        <v>70</v>
      </c>
      <c r="H254" s="26">
        <f t="shared" ca="1" si="9"/>
        <v>0.20316978150122189</v>
      </c>
      <c r="I254" s="4">
        <f>IF(G254="Yes",-$C$8,0)</f>
        <v>-5000</v>
      </c>
      <c r="J254" s="4">
        <f>IF(G254="Yes",$C$8-I254,0)</f>
        <v>10000</v>
      </c>
      <c r="K254" s="4">
        <f ca="1">IF(H254&gt;=$C$4,J254+I254,I254)</f>
        <v>-5000</v>
      </c>
    </row>
    <row r="255" spans="5:11" x14ac:dyDescent="0.25">
      <c r="E255" s="1">
        <f t="shared" si="10"/>
        <v>252</v>
      </c>
      <c r="F255" s="4">
        <f t="shared" ca="1" si="11"/>
        <v>190000</v>
      </c>
      <c r="G255" s="1" t="s">
        <v>70</v>
      </c>
      <c r="H255" s="26">
        <f t="shared" ca="1" si="9"/>
        <v>0.13013604309595783</v>
      </c>
      <c r="I255" s="4">
        <f>IF(G255="Yes",-$C$8,0)</f>
        <v>-5000</v>
      </c>
      <c r="J255" s="4">
        <f>IF(G255="Yes",$C$8-I255,0)</f>
        <v>10000</v>
      </c>
      <c r="K255" s="4">
        <f ca="1">IF(H255&gt;=$C$4,J255+I255,I255)</f>
        <v>-5000</v>
      </c>
    </row>
    <row r="256" spans="5:11" x14ac:dyDescent="0.25">
      <c r="E256" s="1">
        <f t="shared" si="10"/>
        <v>253</v>
      </c>
      <c r="F256" s="4">
        <f t="shared" ca="1" si="11"/>
        <v>185000</v>
      </c>
      <c r="G256" s="1" t="s">
        <v>70</v>
      </c>
      <c r="H256" s="26">
        <f t="shared" ca="1" si="9"/>
        <v>1.1119653389397466E-2</v>
      </c>
      <c r="I256" s="4">
        <f>IF(G256="Yes",-$C$8,0)</f>
        <v>-5000</v>
      </c>
      <c r="J256" s="4">
        <f>IF(G256="Yes",$C$8-I256,0)</f>
        <v>10000</v>
      </c>
      <c r="K256" s="4">
        <f ca="1">IF(H256&gt;=$C$4,J256+I256,I256)</f>
        <v>-5000</v>
      </c>
    </row>
    <row r="257" spans="5:11" x14ac:dyDescent="0.25">
      <c r="E257" s="1">
        <f t="shared" si="10"/>
        <v>254</v>
      </c>
      <c r="F257" s="4">
        <f t="shared" ca="1" si="11"/>
        <v>190000</v>
      </c>
      <c r="G257" s="1" t="s">
        <v>70</v>
      </c>
      <c r="H257" s="26">
        <f t="shared" ca="1" si="9"/>
        <v>0.72350630685889394</v>
      </c>
      <c r="I257" s="4">
        <f>IF(G257="Yes",-$C$8,0)</f>
        <v>-5000</v>
      </c>
      <c r="J257" s="4">
        <f>IF(G257="Yes",$C$8-I257,0)</f>
        <v>10000</v>
      </c>
      <c r="K257" s="4">
        <f ca="1">IF(H257&gt;=$C$4,J257+I257,I257)</f>
        <v>5000</v>
      </c>
    </row>
    <row r="258" spans="5:11" x14ac:dyDescent="0.25">
      <c r="E258" s="1">
        <f t="shared" si="10"/>
        <v>255</v>
      </c>
      <c r="F258" s="4">
        <f t="shared" ca="1" si="11"/>
        <v>195000</v>
      </c>
      <c r="G258" s="1" t="s">
        <v>70</v>
      </c>
      <c r="H258" s="26">
        <f t="shared" ca="1" si="9"/>
        <v>0.85302700705862988</v>
      </c>
      <c r="I258" s="4">
        <f>IF(G258="Yes",-$C$8,0)</f>
        <v>-5000</v>
      </c>
      <c r="J258" s="4">
        <f>IF(G258="Yes",$C$8-I258,0)</f>
        <v>10000</v>
      </c>
      <c r="K258" s="4">
        <f ca="1">IF(H258&gt;=$C$4,J258+I258,I258)</f>
        <v>5000</v>
      </c>
    </row>
    <row r="259" spans="5:11" x14ac:dyDescent="0.25">
      <c r="E259" s="1">
        <f t="shared" si="10"/>
        <v>256</v>
      </c>
      <c r="F259" s="4">
        <f t="shared" ca="1" si="11"/>
        <v>200000</v>
      </c>
      <c r="G259" s="1" t="s">
        <v>70</v>
      </c>
      <c r="H259" s="26">
        <f t="shared" ca="1" si="9"/>
        <v>0.94747608514523751</v>
      </c>
      <c r="I259" s="4">
        <f>IF(G259="Yes",-$C$8,0)</f>
        <v>-5000</v>
      </c>
      <c r="J259" s="4">
        <f>IF(G259="Yes",$C$8-I259,0)</f>
        <v>10000</v>
      </c>
      <c r="K259" s="4">
        <f ca="1">IF(H259&gt;=$C$4,J259+I259,I259)</f>
        <v>5000</v>
      </c>
    </row>
    <row r="260" spans="5:11" x14ac:dyDescent="0.25">
      <c r="E260" s="1">
        <f t="shared" si="10"/>
        <v>257</v>
      </c>
      <c r="F260" s="4">
        <f t="shared" ca="1" si="11"/>
        <v>195000</v>
      </c>
      <c r="G260" s="1" t="s">
        <v>70</v>
      </c>
      <c r="H260" s="26">
        <f t="shared" ref="H260:H323" ca="1" si="12">RAND()</f>
        <v>0.32735288380259686</v>
      </c>
      <c r="I260" s="4">
        <f>IF(G260="Yes",-$C$8,0)</f>
        <v>-5000</v>
      </c>
      <c r="J260" s="4">
        <f>IF(G260="Yes",$C$8-I260,0)</f>
        <v>10000</v>
      </c>
      <c r="K260" s="4">
        <f ca="1">IF(H260&gt;=$C$4,J260+I260,I260)</f>
        <v>-5000</v>
      </c>
    </row>
    <row r="261" spans="5:11" x14ac:dyDescent="0.25">
      <c r="E261" s="1">
        <f t="shared" ref="E261:G324" si="13">E260+1</f>
        <v>258</v>
      </c>
      <c r="F261" s="4">
        <f t="shared" ref="F261:F324" ca="1" si="14">F260+K261</f>
        <v>190000</v>
      </c>
      <c r="G261" s="1" t="s">
        <v>70</v>
      </c>
      <c r="H261" s="26">
        <f t="shared" ca="1" si="12"/>
        <v>4.9675025943806683E-2</v>
      </c>
      <c r="I261" s="4">
        <f>IF(G261="Yes",-$C$8,0)</f>
        <v>-5000</v>
      </c>
      <c r="J261" s="4">
        <f>IF(G261="Yes",$C$8-I261,0)</f>
        <v>10000</v>
      </c>
      <c r="K261" s="4">
        <f ca="1">IF(H261&gt;=$C$4,J261+I261,I261)</f>
        <v>-5000</v>
      </c>
    </row>
    <row r="262" spans="5:11" x14ac:dyDescent="0.25">
      <c r="E262" s="1">
        <f t="shared" si="13"/>
        <v>259</v>
      </c>
      <c r="F262" s="4">
        <f t="shared" ca="1" si="14"/>
        <v>195000</v>
      </c>
      <c r="G262" s="1" t="s">
        <v>70</v>
      </c>
      <c r="H262" s="26">
        <f t="shared" ca="1" si="12"/>
        <v>0.89486581103516827</v>
      </c>
      <c r="I262" s="4">
        <f>IF(G262="Yes",-$C$8,0)</f>
        <v>-5000</v>
      </c>
      <c r="J262" s="4">
        <f>IF(G262="Yes",$C$8-I262,0)</f>
        <v>10000</v>
      </c>
      <c r="K262" s="4">
        <f ca="1">IF(H262&gt;=$C$4,J262+I262,I262)</f>
        <v>5000</v>
      </c>
    </row>
    <row r="263" spans="5:11" x14ac:dyDescent="0.25">
      <c r="E263" s="1">
        <f t="shared" si="13"/>
        <v>260</v>
      </c>
      <c r="F263" s="4">
        <f t="shared" ca="1" si="14"/>
        <v>200000</v>
      </c>
      <c r="G263" s="1" t="s">
        <v>70</v>
      </c>
      <c r="H263" s="26">
        <f t="shared" ca="1" si="12"/>
        <v>0.96705107723311778</v>
      </c>
      <c r="I263" s="4">
        <f>IF(G263="Yes",-$C$8,0)</f>
        <v>-5000</v>
      </c>
      <c r="J263" s="4">
        <f>IF(G263="Yes",$C$8-I263,0)</f>
        <v>10000</v>
      </c>
      <c r="K263" s="4">
        <f ca="1">IF(H263&gt;=$C$4,J263+I263,I263)</f>
        <v>5000</v>
      </c>
    </row>
    <row r="264" spans="5:11" x14ac:dyDescent="0.25">
      <c r="E264" s="1">
        <f t="shared" si="13"/>
        <v>261</v>
      </c>
      <c r="F264" s="4">
        <f t="shared" ca="1" si="14"/>
        <v>195000</v>
      </c>
      <c r="G264" s="1" t="s">
        <v>70</v>
      </c>
      <c r="H264" s="26">
        <f t="shared" ca="1" si="12"/>
        <v>0.30083753935783963</v>
      </c>
      <c r="I264" s="4">
        <f>IF(G264="Yes",-$C$8,0)</f>
        <v>-5000</v>
      </c>
      <c r="J264" s="4">
        <f>IF(G264="Yes",$C$8-I264,0)</f>
        <v>10000</v>
      </c>
      <c r="K264" s="4">
        <f ca="1">IF(H264&gt;=$C$4,J264+I264,I264)</f>
        <v>-5000</v>
      </c>
    </row>
    <row r="265" spans="5:11" x14ac:dyDescent="0.25">
      <c r="E265" s="1">
        <f t="shared" si="13"/>
        <v>262</v>
      </c>
      <c r="F265" s="4">
        <f t="shared" ca="1" si="14"/>
        <v>200000</v>
      </c>
      <c r="G265" s="1" t="s">
        <v>70</v>
      </c>
      <c r="H265" s="26">
        <f t="shared" ca="1" si="12"/>
        <v>0.60263356973667737</v>
      </c>
      <c r="I265" s="4">
        <f>IF(G265="Yes",-$C$8,0)</f>
        <v>-5000</v>
      </c>
      <c r="J265" s="4">
        <f>IF(G265="Yes",$C$8-I265,0)</f>
        <v>10000</v>
      </c>
      <c r="K265" s="4">
        <f ca="1">IF(H265&gt;=$C$4,J265+I265,I265)</f>
        <v>5000</v>
      </c>
    </row>
    <row r="266" spans="5:11" x14ac:dyDescent="0.25">
      <c r="E266" s="1">
        <f t="shared" si="13"/>
        <v>263</v>
      </c>
      <c r="F266" s="4">
        <f t="shared" ca="1" si="14"/>
        <v>205000</v>
      </c>
      <c r="G266" s="1" t="s">
        <v>70</v>
      </c>
      <c r="H266" s="26">
        <f t="shared" ca="1" si="12"/>
        <v>0.99677442253432391</v>
      </c>
      <c r="I266" s="4">
        <f>IF(G266="Yes",-$C$8,0)</f>
        <v>-5000</v>
      </c>
      <c r="J266" s="4">
        <f>IF(G266="Yes",$C$8-I266,0)</f>
        <v>10000</v>
      </c>
      <c r="K266" s="4">
        <f ca="1">IF(H266&gt;=$C$4,J266+I266,I266)</f>
        <v>5000</v>
      </c>
    </row>
    <row r="267" spans="5:11" x14ac:dyDescent="0.25">
      <c r="E267" s="1">
        <f t="shared" si="13"/>
        <v>264</v>
      </c>
      <c r="F267" s="4">
        <f t="shared" ca="1" si="14"/>
        <v>200000</v>
      </c>
      <c r="G267" s="1" t="s">
        <v>70</v>
      </c>
      <c r="H267" s="26">
        <f t="shared" ca="1" si="12"/>
        <v>0.35247568294453258</v>
      </c>
      <c r="I267" s="4">
        <f>IF(G267="Yes",-$C$8,0)</f>
        <v>-5000</v>
      </c>
      <c r="J267" s="4">
        <f>IF(G267="Yes",$C$8-I267,0)</f>
        <v>10000</v>
      </c>
      <c r="K267" s="4">
        <f ca="1">IF(H267&gt;=$C$4,J267+I267,I267)</f>
        <v>-5000</v>
      </c>
    </row>
    <row r="268" spans="5:11" x14ac:dyDescent="0.25">
      <c r="E268" s="1">
        <f t="shared" si="13"/>
        <v>265</v>
      </c>
      <c r="F268" s="4">
        <f t="shared" ca="1" si="14"/>
        <v>195000</v>
      </c>
      <c r="G268" s="1" t="s">
        <v>70</v>
      </c>
      <c r="H268" s="26">
        <f t="shared" ca="1" si="12"/>
        <v>0.34920693075769549</v>
      </c>
      <c r="I268" s="4">
        <f>IF(G268="Yes",-$C$8,0)</f>
        <v>-5000</v>
      </c>
      <c r="J268" s="4">
        <f>IF(G268="Yes",$C$8-I268,0)</f>
        <v>10000</v>
      </c>
      <c r="K268" s="4">
        <f ca="1">IF(H268&gt;=$C$4,J268+I268,I268)</f>
        <v>-5000</v>
      </c>
    </row>
    <row r="269" spans="5:11" x14ac:dyDescent="0.25">
      <c r="E269" s="1">
        <f t="shared" si="13"/>
        <v>266</v>
      </c>
      <c r="F269" s="4">
        <f t="shared" ca="1" si="14"/>
        <v>190000</v>
      </c>
      <c r="G269" s="1" t="s">
        <v>70</v>
      </c>
      <c r="H269" s="26">
        <f t="shared" ca="1" si="12"/>
        <v>0.41179446759242966</v>
      </c>
      <c r="I269" s="4">
        <f>IF(G269="Yes",-$C$8,0)</f>
        <v>-5000</v>
      </c>
      <c r="J269" s="4">
        <f>IF(G269="Yes",$C$8-I269,0)</f>
        <v>10000</v>
      </c>
      <c r="K269" s="4">
        <f ca="1">IF(H269&gt;=$C$4,J269+I269,I269)</f>
        <v>-5000</v>
      </c>
    </row>
    <row r="270" spans="5:11" x14ac:dyDescent="0.25">
      <c r="E270" s="1">
        <f t="shared" si="13"/>
        <v>267</v>
      </c>
      <c r="F270" s="4">
        <f t="shared" ca="1" si="14"/>
        <v>185000</v>
      </c>
      <c r="G270" s="1" t="s">
        <v>70</v>
      </c>
      <c r="H270" s="26">
        <f t="shared" ca="1" si="12"/>
        <v>0.37039992586410087</v>
      </c>
      <c r="I270" s="4">
        <f>IF(G270="Yes",-$C$8,0)</f>
        <v>-5000</v>
      </c>
      <c r="J270" s="4">
        <f>IF(G270="Yes",$C$8-I270,0)</f>
        <v>10000</v>
      </c>
      <c r="K270" s="4">
        <f ca="1">IF(H270&gt;=$C$4,J270+I270,I270)</f>
        <v>-5000</v>
      </c>
    </row>
    <row r="271" spans="5:11" x14ac:dyDescent="0.25">
      <c r="E271" s="1">
        <f t="shared" si="13"/>
        <v>268</v>
      </c>
      <c r="F271" s="4">
        <f t="shared" ca="1" si="14"/>
        <v>190000</v>
      </c>
      <c r="G271" s="1" t="s">
        <v>70</v>
      </c>
      <c r="H271" s="26">
        <f t="shared" ca="1" si="12"/>
        <v>0.8447827480097565</v>
      </c>
      <c r="I271" s="4">
        <f>IF(G271="Yes",-$C$8,0)</f>
        <v>-5000</v>
      </c>
      <c r="J271" s="4">
        <f>IF(G271="Yes",$C$8-I271,0)</f>
        <v>10000</v>
      </c>
      <c r="K271" s="4">
        <f ca="1">IF(H271&gt;=$C$4,J271+I271,I271)</f>
        <v>5000</v>
      </c>
    </row>
    <row r="272" spans="5:11" x14ac:dyDescent="0.25">
      <c r="E272" s="1">
        <f t="shared" si="13"/>
        <v>269</v>
      </c>
      <c r="F272" s="4">
        <f t="shared" ca="1" si="14"/>
        <v>195000</v>
      </c>
      <c r="G272" s="1" t="s">
        <v>70</v>
      </c>
      <c r="H272" s="26">
        <f t="shared" ca="1" si="12"/>
        <v>0.83781648326113567</v>
      </c>
      <c r="I272" s="4">
        <f>IF(G272="Yes",-$C$8,0)</f>
        <v>-5000</v>
      </c>
      <c r="J272" s="4">
        <f>IF(G272="Yes",$C$8-I272,0)</f>
        <v>10000</v>
      </c>
      <c r="K272" s="4">
        <f ca="1">IF(H272&gt;=$C$4,J272+I272,I272)</f>
        <v>5000</v>
      </c>
    </row>
    <row r="273" spans="5:11" x14ac:dyDescent="0.25">
      <c r="E273" s="1">
        <f t="shared" si="13"/>
        <v>270</v>
      </c>
      <c r="F273" s="4">
        <f t="shared" ca="1" si="14"/>
        <v>200000</v>
      </c>
      <c r="G273" s="1" t="s">
        <v>70</v>
      </c>
      <c r="H273" s="26">
        <f t="shared" ca="1" si="12"/>
        <v>0.62437776777580833</v>
      </c>
      <c r="I273" s="4">
        <f>IF(G273="Yes",-$C$8,0)</f>
        <v>-5000</v>
      </c>
      <c r="J273" s="4">
        <f>IF(G273="Yes",$C$8-I273,0)</f>
        <v>10000</v>
      </c>
      <c r="K273" s="4">
        <f ca="1">IF(H273&gt;=$C$4,J273+I273,I273)</f>
        <v>5000</v>
      </c>
    </row>
    <row r="274" spans="5:11" x14ac:dyDescent="0.25">
      <c r="E274" s="1">
        <f t="shared" si="13"/>
        <v>271</v>
      </c>
      <c r="F274" s="4">
        <f t="shared" ca="1" si="14"/>
        <v>205000</v>
      </c>
      <c r="G274" s="1" t="s">
        <v>70</v>
      </c>
      <c r="H274" s="26">
        <f t="shared" ca="1" si="12"/>
        <v>0.81804322528623008</v>
      </c>
      <c r="I274" s="4">
        <f>IF(G274="Yes",-$C$8,0)</f>
        <v>-5000</v>
      </c>
      <c r="J274" s="4">
        <f>IF(G274="Yes",$C$8-I274,0)</f>
        <v>10000</v>
      </c>
      <c r="K274" s="4">
        <f ca="1">IF(H274&gt;=$C$4,J274+I274,I274)</f>
        <v>5000</v>
      </c>
    </row>
    <row r="275" spans="5:11" x14ac:dyDescent="0.25">
      <c r="E275" s="1">
        <f t="shared" si="13"/>
        <v>272</v>
      </c>
      <c r="F275" s="4">
        <f t="shared" ca="1" si="14"/>
        <v>200000</v>
      </c>
      <c r="G275" s="1" t="s">
        <v>70</v>
      </c>
      <c r="H275" s="26">
        <f t="shared" ca="1" si="12"/>
        <v>4.635784059688175E-2</v>
      </c>
      <c r="I275" s="4">
        <f>IF(G275="Yes",-$C$8,0)</f>
        <v>-5000</v>
      </c>
      <c r="J275" s="4">
        <f>IF(G275="Yes",$C$8-I275,0)</f>
        <v>10000</v>
      </c>
      <c r="K275" s="4">
        <f ca="1">IF(H275&gt;=$C$4,J275+I275,I275)</f>
        <v>-5000</v>
      </c>
    </row>
    <row r="276" spans="5:11" x14ac:dyDescent="0.25">
      <c r="E276" s="1">
        <f t="shared" si="13"/>
        <v>273</v>
      </c>
      <c r="F276" s="4">
        <f t="shared" ca="1" si="14"/>
        <v>195000</v>
      </c>
      <c r="G276" s="1" t="s">
        <v>70</v>
      </c>
      <c r="H276" s="26">
        <f t="shared" ca="1" si="12"/>
        <v>9.2604064622996973E-2</v>
      </c>
      <c r="I276" s="4">
        <f>IF(G276="Yes",-$C$8,0)</f>
        <v>-5000</v>
      </c>
      <c r="J276" s="4">
        <f>IF(G276="Yes",$C$8-I276,0)</f>
        <v>10000</v>
      </c>
      <c r="K276" s="4">
        <f ca="1">IF(H276&gt;=$C$4,J276+I276,I276)</f>
        <v>-5000</v>
      </c>
    </row>
    <row r="277" spans="5:11" x14ac:dyDescent="0.25">
      <c r="E277" s="1">
        <f t="shared" si="13"/>
        <v>274</v>
      </c>
      <c r="F277" s="4">
        <f t="shared" ca="1" si="14"/>
        <v>190000</v>
      </c>
      <c r="G277" s="1" t="s">
        <v>70</v>
      </c>
      <c r="H277" s="26">
        <f t="shared" ca="1" si="12"/>
        <v>3.7765774257817464E-3</v>
      </c>
      <c r="I277" s="4">
        <f>IF(G277="Yes",-$C$8,0)</f>
        <v>-5000</v>
      </c>
      <c r="J277" s="4">
        <f>IF(G277="Yes",$C$8-I277,0)</f>
        <v>10000</v>
      </c>
      <c r="K277" s="4">
        <f ca="1">IF(H277&gt;=$C$4,J277+I277,I277)</f>
        <v>-5000</v>
      </c>
    </row>
    <row r="278" spans="5:11" x14ac:dyDescent="0.25">
      <c r="E278" s="1">
        <f t="shared" si="13"/>
        <v>275</v>
      </c>
      <c r="F278" s="4">
        <f t="shared" ca="1" si="14"/>
        <v>185000</v>
      </c>
      <c r="G278" s="1" t="s">
        <v>70</v>
      </c>
      <c r="H278" s="26">
        <f t="shared" ca="1" si="12"/>
        <v>1.8094865930518678E-2</v>
      </c>
      <c r="I278" s="4">
        <f>IF(G278="Yes",-$C$8,0)</f>
        <v>-5000</v>
      </c>
      <c r="J278" s="4">
        <f>IF(G278="Yes",$C$8-I278,0)</f>
        <v>10000</v>
      </c>
      <c r="K278" s="4">
        <f ca="1">IF(H278&gt;=$C$4,J278+I278,I278)</f>
        <v>-5000</v>
      </c>
    </row>
    <row r="279" spans="5:11" x14ac:dyDescent="0.25">
      <c r="E279" s="1">
        <f t="shared" si="13"/>
        <v>276</v>
      </c>
      <c r="F279" s="4">
        <f t="shared" ca="1" si="14"/>
        <v>190000</v>
      </c>
      <c r="G279" s="1" t="s">
        <v>70</v>
      </c>
      <c r="H279" s="26">
        <f t="shared" ca="1" si="12"/>
        <v>0.9001084073082114</v>
      </c>
      <c r="I279" s="4">
        <f>IF(G279="Yes",-$C$8,0)</f>
        <v>-5000</v>
      </c>
      <c r="J279" s="4">
        <f>IF(G279="Yes",$C$8-I279,0)</f>
        <v>10000</v>
      </c>
      <c r="K279" s="4">
        <f ca="1">IF(H279&gt;=$C$4,J279+I279,I279)</f>
        <v>5000</v>
      </c>
    </row>
    <row r="280" spans="5:11" x14ac:dyDescent="0.25">
      <c r="E280" s="1">
        <f t="shared" si="13"/>
        <v>277</v>
      </c>
      <c r="F280" s="4">
        <f t="shared" ca="1" si="14"/>
        <v>185000</v>
      </c>
      <c r="G280" s="1" t="s">
        <v>70</v>
      </c>
      <c r="H280" s="26">
        <f t="shared" ca="1" si="12"/>
        <v>0.18546423035350379</v>
      </c>
      <c r="I280" s="4">
        <f>IF(G280="Yes",-$C$8,0)</f>
        <v>-5000</v>
      </c>
      <c r="J280" s="4">
        <f>IF(G280="Yes",$C$8-I280,0)</f>
        <v>10000</v>
      </c>
      <c r="K280" s="4">
        <f ca="1">IF(H280&gt;=$C$4,J280+I280,I280)</f>
        <v>-5000</v>
      </c>
    </row>
    <row r="281" spans="5:11" x14ac:dyDescent="0.25">
      <c r="E281" s="1">
        <f t="shared" si="13"/>
        <v>278</v>
      </c>
      <c r="F281" s="4">
        <f t="shared" ca="1" si="14"/>
        <v>190000</v>
      </c>
      <c r="G281" s="1" t="s">
        <v>70</v>
      </c>
      <c r="H281" s="26">
        <f t="shared" ca="1" si="12"/>
        <v>0.99142592645389604</v>
      </c>
      <c r="I281" s="4">
        <f>IF(G281="Yes",-$C$8,0)</f>
        <v>-5000</v>
      </c>
      <c r="J281" s="4">
        <f>IF(G281="Yes",$C$8-I281,0)</f>
        <v>10000</v>
      </c>
      <c r="K281" s="4">
        <f ca="1">IF(H281&gt;=$C$4,J281+I281,I281)</f>
        <v>5000</v>
      </c>
    </row>
    <row r="282" spans="5:11" x14ac:dyDescent="0.25">
      <c r="E282" s="1">
        <f t="shared" si="13"/>
        <v>279</v>
      </c>
      <c r="F282" s="4">
        <f t="shared" ca="1" si="14"/>
        <v>195000</v>
      </c>
      <c r="G282" s="1" t="s">
        <v>70</v>
      </c>
      <c r="H282" s="26">
        <f t="shared" ca="1" si="12"/>
        <v>0.81894930353136475</v>
      </c>
      <c r="I282" s="4">
        <f>IF(G282="Yes",-$C$8,0)</f>
        <v>-5000</v>
      </c>
      <c r="J282" s="4">
        <f>IF(G282="Yes",$C$8-I282,0)</f>
        <v>10000</v>
      </c>
      <c r="K282" s="4">
        <f ca="1">IF(H282&gt;=$C$4,J282+I282,I282)</f>
        <v>5000</v>
      </c>
    </row>
    <row r="283" spans="5:11" x14ac:dyDescent="0.25">
      <c r="E283" s="1">
        <f t="shared" si="13"/>
        <v>280</v>
      </c>
      <c r="F283" s="4">
        <f t="shared" ca="1" si="14"/>
        <v>190000</v>
      </c>
      <c r="G283" s="1" t="s">
        <v>70</v>
      </c>
      <c r="H283" s="26">
        <f t="shared" ca="1" si="12"/>
        <v>0.28363236079135279</v>
      </c>
      <c r="I283" s="4">
        <f>IF(G283="Yes",-$C$8,0)</f>
        <v>-5000</v>
      </c>
      <c r="J283" s="4">
        <f>IF(G283="Yes",$C$8-I283,0)</f>
        <v>10000</v>
      </c>
      <c r="K283" s="4">
        <f ca="1">IF(H283&gt;=$C$4,J283+I283,I283)</f>
        <v>-5000</v>
      </c>
    </row>
    <row r="284" spans="5:11" x14ac:dyDescent="0.25">
      <c r="E284" s="1">
        <f t="shared" si="13"/>
        <v>281</v>
      </c>
      <c r="F284" s="4">
        <f t="shared" ca="1" si="14"/>
        <v>195000</v>
      </c>
      <c r="G284" s="1" t="s">
        <v>70</v>
      </c>
      <c r="H284" s="26">
        <f t="shared" ca="1" si="12"/>
        <v>0.50966830311754019</v>
      </c>
      <c r="I284" s="4">
        <f>IF(G284="Yes",-$C$8,0)</f>
        <v>-5000</v>
      </c>
      <c r="J284" s="4">
        <f>IF(G284="Yes",$C$8-I284,0)</f>
        <v>10000</v>
      </c>
      <c r="K284" s="4">
        <f ca="1">IF(H284&gt;=$C$4,J284+I284,I284)</f>
        <v>5000</v>
      </c>
    </row>
    <row r="285" spans="5:11" x14ac:dyDescent="0.25">
      <c r="E285" s="1">
        <f t="shared" si="13"/>
        <v>282</v>
      </c>
      <c r="F285" s="4">
        <f t="shared" ca="1" si="14"/>
        <v>190000</v>
      </c>
      <c r="G285" s="1" t="s">
        <v>70</v>
      </c>
      <c r="H285" s="26">
        <f t="shared" ca="1" si="12"/>
        <v>0.22715571770082099</v>
      </c>
      <c r="I285" s="4">
        <f>IF(G285="Yes",-$C$8,0)</f>
        <v>-5000</v>
      </c>
      <c r="J285" s="4">
        <f>IF(G285="Yes",$C$8-I285,0)</f>
        <v>10000</v>
      </c>
      <c r="K285" s="4">
        <f ca="1">IF(H285&gt;=$C$4,J285+I285,I285)</f>
        <v>-5000</v>
      </c>
    </row>
    <row r="286" spans="5:11" x14ac:dyDescent="0.25">
      <c r="E286" s="1">
        <f t="shared" si="13"/>
        <v>283</v>
      </c>
      <c r="F286" s="4">
        <f t="shared" ca="1" si="14"/>
        <v>195000</v>
      </c>
      <c r="G286" s="1" t="s">
        <v>70</v>
      </c>
      <c r="H286" s="26">
        <f t="shared" ca="1" si="12"/>
        <v>0.70001375626342444</v>
      </c>
      <c r="I286" s="4">
        <f>IF(G286="Yes",-$C$8,0)</f>
        <v>-5000</v>
      </c>
      <c r="J286" s="4">
        <f>IF(G286="Yes",$C$8-I286,0)</f>
        <v>10000</v>
      </c>
      <c r="K286" s="4">
        <f ca="1">IF(H286&gt;=$C$4,J286+I286,I286)</f>
        <v>5000</v>
      </c>
    </row>
    <row r="287" spans="5:11" x14ac:dyDescent="0.25">
      <c r="E287" s="1">
        <f t="shared" si="13"/>
        <v>284</v>
      </c>
      <c r="F287" s="4">
        <f t="shared" ca="1" si="14"/>
        <v>200000</v>
      </c>
      <c r="G287" s="1" t="s">
        <v>70</v>
      </c>
      <c r="H287" s="26">
        <f t="shared" ca="1" si="12"/>
        <v>0.84889868479171116</v>
      </c>
      <c r="I287" s="4">
        <f>IF(G287="Yes",-$C$8,0)</f>
        <v>-5000</v>
      </c>
      <c r="J287" s="4">
        <f>IF(G287="Yes",$C$8-I287,0)</f>
        <v>10000</v>
      </c>
      <c r="K287" s="4">
        <f ca="1">IF(H287&gt;=$C$4,J287+I287,I287)</f>
        <v>5000</v>
      </c>
    </row>
    <row r="288" spans="5:11" x14ac:dyDescent="0.25">
      <c r="E288" s="1">
        <f t="shared" si="13"/>
        <v>285</v>
      </c>
      <c r="F288" s="4">
        <f t="shared" ca="1" si="14"/>
        <v>205000</v>
      </c>
      <c r="G288" s="1" t="s">
        <v>70</v>
      </c>
      <c r="H288" s="26">
        <f t="shared" ca="1" si="12"/>
        <v>0.87073126672920287</v>
      </c>
      <c r="I288" s="4">
        <f>IF(G288="Yes",-$C$8,0)</f>
        <v>-5000</v>
      </c>
      <c r="J288" s="4">
        <f>IF(G288="Yes",$C$8-I288,0)</f>
        <v>10000</v>
      </c>
      <c r="K288" s="4">
        <f ca="1">IF(H288&gt;=$C$4,J288+I288,I288)</f>
        <v>5000</v>
      </c>
    </row>
    <row r="289" spans="5:11" x14ac:dyDescent="0.25">
      <c r="E289" s="1">
        <f t="shared" si="13"/>
        <v>286</v>
      </c>
      <c r="F289" s="4">
        <f t="shared" ca="1" si="14"/>
        <v>210000</v>
      </c>
      <c r="G289" s="1" t="s">
        <v>70</v>
      </c>
      <c r="H289" s="26">
        <f t="shared" ca="1" si="12"/>
        <v>0.74465049256047688</v>
      </c>
      <c r="I289" s="4">
        <f>IF(G289="Yes",-$C$8,0)</f>
        <v>-5000</v>
      </c>
      <c r="J289" s="4">
        <f>IF(G289="Yes",$C$8-I289,0)</f>
        <v>10000</v>
      </c>
      <c r="K289" s="4">
        <f ca="1">IF(H289&gt;=$C$4,J289+I289,I289)</f>
        <v>5000</v>
      </c>
    </row>
    <row r="290" spans="5:11" x14ac:dyDescent="0.25">
      <c r="E290" s="1">
        <f t="shared" si="13"/>
        <v>287</v>
      </c>
      <c r="F290" s="4">
        <f t="shared" ca="1" si="14"/>
        <v>215000</v>
      </c>
      <c r="G290" s="1" t="s">
        <v>70</v>
      </c>
      <c r="H290" s="26">
        <f t="shared" ca="1" si="12"/>
        <v>0.62440624292498992</v>
      </c>
      <c r="I290" s="4">
        <f>IF(G290="Yes",-$C$8,0)</f>
        <v>-5000</v>
      </c>
      <c r="J290" s="4">
        <f>IF(G290="Yes",$C$8-I290,0)</f>
        <v>10000</v>
      </c>
      <c r="K290" s="4">
        <f ca="1">IF(H290&gt;=$C$4,J290+I290,I290)</f>
        <v>5000</v>
      </c>
    </row>
    <row r="291" spans="5:11" x14ac:dyDescent="0.25">
      <c r="E291" s="1">
        <f t="shared" si="13"/>
        <v>288</v>
      </c>
      <c r="F291" s="4">
        <f t="shared" ca="1" si="14"/>
        <v>220000</v>
      </c>
      <c r="G291" s="1" t="s">
        <v>70</v>
      </c>
      <c r="H291" s="26">
        <f t="shared" ca="1" si="12"/>
        <v>0.70749769123907713</v>
      </c>
      <c r="I291" s="4">
        <f>IF(G291="Yes",-$C$8,0)</f>
        <v>-5000</v>
      </c>
      <c r="J291" s="4">
        <f>IF(G291="Yes",$C$8-I291,0)</f>
        <v>10000</v>
      </c>
      <c r="K291" s="4">
        <f ca="1">IF(H291&gt;=$C$4,J291+I291,I291)</f>
        <v>5000</v>
      </c>
    </row>
    <row r="292" spans="5:11" x14ac:dyDescent="0.25">
      <c r="E292" s="1">
        <f t="shared" si="13"/>
        <v>289</v>
      </c>
      <c r="F292" s="4">
        <f t="shared" ca="1" si="14"/>
        <v>215000</v>
      </c>
      <c r="G292" s="1" t="s">
        <v>70</v>
      </c>
      <c r="H292" s="26">
        <f t="shared" ca="1" si="12"/>
        <v>0.31684854095839321</v>
      </c>
      <c r="I292" s="4">
        <f>IF(G292="Yes",-$C$8,0)</f>
        <v>-5000</v>
      </c>
      <c r="J292" s="4">
        <f>IF(G292="Yes",$C$8-I292,0)</f>
        <v>10000</v>
      </c>
      <c r="K292" s="4">
        <f ca="1">IF(H292&gt;=$C$4,J292+I292,I292)</f>
        <v>-5000</v>
      </c>
    </row>
    <row r="293" spans="5:11" x14ac:dyDescent="0.25">
      <c r="E293" s="1">
        <f t="shared" si="13"/>
        <v>290</v>
      </c>
      <c r="F293" s="4">
        <f t="shared" ca="1" si="14"/>
        <v>210000</v>
      </c>
      <c r="G293" s="1" t="s">
        <v>70</v>
      </c>
      <c r="H293" s="26">
        <f t="shared" ca="1" si="12"/>
        <v>0.25047449550614143</v>
      </c>
      <c r="I293" s="4">
        <f>IF(G293="Yes",-$C$8,0)</f>
        <v>-5000</v>
      </c>
      <c r="J293" s="4">
        <f>IF(G293="Yes",$C$8-I293,0)</f>
        <v>10000</v>
      </c>
      <c r="K293" s="4">
        <f ca="1">IF(H293&gt;=$C$4,J293+I293,I293)</f>
        <v>-5000</v>
      </c>
    </row>
    <row r="294" spans="5:11" x14ac:dyDescent="0.25">
      <c r="E294" s="1">
        <f t="shared" si="13"/>
        <v>291</v>
      </c>
      <c r="F294" s="4">
        <f t="shared" ca="1" si="14"/>
        <v>205000</v>
      </c>
      <c r="G294" s="1" t="s">
        <v>70</v>
      </c>
      <c r="H294" s="26">
        <f t="shared" ca="1" si="12"/>
        <v>0.26457216278377393</v>
      </c>
      <c r="I294" s="4">
        <f>IF(G294="Yes",-$C$8,0)</f>
        <v>-5000</v>
      </c>
      <c r="J294" s="4">
        <f>IF(G294="Yes",$C$8-I294,0)</f>
        <v>10000</v>
      </c>
      <c r="K294" s="4">
        <f ca="1">IF(H294&gt;=$C$4,J294+I294,I294)</f>
        <v>-5000</v>
      </c>
    </row>
    <row r="295" spans="5:11" x14ac:dyDescent="0.25">
      <c r="E295" s="1">
        <f t="shared" si="13"/>
        <v>292</v>
      </c>
      <c r="F295" s="4">
        <f t="shared" ca="1" si="14"/>
        <v>210000</v>
      </c>
      <c r="G295" s="1" t="s">
        <v>70</v>
      </c>
      <c r="H295" s="26">
        <f t="shared" ca="1" si="12"/>
        <v>0.54532170465957619</v>
      </c>
      <c r="I295" s="4">
        <f>IF(G295="Yes",-$C$8,0)</f>
        <v>-5000</v>
      </c>
      <c r="J295" s="4">
        <f>IF(G295="Yes",$C$8-I295,0)</f>
        <v>10000</v>
      </c>
      <c r="K295" s="4">
        <f ca="1">IF(H295&gt;=$C$4,J295+I295,I295)</f>
        <v>5000</v>
      </c>
    </row>
    <row r="296" spans="5:11" x14ac:dyDescent="0.25">
      <c r="E296" s="1">
        <f t="shared" si="13"/>
        <v>293</v>
      </c>
      <c r="F296" s="4">
        <f t="shared" ca="1" si="14"/>
        <v>215000</v>
      </c>
      <c r="G296" s="1" t="s">
        <v>70</v>
      </c>
      <c r="H296" s="26">
        <f t="shared" ca="1" si="12"/>
        <v>0.56617260649237855</v>
      </c>
      <c r="I296" s="4">
        <f>IF(G296="Yes",-$C$8,0)</f>
        <v>-5000</v>
      </c>
      <c r="J296" s="4">
        <f>IF(G296="Yes",$C$8-I296,0)</f>
        <v>10000</v>
      </c>
      <c r="K296" s="4">
        <f ca="1">IF(H296&gt;=$C$4,J296+I296,I296)</f>
        <v>5000</v>
      </c>
    </row>
    <row r="297" spans="5:11" x14ac:dyDescent="0.25">
      <c r="E297" s="1">
        <f t="shared" si="13"/>
        <v>294</v>
      </c>
      <c r="F297" s="4">
        <f t="shared" ca="1" si="14"/>
        <v>220000</v>
      </c>
      <c r="G297" s="1" t="s">
        <v>70</v>
      </c>
      <c r="H297" s="26">
        <f t="shared" ca="1" si="12"/>
        <v>0.98432686171631878</v>
      </c>
      <c r="I297" s="4">
        <f>IF(G297="Yes",-$C$8,0)</f>
        <v>-5000</v>
      </c>
      <c r="J297" s="4">
        <f>IF(G297="Yes",$C$8-I297,0)</f>
        <v>10000</v>
      </c>
      <c r="K297" s="4">
        <f ca="1">IF(H297&gt;=$C$4,J297+I297,I297)</f>
        <v>5000</v>
      </c>
    </row>
    <row r="298" spans="5:11" x14ac:dyDescent="0.25">
      <c r="E298" s="1">
        <f t="shared" si="13"/>
        <v>295</v>
      </c>
      <c r="F298" s="4">
        <f t="shared" ca="1" si="14"/>
        <v>225000</v>
      </c>
      <c r="G298" s="1" t="s">
        <v>70</v>
      </c>
      <c r="H298" s="26">
        <f t="shared" ca="1" si="12"/>
        <v>0.64064532669438579</v>
      </c>
      <c r="I298" s="4">
        <f>IF(G298="Yes",-$C$8,0)</f>
        <v>-5000</v>
      </c>
      <c r="J298" s="4">
        <f>IF(G298="Yes",$C$8-I298,0)</f>
        <v>10000</v>
      </c>
      <c r="K298" s="4">
        <f ca="1">IF(H298&gt;=$C$4,J298+I298,I298)</f>
        <v>5000</v>
      </c>
    </row>
    <row r="299" spans="5:11" x14ac:dyDescent="0.25">
      <c r="E299" s="1">
        <f t="shared" si="13"/>
        <v>296</v>
      </c>
      <c r="F299" s="4">
        <f t="shared" ca="1" si="14"/>
        <v>230000</v>
      </c>
      <c r="G299" s="1" t="s">
        <v>70</v>
      </c>
      <c r="H299" s="26">
        <f t="shared" ca="1" si="12"/>
        <v>0.79602759492615105</v>
      </c>
      <c r="I299" s="4">
        <f>IF(G299="Yes",-$C$8,0)</f>
        <v>-5000</v>
      </c>
      <c r="J299" s="4">
        <f>IF(G299="Yes",$C$8-I299,0)</f>
        <v>10000</v>
      </c>
      <c r="K299" s="4">
        <f ca="1">IF(H299&gt;=$C$4,J299+I299,I299)</f>
        <v>5000</v>
      </c>
    </row>
    <row r="300" spans="5:11" x14ac:dyDescent="0.25">
      <c r="E300" s="1">
        <f t="shared" si="13"/>
        <v>297</v>
      </c>
      <c r="F300" s="4">
        <f t="shared" ca="1" si="14"/>
        <v>225000</v>
      </c>
      <c r="G300" s="1" t="s">
        <v>70</v>
      </c>
      <c r="H300" s="26">
        <f t="shared" ca="1" si="12"/>
        <v>0.22989036666376406</v>
      </c>
      <c r="I300" s="4">
        <f>IF(G300="Yes",-$C$8,0)</f>
        <v>-5000</v>
      </c>
      <c r="J300" s="4">
        <f>IF(G300="Yes",$C$8-I300,0)</f>
        <v>10000</v>
      </c>
      <c r="K300" s="4">
        <f ca="1">IF(H300&gt;=$C$4,J300+I300,I300)</f>
        <v>-5000</v>
      </c>
    </row>
    <row r="301" spans="5:11" x14ac:dyDescent="0.25">
      <c r="E301" s="1">
        <f t="shared" si="13"/>
        <v>298</v>
      </c>
      <c r="F301" s="4">
        <f t="shared" ca="1" si="14"/>
        <v>230000</v>
      </c>
      <c r="G301" s="1" t="s">
        <v>70</v>
      </c>
      <c r="H301" s="26">
        <f t="shared" ca="1" si="12"/>
        <v>0.49715990709781543</v>
      </c>
      <c r="I301" s="4">
        <f>IF(G301="Yes",-$C$8,0)</f>
        <v>-5000</v>
      </c>
      <c r="J301" s="4">
        <f>IF(G301="Yes",$C$8-I301,0)</f>
        <v>10000</v>
      </c>
      <c r="K301" s="4">
        <f ca="1">IF(H301&gt;=$C$4,J301+I301,I301)</f>
        <v>5000</v>
      </c>
    </row>
    <row r="302" spans="5:11" x14ac:dyDescent="0.25">
      <c r="E302" s="1">
        <f t="shared" si="13"/>
        <v>299</v>
      </c>
      <c r="F302" s="4">
        <f t="shared" ca="1" si="14"/>
        <v>225000</v>
      </c>
      <c r="G302" s="1" t="s">
        <v>70</v>
      </c>
      <c r="H302" s="26">
        <f t="shared" ca="1" si="12"/>
        <v>4.9629011924736899E-2</v>
      </c>
      <c r="I302" s="4">
        <f>IF(G302="Yes",-$C$8,0)</f>
        <v>-5000</v>
      </c>
      <c r="J302" s="4">
        <f>IF(G302="Yes",$C$8-I302,0)</f>
        <v>10000</v>
      </c>
      <c r="K302" s="4">
        <f ca="1">IF(H302&gt;=$C$4,J302+I302,I302)</f>
        <v>-5000</v>
      </c>
    </row>
    <row r="303" spans="5:11" x14ac:dyDescent="0.25">
      <c r="E303" s="1">
        <f t="shared" si="13"/>
        <v>300</v>
      </c>
      <c r="F303" s="4">
        <f t="shared" ca="1" si="14"/>
        <v>220000</v>
      </c>
      <c r="G303" s="1" t="s">
        <v>70</v>
      </c>
      <c r="H303" s="26">
        <f t="shared" ca="1" si="12"/>
        <v>0.28349825419286823</v>
      </c>
      <c r="I303" s="4">
        <f>IF(G303="Yes",-$C$8,0)</f>
        <v>-5000</v>
      </c>
      <c r="J303" s="4">
        <f>IF(G303="Yes",$C$8-I303,0)</f>
        <v>10000</v>
      </c>
      <c r="K303" s="4">
        <f ca="1">IF(H303&gt;=$C$4,J303+I303,I303)</f>
        <v>-5000</v>
      </c>
    </row>
    <row r="304" spans="5:11" x14ac:dyDescent="0.25">
      <c r="E304" s="1">
        <f t="shared" si="13"/>
        <v>301</v>
      </c>
      <c r="F304" s="4">
        <f t="shared" ca="1" si="14"/>
        <v>225000</v>
      </c>
      <c r="G304" s="1" t="s">
        <v>70</v>
      </c>
      <c r="H304" s="26">
        <f t="shared" ca="1" si="12"/>
        <v>0.5979350600716774</v>
      </c>
      <c r="I304" s="4">
        <f>IF(G304="Yes",-$C$8,0)</f>
        <v>-5000</v>
      </c>
      <c r="J304" s="4">
        <f>IF(G304="Yes",$C$8-I304,0)</f>
        <v>10000</v>
      </c>
      <c r="K304" s="4">
        <f ca="1">IF(H304&gt;=$C$4,J304+I304,I304)</f>
        <v>5000</v>
      </c>
    </row>
    <row r="305" spans="5:11" x14ac:dyDescent="0.25">
      <c r="E305" s="1">
        <f t="shared" si="13"/>
        <v>302</v>
      </c>
      <c r="F305" s="4">
        <f t="shared" ca="1" si="14"/>
        <v>230000</v>
      </c>
      <c r="G305" s="1" t="s">
        <v>70</v>
      </c>
      <c r="H305" s="26">
        <f t="shared" ca="1" si="12"/>
        <v>0.59386305829666919</v>
      </c>
      <c r="I305" s="4">
        <f>IF(G305="Yes",-$C$8,0)</f>
        <v>-5000</v>
      </c>
      <c r="J305" s="4">
        <f>IF(G305="Yes",$C$8-I305,0)</f>
        <v>10000</v>
      </c>
      <c r="K305" s="4">
        <f ca="1">IF(H305&gt;=$C$4,J305+I305,I305)</f>
        <v>5000</v>
      </c>
    </row>
    <row r="306" spans="5:11" x14ac:dyDescent="0.25">
      <c r="E306" s="1">
        <f t="shared" si="13"/>
        <v>303</v>
      </c>
      <c r="F306" s="4">
        <f t="shared" ca="1" si="14"/>
        <v>235000</v>
      </c>
      <c r="G306" s="1" t="s">
        <v>70</v>
      </c>
      <c r="H306" s="26">
        <f t="shared" ca="1" si="12"/>
        <v>0.80231756732297865</v>
      </c>
      <c r="I306" s="4">
        <f>IF(G306="Yes",-$C$8,0)</f>
        <v>-5000</v>
      </c>
      <c r="J306" s="4">
        <f>IF(G306="Yes",$C$8-I306,0)</f>
        <v>10000</v>
      </c>
      <c r="K306" s="4">
        <f ca="1">IF(H306&gt;=$C$4,J306+I306,I306)</f>
        <v>5000</v>
      </c>
    </row>
    <row r="307" spans="5:11" x14ac:dyDescent="0.25">
      <c r="E307" s="1">
        <f t="shared" si="13"/>
        <v>304</v>
      </c>
      <c r="F307" s="4">
        <f t="shared" ca="1" si="14"/>
        <v>240000</v>
      </c>
      <c r="G307" s="1" t="s">
        <v>70</v>
      </c>
      <c r="H307" s="26">
        <f t="shared" ca="1" si="12"/>
        <v>0.91215611004724861</v>
      </c>
      <c r="I307" s="4">
        <f>IF(G307="Yes",-$C$8,0)</f>
        <v>-5000</v>
      </c>
      <c r="J307" s="4">
        <f>IF(G307="Yes",$C$8-I307,0)</f>
        <v>10000</v>
      </c>
      <c r="K307" s="4">
        <f ca="1">IF(H307&gt;=$C$4,J307+I307,I307)</f>
        <v>5000</v>
      </c>
    </row>
    <row r="308" spans="5:11" x14ac:dyDescent="0.25">
      <c r="E308" s="1">
        <f t="shared" si="13"/>
        <v>305</v>
      </c>
      <c r="F308" s="4">
        <f t="shared" ca="1" si="14"/>
        <v>245000</v>
      </c>
      <c r="G308" s="1" t="s">
        <v>70</v>
      </c>
      <c r="H308" s="26">
        <f t="shared" ca="1" si="12"/>
        <v>0.68498713288821989</v>
      </c>
      <c r="I308" s="4">
        <f>IF(G308="Yes",-$C$8,0)</f>
        <v>-5000</v>
      </c>
      <c r="J308" s="4">
        <f>IF(G308="Yes",$C$8-I308,0)</f>
        <v>10000</v>
      </c>
      <c r="K308" s="4">
        <f ca="1">IF(H308&gt;=$C$4,J308+I308,I308)</f>
        <v>5000</v>
      </c>
    </row>
    <row r="309" spans="5:11" x14ac:dyDescent="0.25">
      <c r="E309" s="1">
        <f t="shared" si="13"/>
        <v>306</v>
      </c>
      <c r="F309" s="4">
        <f t="shared" ca="1" si="14"/>
        <v>250000</v>
      </c>
      <c r="G309" s="1" t="s">
        <v>70</v>
      </c>
      <c r="H309" s="26">
        <f t="shared" ca="1" si="12"/>
        <v>0.78130669619293014</v>
      </c>
      <c r="I309" s="4">
        <f>IF(G309="Yes",-$C$8,0)</f>
        <v>-5000</v>
      </c>
      <c r="J309" s="4">
        <f>IF(G309="Yes",$C$8-I309,0)</f>
        <v>10000</v>
      </c>
      <c r="K309" s="4">
        <f ca="1">IF(H309&gt;=$C$4,J309+I309,I309)</f>
        <v>5000</v>
      </c>
    </row>
    <row r="310" spans="5:11" x14ac:dyDescent="0.25">
      <c r="E310" s="1">
        <f t="shared" si="13"/>
        <v>307</v>
      </c>
      <c r="F310" s="4">
        <f t="shared" ca="1" si="14"/>
        <v>245000</v>
      </c>
      <c r="G310" s="1" t="s">
        <v>70</v>
      </c>
      <c r="H310" s="26">
        <f t="shared" ca="1" si="12"/>
        <v>0.38312723597109466</v>
      </c>
      <c r="I310" s="4">
        <f>IF(G310="Yes",-$C$8,0)</f>
        <v>-5000</v>
      </c>
      <c r="J310" s="4">
        <f>IF(G310="Yes",$C$8-I310,0)</f>
        <v>10000</v>
      </c>
      <c r="K310" s="4">
        <f ca="1">IF(H310&gt;=$C$4,J310+I310,I310)</f>
        <v>-5000</v>
      </c>
    </row>
    <row r="311" spans="5:11" x14ac:dyDescent="0.25">
      <c r="E311" s="1">
        <f t="shared" si="13"/>
        <v>308</v>
      </c>
      <c r="F311" s="4">
        <f t="shared" ca="1" si="14"/>
        <v>240000</v>
      </c>
      <c r="G311" s="1" t="s">
        <v>70</v>
      </c>
      <c r="H311" s="26">
        <f t="shared" ca="1" si="12"/>
        <v>0.40849954294501356</v>
      </c>
      <c r="I311" s="4">
        <f>IF(G311="Yes",-$C$8,0)</f>
        <v>-5000</v>
      </c>
      <c r="J311" s="4">
        <f>IF(G311="Yes",$C$8-I311,0)</f>
        <v>10000</v>
      </c>
      <c r="K311" s="4">
        <f ca="1">IF(H311&gt;=$C$4,J311+I311,I311)</f>
        <v>-5000</v>
      </c>
    </row>
    <row r="312" spans="5:11" x14ac:dyDescent="0.25">
      <c r="E312" s="1">
        <f t="shared" si="13"/>
        <v>309</v>
      </c>
      <c r="F312" s="4">
        <f t="shared" ca="1" si="14"/>
        <v>235000</v>
      </c>
      <c r="G312" s="1" t="s">
        <v>70</v>
      </c>
      <c r="H312" s="26">
        <f t="shared" ca="1" si="12"/>
        <v>7.4573270107965328E-2</v>
      </c>
      <c r="I312" s="4">
        <f>IF(G312="Yes",-$C$8,0)</f>
        <v>-5000</v>
      </c>
      <c r="J312" s="4">
        <f>IF(G312="Yes",$C$8-I312,0)</f>
        <v>10000</v>
      </c>
      <c r="K312" s="4">
        <f ca="1">IF(H312&gt;=$C$4,J312+I312,I312)</f>
        <v>-5000</v>
      </c>
    </row>
    <row r="313" spans="5:11" x14ac:dyDescent="0.25">
      <c r="E313" s="1">
        <f t="shared" si="13"/>
        <v>310</v>
      </c>
      <c r="F313" s="4">
        <f t="shared" ca="1" si="14"/>
        <v>240000</v>
      </c>
      <c r="G313" s="1" t="s">
        <v>70</v>
      </c>
      <c r="H313" s="26">
        <f t="shared" ca="1" si="12"/>
        <v>0.69813879229128806</v>
      </c>
      <c r="I313" s="4">
        <f>IF(G313="Yes",-$C$8,0)</f>
        <v>-5000</v>
      </c>
      <c r="J313" s="4">
        <f>IF(G313="Yes",$C$8-I313,0)</f>
        <v>10000</v>
      </c>
      <c r="K313" s="4">
        <f ca="1">IF(H313&gt;=$C$4,J313+I313,I313)</f>
        <v>5000</v>
      </c>
    </row>
    <row r="314" spans="5:11" x14ac:dyDescent="0.25">
      <c r="E314" s="1">
        <f t="shared" si="13"/>
        <v>311</v>
      </c>
      <c r="F314" s="4">
        <f t="shared" ca="1" si="14"/>
        <v>235000</v>
      </c>
      <c r="G314" s="1" t="s">
        <v>70</v>
      </c>
      <c r="H314" s="26">
        <f t="shared" ca="1" si="12"/>
        <v>0.1559135976018885</v>
      </c>
      <c r="I314" s="4">
        <f>IF(G314="Yes",-$C$8,0)</f>
        <v>-5000</v>
      </c>
      <c r="J314" s="4">
        <f>IF(G314="Yes",$C$8-I314,0)</f>
        <v>10000</v>
      </c>
      <c r="K314" s="4">
        <f ca="1">IF(H314&gt;=$C$4,J314+I314,I314)</f>
        <v>-5000</v>
      </c>
    </row>
    <row r="315" spans="5:11" x14ac:dyDescent="0.25">
      <c r="E315" s="1">
        <f t="shared" si="13"/>
        <v>312</v>
      </c>
      <c r="F315" s="4">
        <f t="shared" ca="1" si="14"/>
        <v>240000</v>
      </c>
      <c r="G315" s="1" t="s">
        <v>70</v>
      </c>
      <c r="H315" s="26">
        <f t="shared" ca="1" si="12"/>
        <v>0.57244715698005844</v>
      </c>
      <c r="I315" s="4">
        <f>IF(G315="Yes",-$C$8,0)</f>
        <v>-5000</v>
      </c>
      <c r="J315" s="4">
        <f>IF(G315="Yes",$C$8-I315,0)</f>
        <v>10000</v>
      </c>
      <c r="K315" s="4">
        <f ca="1">IF(H315&gt;=$C$4,J315+I315,I315)</f>
        <v>5000</v>
      </c>
    </row>
    <row r="316" spans="5:11" x14ac:dyDescent="0.25">
      <c r="E316" s="1">
        <f t="shared" si="13"/>
        <v>313</v>
      </c>
      <c r="F316" s="4">
        <f t="shared" ca="1" si="14"/>
        <v>245000</v>
      </c>
      <c r="G316" s="1" t="s">
        <v>70</v>
      </c>
      <c r="H316" s="26">
        <f t="shared" ca="1" si="12"/>
        <v>0.84112509519991818</v>
      </c>
      <c r="I316" s="4">
        <f>IF(G316="Yes",-$C$8,0)</f>
        <v>-5000</v>
      </c>
      <c r="J316" s="4">
        <f>IF(G316="Yes",$C$8-I316,0)</f>
        <v>10000</v>
      </c>
      <c r="K316" s="4">
        <f ca="1">IF(H316&gt;=$C$4,J316+I316,I316)</f>
        <v>5000</v>
      </c>
    </row>
    <row r="317" spans="5:11" x14ac:dyDescent="0.25">
      <c r="E317" s="1">
        <f t="shared" si="13"/>
        <v>314</v>
      </c>
      <c r="F317" s="4">
        <f t="shared" ca="1" si="14"/>
        <v>240000</v>
      </c>
      <c r="G317" s="1" t="s">
        <v>70</v>
      </c>
      <c r="H317" s="26">
        <f t="shared" ca="1" si="12"/>
        <v>0.4240830936746447</v>
      </c>
      <c r="I317" s="4">
        <f>IF(G317="Yes",-$C$8,0)</f>
        <v>-5000</v>
      </c>
      <c r="J317" s="4">
        <f>IF(G317="Yes",$C$8-I317,0)</f>
        <v>10000</v>
      </c>
      <c r="K317" s="4">
        <f ca="1">IF(H317&gt;=$C$4,J317+I317,I317)</f>
        <v>-5000</v>
      </c>
    </row>
    <row r="318" spans="5:11" x14ac:dyDescent="0.25">
      <c r="E318" s="1">
        <f t="shared" si="13"/>
        <v>315</v>
      </c>
      <c r="F318" s="4">
        <f t="shared" ca="1" si="14"/>
        <v>245000</v>
      </c>
      <c r="G318" s="1" t="s">
        <v>70</v>
      </c>
      <c r="H318" s="26">
        <f t="shared" ca="1" si="12"/>
        <v>0.5074325584222219</v>
      </c>
      <c r="I318" s="4">
        <f>IF(G318="Yes",-$C$8,0)</f>
        <v>-5000</v>
      </c>
      <c r="J318" s="4">
        <f>IF(G318="Yes",$C$8-I318,0)</f>
        <v>10000</v>
      </c>
      <c r="K318" s="4">
        <f ca="1">IF(H318&gt;=$C$4,J318+I318,I318)</f>
        <v>5000</v>
      </c>
    </row>
    <row r="319" spans="5:11" x14ac:dyDescent="0.25">
      <c r="E319" s="1">
        <f t="shared" si="13"/>
        <v>316</v>
      </c>
      <c r="F319" s="4">
        <f t="shared" ca="1" si="14"/>
        <v>250000</v>
      </c>
      <c r="G319" s="1" t="s">
        <v>70</v>
      </c>
      <c r="H319" s="26">
        <f t="shared" ca="1" si="12"/>
        <v>0.70221111409653059</v>
      </c>
      <c r="I319" s="4">
        <f>IF(G319="Yes",-$C$8,0)</f>
        <v>-5000</v>
      </c>
      <c r="J319" s="4">
        <f>IF(G319="Yes",$C$8-I319,0)</f>
        <v>10000</v>
      </c>
      <c r="K319" s="4">
        <f ca="1">IF(H319&gt;=$C$4,J319+I319,I319)</f>
        <v>5000</v>
      </c>
    </row>
    <row r="320" spans="5:11" x14ac:dyDescent="0.25">
      <c r="E320" s="1">
        <f t="shared" si="13"/>
        <v>317</v>
      </c>
      <c r="F320" s="4">
        <f t="shared" ca="1" si="14"/>
        <v>245000</v>
      </c>
      <c r="G320" s="1" t="s">
        <v>70</v>
      </c>
      <c r="H320" s="26">
        <f t="shared" ca="1" si="12"/>
        <v>0.37746127718647038</v>
      </c>
      <c r="I320" s="4">
        <f>IF(G320="Yes",-$C$8,0)</f>
        <v>-5000</v>
      </c>
      <c r="J320" s="4">
        <f>IF(G320="Yes",$C$8-I320,0)</f>
        <v>10000</v>
      </c>
      <c r="K320" s="4">
        <f ca="1">IF(H320&gt;=$C$4,J320+I320,I320)</f>
        <v>-5000</v>
      </c>
    </row>
    <row r="321" spans="5:11" x14ac:dyDescent="0.25">
      <c r="E321" s="1">
        <f t="shared" si="13"/>
        <v>318</v>
      </c>
      <c r="F321" s="4">
        <f t="shared" ca="1" si="14"/>
        <v>240000</v>
      </c>
      <c r="G321" s="1" t="s">
        <v>70</v>
      </c>
      <c r="H321" s="26">
        <f t="shared" ca="1" si="12"/>
        <v>0.24098064827633492</v>
      </c>
      <c r="I321" s="4">
        <f>IF(G321="Yes",-$C$8,0)</f>
        <v>-5000</v>
      </c>
      <c r="J321" s="4">
        <f>IF(G321="Yes",$C$8-I321,0)</f>
        <v>10000</v>
      </c>
      <c r="K321" s="4">
        <f ca="1">IF(H321&gt;=$C$4,J321+I321,I321)</f>
        <v>-5000</v>
      </c>
    </row>
    <row r="322" spans="5:11" x14ac:dyDescent="0.25">
      <c r="E322" s="1">
        <f t="shared" si="13"/>
        <v>319</v>
      </c>
      <c r="F322" s="4">
        <f t="shared" ca="1" si="14"/>
        <v>235000</v>
      </c>
      <c r="G322" s="1" t="s">
        <v>70</v>
      </c>
      <c r="H322" s="26">
        <f t="shared" ca="1" si="12"/>
        <v>0.2582878398160533</v>
      </c>
      <c r="I322" s="4">
        <f>IF(G322="Yes",-$C$8,0)</f>
        <v>-5000</v>
      </c>
      <c r="J322" s="4">
        <f>IF(G322="Yes",$C$8-I322,0)</f>
        <v>10000</v>
      </c>
      <c r="K322" s="4">
        <f ca="1">IF(H322&gt;=$C$4,J322+I322,I322)</f>
        <v>-5000</v>
      </c>
    </row>
    <row r="323" spans="5:11" x14ac:dyDescent="0.25">
      <c r="E323" s="1">
        <f t="shared" si="13"/>
        <v>320</v>
      </c>
      <c r="F323" s="4">
        <f t="shared" ca="1" si="14"/>
        <v>230000</v>
      </c>
      <c r="G323" s="1" t="s">
        <v>70</v>
      </c>
      <c r="H323" s="26">
        <f t="shared" ca="1" si="12"/>
        <v>0.13131561873489184</v>
      </c>
      <c r="I323" s="4">
        <f>IF(G323="Yes",-$C$8,0)</f>
        <v>-5000</v>
      </c>
      <c r="J323" s="4">
        <f>IF(G323="Yes",$C$8-I323,0)</f>
        <v>10000</v>
      </c>
      <c r="K323" s="4">
        <f ca="1">IF(H323&gt;=$C$4,J323+I323,I323)</f>
        <v>-5000</v>
      </c>
    </row>
    <row r="324" spans="5:11" x14ac:dyDescent="0.25">
      <c r="E324" s="1">
        <f t="shared" si="13"/>
        <v>321</v>
      </c>
      <c r="F324" s="4">
        <f t="shared" ca="1" si="14"/>
        <v>225000</v>
      </c>
      <c r="G324" s="1" t="s">
        <v>70</v>
      </c>
      <c r="H324" s="26">
        <f t="shared" ref="H324:H387" ca="1" si="15">RAND()</f>
        <v>4.7683520791811929E-2</v>
      </c>
      <c r="I324" s="4">
        <f>IF(G324="Yes",-$C$8,0)</f>
        <v>-5000</v>
      </c>
      <c r="J324" s="4">
        <f>IF(G324="Yes",$C$8-I324,0)</f>
        <v>10000</v>
      </c>
      <c r="K324" s="4">
        <f ca="1">IF(H324&gt;=$C$4,J324+I324,I324)</f>
        <v>-5000</v>
      </c>
    </row>
    <row r="325" spans="5:11" x14ac:dyDescent="0.25">
      <c r="E325" s="1">
        <f t="shared" ref="E325:G388" si="16">E324+1</f>
        <v>322</v>
      </c>
      <c r="F325" s="4">
        <f t="shared" ref="F325:F388" ca="1" si="17">F324+K325</f>
        <v>220000</v>
      </c>
      <c r="G325" s="1" t="s">
        <v>70</v>
      </c>
      <c r="H325" s="26">
        <f t="shared" ca="1" si="15"/>
        <v>0.32511071754751752</v>
      </c>
      <c r="I325" s="4">
        <f>IF(G325="Yes",-$C$8,0)</f>
        <v>-5000</v>
      </c>
      <c r="J325" s="4">
        <f>IF(G325="Yes",$C$8-I325,0)</f>
        <v>10000</v>
      </c>
      <c r="K325" s="4">
        <f ca="1">IF(H325&gt;=$C$4,J325+I325,I325)</f>
        <v>-5000</v>
      </c>
    </row>
    <row r="326" spans="5:11" x14ac:dyDescent="0.25">
      <c r="E326" s="1">
        <f t="shared" si="16"/>
        <v>323</v>
      </c>
      <c r="F326" s="4">
        <f t="shared" ca="1" si="17"/>
        <v>215000</v>
      </c>
      <c r="G326" s="1" t="s">
        <v>70</v>
      </c>
      <c r="H326" s="26">
        <f t="shared" ca="1" si="15"/>
        <v>0.4330136555069527</v>
      </c>
      <c r="I326" s="4">
        <f>IF(G326="Yes",-$C$8,0)</f>
        <v>-5000</v>
      </c>
      <c r="J326" s="4">
        <f>IF(G326="Yes",$C$8-I326,0)</f>
        <v>10000</v>
      </c>
      <c r="K326" s="4">
        <f ca="1">IF(H326&gt;=$C$4,J326+I326,I326)</f>
        <v>-5000</v>
      </c>
    </row>
    <row r="327" spans="5:11" x14ac:dyDescent="0.25">
      <c r="E327" s="1">
        <f t="shared" si="16"/>
        <v>324</v>
      </c>
      <c r="F327" s="4">
        <f t="shared" ca="1" si="17"/>
        <v>210000</v>
      </c>
      <c r="G327" s="1" t="s">
        <v>70</v>
      </c>
      <c r="H327" s="26">
        <f t="shared" ca="1" si="15"/>
        <v>0.19508117838027494</v>
      </c>
      <c r="I327" s="4">
        <f>IF(G327="Yes",-$C$8,0)</f>
        <v>-5000</v>
      </c>
      <c r="J327" s="4">
        <f>IF(G327="Yes",$C$8-I327,0)</f>
        <v>10000</v>
      </c>
      <c r="K327" s="4">
        <f ca="1">IF(H327&gt;=$C$4,J327+I327,I327)</f>
        <v>-5000</v>
      </c>
    </row>
    <row r="328" spans="5:11" x14ac:dyDescent="0.25">
      <c r="E328" s="1">
        <f t="shared" si="16"/>
        <v>325</v>
      </c>
      <c r="F328" s="4">
        <f t="shared" ca="1" si="17"/>
        <v>215000</v>
      </c>
      <c r="G328" s="1" t="s">
        <v>70</v>
      </c>
      <c r="H328" s="26">
        <f t="shared" ca="1" si="15"/>
        <v>0.75353507165136413</v>
      </c>
      <c r="I328" s="4">
        <f>IF(G328="Yes",-$C$8,0)</f>
        <v>-5000</v>
      </c>
      <c r="J328" s="4">
        <f>IF(G328="Yes",$C$8-I328,0)</f>
        <v>10000</v>
      </c>
      <c r="K328" s="4">
        <f ca="1">IF(H328&gt;=$C$4,J328+I328,I328)</f>
        <v>5000</v>
      </c>
    </row>
    <row r="329" spans="5:11" x14ac:dyDescent="0.25">
      <c r="E329" s="1">
        <f t="shared" si="16"/>
        <v>326</v>
      </c>
      <c r="F329" s="4">
        <f t="shared" ca="1" si="17"/>
        <v>220000</v>
      </c>
      <c r="G329" s="1" t="s">
        <v>70</v>
      </c>
      <c r="H329" s="26">
        <f t="shared" ca="1" si="15"/>
        <v>0.96337068604306186</v>
      </c>
      <c r="I329" s="4">
        <f>IF(G329="Yes",-$C$8,0)</f>
        <v>-5000</v>
      </c>
      <c r="J329" s="4">
        <f>IF(G329="Yes",$C$8-I329,0)</f>
        <v>10000</v>
      </c>
      <c r="K329" s="4">
        <f ca="1">IF(H329&gt;=$C$4,J329+I329,I329)</f>
        <v>5000</v>
      </c>
    </row>
    <row r="330" spans="5:11" x14ac:dyDescent="0.25">
      <c r="E330" s="1">
        <f t="shared" si="16"/>
        <v>327</v>
      </c>
      <c r="F330" s="4">
        <f t="shared" ca="1" si="17"/>
        <v>225000</v>
      </c>
      <c r="G330" s="1" t="s">
        <v>70</v>
      </c>
      <c r="H330" s="26">
        <f t="shared" ca="1" si="15"/>
        <v>0.68457816679787442</v>
      </c>
      <c r="I330" s="4">
        <f>IF(G330="Yes",-$C$8,0)</f>
        <v>-5000</v>
      </c>
      <c r="J330" s="4">
        <f>IF(G330="Yes",$C$8-I330,0)</f>
        <v>10000</v>
      </c>
      <c r="K330" s="4">
        <f ca="1">IF(H330&gt;=$C$4,J330+I330,I330)</f>
        <v>5000</v>
      </c>
    </row>
    <row r="331" spans="5:11" x14ac:dyDescent="0.25">
      <c r="E331" s="1">
        <f t="shared" si="16"/>
        <v>328</v>
      </c>
      <c r="F331" s="4">
        <f t="shared" ca="1" si="17"/>
        <v>230000</v>
      </c>
      <c r="G331" s="1" t="s">
        <v>70</v>
      </c>
      <c r="H331" s="26">
        <f t="shared" ca="1" si="15"/>
        <v>0.69044699228651174</v>
      </c>
      <c r="I331" s="4">
        <f>IF(G331="Yes",-$C$8,0)</f>
        <v>-5000</v>
      </c>
      <c r="J331" s="4">
        <f>IF(G331="Yes",$C$8-I331,0)</f>
        <v>10000</v>
      </c>
      <c r="K331" s="4">
        <f ca="1">IF(H331&gt;=$C$4,J331+I331,I331)</f>
        <v>5000</v>
      </c>
    </row>
    <row r="332" spans="5:11" x14ac:dyDescent="0.25">
      <c r="E332" s="1">
        <f t="shared" si="16"/>
        <v>329</v>
      </c>
      <c r="F332" s="4">
        <f t="shared" ca="1" si="17"/>
        <v>235000</v>
      </c>
      <c r="G332" s="1" t="s">
        <v>70</v>
      </c>
      <c r="H332" s="26">
        <f t="shared" ca="1" si="15"/>
        <v>0.5967039748305627</v>
      </c>
      <c r="I332" s="4">
        <f>IF(G332="Yes",-$C$8,0)</f>
        <v>-5000</v>
      </c>
      <c r="J332" s="4">
        <f>IF(G332="Yes",$C$8-I332,0)</f>
        <v>10000</v>
      </c>
      <c r="K332" s="4">
        <f ca="1">IF(H332&gt;=$C$4,J332+I332,I332)</f>
        <v>5000</v>
      </c>
    </row>
    <row r="333" spans="5:11" x14ac:dyDescent="0.25">
      <c r="E333" s="1">
        <f t="shared" si="16"/>
        <v>330</v>
      </c>
      <c r="F333" s="4">
        <f t="shared" ca="1" si="17"/>
        <v>240000</v>
      </c>
      <c r="G333" s="1" t="s">
        <v>70</v>
      </c>
      <c r="H333" s="26">
        <f t="shared" ca="1" si="15"/>
        <v>0.99124310966472728</v>
      </c>
      <c r="I333" s="4">
        <f>IF(G333="Yes",-$C$8,0)</f>
        <v>-5000</v>
      </c>
      <c r="J333" s="4">
        <f>IF(G333="Yes",$C$8-I333,0)</f>
        <v>10000</v>
      </c>
      <c r="K333" s="4">
        <f ca="1">IF(H333&gt;=$C$4,J333+I333,I333)</f>
        <v>5000</v>
      </c>
    </row>
    <row r="334" spans="5:11" x14ac:dyDescent="0.25">
      <c r="E334" s="1">
        <f t="shared" si="16"/>
        <v>331</v>
      </c>
      <c r="F334" s="4">
        <f t="shared" ca="1" si="17"/>
        <v>235000</v>
      </c>
      <c r="G334" s="1" t="s">
        <v>70</v>
      </c>
      <c r="H334" s="26">
        <f t="shared" ca="1" si="15"/>
        <v>0.40988671536354671</v>
      </c>
      <c r="I334" s="4">
        <f>IF(G334="Yes",-$C$8,0)</f>
        <v>-5000</v>
      </c>
      <c r="J334" s="4">
        <f>IF(G334="Yes",$C$8-I334,0)</f>
        <v>10000</v>
      </c>
      <c r="K334" s="4">
        <f ca="1">IF(H334&gt;=$C$4,J334+I334,I334)</f>
        <v>-5000</v>
      </c>
    </row>
    <row r="335" spans="5:11" x14ac:dyDescent="0.25">
      <c r="E335" s="1">
        <f t="shared" si="16"/>
        <v>332</v>
      </c>
      <c r="F335" s="4">
        <f t="shared" ca="1" si="17"/>
        <v>230000</v>
      </c>
      <c r="G335" s="1" t="s">
        <v>70</v>
      </c>
      <c r="H335" s="26">
        <f t="shared" ca="1" si="15"/>
        <v>9.8473596119726947E-3</v>
      </c>
      <c r="I335" s="4">
        <f>IF(G335="Yes",-$C$8,0)</f>
        <v>-5000</v>
      </c>
      <c r="J335" s="4">
        <f>IF(G335="Yes",$C$8-I335,0)</f>
        <v>10000</v>
      </c>
      <c r="K335" s="4">
        <f ca="1">IF(H335&gt;=$C$4,J335+I335,I335)</f>
        <v>-5000</v>
      </c>
    </row>
    <row r="336" spans="5:11" x14ac:dyDescent="0.25">
      <c r="E336" s="1">
        <f t="shared" si="16"/>
        <v>333</v>
      </c>
      <c r="F336" s="4">
        <f t="shared" ca="1" si="17"/>
        <v>235000</v>
      </c>
      <c r="G336" s="1" t="s">
        <v>70</v>
      </c>
      <c r="H336" s="26">
        <f t="shared" ca="1" si="15"/>
        <v>0.50191858776230036</v>
      </c>
      <c r="I336" s="4">
        <f>IF(G336="Yes",-$C$8,0)</f>
        <v>-5000</v>
      </c>
      <c r="J336" s="4">
        <f>IF(G336="Yes",$C$8-I336,0)</f>
        <v>10000</v>
      </c>
      <c r="K336" s="4">
        <f ca="1">IF(H336&gt;=$C$4,J336+I336,I336)</f>
        <v>5000</v>
      </c>
    </row>
    <row r="337" spans="5:11" x14ac:dyDescent="0.25">
      <c r="E337" s="1">
        <f t="shared" si="16"/>
        <v>334</v>
      </c>
      <c r="F337" s="4">
        <f t="shared" ca="1" si="17"/>
        <v>230000</v>
      </c>
      <c r="G337" s="1" t="s">
        <v>70</v>
      </c>
      <c r="H337" s="26">
        <f t="shared" ca="1" si="15"/>
        <v>0.40704484319051082</v>
      </c>
      <c r="I337" s="4">
        <f>IF(G337="Yes",-$C$8,0)</f>
        <v>-5000</v>
      </c>
      <c r="J337" s="4">
        <f>IF(G337="Yes",$C$8-I337,0)</f>
        <v>10000</v>
      </c>
      <c r="K337" s="4">
        <f ca="1">IF(H337&gt;=$C$4,J337+I337,I337)</f>
        <v>-5000</v>
      </c>
    </row>
    <row r="338" spans="5:11" x14ac:dyDescent="0.25">
      <c r="E338" s="1">
        <f t="shared" si="16"/>
        <v>335</v>
      </c>
      <c r="F338" s="4">
        <f t="shared" ca="1" si="17"/>
        <v>225000</v>
      </c>
      <c r="G338" s="1" t="s">
        <v>70</v>
      </c>
      <c r="H338" s="26">
        <f t="shared" ca="1" si="15"/>
        <v>5.667087910470936E-2</v>
      </c>
      <c r="I338" s="4">
        <f>IF(G338="Yes",-$C$8,0)</f>
        <v>-5000</v>
      </c>
      <c r="J338" s="4">
        <f>IF(G338="Yes",$C$8-I338,0)</f>
        <v>10000</v>
      </c>
      <c r="K338" s="4">
        <f ca="1">IF(H338&gt;=$C$4,J338+I338,I338)</f>
        <v>-5000</v>
      </c>
    </row>
    <row r="339" spans="5:11" x14ac:dyDescent="0.25">
      <c r="E339" s="1">
        <f t="shared" si="16"/>
        <v>336</v>
      </c>
      <c r="F339" s="4">
        <f t="shared" ca="1" si="17"/>
        <v>230000</v>
      </c>
      <c r="G339" s="1" t="s">
        <v>70</v>
      </c>
      <c r="H339" s="26">
        <f t="shared" ca="1" si="15"/>
        <v>0.73439005645138056</v>
      </c>
      <c r="I339" s="4">
        <f>IF(G339="Yes",-$C$8,0)</f>
        <v>-5000</v>
      </c>
      <c r="J339" s="4">
        <f>IF(G339="Yes",$C$8-I339,0)</f>
        <v>10000</v>
      </c>
      <c r="K339" s="4">
        <f ca="1">IF(H339&gt;=$C$4,J339+I339,I339)</f>
        <v>5000</v>
      </c>
    </row>
    <row r="340" spans="5:11" x14ac:dyDescent="0.25">
      <c r="E340" s="1">
        <f t="shared" si="16"/>
        <v>337</v>
      </c>
      <c r="F340" s="4">
        <f t="shared" ca="1" si="17"/>
        <v>225000</v>
      </c>
      <c r="G340" s="1" t="s">
        <v>70</v>
      </c>
      <c r="H340" s="26">
        <f t="shared" ca="1" si="15"/>
        <v>0.44019952374457305</v>
      </c>
      <c r="I340" s="4">
        <f>IF(G340="Yes",-$C$8,0)</f>
        <v>-5000</v>
      </c>
      <c r="J340" s="4">
        <f>IF(G340="Yes",$C$8-I340,0)</f>
        <v>10000</v>
      </c>
      <c r="K340" s="4">
        <f ca="1">IF(H340&gt;=$C$4,J340+I340,I340)</f>
        <v>-5000</v>
      </c>
    </row>
    <row r="341" spans="5:11" x14ac:dyDescent="0.25">
      <c r="E341" s="1">
        <f t="shared" si="16"/>
        <v>338</v>
      </c>
      <c r="F341" s="4">
        <f t="shared" ca="1" si="17"/>
        <v>220000</v>
      </c>
      <c r="G341" s="1" t="s">
        <v>70</v>
      </c>
      <c r="H341" s="26">
        <f t="shared" ca="1" si="15"/>
        <v>0.4240342906612552</v>
      </c>
      <c r="I341" s="4">
        <f>IF(G341="Yes",-$C$8,0)</f>
        <v>-5000</v>
      </c>
      <c r="J341" s="4">
        <f>IF(G341="Yes",$C$8-I341,0)</f>
        <v>10000</v>
      </c>
      <c r="K341" s="4">
        <f ca="1">IF(H341&gt;=$C$4,J341+I341,I341)</f>
        <v>-5000</v>
      </c>
    </row>
    <row r="342" spans="5:11" x14ac:dyDescent="0.25">
      <c r="E342" s="1">
        <f t="shared" si="16"/>
        <v>339</v>
      </c>
      <c r="F342" s="4">
        <f t="shared" ca="1" si="17"/>
        <v>225000</v>
      </c>
      <c r="G342" s="1" t="s">
        <v>70</v>
      </c>
      <c r="H342" s="26">
        <f t="shared" ca="1" si="15"/>
        <v>0.86317913784401978</v>
      </c>
      <c r="I342" s="4">
        <f>IF(G342="Yes",-$C$8,0)</f>
        <v>-5000</v>
      </c>
      <c r="J342" s="4">
        <f>IF(G342="Yes",$C$8-I342,0)</f>
        <v>10000</v>
      </c>
      <c r="K342" s="4">
        <f ca="1">IF(H342&gt;=$C$4,J342+I342,I342)</f>
        <v>5000</v>
      </c>
    </row>
    <row r="343" spans="5:11" x14ac:dyDescent="0.25">
      <c r="E343" s="1">
        <f t="shared" si="16"/>
        <v>340</v>
      </c>
      <c r="F343" s="4">
        <f t="shared" ca="1" si="17"/>
        <v>230000</v>
      </c>
      <c r="G343" s="1" t="s">
        <v>70</v>
      </c>
      <c r="H343" s="26">
        <f t="shared" ca="1" si="15"/>
        <v>0.9385091968428495</v>
      </c>
      <c r="I343" s="4">
        <f>IF(G343="Yes",-$C$8,0)</f>
        <v>-5000</v>
      </c>
      <c r="J343" s="4">
        <f>IF(G343="Yes",$C$8-I343,0)</f>
        <v>10000</v>
      </c>
      <c r="K343" s="4">
        <f ca="1">IF(H343&gt;=$C$4,J343+I343,I343)</f>
        <v>5000</v>
      </c>
    </row>
    <row r="344" spans="5:11" x14ac:dyDescent="0.25">
      <c r="E344" s="1">
        <f t="shared" si="16"/>
        <v>341</v>
      </c>
      <c r="F344" s="4">
        <f t="shared" ca="1" si="17"/>
        <v>235000</v>
      </c>
      <c r="G344" s="1" t="s">
        <v>70</v>
      </c>
      <c r="H344" s="26">
        <f t="shared" ca="1" si="15"/>
        <v>0.56686814272935904</v>
      </c>
      <c r="I344" s="4">
        <f>IF(G344="Yes",-$C$8,0)</f>
        <v>-5000</v>
      </c>
      <c r="J344" s="4">
        <f>IF(G344="Yes",$C$8-I344,0)</f>
        <v>10000</v>
      </c>
      <c r="K344" s="4">
        <f ca="1">IF(H344&gt;=$C$4,J344+I344,I344)</f>
        <v>5000</v>
      </c>
    </row>
    <row r="345" spans="5:11" x14ac:dyDescent="0.25">
      <c r="E345" s="1">
        <f t="shared" si="16"/>
        <v>342</v>
      </c>
      <c r="F345" s="4">
        <f t="shared" ca="1" si="17"/>
        <v>230000</v>
      </c>
      <c r="G345" s="1" t="s">
        <v>70</v>
      </c>
      <c r="H345" s="26">
        <f t="shared" ca="1" si="15"/>
        <v>0.34025978145968261</v>
      </c>
      <c r="I345" s="4">
        <f>IF(G345="Yes",-$C$8,0)</f>
        <v>-5000</v>
      </c>
      <c r="J345" s="4">
        <f>IF(G345="Yes",$C$8-I345,0)</f>
        <v>10000</v>
      </c>
      <c r="K345" s="4">
        <f ca="1">IF(H345&gt;=$C$4,J345+I345,I345)</f>
        <v>-5000</v>
      </c>
    </row>
    <row r="346" spans="5:11" x14ac:dyDescent="0.25">
      <c r="E346" s="1">
        <f t="shared" si="16"/>
        <v>343</v>
      </c>
      <c r="F346" s="4">
        <f t="shared" ca="1" si="17"/>
        <v>235000</v>
      </c>
      <c r="G346" s="1" t="s">
        <v>70</v>
      </c>
      <c r="H346" s="26">
        <f t="shared" ca="1" si="15"/>
        <v>0.99611009843139431</v>
      </c>
      <c r="I346" s="4">
        <f>IF(G346="Yes",-$C$8,0)</f>
        <v>-5000</v>
      </c>
      <c r="J346" s="4">
        <f>IF(G346="Yes",$C$8-I346,0)</f>
        <v>10000</v>
      </c>
      <c r="K346" s="4">
        <f ca="1">IF(H346&gt;=$C$4,J346+I346,I346)</f>
        <v>5000</v>
      </c>
    </row>
    <row r="347" spans="5:11" x14ac:dyDescent="0.25">
      <c r="E347" s="1">
        <f t="shared" si="16"/>
        <v>344</v>
      </c>
      <c r="F347" s="4">
        <f t="shared" ca="1" si="17"/>
        <v>240000</v>
      </c>
      <c r="G347" s="1" t="s">
        <v>70</v>
      </c>
      <c r="H347" s="26">
        <f t="shared" ca="1" si="15"/>
        <v>0.53721502338359184</v>
      </c>
      <c r="I347" s="4">
        <f>IF(G347="Yes",-$C$8,0)</f>
        <v>-5000</v>
      </c>
      <c r="J347" s="4">
        <f>IF(G347="Yes",$C$8-I347,0)</f>
        <v>10000</v>
      </c>
      <c r="K347" s="4">
        <f ca="1">IF(H347&gt;=$C$4,J347+I347,I347)</f>
        <v>5000</v>
      </c>
    </row>
    <row r="348" spans="5:11" x14ac:dyDescent="0.25">
      <c r="E348" s="1">
        <f t="shared" si="16"/>
        <v>345</v>
      </c>
      <c r="F348" s="4">
        <f t="shared" ca="1" si="17"/>
        <v>245000</v>
      </c>
      <c r="G348" s="1" t="s">
        <v>70</v>
      </c>
      <c r="H348" s="26">
        <f t="shared" ca="1" si="15"/>
        <v>0.97179697224592476</v>
      </c>
      <c r="I348" s="4">
        <f>IF(G348="Yes",-$C$8,0)</f>
        <v>-5000</v>
      </c>
      <c r="J348" s="4">
        <f>IF(G348="Yes",$C$8-I348,0)</f>
        <v>10000</v>
      </c>
      <c r="K348" s="4">
        <f ca="1">IF(H348&gt;=$C$4,J348+I348,I348)</f>
        <v>5000</v>
      </c>
    </row>
    <row r="349" spans="5:11" x14ac:dyDescent="0.25">
      <c r="E349" s="1">
        <f t="shared" si="16"/>
        <v>346</v>
      </c>
      <c r="F349" s="4">
        <f t="shared" ca="1" si="17"/>
        <v>250000</v>
      </c>
      <c r="G349" s="1" t="s">
        <v>70</v>
      </c>
      <c r="H349" s="26">
        <f t="shared" ca="1" si="15"/>
        <v>0.88558090317924831</v>
      </c>
      <c r="I349" s="4">
        <f>IF(G349="Yes",-$C$8,0)</f>
        <v>-5000</v>
      </c>
      <c r="J349" s="4">
        <f>IF(G349="Yes",$C$8-I349,0)</f>
        <v>10000</v>
      </c>
      <c r="K349" s="4">
        <f ca="1">IF(H349&gt;=$C$4,J349+I349,I349)</f>
        <v>5000</v>
      </c>
    </row>
    <row r="350" spans="5:11" x14ac:dyDescent="0.25">
      <c r="E350" s="1">
        <f t="shared" si="16"/>
        <v>347</v>
      </c>
      <c r="F350" s="4">
        <f t="shared" ca="1" si="17"/>
        <v>255000</v>
      </c>
      <c r="G350" s="1" t="s">
        <v>70</v>
      </c>
      <c r="H350" s="26">
        <f t="shared" ca="1" si="15"/>
        <v>0.90127647288859958</v>
      </c>
      <c r="I350" s="4">
        <f>IF(G350="Yes",-$C$8,0)</f>
        <v>-5000</v>
      </c>
      <c r="J350" s="4">
        <f>IF(G350="Yes",$C$8-I350,0)</f>
        <v>10000</v>
      </c>
      <c r="K350" s="4">
        <f ca="1">IF(H350&gt;=$C$4,J350+I350,I350)</f>
        <v>5000</v>
      </c>
    </row>
    <row r="351" spans="5:11" x14ac:dyDescent="0.25">
      <c r="E351" s="1">
        <f t="shared" si="16"/>
        <v>348</v>
      </c>
      <c r="F351" s="4">
        <f t="shared" ca="1" si="17"/>
        <v>260000</v>
      </c>
      <c r="G351" s="1" t="s">
        <v>70</v>
      </c>
      <c r="H351" s="26">
        <f t="shared" ca="1" si="15"/>
        <v>0.50785971135962849</v>
      </c>
      <c r="I351" s="4">
        <f>IF(G351="Yes",-$C$8,0)</f>
        <v>-5000</v>
      </c>
      <c r="J351" s="4">
        <f>IF(G351="Yes",$C$8-I351,0)</f>
        <v>10000</v>
      </c>
      <c r="K351" s="4">
        <f ca="1">IF(H351&gt;=$C$4,J351+I351,I351)</f>
        <v>5000</v>
      </c>
    </row>
    <row r="352" spans="5:11" x14ac:dyDescent="0.25">
      <c r="E352" s="1">
        <f t="shared" si="16"/>
        <v>349</v>
      </c>
      <c r="F352" s="4">
        <f t="shared" ca="1" si="17"/>
        <v>265000</v>
      </c>
      <c r="G352" s="1" t="s">
        <v>70</v>
      </c>
      <c r="H352" s="26">
        <f t="shared" ca="1" si="15"/>
        <v>0.60013214611486043</v>
      </c>
      <c r="I352" s="4">
        <f>IF(G352="Yes",-$C$8,0)</f>
        <v>-5000</v>
      </c>
      <c r="J352" s="4">
        <f>IF(G352="Yes",$C$8-I352,0)</f>
        <v>10000</v>
      </c>
      <c r="K352" s="4">
        <f ca="1">IF(H352&gt;=$C$4,J352+I352,I352)</f>
        <v>5000</v>
      </c>
    </row>
    <row r="353" spans="5:11" x14ac:dyDescent="0.25">
      <c r="E353" s="1">
        <f t="shared" si="16"/>
        <v>350</v>
      </c>
      <c r="F353" s="4">
        <f t="shared" ca="1" si="17"/>
        <v>260000</v>
      </c>
      <c r="G353" s="1" t="s">
        <v>70</v>
      </c>
      <c r="H353" s="26">
        <f t="shared" ca="1" si="15"/>
        <v>0.37799048966788573</v>
      </c>
      <c r="I353" s="4">
        <f>IF(G353="Yes",-$C$8,0)</f>
        <v>-5000</v>
      </c>
      <c r="J353" s="4">
        <f>IF(G353="Yes",$C$8-I353,0)</f>
        <v>10000</v>
      </c>
      <c r="K353" s="4">
        <f ca="1">IF(H353&gt;=$C$4,J353+I353,I353)</f>
        <v>-5000</v>
      </c>
    </row>
    <row r="354" spans="5:11" x14ac:dyDescent="0.25">
      <c r="E354" s="1">
        <f t="shared" si="16"/>
        <v>351</v>
      </c>
      <c r="F354" s="4">
        <f t="shared" ca="1" si="17"/>
        <v>265000</v>
      </c>
      <c r="G354" s="1" t="s">
        <v>70</v>
      </c>
      <c r="H354" s="26">
        <f t="shared" ca="1" si="15"/>
        <v>0.71713073414535355</v>
      </c>
      <c r="I354" s="4">
        <f>IF(G354="Yes",-$C$8,0)</f>
        <v>-5000</v>
      </c>
      <c r="J354" s="4">
        <f>IF(G354="Yes",$C$8-I354,0)</f>
        <v>10000</v>
      </c>
      <c r="K354" s="4">
        <f ca="1">IF(H354&gt;=$C$4,J354+I354,I354)</f>
        <v>5000</v>
      </c>
    </row>
    <row r="355" spans="5:11" x14ac:dyDescent="0.25">
      <c r="E355" s="1">
        <f t="shared" si="16"/>
        <v>352</v>
      </c>
      <c r="F355" s="4">
        <f t="shared" ca="1" si="17"/>
        <v>260000</v>
      </c>
      <c r="G355" s="1" t="s">
        <v>70</v>
      </c>
      <c r="H355" s="26">
        <f t="shared" ca="1" si="15"/>
        <v>7.7459830883631731E-2</v>
      </c>
      <c r="I355" s="4">
        <f>IF(G355="Yes",-$C$8,0)</f>
        <v>-5000</v>
      </c>
      <c r="J355" s="4">
        <f>IF(G355="Yes",$C$8-I355,0)</f>
        <v>10000</v>
      </c>
      <c r="K355" s="4">
        <f ca="1">IF(H355&gt;=$C$4,J355+I355,I355)</f>
        <v>-5000</v>
      </c>
    </row>
    <row r="356" spans="5:11" x14ac:dyDescent="0.25">
      <c r="E356" s="1">
        <f t="shared" si="16"/>
        <v>353</v>
      </c>
      <c r="F356" s="4">
        <f t="shared" ca="1" si="17"/>
        <v>255000</v>
      </c>
      <c r="G356" s="1" t="s">
        <v>70</v>
      </c>
      <c r="H356" s="26">
        <f t="shared" ca="1" si="15"/>
        <v>4.8085204326246189E-2</v>
      </c>
      <c r="I356" s="4">
        <f>IF(G356="Yes",-$C$8,0)</f>
        <v>-5000</v>
      </c>
      <c r="J356" s="4">
        <f>IF(G356="Yes",$C$8-I356,0)</f>
        <v>10000</v>
      </c>
      <c r="K356" s="4">
        <f ca="1">IF(H356&gt;=$C$4,J356+I356,I356)</f>
        <v>-5000</v>
      </c>
    </row>
    <row r="357" spans="5:11" x14ac:dyDescent="0.25">
      <c r="E357" s="1">
        <f t="shared" si="16"/>
        <v>354</v>
      </c>
      <c r="F357" s="4">
        <f t="shared" ca="1" si="17"/>
        <v>260000</v>
      </c>
      <c r="G357" s="1" t="s">
        <v>70</v>
      </c>
      <c r="H357" s="26">
        <f t="shared" ca="1" si="15"/>
        <v>0.89706778727106518</v>
      </c>
      <c r="I357" s="4">
        <f>IF(G357="Yes",-$C$8,0)</f>
        <v>-5000</v>
      </c>
      <c r="J357" s="4">
        <f>IF(G357="Yes",$C$8-I357,0)</f>
        <v>10000</v>
      </c>
      <c r="K357" s="4">
        <f ca="1">IF(H357&gt;=$C$4,J357+I357,I357)</f>
        <v>5000</v>
      </c>
    </row>
    <row r="358" spans="5:11" x14ac:dyDescent="0.25">
      <c r="E358" s="1">
        <f t="shared" si="16"/>
        <v>355</v>
      </c>
      <c r="F358" s="4">
        <f t="shared" ca="1" si="17"/>
        <v>265000</v>
      </c>
      <c r="G358" s="1" t="s">
        <v>70</v>
      </c>
      <c r="H358" s="26">
        <f t="shared" ca="1" si="15"/>
        <v>0.58536176532898709</v>
      </c>
      <c r="I358" s="4">
        <f>IF(G358="Yes",-$C$8,0)</f>
        <v>-5000</v>
      </c>
      <c r="J358" s="4">
        <f>IF(G358="Yes",$C$8-I358,0)</f>
        <v>10000</v>
      </c>
      <c r="K358" s="4">
        <f ca="1">IF(H358&gt;=$C$4,J358+I358,I358)</f>
        <v>5000</v>
      </c>
    </row>
    <row r="359" spans="5:11" x14ac:dyDescent="0.25">
      <c r="E359" s="1">
        <f t="shared" si="16"/>
        <v>356</v>
      </c>
      <c r="F359" s="4">
        <f t="shared" ca="1" si="17"/>
        <v>260000</v>
      </c>
      <c r="G359" s="1" t="s">
        <v>70</v>
      </c>
      <c r="H359" s="26">
        <f t="shared" ca="1" si="15"/>
        <v>8.185884230348961E-2</v>
      </c>
      <c r="I359" s="4">
        <f>IF(G359="Yes",-$C$8,0)</f>
        <v>-5000</v>
      </c>
      <c r="J359" s="4">
        <f>IF(G359="Yes",$C$8-I359,0)</f>
        <v>10000</v>
      </c>
      <c r="K359" s="4">
        <f ca="1">IF(H359&gt;=$C$4,J359+I359,I359)</f>
        <v>-5000</v>
      </c>
    </row>
    <row r="360" spans="5:11" x14ac:dyDescent="0.25">
      <c r="E360" s="1">
        <f t="shared" si="16"/>
        <v>357</v>
      </c>
      <c r="F360" s="4">
        <f t="shared" ca="1" si="17"/>
        <v>255000</v>
      </c>
      <c r="G360" s="1" t="s">
        <v>70</v>
      </c>
      <c r="H360" s="26">
        <f t="shared" ca="1" si="15"/>
        <v>0.28595392870266745</v>
      </c>
      <c r="I360" s="4">
        <f>IF(G360="Yes",-$C$8,0)</f>
        <v>-5000</v>
      </c>
      <c r="J360" s="4">
        <f>IF(G360="Yes",$C$8-I360,0)</f>
        <v>10000</v>
      </c>
      <c r="K360" s="4">
        <f ca="1">IF(H360&gt;=$C$4,J360+I360,I360)</f>
        <v>-5000</v>
      </c>
    </row>
    <row r="361" spans="5:11" x14ac:dyDescent="0.25">
      <c r="E361" s="1">
        <f t="shared" si="16"/>
        <v>358</v>
      </c>
      <c r="F361" s="4">
        <f t="shared" ca="1" si="17"/>
        <v>260000</v>
      </c>
      <c r="G361" s="1" t="s">
        <v>70</v>
      </c>
      <c r="H361" s="26">
        <f t="shared" ca="1" si="15"/>
        <v>0.71797692203197083</v>
      </c>
      <c r="I361" s="4">
        <f>IF(G361="Yes",-$C$8,0)</f>
        <v>-5000</v>
      </c>
      <c r="J361" s="4">
        <f>IF(G361="Yes",$C$8-I361,0)</f>
        <v>10000</v>
      </c>
      <c r="K361" s="4">
        <f ca="1">IF(H361&gt;=$C$4,J361+I361,I361)</f>
        <v>5000</v>
      </c>
    </row>
    <row r="362" spans="5:11" x14ac:dyDescent="0.25">
      <c r="E362" s="1">
        <f t="shared" si="16"/>
        <v>359</v>
      </c>
      <c r="F362" s="4">
        <f t="shared" ca="1" si="17"/>
        <v>265000</v>
      </c>
      <c r="G362" s="1" t="s">
        <v>70</v>
      </c>
      <c r="H362" s="26">
        <f t="shared" ca="1" si="15"/>
        <v>0.88481297702574524</v>
      </c>
      <c r="I362" s="4">
        <f>IF(G362="Yes",-$C$8,0)</f>
        <v>-5000</v>
      </c>
      <c r="J362" s="4">
        <f>IF(G362="Yes",$C$8-I362,0)</f>
        <v>10000</v>
      </c>
      <c r="K362" s="4">
        <f ca="1">IF(H362&gt;=$C$4,J362+I362,I362)</f>
        <v>5000</v>
      </c>
    </row>
    <row r="363" spans="5:11" x14ac:dyDescent="0.25">
      <c r="E363" s="1">
        <f t="shared" si="16"/>
        <v>360</v>
      </c>
      <c r="F363" s="4">
        <f t="shared" ca="1" si="17"/>
        <v>260000</v>
      </c>
      <c r="G363" s="1" t="s">
        <v>70</v>
      </c>
      <c r="H363" s="26">
        <f t="shared" ca="1" si="15"/>
        <v>0.42690869159019362</v>
      </c>
      <c r="I363" s="4">
        <f>IF(G363="Yes",-$C$8,0)</f>
        <v>-5000</v>
      </c>
      <c r="J363" s="4">
        <f>IF(G363="Yes",$C$8-I363,0)</f>
        <v>10000</v>
      </c>
      <c r="K363" s="4">
        <f ca="1">IF(H363&gt;=$C$4,J363+I363,I363)</f>
        <v>-5000</v>
      </c>
    </row>
    <row r="364" spans="5:11" x14ac:dyDescent="0.25">
      <c r="E364" s="1">
        <f t="shared" si="16"/>
        <v>361</v>
      </c>
      <c r="F364" s="4">
        <f t="shared" ca="1" si="17"/>
        <v>265000</v>
      </c>
      <c r="G364" s="1" t="s">
        <v>70</v>
      </c>
      <c r="H364" s="26">
        <f t="shared" ca="1" si="15"/>
        <v>0.72556216409998997</v>
      </c>
      <c r="I364" s="4">
        <f>IF(G364="Yes",-$C$8,0)</f>
        <v>-5000</v>
      </c>
      <c r="J364" s="4">
        <f>IF(G364="Yes",$C$8-I364,0)</f>
        <v>10000</v>
      </c>
      <c r="K364" s="4">
        <f ca="1">IF(H364&gt;=$C$4,J364+I364,I364)</f>
        <v>5000</v>
      </c>
    </row>
    <row r="365" spans="5:11" x14ac:dyDescent="0.25">
      <c r="E365" s="1">
        <f t="shared" si="16"/>
        <v>362</v>
      </c>
      <c r="F365" s="4">
        <f t="shared" ca="1" si="17"/>
        <v>260000</v>
      </c>
      <c r="G365" s="1" t="s">
        <v>70</v>
      </c>
      <c r="H365" s="26">
        <f t="shared" ca="1" si="15"/>
        <v>9.1394620380207958E-2</v>
      </c>
      <c r="I365" s="4">
        <f>IF(G365="Yes",-$C$8,0)</f>
        <v>-5000</v>
      </c>
      <c r="J365" s="4">
        <f>IF(G365="Yes",$C$8-I365,0)</f>
        <v>10000</v>
      </c>
      <c r="K365" s="4">
        <f ca="1">IF(H365&gt;=$C$4,J365+I365,I365)</f>
        <v>-5000</v>
      </c>
    </row>
    <row r="366" spans="5:11" x14ac:dyDescent="0.25">
      <c r="E366" s="1">
        <f t="shared" si="16"/>
        <v>363</v>
      </c>
      <c r="F366" s="4">
        <f t="shared" ca="1" si="17"/>
        <v>255000</v>
      </c>
      <c r="G366" s="1" t="s">
        <v>70</v>
      </c>
      <c r="H366" s="26">
        <f t="shared" ca="1" si="15"/>
        <v>9.8655529506116779E-2</v>
      </c>
      <c r="I366" s="4">
        <f>IF(G366="Yes",-$C$8,0)</f>
        <v>-5000</v>
      </c>
      <c r="J366" s="4">
        <f>IF(G366="Yes",$C$8-I366,0)</f>
        <v>10000</v>
      </c>
      <c r="K366" s="4">
        <f ca="1">IF(H366&gt;=$C$4,J366+I366,I366)</f>
        <v>-5000</v>
      </c>
    </row>
    <row r="367" spans="5:11" x14ac:dyDescent="0.25">
      <c r="E367" s="1">
        <f t="shared" si="16"/>
        <v>364</v>
      </c>
      <c r="F367" s="4">
        <f t="shared" ca="1" si="17"/>
        <v>250000</v>
      </c>
      <c r="G367" s="1" t="s">
        <v>70</v>
      </c>
      <c r="H367" s="26">
        <f t="shared" ca="1" si="15"/>
        <v>0.21307447349799857</v>
      </c>
      <c r="I367" s="4">
        <f>IF(G367="Yes",-$C$8,0)</f>
        <v>-5000</v>
      </c>
      <c r="J367" s="4">
        <f>IF(G367="Yes",$C$8-I367,0)</f>
        <v>10000</v>
      </c>
      <c r="K367" s="4">
        <f ca="1">IF(H367&gt;=$C$4,J367+I367,I367)</f>
        <v>-5000</v>
      </c>
    </row>
    <row r="368" spans="5:11" x14ac:dyDescent="0.25">
      <c r="E368" s="1">
        <f t="shared" si="16"/>
        <v>365</v>
      </c>
      <c r="F368" s="4">
        <f t="shared" ca="1" si="17"/>
        <v>245000</v>
      </c>
      <c r="G368" s="1" t="s">
        <v>70</v>
      </c>
      <c r="H368" s="26">
        <f t="shared" ca="1" si="15"/>
        <v>0.32023122420542549</v>
      </c>
      <c r="I368" s="4">
        <f>IF(G368="Yes",-$C$8,0)</f>
        <v>-5000</v>
      </c>
      <c r="J368" s="4">
        <f>IF(G368="Yes",$C$8-I368,0)</f>
        <v>10000</v>
      </c>
      <c r="K368" s="4">
        <f ca="1">IF(H368&gt;=$C$4,J368+I368,I368)</f>
        <v>-5000</v>
      </c>
    </row>
    <row r="369" spans="5:11" x14ac:dyDescent="0.25">
      <c r="E369" s="1">
        <f t="shared" si="16"/>
        <v>366</v>
      </c>
      <c r="F369" s="4">
        <f t="shared" ca="1" si="17"/>
        <v>250000</v>
      </c>
      <c r="G369" s="1" t="s">
        <v>70</v>
      </c>
      <c r="H369" s="26">
        <f t="shared" ca="1" si="15"/>
        <v>0.73292198793900576</v>
      </c>
      <c r="I369" s="4">
        <f>IF(G369="Yes",-$C$8,0)</f>
        <v>-5000</v>
      </c>
      <c r="J369" s="4">
        <f>IF(G369="Yes",$C$8-I369,0)</f>
        <v>10000</v>
      </c>
      <c r="K369" s="4">
        <f ca="1">IF(H369&gt;=$C$4,J369+I369,I369)</f>
        <v>5000</v>
      </c>
    </row>
    <row r="370" spans="5:11" x14ac:dyDescent="0.25">
      <c r="E370" s="1">
        <f t="shared" si="16"/>
        <v>367</v>
      </c>
      <c r="F370" s="4">
        <f t="shared" ca="1" si="17"/>
        <v>245000</v>
      </c>
      <c r="G370" s="1" t="s">
        <v>70</v>
      </c>
      <c r="H370" s="26">
        <f t="shared" ca="1" si="15"/>
        <v>0.31684746008291909</v>
      </c>
      <c r="I370" s="4">
        <f>IF(G370="Yes",-$C$8,0)</f>
        <v>-5000</v>
      </c>
      <c r="J370" s="4">
        <f>IF(G370="Yes",$C$8-I370,0)</f>
        <v>10000</v>
      </c>
      <c r="K370" s="4">
        <f ca="1">IF(H370&gt;=$C$4,J370+I370,I370)</f>
        <v>-5000</v>
      </c>
    </row>
    <row r="371" spans="5:11" x14ac:dyDescent="0.25">
      <c r="E371" s="1">
        <f t="shared" si="16"/>
        <v>368</v>
      </c>
      <c r="F371" s="4">
        <f t="shared" ca="1" si="17"/>
        <v>240000</v>
      </c>
      <c r="G371" s="1" t="s">
        <v>70</v>
      </c>
      <c r="H371" s="26">
        <f t="shared" ca="1" si="15"/>
        <v>0.26861657637883685</v>
      </c>
      <c r="I371" s="4">
        <f>IF(G371="Yes",-$C$8,0)</f>
        <v>-5000</v>
      </c>
      <c r="J371" s="4">
        <f>IF(G371="Yes",$C$8-I371,0)</f>
        <v>10000</v>
      </c>
      <c r="K371" s="4">
        <f ca="1">IF(H371&gt;=$C$4,J371+I371,I371)</f>
        <v>-5000</v>
      </c>
    </row>
    <row r="372" spans="5:11" x14ac:dyDescent="0.25">
      <c r="E372" s="1">
        <f t="shared" si="16"/>
        <v>369</v>
      </c>
      <c r="F372" s="4">
        <f t="shared" ca="1" si="17"/>
        <v>245000</v>
      </c>
      <c r="G372" s="1" t="s">
        <v>70</v>
      </c>
      <c r="H372" s="26">
        <f t="shared" ca="1" si="15"/>
        <v>0.61072961325778674</v>
      </c>
      <c r="I372" s="4">
        <f>IF(G372="Yes",-$C$8,0)</f>
        <v>-5000</v>
      </c>
      <c r="J372" s="4">
        <f>IF(G372="Yes",$C$8-I372,0)</f>
        <v>10000</v>
      </c>
      <c r="K372" s="4">
        <f ca="1">IF(H372&gt;=$C$4,J372+I372,I372)</f>
        <v>5000</v>
      </c>
    </row>
    <row r="373" spans="5:11" x14ac:dyDescent="0.25">
      <c r="E373" s="1">
        <f t="shared" si="16"/>
        <v>370</v>
      </c>
      <c r="F373" s="4">
        <f t="shared" ca="1" si="17"/>
        <v>250000</v>
      </c>
      <c r="G373" s="1" t="s">
        <v>70</v>
      </c>
      <c r="H373" s="26">
        <f t="shared" ca="1" si="15"/>
        <v>0.77940515686089973</v>
      </c>
      <c r="I373" s="4">
        <f>IF(G373="Yes",-$C$8,0)</f>
        <v>-5000</v>
      </c>
      <c r="J373" s="4">
        <f>IF(G373="Yes",$C$8-I373,0)</f>
        <v>10000</v>
      </c>
      <c r="K373" s="4">
        <f ca="1">IF(H373&gt;=$C$4,J373+I373,I373)</f>
        <v>5000</v>
      </c>
    </row>
    <row r="374" spans="5:11" x14ac:dyDescent="0.25">
      <c r="E374" s="1">
        <f t="shared" si="16"/>
        <v>371</v>
      </c>
      <c r="F374" s="4">
        <f t="shared" ca="1" si="17"/>
        <v>245000</v>
      </c>
      <c r="G374" s="1" t="s">
        <v>70</v>
      </c>
      <c r="H374" s="26">
        <f t="shared" ca="1" si="15"/>
        <v>1.0543510688081903E-2</v>
      </c>
      <c r="I374" s="4">
        <f>IF(G374="Yes",-$C$8,0)</f>
        <v>-5000</v>
      </c>
      <c r="J374" s="4">
        <f>IF(G374="Yes",$C$8-I374,0)</f>
        <v>10000</v>
      </c>
      <c r="K374" s="4">
        <f ca="1">IF(H374&gt;=$C$4,J374+I374,I374)</f>
        <v>-5000</v>
      </c>
    </row>
    <row r="375" spans="5:11" x14ac:dyDescent="0.25">
      <c r="E375" s="1">
        <f t="shared" si="16"/>
        <v>372</v>
      </c>
      <c r="F375" s="4">
        <f t="shared" ca="1" si="17"/>
        <v>250000</v>
      </c>
      <c r="G375" s="1" t="s">
        <v>70</v>
      </c>
      <c r="H375" s="26">
        <f t="shared" ca="1" si="15"/>
        <v>0.46020405196156622</v>
      </c>
      <c r="I375" s="4">
        <f>IF(G375="Yes",-$C$8,0)</f>
        <v>-5000</v>
      </c>
      <c r="J375" s="4">
        <f>IF(G375="Yes",$C$8-I375,0)</f>
        <v>10000</v>
      </c>
      <c r="K375" s="4">
        <f ca="1">IF(H375&gt;=$C$4,J375+I375,I375)</f>
        <v>5000</v>
      </c>
    </row>
    <row r="376" spans="5:11" x14ac:dyDescent="0.25">
      <c r="E376" s="1">
        <f t="shared" si="16"/>
        <v>373</v>
      </c>
      <c r="F376" s="4">
        <f t="shared" ca="1" si="17"/>
        <v>245000</v>
      </c>
      <c r="G376" s="1" t="s">
        <v>70</v>
      </c>
      <c r="H376" s="26">
        <f t="shared" ca="1" si="15"/>
        <v>0.22383909536968483</v>
      </c>
      <c r="I376" s="4">
        <f>IF(G376="Yes",-$C$8,0)</f>
        <v>-5000</v>
      </c>
      <c r="J376" s="4">
        <f>IF(G376="Yes",$C$8-I376,0)</f>
        <v>10000</v>
      </c>
      <c r="K376" s="4">
        <f ca="1">IF(H376&gt;=$C$4,J376+I376,I376)</f>
        <v>-5000</v>
      </c>
    </row>
    <row r="377" spans="5:11" x14ac:dyDescent="0.25">
      <c r="E377" s="1">
        <f t="shared" si="16"/>
        <v>374</v>
      </c>
      <c r="F377" s="4">
        <f t="shared" ca="1" si="17"/>
        <v>240000</v>
      </c>
      <c r="G377" s="1" t="s">
        <v>70</v>
      </c>
      <c r="H377" s="26">
        <f t="shared" ca="1" si="15"/>
        <v>0.15725953905049173</v>
      </c>
      <c r="I377" s="4">
        <f>IF(G377="Yes",-$C$8,0)</f>
        <v>-5000</v>
      </c>
      <c r="J377" s="4">
        <f>IF(G377="Yes",$C$8-I377,0)</f>
        <v>10000</v>
      </c>
      <c r="K377" s="4">
        <f ca="1">IF(H377&gt;=$C$4,J377+I377,I377)</f>
        <v>-5000</v>
      </c>
    </row>
    <row r="378" spans="5:11" x14ac:dyDescent="0.25">
      <c r="E378" s="1">
        <f t="shared" si="16"/>
        <v>375</v>
      </c>
      <c r="F378" s="4">
        <f t="shared" ca="1" si="17"/>
        <v>245000</v>
      </c>
      <c r="G378" s="1" t="s">
        <v>70</v>
      </c>
      <c r="H378" s="26">
        <f t="shared" ca="1" si="15"/>
        <v>0.7263013410784489</v>
      </c>
      <c r="I378" s="4">
        <f>IF(G378="Yes",-$C$8,0)</f>
        <v>-5000</v>
      </c>
      <c r="J378" s="4">
        <f>IF(G378="Yes",$C$8-I378,0)</f>
        <v>10000</v>
      </c>
      <c r="K378" s="4">
        <f ca="1">IF(H378&gt;=$C$4,J378+I378,I378)</f>
        <v>5000</v>
      </c>
    </row>
    <row r="379" spans="5:11" x14ac:dyDescent="0.25">
      <c r="E379" s="1">
        <f t="shared" si="16"/>
        <v>376</v>
      </c>
      <c r="F379" s="4">
        <f t="shared" ca="1" si="17"/>
        <v>250000</v>
      </c>
      <c r="G379" s="1" t="s">
        <v>70</v>
      </c>
      <c r="H379" s="26">
        <f t="shared" ca="1" si="15"/>
        <v>0.73029873584359817</v>
      </c>
      <c r="I379" s="4">
        <f>IF(G379="Yes",-$C$8,0)</f>
        <v>-5000</v>
      </c>
      <c r="J379" s="4">
        <f>IF(G379="Yes",$C$8-I379,0)</f>
        <v>10000</v>
      </c>
      <c r="K379" s="4">
        <f ca="1">IF(H379&gt;=$C$4,J379+I379,I379)</f>
        <v>5000</v>
      </c>
    </row>
    <row r="380" spans="5:11" x14ac:dyDescent="0.25">
      <c r="E380" s="1">
        <f t="shared" si="16"/>
        <v>377</v>
      </c>
      <c r="F380" s="4">
        <f t="shared" ca="1" si="17"/>
        <v>255000</v>
      </c>
      <c r="G380" s="1" t="s">
        <v>70</v>
      </c>
      <c r="H380" s="26">
        <f t="shared" ca="1" si="15"/>
        <v>0.80011284667369154</v>
      </c>
      <c r="I380" s="4">
        <f>IF(G380="Yes",-$C$8,0)</f>
        <v>-5000</v>
      </c>
      <c r="J380" s="4">
        <f>IF(G380="Yes",$C$8-I380,0)</f>
        <v>10000</v>
      </c>
      <c r="K380" s="4">
        <f ca="1">IF(H380&gt;=$C$4,J380+I380,I380)</f>
        <v>5000</v>
      </c>
    </row>
    <row r="381" spans="5:11" x14ac:dyDescent="0.25">
      <c r="E381" s="1">
        <f t="shared" si="16"/>
        <v>378</v>
      </c>
      <c r="F381" s="4">
        <f t="shared" ca="1" si="17"/>
        <v>250000</v>
      </c>
      <c r="G381" s="1" t="s">
        <v>70</v>
      </c>
      <c r="H381" s="26">
        <f t="shared" ca="1" si="15"/>
        <v>8.0525963626544295E-3</v>
      </c>
      <c r="I381" s="4">
        <f>IF(G381="Yes",-$C$8,0)</f>
        <v>-5000</v>
      </c>
      <c r="J381" s="4">
        <f>IF(G381="Yes",$C$8-I381,0)</f>
        <v>10000</v>
      </c>
      <c r="K381" s="4">
        <f ca="1">IF(H381&gt;=$C$4,J381+I381,I381)</f>
        <v>-5000</v>
      </c>
    </row>
    <row r="382" spans="5:11" x14ac:dyDescent="0.25">
      <c r="E382" s="1">
        <f t="shared" si="16"/>
        <v>379</v>
      </c>
      <c r="F382" s="4">
        <f t="shared" ca="1" si="17"/>
        <v>245000</v>
      </c>
      <c r="G382" s="1" t="s">
        <v>70</v>
      </c>
      <c r="H382" s="26">
        <f t="shared" ca="1" si="15"/>
        <v>0.27796301253202671</v>
      </c>
      <c r="I382" s="4">
        <f>IF(G382="Yes",-$C$8,0)</f>
        <v>-5000</v>
      </c>
      <c r="J382" s="4">
        <f>IF(G382="Yes",$C$8-I382,0)</f>
        <v>10000</v>
      </c>
      <c r="K382" s="4">
        <f ca="1">IF(H382&gt;=$C$4,J382+I382,I382)</f>
        <v>-5000</v>
      </c>
    </row>
    <row r="383" spans="5:11" x14ac:dyDescent="0.25">
      <c r="E383" s="1">
        <f t="shared" si="16"/>
        <v>380</v>
      </c>
      <c r="F383" s="4">
        <f t="shared" ca="1" si="17"/>
        <v>250000</v>
      </c>
      <c r="G383" s="1" t="s">
        <v>70</v>
      </c>
      <c r="H383" s="26">
        <f t="shared" ca="1" si="15"/>
        <v>0.8172260839890656</v>
      </c>
      <c r="I383" s="4">
        <f>IF(G383="Yes",-$C$8,0)</f>
        <v>-5000</v>
      </c>
      <c r="J383" s="4">
        <f>IF(G383="Yes",$C$8-I383,0)</f>
        <v>10000</v>
      </c>
      <c r="K383" s="4">
        <f ca="1">IF(H383&gt;=$C$4,J383+I383,I383)</f>
        <v>5000</v>
      </c>
    </row>
    <row r="384" spans="5:11" x14ac:dyDescent="0.25">
      <c r="E384" s="1">
        <f t="shared" si="16"/>
        <v>381</v>
      </c>
      <c r="F384" s="4">
        <f t="shared" ca="1" si="17"/>
        <v>255000</v>
      </c>
      <c r="G384" s="1" t="s">
        <v>70</v>
      </c>
      <c r="H384" s="26">
        <f t="shared" ca="1" si="15"/>
        <v>0.49127744562079467</v>
      </c>
      <c r="I384" s="4">
        <f>IF(G384="Yes",-$C$8,0)</f>
        <v>-5000</v>
      </c>
      <c r="J384" s="4">
        <f>IF(G384="Yes",$C$8-I384,0)</f>
        <v>10000</v>
      </c>
      <c r="K384" s="4">
        <f ca="1">IF(H384&gt;=$C$4,J384+I384,I384)</f>
        <v>5000</v>
      </c>
    </row>
    <row r="385" spans="5:11" x14ac:dyDescent="0.25">
      <c r="E385" s="1">
        <f t="shared" si="16"/>
        <v>382</v>
      </c>
      <c r="F385" s="4">
        <f t="shared" ca="1" si="17"/>
        <v>260000</v>
      </c>
      <c r="G385" s="1" t="s">
        <v>70</v>
      </c>
      <c r="H385" s="26">
        <f t="shared" ca="1" si="15"/>
        <v>0.59995910827620147</v>
      </c>
      <c r="I385" s="4">
        <f>IF(G385="Yes",-$C$8,0)</f>
        <v>-5000</v>
      </c>
      <c r="J385" s="4">
        <f>IF(G385="Yes",$C$8-I385,0)</f>
        <v>10000</v>
      </c>
      <c r="K385" s="4">
        <f ca="1">IF(H385&gt;=$C$4,J385+I385,I385)</f>
        <v>5000</v>
      </c>
    </row>
    <row r="386" spans="5:11" x14ac:dyDescent="0.25">
      <c r="E386" s="1">
        <f t="shared" si="16"/>
        <v>383</v>
      </c>
      <c r="F386" s="4">
        <f t="shared" ca="1" si="17"/>
        <v>265000</v>
      </c>
      <c r="G386" s="1" t="s">
        <v>70</v>
      </c>
      <c r="H386" s="26">
        <f t="shared" ca="1" si="15"/>
        <v>0.96587762416404954</v>
      </c>
      <c r="I386" s="4">
        <f>IF(G386="Yes",-$C$8,0)</f>
        <v>-5000</v>
      </c>
      <c r="J386" s="4">
        <f>IF(G386="Yes",$C$8-I386,0)</f>
        <v>10000</v>
      </c>
      <c r="K386" s="4">
        <f ca="1">IF(H386&gt;=$C$4,J386+I386,I386)</f>
        <v>5000</v>
      </c>
    </row>
    <row r="387" spans="5:11" x14ac:dyDescent="0.25">
      <c r="E387" s="1">
        <f t="shared" si="16"/>
        <v>384</v>
      </c>
      <c r="F387" s="4">
        <f t="shared" ca="1" si="17"/>
        <v>270000</v>
      </c>
      <c r="G387" s="1" t="s">
        <v>70</v>
      </c>
      <c r="H387" s="26">
        <f t="shared" ca="1" si="15"/>
        <v>0.82079648631602908</v>
      </c>
      <c r="I387" s="4">
        <f>IF(G387="Yes",-$C$8,0)</f>
        <v>-5000</v>
      </c>
      <c r="J387" s="4">
        <f>IF(G387="Yes",$C$8-I387,0)</f>
        <v>10000</v>
      </c>
      <c r="K387" s="4">
        <f ca="1">IF(H387&gt;=$C$4,J387+I387,I387)</f>
        <v>5000</v>
      </c>
    </row>
    <row r="388" spans="5:11" x14ac:dyDescent="0.25">
      <c r="E388" s="1">
        <f t="shared" si="16"/>
        <v>385</v>
      </c>
      <c r="F388" s="4">
        <f t="shared" ca="1" si="17"/>
        <v>275000</v>
      </c>
      <c r="G388" s="1" t="s">
        <v>70</v>
      </c>
      <c r="H388" s="26">
        <f t="shared" ref="H388:H451" ca="1" si="18">RAND()</f>
        <v>0.47173068682785346</v>
      </c>
      <c r="I388" s="4">
        <f>IF(G388="Yes",-$C$8,0)</f>
        <v>-5000</v>
      </c>
      <c r="J388" s="4">
        <f>IF(G388="Yes",$C$8-I388,0)</f>
        <v>10000</v>
      </c>
      <c r="K388" s="4">
        <f ca="1">IF(H388&gt;=$C$4,J388+I388,I388)</f>
        <v>5000</v>
      </c>
    </row>
    <row r="389" spans="5:11" x14ac:dyDescent="0.25">
      <c r="E389" s="1">
        <f t="shared" ref="E389:G452" si="19">E388+1</f>
        <v>386</v>
      </c>
      <c r="F389" s="4">
        <f t="shared" ref="F389:F452" ca="1" si="20">F388+K389</f>
        <v>270000</v>
      </c>
      <c r="G389" s="1" t="s">
        <v>70</v>
      </c>
      <c r="H389" s="26">
        <f t="shared" ca="1" si="18"/>
        <v>2.2595779212164491E-3</v>
      </c>
      <c r="I389" s="4">
        <f>IF(G389="Yes",-$C$8,0)</f>
        <v>-5000</v>
      </c>
      <c r="J389" s="4">
        <f>IF(G389="Yes",$C$8-I389,0)</f>
        <v>10000</v>
      </c>
      <c r="K389" s="4">
        <f ca="1">IF(H389&gt;=$C$4,J389+I389,I389)</f>
        <v>-5000</v>
      </c>
    </row>
    <row r="390" spans="5:11" x14ac:dyDescent="0.25">
      <c r="E390" s="1">
        <f t="shared" si="19"/>
        <v>387</v>
      </c>
      <c r="F390" s="4">
        <f t="shared" ca="1" si="20"/>
        <v>265000</v>
      </c>
      <c r="G390" s="1" t="s">
        <v>70</v>
      </c>
      <c r="H390" s="26">
        <f t="shared" ca="1" si="18"/>
        <v>0.4387393921266971</v>
      </c>
      <c r="I390" s="4">
        <f>IF(G390="Yes",-$C$8,0)</f>
        <v>-5000</v>
      </c>
      <c r="J390" s="4">
        <f>IF(G390="Yes",$C$8-I390,0)</f>
        <v>10000</v>
      </c>
      <c r="K390" s="4">
        <f ca="1">IF(H390&gt;=$C$4,J390+I390,I390)</f>
        <v>-5000</v>
      </c>
    </row>
    <row r="391" spans="5:11" x14ac:dyDescent="0.25">
      <c r="E391" s="1">
        <f t="shared" si="19"/>
        <v>388</v>
      </c>
      <c r="F391" s="4">
        <f t="shared" ca="1" si="20"/>
        <v>270000</v>
      </c>
      <c r="G391" s="1" t="s">
        <v>70</v>
      </c>
      <c r="H391" s="26">
        <f t="shared" ca="1" si="18"/>
        <v>0.98018391070421185</v>
      </c>
      <c r="I391" s="4">
        <f>IF(G391="Yes",-$C$8,0)</f>
        <v>-5000</v>
      </c>
      <c r="J391" s="4">
        <f>IF(G391="Yes",$C$8-I391,0)</f>
        <v>10000</v>
      </c>
      <c r="K391" s="4">
        <f ca="1">IF(H391&gt;=$C$4,J391+I391,I391)</f>
        <v>5000</v>
      </c>
    </row>
    <row r="392" spans="5:11" x14ac:dyDescent="0.25">
      <c r="E392" s="1">
        <f t="shared" si="19"/>
        <v>389</v>
      </c>
      <c r="F392" s="4">
        <f t="shared" ca="1" si="20"/>
        <v>275000</v>
      </c>
      <c r="G392" s="1" t="s">
        <v>70</v>
      </c>
      <c r="H392" s="26">
        <f t="shared" ca="1" si="18"/>
        <v>0.74149989408261241</v>
      </c>
      <c r="I392" s="4">
        <f>IF(G392="Yes",-$C$8,0)</f>
        <v>-5000</v>
      </c>
      <c r="J392" s="4">
        <f>IF(G392="Yes",$C$8-I392,0)</f>
        <v>10000</v>
      </c>
      <c r="K392" s="4">
        <f ca="1">IF(H392&gt;=$C$4,J392+I392,I392)</f>
        <v>5000</v>
      </c>
    </row>
    <row r="393" spans="5:11" x14ac:dyDescent="0.25">
      <c r="E393" s="1">
        <f t="shared" si="19"/>
        <v>390</v>
      </c>
      <c r="F393" s="4">
        <f t="shared" ca="1" si="20"/>
        <v>270000</v>
      </c>
      <c r="G393" s="1" t="s">
        <v>70</v>
      </c>
      <c r="H393" s="26">
        <f t="shared" ca="1" si="18"/>
        <v>0.18846095961994525</v>
      </c>
      <c r="I393" s="4">
        <f>IF(G393="Yes",-$C$8,0)</f>
        <v>-5000</v>
      </c>
      <c r="J393" s="4">
        <f>IF(G393="Yes",$C$8-I393,0)</f>
        <v>10000</v>
      </c>
      <c r="K393" s="4">
        <f ca="1">IF(H393&gt;=$C$4,J393+I393,I393)</f>
        <v>-5000</v>
      </c>
    </row>
    <row r="394" spans="5:11" x14ac:dyDescent="0.25">
      <c r="E394" s="1">
        <f t="shared" si="19"/>
        <v>391</v>
      </c>
      <c r="F394" s="4">
        <f t="shared" ca="1" si="20"/>
        <v>275000</v>
      </c>
      <c r="G394" s="1" t="s">
        <v>70</v>
      </c>
      <c r="H394" s="26">
        <f t="shared" ca="1" si="18"/>
        <v>0.54113750411878236</v>
      </c>
      <c r="I394" s="4">
        <f>IF(G394="Yes",-$C$8,0)</f>
        <v>-5000</v>
      </c>
      <c r="J394" s="4">
        <f>IF(G394="Yes",$C$8-I394,0)</f>
        <v>10000</v>
      </c>
      <c r="K394" s="4">
        <f ca="1">IF(H394&gt;=$C$4,J394+I394,I394)</f>
        <v>5000</v>
      </c>
    </row>
    <row r="395" spans="5:11" x14ac:dyDescent="0.25">
      <c r="E395" s="1">
        <f t="shared" si="19"/>
        <v>392</v>
      </c>
      <c r="F395" s="4">
        <f t="shared" ca="1" si="20"/>
        <v>280000</v>
      </c>
      <c r="G395" s="1" t="s">
        <v>70</v>
      </c>
      <c r="H395" s="26">
        <f t="shared" ca="1" si="18"/>
        <v>0.47595342166291454</v>
      </c>
      <c r="I395" s="4">
        <f>IF(G395="Yes",-$C$8,0)</f>
        <v>-5000</v>
      </c>
      <c r="J395" s="4">
        <f>IF(G395="Yes",$C$8-I395,0)</f>
        <v>10000</v>
      </c>
      <c r="K395" s="4">
        <f ca="1">IF(H395&gt;=$C$4,J395+I395,I395)</f>
        <v>5000</v>
      </c>
    </row>
    <row r="396" spans="5:11" x14ac:dyDescent="0.25">
      <c r="E396" s="1">
        <f t="shared" si="19"/>
        <v>393</v>
      </c>
      <c r="F396" s="4">
        <f t="shared" ca="1" si="20"/>
        <v>285000</v>
      </c>
      <c r="G396" s="1" t="s">
        <v>70</v>
      </c>
      <c r="H396" s="26">
        <f t="shared" ca="1" si="18"/>
        <v>0.66518525659387584</v>
      </c>
      <c r="I396" s="4">
        <f>IF(G396="Yes",-$C$8,0)</f>
        <v>-5000</v>
      </c>
      <c r="J396" s="4">
        <f>IF(G396="Yes",$C$8-I396,0)</f>
        <v>10000</v>
      </c>
      <c r="K396" s="4">
        <f ca="1">IF(H396&gt;=$C$4,J396+I396,I396)</f>
        <v>5000</v>
      </c>
    </row>
    <row r="397" spans="5:11" x14ac:dyDescent="0.25">
      <c r="E397" s="1">
        <f t="shared" si="19"/>
        <v>394</v>
      </c>
      <c r="F397" s="4">
        <f t="shared" ca="1" si="20"/>
        <v>290000</v>
      </c>
      <c r="G397" s="1" t="s">
        <v>70</v>
      </c>
      <c r="H397" s="26">
        <f t="shared" ca="1" si="18"/>
        <v>0.5294427466387801</v>
      </c>
      <c r="I397" s="4">
        <f>IF(G397="Yes",-$C$8,0)</f>
        <v>-5000</v>
      </c>
      <c r="J397" s="4">
        <f>IF(G397="Yes",$C$8-I397,0)</f>
        <v>10000</v>
      </c>
      <c r="K397" s="4">
        <f ca="1">IF(H397&gt;=$C$4,J397+I397,I397)</f>
        <v>5000</v>
      </c>
    </row>
    <row r="398" spans="5:11" x14ac:dyDescent="0.25">
      <c r="E398" s="1">
        <f t="shared" si="19"/>
        <v>395</v>
      </c>
      <c r="F398" s="4">
        <f t="shared" ca="1" si="20"/>
        <v>295000</v>
      </c>
      <c r="G398" s="1" t="s">
        <v>70</v>
      </c>
      <c r="H398" s="26">
        <f t="shared" ca="1" si="18"/>
        <v>0.48943675366647754</v>
      </c>
      <c r="I398" s="4">
        <f>IF(G398="Yes",-$C$8,0)</f>
        <v>-5000</v>
      </c>
      <c r="J398" s="4">
        <f>IF(G398="Yes",$C$8-I398,0)</f>
        <v>10000</v>
      </c>
      <c r="K398" s="4">
        <f ca="1">IF(H398&gt;=$C$4,J398+I398,I398)</f>
        <v>5000</v>
      </c>
    </row>
    <row r="399" spans="5:11" x14ac:dyDescent="0.25">
      <c r="E399" s="1">
        <f t="shared" si="19"/>
        <v>396</v>
      </c>
      <c r="F399" s="4">
        <f t="shared" ca="1" si="20"/>
        <v>300000</v>
      </c>
      <c r="G399" s="1" t="s">
        <v>70</v>
      </c>
      <c r="H399" s="26">
        <f t="shared" ca="1" si="18"/>
        <v>0.60077871898795443</v>
      </c>
      <c r="I399" s="4">
        <f>IF(G399="Yes",-$C$8,0)</f>
        <v>-5000</v>
      </c>
      <c r="J399" s="4">
        <f>IF(G399="Yes",$C$8-I399,0)</f>
        <v>10000</v>
      </c>
      <c r="K399" s="4">
        <f ca="1">IF(H399&gt;=$C$4,J399+I399,I399)</f>
        <v>5000</v>
      </c>
    </row>
    <row r="400" spans="5:11" x14ac:dyDescent="0.25">
      <c r="E400" s="1">
        <f t="shared" si="19"/>
        <v>397</v>
      </c>
      <c r="F400" s="4">
        <f t="shared" ca="1" si="20"/>
        <v>295000</v>
      </c>
      <c r="G400" s="1" t="s">
        <v>70</v>
      </c>
      <c r="H400" s="26">
        <f t="shared" ca="1" si="18"/>
        <v>5.7882326442552645E-2</v>
      </c>
      <c r="I400" s="4">
        <f>IF(G400="Yes",-$C$8,0)</f>
        <v>-5000</v>
      </c>
      <c r="J400" s="4">
        <f>IF(G400="Yes",$C$8-I400,0)</f>
        <v>10000</v>
      </c>
      <c r="K400" s="4">
        <f ca="1">IF(H400&gt;=$C$4,J400+I400,I400)</f>
        <v>-5000</v>
      </c>
    </row>
    <row r="401" spans="5:11" x14ac:dyDescent="0.25">
      <c r="E401" s="1">
        <f t="shared" si="19"/>
        <v>398</v>
      </c>
      <c r="F401" s="4">
        <f t="shared" ca="1" si="20"/>
        <v>290000</v>
      </c>
      <c r="G401" s="1" t="s">
        <v>70</v>
      </c>
      <c r="H401" s="26">
        <f t="shared" ca="1" si="18"/>
        <v>0.27866260041992064</v>
      </c>
      <c r="I401" s="4">
        <f>IF(G401="Yes",-$C$8,0)</f>
        <v>-5000</v>
      </c>
      <c r="J401" s="4">
        <f>IF(G401="Yes",$C$8-I401,0)</f>
        <v>10000</v>
      </c>
      <c r="K401" s="4">
        <f ca="1">IF(H401&gt;=$C$4,J401+I401,I401)</f>
        <v>-5000</v>
      </c>
    </row>
    <row r="402" spans="5:11" x14ac:dyDescent="0.25">
      <c r="E402" s="1">
        <f t="shared" si="19"/>
        <v>399</v>
      </c>
      <c r="F402" s="4">
        <f t="shared" ca="1" si="20"/>
        <v>285000</v>
      </c>
      <c r="G402" s="1" t="s">
        <v>70</v>
      </c>
      <c r="H402" s="26">
        <f t="shared" ca="1" si="18"/>
        <v>0.1757543870645446</v>
      </c>
      <c r="I402" s="4">
        <f>IF(G402="Yes",-$C$8,0)</f>
        <v>-5000</v>
      </c>
      <c r="J402" s="4">
        <f>IF(G402="Yes",$C$8-I402,0)</f>
        <v>10000</v>
      </c>
      <c r="K402" s="4">
        <f ca="1">IF(H402&gt;=$C$4,J402+I402,I402)</f>
        <v>-5000</v>
      </c>
    </row>
    <row r="403" spans="5:11" x14ac:dyDescent="0.25">
      <c r="E403" s="1">
        <f t="shared" si="19"/>
        <v>400</v>
      </c>
      <c r="F403" s="4">
        <f t="shared" ca="1" si="20"/>
        <v>280000</v>
      </c>
      <c r="G403" s="1" t="s">
        <v>70</v>
      </c>
      <c r="H403" s="26">
        <f t="shared" ca="1" si="18"/>
        <v>0.23236832828963694</v>
      </c>
      <c r="I403" s="4">
        <f>IF(G403="Yes",-$C$8,0)</f>
        <v>-5000</v>
      </c>
      <c r="J403" s="4">
        <f>IF(G403="Yes",$C$8-I403,0)</f>
        <v>10000</v>
      </c>
      <c r="K403" s="4">
        <f ca="1">IF(H403&gt;=$C$4,J403+I403,I403)</f>
        <v>-5000</v>
      </c>
    </row>
    <row r="404" spans="5:11" x14ac:dyDescent="0.25">
      <c r="E404" s="1">
        <f t="shared" si="19"/>
        <v>401</v>
      </c>
      <c r="F404" s="4">
        <f t="shared" ca="1" si="20"/>
        <v>285000</v>
      </c>
      <c r="G404" s="1" t="s">
        <v>70</v>
      </c>
      <c r="H404" s="26">
        <f t="shared" ca="1" si="18"/>
        <v>0.51845255256034972</v>
      </c>
      <c r="I404" s="4">
        <f>IF(G404="Yes",-$C$8,0)</f>
        <v>-5000</v>
      </c>
      <c r="J404" s="4">
        <f>IF(G404="Yes",$C$8-I404,0)</f>
        <v>10000</v>
      </c>
      <c r="K404" s="4">
        <f ca="1">IF(H404&gt;=$C$4,J404+I404,I404)</f>
        <v>5000</v>
      </c>
    </row>
    <row r="405" spans="5:11" x14ac:dyDescent="0.25">
      <c r="E405" s="1">
        <f t="shared" si="19"/>
        <v>402</v>
      </c>
      <c r="F405" s="4">
        <f t="shared" ca="1" si="20"/>
        <v>290000</v>
      </c>
      <c r="G405" s="1" t="s">
        <v>70</v>
      </c>
      <c r="H405" s="26">
        <f t="shared" ca="1" si="18"/>
        <v>0.972643582561876</v>
      </c>
      <c r="I405" s="4">
        <f>IF(G405="Yes",-$C$8,0)</f>
        <v>-5000</v>
      </c>
      <c r="J405" s="4">
        <f>IF(G405="Yes",$C$8-I405,0)</f>
        <v>10000</v>
      </c>
      <c r="K405" s="4">
        <f ca="1">IF(H405&gt;=$C$4,J405+I405,I405)</f>
        <v>5000</v>
      </c>
    </row>
    <row r="406" spans="5:11" x14ac:dyDescent="0.25">
      <c r="E406" s="1">
        <f t="shared" si="19"/>
        <v>403</v>
      </c>
      <c r="F406" s="4">
        <f t="shared" ca="1" si="20"/>
        <v>285000</v>
      </c>
      <c r="G406" s="1" t="s">
        <v>70</v>
      </c>
      <c r="H406" s="26">
        <f t="shared" ca="1" si="18"/>
        <v>0.27034453868618091</v>
      </c>
      <c r="I406" s="4">
        <f>IF(G406="Yes",-$C$8,0)</f>
        <v>-5000</v>
      </c>
      <c r="J406" s="4">
        <f>IF(G406="Yes",$C$8-I406,0)</f>
        <v>10000</v>
      </c>
      <c r="K406" s="4">
        <f ca="1">IF(H406&gt;=$C$4,J406+I406,I406)</f>
        <v>-5000</v>
      </c>
    </row>
    <row r="407" spans="5:11" x14ac:dyDescent="0.25">
      <c r="E407" s="1">
        <f t="shared" si="19"/>
        <v>404</v>
      </c>
      <c r="F407" s="4">
        <f t="shared" ca="1" si="20"/>
        <v>290000</v>
      </c>
      <c r="G407" s="1" t="s">
        <v>70</v>
      </c>
      <c r="H407" s="26">
        <f t="shared" ca="1" si="18"/>
        <v>0.73215633164384786</v>
      </c>
      <c r="I407" s="4">
        <f>IF(G407="Yes",-$C$8,0)</f>
        <v>-5000</v>
      </c>
      <c r="J407" s="4">
        <f>IF(G407="Yes",$C$8-I407,0)</f>
        <v>10000</v>
      </c>
      <c r="K407" s="4">
        <f ca="1">IF(H407&gt;=$C$4,J407+I407,I407)</f>
        <v>5000</v>
      </c>
    </row>
    <row r="408" spans="5:11" x14ac:dyDescent="0.25">
      <c r="E408" s="1">
        <f t="shared" si="19"/>
        <v>405</v>
      </c>
      <c r="F408" s="4">
        <f t="shared" ca="1" si="20"/>
        <v>295000</v>
      </c>
      <c r="G408" s="1" t="s">
        <v>70</v>
      </c>
      <c r="H408" s="26">
        <f t="shared" ca="1" si="18"/>
        <v>0.65596881352993652</v>
      </c>
      <c r="I408" s="4">
        <f>IF(G408="Yes",-$C$8,0)</f>
        <v>-5000</v>
      </c>
      <c r="J408" s="4">
        <f>IF(G408="Yes",$C$8-I408,0)</f>
        <v>10000</v>
      </c>
      <c r="K408" s="4">
        <f ca="1">IF(H408&gt;=$C$4,J408+I408,I408)</f>
        <v>5000</v>
      </c>
    </row>
    <row r="409" spans="5:11" x14ac:dyDescent="0.25">
      <c r="E409" s="1">
        <f t="shared" si="19"/>
        <v>406</v>
      </c>
      <c r="F409" s="4">
        <f t="shared" ca="1" si="20"/>
        <v>290000</v>
      </c>
      <c r="G409" s="1" t="s">
        <v>70</v>
      </c>
      <c r="H409" s="26">
        <f t="shared" ca="1" si="18"/>
        <v>0.35265998288398492</v>
      </c>
      <c r="I409" s="4">
        <f>IF(G409="Yes",-$C$8,0)</f>
        <v>-5000</v>
      </c>
      <c r="J409" s="4">
        <f>IF(G409="Yes",$C$8-I409,0)</f>
        <v>10000</v>
      </c>
      <c r="K409" s="4">
        <f ca="1">IF(H409&gt;=$C$4,J409+I409,I409)</f>
        <v>-5000</v>
      </c>
    </row>
    <row r="410" spans="5:11" x14ac:dyDescent="0.25">
      <c r="E410" s="1">
        <f t="shared" si="19"/>
        <v>407</v>
      </c>
      <c r="F410" s="4">
        <f t="shared" ca="1" si="20"/>
        <v>295000</v>
      </c>
      <c r="G410" s="1" t="s">
        <v>70</v>
      </c>
      <c r="H410" s="26">
        <f t="shared" ca="1" si="18"/>
        <v>0.49291371682545426</v>
      </c>
      <c r="I410" s="4">
        <f>IF(G410="Yes",-$C$8,0)</f>
        <v>-5000</v>
      </c>
      <c r="J410" s="4">
        <f>IF(G410="Yes",$C$8-I410,0)</f>
        <v>10000</v>
      </c>
      <c r="K410" s="4">
        <f ca="1">IF(H410&gt;=$C$4,J410+I410,I410)</f>
        <v>5000</v>
      </c>
    </row>
    <row r="411" spans="5:11" x14ac:dyDescent="0.25">
      <c r="E411" s="1">
        <f t="shared" si="19"/>
        <v>408</v>
      </c>
      <c r="F411" s="4">
        <f t="shared" ca="1" si="20"/>
        <v>300000</v>
      </c>
      <c r="G411" s="1" t="s">
        <v>70</v>
      </c>
      <c r="H411" s="26">
        <f t="shared" ca="1" si="18"/>
        <v>0.82242681739333678</v>
      </c>
      <c r="I411" s="4">
        <f>IF(G411="Yes",-$C$8,0)</f>
        <v>-5000</v>
      </c>
      <c r="J411" s="4">
        <f>IF(G411="Yes",$C$8-I411,0)</f>
        <v>10000</v>
      </c>
      <c r="K411" s="4">
        <f ca="1">IF(H411&gt;=$C$4,J411+I411,I411)</f>
        <v>5000</v>
      </c>
    </row>
    <row r="412" spans="5:11" x14ac:dyDescent="0.25">
      <c r="E412" s="1">
        <f t="shared" si="19"/>
        <v>409</v>
      </c>
      <c r="F412" s="4">
        <f t="shared" ca="1" si="20"/>
        <v>295000</v>
      </c>
      <c r="G412" s="1" t="s">
        <v>70</v>
      </c>
      <c r="H412" s="26">
        <f t="shared" ca="1" si="18"/>
        <v>0.22963428876757075</v>
      </c>
      <c r="I412" s="4">
        <f>IF(G412="Yes",-$C$8,0)</f>
        <v>-5000</v>
      </c>
      <c r="J412" s="4">
        <f>IF(G412="Yes",$C$8-I412,0)</f>
        <v>10000</v>
      </c>
      <c r="K412" s="4">
        <f ca="1">IF(H412&gt;=$C$4,J412+I412,I412)</f>
        <v>-5000</v>
      </c>
    </row>
    <row r="413" spans="5:11" x14ac:dyDescent="0.25">
      <c r="E413" s="1">
        <f t="shared" si="19"/>
        <v>410</v>
      </c>
      <c r="F413" s="4">
        <f t="shared" ca="1" si="20"/>
        <v>290000</v>
      </c>
      <c r="G413" s="1" t="s">
        <v>70</v>
      </c>
      <c r="H413" s="26">
        <f t="shared" ca="1" si="18"/>
        <v>0.29209591607784358</v>
      </c>
      <c r="I413" s="4">
        <f>IF(G413="Yes",-$C$8,0)</f>
        <v>-5000</v>
      </c>
      <c r="J413" s="4">
        <f>IF(G413="Yes",$C$8-I413,0)</f>
        <v>10000</v>
      </c>
      <c r="K413" s="4">
        <f ca="1">IF(H413&gt;=$C$4,J413+I413,I413)</f>
        <v>-5000</v>
      </c>
    </row>
    <row r="414" spans="5:11" x14ac:dyDescent="0.25">
      <c r="E414" s="1">
        <f t="shared" si="19"/>
        <v>411</v>
      </c>
      <c r="F414" s="4">
        <f t="shared" ca="1" si="20"/>
        <v>285000</v>
      </c>
      <c r="G414" s="1" t="s">
        <v>70</v>
      </c>
      <c r="H414" s="26">
        <f t="shared" ca="1" si="18"/>
        <v>0.19077262077946078</v>
      </c>
      <c r="I414" s="4">
        <f>IF(G414="Yes",-$C$8,0)</f>
        <v>-5000</v>
      </c>
      <c r="J414" s="4">
        <f>IF(G414="Yes",$C$8-I414,0)</f>
        <v>10000</v>
      </c>
      <c r="K414" s="4">
        <f ca="1">IF(H414&gt;=$C$4,J414+I414,I414)</f>
        <v>-5000</v>
      </c>
    </row>
    <row r="415" spans="5:11" x14ac:dyDescent="0.25">
      <c r="E415" s="1">
        <f t="shared" si="19"/>
        <v>412</v>
      </c>
      <c r="F415" s="4">
        <f t="shared" ca="1" si="20"/>
        <v>280000</v>
      </c>
      <c r="G415" s="1" t="s">
        <v>70</v>
      </c>
      <c r="H415" s="26">
        <f t="shared" ca="1" si="18"/>
        <v>0.23302696746169171</v>
      </c>
      <c r="I415" s="4">
        <f>IF(G415="Yes",-$C$8,0)</f>
        <v>-5000</v>
      </c>
      <c r="J415" s="4">
        <f>IF(G415="Yes",$C$8-I415,0)</f>
        <v>10000</v>
      </c>
      <c r="K415" s="4">
        <f ca="1">IF(H415&gt;=$C$4,J415+I415,I415)</f>
        <v>-5000</v>
      </c>
    </row>
    <row r="416" spans="5:11" x14ac:dyDescent="0.25">
      <c r="E416" s="1">
        <f t="shared" si="19"/>
        <v>413</v>
      </c>
      <c r="F416" s="4">
        <f t="shared" ca="1" si="20"/>
        <v>285000</v>
      </c>
      <c r="G416" s="1" t="s">
        <v>70</v>
      </c>
      <c r="H416" s="26">
        <f t="shared" ca="1" si="18"/>
        <v>0.89660265935797212</v>
      </c>
      <c r="I416" s="4">
        <f>IF(G416="Yes",-$C$8,0)</f>
        <v>-5000</v>
      </c>
      <c r="J416" s="4">
        <f>IF(G416="Yes",$C$8-I416,0)</f>
        <v>10000</v>
      </c>
      <c r="K416" s="4">
        <f ca="1">IF(H416&gt;=$C$4,J416+I416,I416)</f>
        <v>5000</v>
      </c>
    </row>
    <row r="417" spans="5:11" x14ac:dyDescent="0.25">
      <c r="E417" s="1">
        <f t="shared" si="19"/>
        <v>414</v>
      </c>
      <c r="F417" s="4">
        <f t="shared" ca="1" si="20"/>
        <v>290000</v>
      </c>
      <c r="G417" s="1" t="s">
        <v>70</v>
      </c>
      <c r="H417" s="26">
        <f t="shared" ca="1" si="18"/>
        <v>0.92607094847026317</v>
      </c>
      <c r="I417" s="4">
        <f>IF(G417="Yes",-$C$8,0)</f>
        <v>-5000</v>
      </c>
      <c r="J417" s="4">
        <f>IF(G417="Yes",$C$8-I417,0)</f>
        <v>10000</v>
      </c>
      <c r="K417" s="4">
        <f ca="1">IF(H417&gt;=$C$4,J417+I417,I417)</f>
        <v>5000</v>
      </c>
    </row>
    <row r="418" spans="5:11" x14ac:dyDescent="0.25">
      <c r="E418" s="1">
        <f t="shared" si="19"/>
        <v>415</v>
      </c>
      <c r="F418" s="4">
        <f t="shared" ca="1" si="20"/>
        <v>295000</v>
      </c>
      <c r="G418" s="1" t="s">
        <v>70</v>
      </c>
      <c r="H418" s="26">
        <f t="shared" ca="1" si="18"/>
        <v>0.55081056548077556</v>
      </c>
      <c r="I418" s="4">
        <f>IF(G418="Yes",-$C$8,0)</f>
        <v>-5000</v>
      </c>
      <c r="J418" s="4">
        <f>IF(G418="Yes",$C$8-I418,0)</f>
        <v>10000</v>
      </c>
      <c r="K418" s="4">
        <f ca="1">IF(H418&gt;=$C$4,J418+I418,I418)</f>
        <v>5000</v>
      </c>
    </row>
    <row r="419" spans="5:11" x14ac:dyDescent="0.25">
      <c r="E419" s="1">
        <f t="shared" si="19"/>
        <v>416</v>
      </c>
      <c r="F419" s="4">
        <f t="shared" ca="1" si="20"/>
        <v>290000</v>
      </c>
      <c r="G419" s="1" t="s">
        <v>70</v>
      </c>
      <c r="H419" s="26">
        <f t="shared" ca="1" si="18"/>
        <v>0.17263499444013963</v>
      </c>
      <c r="I419" s="4">
        <f>IF(G419="Yes",-$C$8,0)</f>
        <v>-5000</v>
      </c>
      <c r="J419" s="4">
        <f>IF(G419="Yes",$C$8-I419,0)</f>
        <v>10000</v>
      </c>
      <c r="K419" s="4">
        <f ca="1">IF(H419&gt;=$C$4,J419+I419,I419)</f>
        <v>-5000</v>
      </c>
    </row>
    <row r="420" spans="5:11" x14ac:dyDescent="0.25">
      <c r="E420" s="1">
        <f t="shared" si="19"/>
        <v>417</v>
      </c>
      <c r="F420" s="4">
        <f t="shared" ca="1" si="20"/>
        <v>295000</v>
      </c>
      <c r="G420" s="1" t="s">
        <v>70</v>
      </c>
      <c r="H420" s="26">
        <f t="shared" ca="1" si="18"/>
        <v>0.67958569461258267</v>
      </c>
      <c r="I420" s="4">
        <f>IF(G420="Yes",-$C$8,0)</f>
        <v>-5000</v>
      </c>
      <c r="J420" s="4">
        <f>IF(G420="Yes",$C$8-I420,0)</f>
        <v>10000</v>
      </c>
      <c r="K420" s="4">
        <f ca="1">IF(H420&gt;=$C$4,J420+I420,I420)</f>
        <v>5000</v>
      </c>
    </row>
    <row r="421" spans="5:11" x14ac:dyDescent="0.25">
      <c r="E421" s="1">
        <f t="shared" si="19"/>
        <v>418</v>
      </c>
      <c r="F421" s="4">
        <f t="shared" ca="1" si="20"/>
        <v>290000</v>
      </c>
      <c r="G421" s="1" t="s">
        <v>70</v>
      </c>
      <c r="H421" s="26">
        <f t="shared" ca="1" si="18"/>
        <v>4.8566687806797071E-2</v>
      </c>
      <c r="I421" s="4">
        <f>IF(G421="Yes",-$C$8,0)</f>
        <v>-5000</v>
      </c>
      <c r="J421" s="4">
        <f>IF(G421="Yes",$C$8-I421,0)</f>
        <v>10000</v>
      </c>
      <c r="K421" s="4">
        <f ca="1">IF(H421&gt;=$C$4,J421+I421,I421)</f>
        <v>-5000</v>
      </c>
    </row>
    <row r="422" spans="5:11" x14ac:dyDescent="0.25">
      <c r="E422" s="1">
        <f t="shared" si="19"/>
        <v>419</v>
      </c>
      <c r="F422" s="4">
        <f t="shared" ca="1" si="20"/>
        <v>295000</v>
      </c>
      <c r="G422" s="1" t="s">
        <v>70</v>
      </c>
      <c r="H422" s="26">
        <f t="shared" ca="1" si="18"/>
        <v>0.82358029609418837</v>
      </c>
      <c r="I422" s="4">
        <f>IF(G422="Yes",-$C$8,0)</f>
        <v>-5000</v>
      </c>
      <c r="J422" s="4">
        <f>IF(G422="Yes",$C$8-I422,0)</f>
        <v>10000</v>
      </c>
      <c r="K422" s="4">
        <f ca="1">IF(H422&gt;=$C$4,J422+I422,I422)</f>
        <v>5000</v>
      </c>
    </row>
    <row r="423" spans="5:11" x14ac:dyDescent="0.25">
      <c r="E423" s="1">
        <f t="shared" si="19"/>
        <v>420</v>
      </c>
      <c r="F423" s="4">
        <f t="shared" ca="1" si="20"/>
        <v>290000</v>
      </c>
      <c r="G423" s="1" t="s">
        <v>70</v>
      </c>
      <c r="H423" s="26">
        <f t="shared" ca="1" si="18"/>
        <v>0.38793623704114322</v>
      </c>
      <c r="I423" s="4">
        <f>IF(G423="Yes",-$C$8,0)</f>
        <v>-5000</v>
      </c>
      <c r="J423" s="4">
        <f>IF(G423="Yes",$C$8-I423,0)</f>
        <v>10000</v>
      </c>
      <c r="K423" s="4">
        <f ca="1">IF(H423&gt;=$C$4,J423+I423,I423)</f>
        <v>-5000</v>
      </c>
    </row>
    <row r="424" spans="5:11" x14ac:dyDescent="0.25">
      <c r="E424" s="1">
        <f t="shared" si="19"/>
        <v>421</v>
      </c>
      <c r="F424" s="4">
        <f t="shared" ca="1" si="20"/>
        <v>285000</v>
      </c>
      <c r="G424" s="1" t="s">
        <v>70</v>
      </c>
      <c r="H424" s="26">
        <f t="shared" ca="1" si="18"/>
        <v>2.5233635363302809E-2</v>
      </c>
      <c r="I424" s="4">
        <f>IF(G424="Yes",-$C$8,0)</f>
        <v>-5000</v>
      </c>
      <c r="J424" s="4">
        <f>IF(G424="Yes",$C$8-I424,0)</f>
        <v>10000</v>
      </c>
      <c r="K424" s="4">
        <f ca="1">IF(H424&gt;=$C$4,J424+I424,I424)</f>
        <v>-5000</v>
      </c>
    </row>
    <row r="425" spans="5:11" x14ac:dyDescent="0.25">
      <c r="E425" s="1">
        <f t="shared" si="19"/>
        <v>422</v>
      </c>
      <c r="F425" s="4">
        <f t="shared" ca="1" si="20"/>
        <v>290000</v>
      </c>
      <c r="G425" s="1" t="s">
        <v>70</v>
      </c>
      <c r="H425" s="26">
        <f t="shared" ca="1" si="18"/>
        <v>0.6493544112044044</v>
      </c>
      <c r="I425" s="4">
        <f>IF(G425="Yes",-$C$8,0)</f>
        <v>-5000</v>
      </c>
      <c r="J425" s="4">
        <f>IF(G425="Yes",$C$8-I425,0)</f>
        <v>10000</v>
      </c>
      <c r="K425" s="4">
        <f ca="1">IF(H425&gt;=$C$4,J425+I425,I425)</f>
        <v>5000</v>
      </c>
    </row>
    <row r="426" spans="5:11" x14ac:dyDescent="0.25">
      <c r="E426" s="1">
        <f t="shared" si="19"/>
        <v>423</v>
      </c>
      <c r="F426" s="4">
        <f t="shared" ca="1" si="20"/>
        <v>285000</v>
      </c>
      <c r="G426" s="1" t="s">
        <v>70</v>
      </c>
      <c r="H426" s="26">
        <f t="shared" ca="1" si="18"/>
        <v>0.3115720053529728</v>
      </c>
      <c r="I426" s="4">
        <f>IF(G426="Yes",-$C$8,0)</f>
        <v>-5000</v>
      </c>
      <c r="J426" s="4">
        <f>IF(G426="Yes",$C$8-I426,0)</f>
        <v>10000</v>
      </c>
      <c r="K426" s="4">
        <f ca="1">IF(H426&gt;=$C$4,J426+I426,I426)</f>
        <v>-5000</v>
      </c>
    </row>
    <row r="427" spans="5:11" x14ac:dyDescent="0.25">
      <c r="E427" s="1">
        <f t="shared" si="19"/>
        <v>424</v>
      </c>
      <c r="F427" s="4">
        <f t="shared" ca="1" si="20"/>
        <v>290000</v>
      </c>
      <c r="G427" s="1" t="s">
        <v>70</v>
      </c>
      <c r="H427" s="26">
        <f t="shared" ca="1" si="18"/>
        <v>0.99896375299090912</v>
      </c>
      <c r="I427" s="4">
        <f>IF(G427="Yes",-$C$8,0)</f>
        <v>-5000</v>
      </c>
      <c r="J427" s="4">
        <f>IF(G427="Yes",$C$8-I427,0)</f>
        <v>10000</v>
      </c>
      <c r="K427" s="4">
        <f ca="1">IF(H427&gt;=$C$4,J427+I427,I427)</f>
        <v>5000</v>
      </c>
    </row>
    <row r="428" spans="5:11" x14ac:dyDescent="0.25">
      <c r="E428" s="1">
        <f t="shared" si="19"/>
        <v>425</v>
      </c>
      <c r="F428" s="4">
        <f t="shared" ca="1" si="20"/>
        <v>285000</v>
      </c>
      <c r="G428" s="1" t="s">
        <v>70</v>
      </c>
      <c r="H428" s="26">
        <f t="shared" ca="1" si="18"/>
        <v>0.25617519303531122</v>
      </c>
      <c r="I428" s="4">
        <f>IF(G428="Yes",-$C$8,0)</f>
        <v>-5000</v>
      </c>
      <c r="J428" s="4">
        <f>IF(G428="Yes",$C$8-I428,0)</f>
        <v>10000</v>
      </c>
      <c r="K428" s="4">
        <f ca="1">IF(H428&gt;=$C$4,J428+I428,I428)</f>
        <v>-5000</v>
      </c>
    </row>
    <row r="429" spans="5:11" x14ac:dyDescent="0.25">
      <c r="E429" s="1">
        <f t="shared" si="19"/>
        <v>426</v>
      </c>
      <c r="F429" s="4">
        <f t="shared" ca="1" si="20"/>
        <v>290000</v>
      </c>
      <c r="G429" s="1" t="s">
        <v>70</v>
      </c>
      <c r="H429" s="26">
        <f t="shared" ca="1" si="18"/>
        <v>0.63814040038253139</v>
      </c>
      <c r="I429" s="4">
        <f>IF(G429="Yes",-$C$8,0)</f>
        <v>-5000</v>
      </c>
      <c r="J429" s="4">
        <f>IF(G429="Yes",$C$8-I429,0)</f>
        <v>10000</v>
      </c>
      <c r="K429" s="4">
        <f ca="1">IF(H429&gt;=$C$4,J429+I429,I429)</f>
        <v>5000</v>
      </c>
    </row>
    <row r="430" spans="5:11" x14ac:dyDescent="0.25">
      <c r="E430" s="1">
        <f t="shared" si="19"/>
        <v>427</v>
      </c>
      <c r="F430" s="4">
        <f t="shared" ca="1" si="20"/>
        <v>295000</v>
      </c>
      <c r="G430" s="1" t="s">
        <v>70</v>
      </c>
      <c r="H430" s="26">
        <f t="shared" ca="1" si="18"/>
        <v>0.48993362225819748</v>
      </c>
      <c r="I430" s="4">
        <f>IF(G430="Yes",-$C$8,0)</f>
        <v>-5000</v>
      </c>
      <c r="J430" s="4">
        <f>IF(G430="Yes",$C$8-I430,0)</f>
        <v>10000</v>
      </c>
      <c r="K430" s="4">
        <f ca="1">IF(H430&gt;=$C$4,J430+I430,I430)</f>
        <v>5000</v>
      </c>
    </row>
    <row r="431" spans="5:11" x14ac:dyDescent="0.25">
      <c r="E431" s="1">
        <f t="shared" si="19"/>
        <v>428</v>
      </c>
      <c r="F431" s="4">
        <f t="shared" ca="1" si="20"/>
        <v>300000</v>
      </c>
      <c r="G431" s="1" t="s">
        <v>70</v>
      </c>
      <c r="H431" s="26">
        <f t="shared" ca="1" si="18"/>
        <v>0.63684383954111079</v>
      </c>
      <c r="I431" s="4">
        <f>IF(G431="Yes",-$C$8,0)</f>
        <v>-5000</v>
      </c>
      <c r="J431" s="4">
        <f>IF(G431="Yes",$C$8-I431,0)</f>
        <v>10000</v>
      </c>
      <c r="K431" s="4">
        <f ca="1">IF(H431&gt;=$C$4,J431+I431,I431)</f>
        <v>5000</v>
      </c>
    </row>
    <row r="432" spans="5:11" x14ac:dyDescent="0.25">
      <c r="E432" s="1">
        <f t="shared" si="19"/>
        <v>429</v>
      </c>
      <c r="F432" s="4">
        <f t="shared" ca="1" si="20"/>
        <v>305000</v>
      </c>
      <c r="G432" s="1" t="s">
        <v>70</v>
      </c>
      <c r="H432" s="26">
        <f t="shared" ca="1" si="18"/>
        <v>0.47703001832932168</v>
      </c>
      <c r="I432" s="4">
        <f>IF(G432="Yes",-$C$8,0)</f>
        <v>-5000</v>
      </c>
      <c r="J432" s="4">
        <f>IF(G432="Yes",$C$8-I432,0)</f>
        <v>10000</v>
      </c>
      <c r="K432" s="4">
        <f ca="1">IF(H432&gt;=$C$4,J432+I432,I432)</f>
        <v>5000</v>
      </c>
    </row>
    <row r="433" spans="5:11" x14ac:dyDescent="0.25">
      <c r="E433" s="1">
        <f t="shared" si="19"/>
        <v>430</v>
      </c>
      <c r="F433" s="4">
        <f t="shared" ca="1" si="20"/>
        <v>310000</v>
      </c>
      <c r="G433" s="1" t="s">
        <v>70</v>
      </c>
      <c r="H433" s="26">
        <f t="shared" ca="1" si="18"/>
        <v>0.82946685817114607</v>
      </c>
      <c r="I433" s="4">
        <f>IF(G433="Yes",-$C$8,0)</f>
        <v>-5000</v>
      </c>
      <c r="J433" s="4">
        <f>IF(G433="Yes",$C$8-I433,0)</f>
        <v>10000</v>
      </c>
      <c r="K433" s="4">
        <f ca="1">IF(H433&gt;=$C$4,J433+I433,I433)</f>
        <v>5000</v>
      </c>
    </row>
    <row r="434" spans="5:11" x14ac:dyDescent="0.25">
      <c r="E434" s="1">
        <f t="shared" si="19"/>
        <v>431</v>
      </c>
      <c r="F434" s="4">
        <f t="shared" ca="1" si="20"/>
        <v>315000</v>
      </c>
      <c r="G434" s="1" t="s">
        <v>70</v>
      </c>
      <c r="H434" s="26">
        <f t="shared" ca="1" si="18"/>
        <v>0.86502610063968599</v>
      </c>
      <c r="I434" s="4">
        <f>IF(G434="Yes",-$C$8,0)</f>
        <v>-5000</v>
      </c>
      <c r="J434" s="4">
        <f>IF(G434="Yes",$C$8-I434,0)</f>
        <v>10000</v>
      </c>
      <c r="K434" s="4">
        <f ca="1">IF(H434&gt;=$C$4,J434+I434,I434)</f>
        <v>5000</v>
      </c>
    </row>
    <row r="435" spans="5:11" x14ac:dyDescent="0.25">
      <c r="E435" s="1">
        <f t="shared" si="19"/>
        <v>432</v>
      </c>
      <c r="F435" s="4">
        <f t="shared" ca="1" si="20"/>
        <v>320000</v>
      </c>
      <c r="G435" s="1" t="s">
        <v>70</v>
      </c>
      <c r="H435" s="26">
        <f t="shared" ca="1" si="18"/>
        <v>0.96298007454810597</v>
      </c>
      <c r="I435" s="4">
        <f>IF(G435="Yes",-$C$8,0)</f>
        <v>-5000</v>
      </c>
      <c r="J435" s="4">
        <f>IF(G435="Yes",$C$8-I435,0)</f>
        <v>10000</v>
      </c>
      <c r="K435" s="4">
        <f ca="1">IF(H435&gt;=$C$4,J435+I435,I435)</f>
        <v>5000</v>
      </c>
    </row>
    <row r="436" spans="5:11" x14ac:dyDescent="0.25">
      <c r="E436" s="1">
        <f t="shared" si="19"/>
        <v>433</v>
      </c>
      <c r="F436" s="4">
        <f t="shared" ca="1" si="20"/>
        <v>325000</v>
      </c>
      <c r="G436" s="1" t="s">
        <v>70</v>
      </c>
      <c r="H436" s="26">
        <f t="shared" ca="1" si="18"/>
        <v>0.45643071796869372</v>
      </c>
      <c r="I436" s="4">
        <f>IF(G436="Yes",-$C$8,0)</f>
        <v>-5000</v>
      </c>
      <c r="J436" s="4">
        <f>IF(G436="Yes",$C$8-I436,0)</f>
        <v>10000</v>
      </c>
      <c r="K436" s="4">
        <f ca="1">IF(H436&gt;=$C$4,J436+I436,I436)</f>
        <v>5000</v>
      </c>
    </row>
    <row r="437" spans="5:11" x14ac:dyDescent="0.25">
      <c r="E437" s="1">
        <f t="shared" si="19"/>
        <v>434</v>
      </c>
      <c r="F437" s="4">
        <f t="shared" ca="1" si="20"/>
        <v>320000</v>
      </c>
      <c r="G437" s="1" t="s">
        <v>70</v>
      </c>
      <c r="H437" s="26">
        <f t="shared" ca="1" si="18"/>
        <v>0.11764430448663898</v>
      </c>
      <c r="I437" s="4">
        <f>IF(G437="Yes",-$C$8,0)</f>
        <v>-5000</v>
      </c>
      <c r="J437" s="4">
        <f>IF(G437="Yes",$C$8-I437,0)</f>
        <v>10000</v>
      </c>
      <c r="K437" s="4">
        <f ca="1">IF(H437&gt;=$C$4,J437+I437,I437)</f>
        <v>-5000</v>
      </c>
    </row>
    <row r="438" spans="5:11" x14ac:dyDescent="0.25">
      <c r="E438" s="1">
        <f t="shared" si="19"/>
        <v>435</v>
      </c>
      <c r="F438" s="4">
        <f t="shared" ca="1" si="20"/>
        <v>325000</v>
      </c>
      <c r="G438" s="1" t="s">
        <v>70</v>
      </c>
      <c r="H438" s="26">
        <f t="shared" ca="1" si="18"/>
        <v>0.98747863781913148</v>
      </c>
      <c r="I438" s="4">
        <f>IF(G438="Yes",-$C$8,0)</f>
        <v>-5000</v>
      </c>
      <c r="J438" s="4">
        <f>IF(G438="Yes",$C$8-I438,0)</f>
        <v>10000</v>
      </c>
      <c r="K438" s="4">
        <f ca="1">IF(H438&gt;=$C$4,J438+I438,I438)</f>
        <v>5000</v>
      </c>
    </row>
    <row r="439" spans="5:11" x14ac:dyDescent="0.25">
      <c r="E439" s="1">
        <f t="shared" si="19"/>
        <v>436</v>
      </c>
      <c r="F439" s="4">
        <f t="shared" ca="1" si="20"/>
        <v>320000</v>
      </c>
      <c r="G439" s="1" t="s">
        <v>70</v>
      </c>
      <c r="H439" s="26">
        <f t="shared" ca="1" si="18"/>
        <v>0.23737954358292712</v>
      </c>
      <c r="I439" s="4">
        <f>IF(G439="Yes",-$C$8,0)</f>
        <v>-5000</v>
      </c>
      <c r="J439" s="4">
        <f>IF(G439="Yes",$C$8-I439,0)</f>
        <v>10000</v>
      </c>
      <c r="K439" s="4">
        <f ca="1">IF(H439&gt;=$C$4,J439+I439,I439)</f>
        <v>-5000</v>
      </c>
    </row>
    <row r="440" spans="5:11" x14ac:dyDescent="0.25">
      <c r="E440" s="1">
        <f t="shared" si="19"/>
        <v>437</v>
      </c>
      <c r="F440" s="4">
        <f t="shared" ca="1" si="20"/>
        <v>315000</v>
      </c>
      <c r="G440" s="1" t="s">
        <v>70</v>
      </c>
      <c r="H440" s="26">
        <f t="shared" ca="1" si="18"/>
        <v>0.32619166521501464</v>
      </c>
      <c r="I440" s="4">
        <f>IF(G440="Yes",-$C$8,0)</f>
        <v>-5000</v>
      </c>
      <c r="J440" s="4">
        <f>IF(G440="Yes",$C$8-I440,0)</f>
        <v>10000</v>
      </c>
      <c r="K440" s="4">
        <f ca="1">IF(H440&gt;=$C$4,J440+I440,I440)</f>
        <v>-5000</v>
      </c>
    </row>
    <row r="441" spans="5:11" x14ac:dyDescent="0.25">
      <c r="E441" s="1">
        <f t="shared" si="19"/>
        <v>438</v>
      </c>
      <c r="F441" s="4">
        <f t="shared" ca="1" si="20"/>
        <v>310000</v>
      </c>
      <c r="G441" s="1" t="s">
        <v>70</v>
      </c>
      <c r="H441" s="26">
        <f t="shared" ca="1" si="18"/>
        <v>0.33371902159484745</v>
      </c>
      <c r="I441" s="4">
        <f>IF(G441="Yes",-$C$8,0)</f>
        <v>-5000</v>
      </c>
      <c r="J441" s="4">
        <f>IF(G441="Yes",$C$8-I441,0)</f>
        <v>10000</v>
      </c>
      <c r="K441" s="4">
        <f ca="1">IF(H441&gt;=$C$4,J441+I441,I441)</f>
        <v>-5000</v>
      </c>
    </row>
    <row r="442" spans="5:11" x14ac:dyDescent="0.25">
      <c r="E442" s="1">
        <f t="shared" si="19"/>
        <v>439</v>
      </c>
      <c r="F442" s="4">
        <f t="shared" ca="1" si="20"/>
        <v>305000</v>
      </c>
      <c r="G442" s="1" t="s">
        <v>70</v>
      </c>
      <c r="H442" s="26">
        <f t="shared" ca="1" si="18"/>
        <v>0.20461585707601126</v>
      </c>
      <c r="I442" s="4">
        <f>IF(G442="Yes",-$C$8,0)</f>
        <v>-5000</v>
      </c>
      <c r="J442" s="4">
        <f>IF(G442="Yes",$C$8-I442,0)</f>
        <v>10000</v>
      </c>
      <c r="K442" s="4">
        <f ca="1">IF(H442&gt;=$C$4,J442+I442,I442)</f>
        <v>-5000</v>
      </c>
    </row>
    <row r="443" spans="5:11" x14ac:dyDescent="0.25">
      <c r="E443" s="1">
        <f t="shared" si="19"/>
        <v>440</v>
      </c>
      <c r="F443" s="4">
        <f t="shared" ca="1" si="20"/>
        <v>310000</v>
      </c>
      <c r="G443" s="1" t="s">
        <v>70</v>
      </c>
      <c r="H443" s="26">
        <f t="shared" ca="1" si="18"/>
        <v>0.85426440355040023</v>
      </c>
      <c r="I443" s="4">
        <f>IF(G443="Yes",-$C$8,0)</f>
        <v>-5000</v>
      </c>
      <c r="J443" s="4">
        <f>IF(G443="Yes",$C$8-I443,0)</f>
        <v>10000</v>
      </c>
      <c r="K443" s="4">
        <f ca="1">IF(H443&gt;=$C$4,J443+I443,I443)</f>
        <v>5000</v>
      </c>
    </row>
    <row r="444" spans="5:11" x14ac:dyDescent="0.25">
      <c r="E444" s="1">
        <f t="shared" si="19"/>
        <v>441</v>
      </c>
      <c r="F444" s="4">
        <f t="shared" ca="1" si="20"/>
        <v>305000</v>
      </c>
      <c r="G444" s="1" t="s">
        <v>70</v>
      </c>
      <c r="H444" s="26">
        <f t="shared" ca="1" si="18"/>
        <v>0.30508363559668772</v>
      </c>
      <c r="I444" s="4">
        <f>IF(G444="Yes",-$C$8,0)</f>
        <v>-5000</v>
      </c>
      <c r="J444" s="4">
        <f>IF(G444="Yes",$C$8-I444,0)</f>
        <v>10000</v>
      </c>
      <c r="K444" s="4">
        <f ca="1">IF(H444&gt;=$C$4,J444+I444,I444)</f>
        <v>-5000</v>
      </c>
    </row>
    <row r="445" spans="5:11" x14ac:dyDescent="0.25">
      <c r="E445" s="1">
        <f t="shared" si="19"/>
        <v>442</v>
      </c>
      <c r="F445" s="4">
        <f t="shared" ca="1" si="20"/>
        <v>300000</v>
      </c>
      <c r="G445" s="1" t="s">
        <v>70</v>
      </c>
      <c r="H445" s="26">
        <f t="shared" ca="1" si="18"/>
        <v>0.13213994486738667</v>
      </c>
      <c r="I445" s="4">
        <f>IF(G445="Yes",-$C$8,0)</f>
        <v>-5000</v>
      </c>
      <c r="J445" s="4">
        <f>IF(G445="Yes",$C$8-I445,0)</f>
        <v>10000</v>
      </c>
      <c r="K445" s="4">
        <f ca="1">IF(H445&gt;=$C$4,J445+I445,I445)</f>
        <v>-5000</v>
      </c>
    </row>
    <row r="446" spans="5:11" x14ac:dyDescent="0.25">
      <c r="E446" s="1">
        <f t="shared" si="19"/>
        <v>443</v>
      </c>
      <c r="F446" s="4">
        <f t="shared" ca="1" si="20"/>
        <v>305000</v>
      </c>
      <c r="G446" s="1" t="s">
        <v>70</v>
      </c>
      <c r="H446" s="26">
        <f t="shared" ca="1" si="18"/>
        <v>0.84744835916435179</v>
      </c>
      <c r="I446" s="4">
        <f>IF(G446="Yes",-$C$8,0)</f>
        <v>-5000</v>
      </c>
      <c r="J446" s="4">
        <f>IF(G446="Yes",$C$8-I446,0)</f>
        <v>10000</v>
      </c>
      <c r="K446" s="4">
        <f ca="1">IF(H446&gt;=$C$4,J446+I446,I446)</f>
        <v>5000</v>
      </c>
    </row>
    <row r="447" spans="5:11" x14ac:dyDescent="0.25">
      <c r="E447" s="1">
        <f t="shared" si="19"/>
        <v>444</v>
      </c>
      <c r="F447" s="4">
        <f t="shared" ca="1" si="20"/>
        <v>300000</v>
      </c>
      <c r="G447" s="1" t="s">
        <v>70</v>
      </c>
      <c r="H447" s="26">
        <f t="shared" ca="1" si="18"/>
        <v>5.3794253303980022E-2</v>
      </c>
      <c r="I447" s="4">
        <f>IF(G447="Yes",-$C$8,0)</f>
        <v>-5000</v>
      </c>
      <c r="J447" s="4">
        <f>IF(G447="Yes",$C$8-I447,0)</f>
        <v>10000</v>
      </c>
      <c r="K447" s="4">
        <f ca="1">IF(H447&gt;=$C$4,J447+I447,I447)</f>
        <v>-5000</v>
      </c>
    </row>
    <row r="448" spans="5:11" x14ac:dyDescent="0.25">
      <c r="E448" s="1">
        <f t="shared" si="19"/>
        <v>445</v>
      </c>
      <c r="F448" s="4">
        <f t="shared" ca="1" si="20"/>
        <v>295000</v>
      </c>
      <c r="G448" s="1" t="s">
        <v>70</v>
      </c>
      <c r="H448" s="26">
        <f t="shared" ca="1" si="18"/>
        <v>0.21997753575200418</v>
      </c>
      <c r="I448" s="4">
        <f>IF(G448="Yes",-$C$8,0)</f>
        <v>-5000</v>
      </c>
      <c r="J448" s="4">
        <f>IF(G448="Yes",$C$8-I448,0)</f>
        <v>10000</v>
      </c>
      <c r="K448" s="4">
        <f ca="1">IF(H448&gt;=$C$4,J448+I448,I448)</f>
        <v>-5000</v>
      </c>
    </row>
    <row r="449" spans="5:11" x14ac:dyDescent="0.25">
      <c r="E449" s="1">
        <f t="shared" si="19"/>
        <v>446</v>
      </c>
      <c r="F449" s="4">
        <f t="shared" ca="1" si="20"/>
        <v>300000</v>
      </c>
      <c r="G449" s="1" t="s">
        <v>70</v>
      </c>
      <c r="H449" s="26">
        <f t="shared" ca="1" si="18"/>
        <v>0.63637344096390902</v>
      </c>
      <c r="I449" s="4">
        <f>IF(G449="Yes",-$C$8,0)</f>
        <v>-5000</v>
      </c>
      <c r="J449" s="4">
        <f>IF(G449="Yes",$C$8-I449,0)</f>
        <v>10000</v>
      </c>
      <c r="K449" s="4">
        <f ca="1">IF(H449&gt;=$C$4,J449+I449,I449)</f>
        <v>5000</v>
      </c>
    </row>
    <row r="450" spans="5:11" x14ac:dyDescent="0.25">
      <c r="E450" s="1">
        <f t="shared" si="19"/>
        <v>447</v>
      </c>
      <c r="F450" s="4">
        <f t="shared" ca="1" si="20"/>
        <v>305000</v>
      </c>
      <c r="G450" s="1" t="s">
        <v>70</v>
      </c>
      <c r="H450" s="26">
        <f t="shared" ca="1" si="18"/>
        <v>0.75473839227371231</v>
      </c>
      <c r="I450" s="4">
        <f>IF(G450="Yes",-$C$8,0)</f>
        <v>-5000</v>
      </c>
      <c r="J450" s="4">
        <f>IF(G450="Yes",$C$8-I450,0)</f>
        <v>10000</v>
      </c>
      <c r="K450" s="4">
        <f ca="1">IF(H450&gt;=$C$4,J450+I450,I450)</f>
        <v>5000</v>
      </c>
    </row>
    <row r="451" spans="5:11" x14ac:dyDescent="0.25">
      <c r="E451" s="1">
        <f t="shared" si="19"/>
        <v>448</v>
      </c>
      <c r="F451" s="4">
        <f t="shared" ca="1" si="20"/>
        <v>310000</v>
      </c>
      <c r="G451" s="1" t="s">
        <v>70</v>
      </c>
      <c r="H451" s="26">
        <f t="shared" ca="1" si="18"/>
        <v>0.89395690853729981</v>
      </c>
      <c r="I451" s="4">
        <f>IF(G451="Yes",-$C$8,0)</f>
        <v>-5000</v>
      </c>
      <c r="J451" s="4">
        <f>IF(G451="Yes",$C$8-I451,0)</f>
        <v>10000</v>
      </c>
      <c r="K451" s="4">
        <f ca="1">IF(H451&gt;=$C$4,J451+I451,I451)</f>
        <v>5000</v>
      </c>
    </row>
    <row r="452" spans="5:11" x14ac:dyDescent="0.25">
      <c r="E452" s="1">
        <f t="shared" si="19"/>
        <v>449</v>
      </c>
      <c r="F452" s="4">
        <f t="shared" ca="1" si="20"/>
        <v>315000</v>
      </c>
      <c r="G452" s="1" t="s">
        <v>70</v>
      </c>
      <c r="H452" s="26">
        <f t="shared" ref="H452:H515" ca="1" si="21">RAND()</f>
        <v>0.74983841226695414</v>
      </c>
      <c r="I452" s="4">
        <f>IF(G452="Yes",-$C$8,0)</f>
        <v>-5000</v>
      </c>
      <c r="J452" s="4">
        <f>IF(G452="Yes",$C$8-I452,0)</f>
        <v>10000</v>
      </c>
      <c r="K452" s="4">
        <f ca="1">IF(H452&gt;=$C$4,J452+I452,I452)</f>
        <v>5000</v>
      </c>
    </row>
    <row r="453" spans="5:11" x14ac:dyDescent="0.25">
      <c r="E453" s="1">
        <f t="shared" ref="E453:G516" si="22">E452+1</f>
        <v>450</v>
      </c>
      <c r="F453" s="4">
        <f t="shared" ref="F453:F516" ca="1" si="23">F452+K453</f>
        <v>320000</v>
      </c>
      <c r="G453" s="1" t="s">
        <v>70</v>
      </c>
      <c r="H453" s="26">
        <f t="shared" ca="1" si="21"/>
        <v>0.92069450079363357</v>
      </c>
      <c r="I453" s="4">
        <f>IF(G453="Yes",-$C$8,0)</f>
        <v>-5000</v>
      </c>
      <c r="J453" s="4">
        <f>IF(G453="Yes",$C$8-I453,0)</f>
        <v>10000</v>
      </c>
      <c r="K453" s="4">
        <f ca="1">IF(H453&gt;=$C$4,J453+I453,I453)</f>
        <v>5000</v>
      </c>
    </row>
    <row r="454" spans="5:11" x14ac:dyDescent="0.25">
      <c r="E454" s="1">
        <f t="shared" si="22"/>
        <v>451</v>
      </c>
      <c r="F454" s="4">
        <f t="shared" ca="1" si="23"/>
        <v>325000</v>
      </c>
      <c r="G454" s="1" t="s">
        <v>70</v>
      </c>
      <c r="H454" s="26">
        <f t="shared" ca="1" si="21"/>
        <v>0.69199147177455755</v>
      </c>
      <c r="I454" s="4">
        <f>IF(G454="Yes",-$C$8,0)</f>
        <v>-5000</v>
      </c>
      <c r="J454" s="4">
        <f>IF(G454="Yes",$C$8-I454,0)</f>
        <v>10000</v>
      </c>
      <c r="K454" s="4">
        <f ca="1">IF(H454&gt;=$C$4,J454+I454,I454)</f>
        <v>5000</v>
      </c>
    </row>
    <row r="455" spans="5:11" x14ac:dyDescent="0.25">
      <c r="E455" s="1">
        <f t="shared" si="22"/>
        <v>452</v>
      </c>
      <c r="F455" s="4">
        <f t="shared" ca="1" si="23"/>
        <v>320000</v>
      </c>
      <c r="G455" s="1" t="s">
        <v>70</v>
      </c>
      <c r="H455" s="26">
        <f t="shared" ca="1" si="21"/>
        <v>0.30276443617968141</v>
      </c>
      <c r="I455" s="4">
        <f>IF(G455="Yes",-$C$8,0)</f>
        <v>-5000</v>
      </c>
      <c r="J455" s="4">
        <f>IF(G455="Yes",$C$8-I455,0)</f>
        <v>10000</v>
      </c>
      <c r="K455" s="4">
        <f ca="1">IF(H455&gt;=$C$4,J455+I455,I455)</f>
        <v>-5000</v>
      </c>
    </row>
    <row r="456" spans="5:11" x14ac:dyDescent="0.25">
      <c r="E456" s="1">
        <f t="shared" si="22"/>
        <v>453</v>
      </c>
      <c r="F456" s="4">
        <f t="shared" ca="1" si="23"/>
        <v>315000</v>
      </c>
      <c r="G456" s="1" t="s">
        <v>70</v>
      </c>
      <c r="H456" s="26">
        <f t="shared" ca="1" si="21"/>
        <v>2.7149515551826875E-2</v>
      </c>
      <c r="I456" s="4">
        <f>IF(G456="Yes",-$C$8,0)</f>
        <v>-5000</v>
      </c>
      <c r="J456" s="4">
        <f>IF(G456="Yes",$C$8-I456,0)</f>
        <v>10000</v>
      </c>
      <c r="K456" s="4">
        <f ca="1">IF(H456&gt;=$C$4,J456+I456,I456)</f>
        <v>-5000</v>
      </c>
    </row>
    <row r="457" spans="5:11" x14ac:dyDescent="0.25">
      <c r="E457" s="1">
        <f t="shared" si="22"/>
        <v>454</v>
      </c>
      <c r="F457" s="4">
        <f t="shared" ca="1" si="23"/>
        <v>320000</v>
      </c>
      <c r="G457" s="1" t="s">
        <v>70</v>
      </c>
      <c r="H457" s="26">
        <f t="shared" ca="1" si="21"/>
        <v>0.70804571571517527</v>
      </c>
      <c r="I457" s="4">
        <f>IF(G457="Yes",-$C$8,0)</f>
        <v>-5000</v>
      </c>
      <c r="J457" s="4">
        <f>IF(G457="Yes",$C$8-I457,0)</f>
        <v>10000</v>
      </c>
      <c r="K457" s="4">
        <f ca="1">IF(H457&gt;=$C$4,J457+I457,I457)</f>
        <v>5000</v>
      </c>
    </row>
    <row r="458" spans="5:11" x14ac:dyDescent="0.25">
      <c r="E458" s="1">
        <f t="shared" si="22"/>
        <v>455</v>
      </c>
      <c r="F458" s="4">
        <f t="shared" ca="1" si="23"/>
        <v>315000</v>
      </c>
      <c r="G458" s="1" t="s">
        <v>70</v>
      </c>
      <c r="H458" s="26">
        <f t="shared" ca="1" si="21"/>
        <v>0.13101481174596608</v>
      </c>
      <c r="I458" s="4">
        <f>IF(G458="Yes",-$C$8,0)</f>
        <v>-5000</v>
      </c>
      <c r="J458" s="4">
        <f>IF(G458="Yes",$C$8-I458,0)</f>
        <v>10000</v>
      </c>
      <c r="K458" s="4">
        <f ca="1">IF(H458&gt;=$C$4,J458+I458,I458)</f>
        <v>-5000</v>
      </c>
    </row>
    <row r="459" spans="5:11" x14ac:dyDescent="0.25">
      <c r="E459" s="1">
        <f t="shared" si="22"/>
        <v>456</v>
      </c>
      <c r="F459" s="4">
        <f t="shared" ca="1" si="23"/>
        <v>320000</v>
      </c>
      <c r="G459" s="1" t="s">
        <v>70</v>
      </c>
      <c r="H459" s="26">
        <f t="shared" ca="1" si="21"/>
        <v>0.7593749200825165</v>
      </c>
      <c r="I459" s="4">
        <f>IF(G459="Yes",-$C$8,0)</f>
        <v>-5000</v>
      </c>
      <c r="J459" s="4">
        <f>IF(G459="Yes",$C$8-I459,0)</f>
        <v>10000</v>
      </c>
      <c r="K459" s="4">
        <f ca="1">IF(H459&gt;=$C$4,J459+I459,I459)</f>
        <v>5000</v>
      </c>
    </row>
    <row r="460" spans="5:11" x14ac:dyDescent="0.25">
      <c r="E460" s="1">
        <f t="shared" si="22"/>
        <v>457</v>
      </c>
      <c r="F460" s="4">
        <f t="shared" ca="1" si="23"/>
        <v>315000</v>
      </c>
      <c r="G460" s="1" t="s">
        <v>70</v>
      </c>
      <c r="H460" s="26">
        <f t="shared" ca="1" si="21"/>
        <v>0.3752869491766162</v>
      </c>
      <c r="I460" s="4">
        <f>IF(G460="Yes",-$C$8,0)</f>
        <v>-5000</v>
      </c>
      <c r="J460" s="4">
        <f>IF(G460="Yes",$C$8-I460,0)</f>
        <v>10000</v>
      </c>
      <c r="K460" s="4">
        <f ca="1">IF(H460&gt;=$C$4,J460+I460,I460)</f>
        <v>-5000</v>
      </c>
    </row>
    <row r="461" spans="5:11" x14ac:dyDescent="0.25">
      <c r="E461" s="1">
        <f t="shared" si="22"/>
        <v>458</v>
      </c>
      <c r="F461" s="4">
        <f t="shared" ca="1" si="23"/>
        <v>320000</v>
      </c>
      <c r="G461" s="1" t="s">
        <v>70</v>
      </c>
      <c r="H461" s="26">
        <f t="shared" ca="1" si="21"/>
        <v>0.63380961370794231</v>
      </c>
      <c r="I461" s="4">
        <f>IF(G461="Yes",-$C$8,0)</f>
        <v>-5000</v>
      </c>
      <c r="J461" s="4">
        <f>IF(G461="Yes",$C$8-I461,0)</f>
        <v>10000</v>
      </c>
      <c r="K461" s="4">
        <f ca="1">IF(H461&gt;=$C$4,J461+I461,I461)</f>
        <v>5000</v>
      </c>
    </row>
    <row r="462" spans="5:11" x14ac:dyDescent="0.25">
      <c r="E462" s="1">
        <f t="shared" si="22"/>
        <v>459</v>
      </c>
      <c r="F462" s="4">
        <f t="shared" ca="1" si="23"/>
        <v>325000</v>
      </c>
      <c r="G462" s="1" t="s">
        <v>70</v>
      </c>
      <c r="H462" s="26">
        <f t="shared" ca="1" si="21"/>
        <v>0.5959812169929658</v>
      </c>
      <c r="I462" s="4">
        <f>IF(G462="Yes",-$C$8,0)</f>
        <v>-5000</v>
      </c>
      <c r="J462" s="4">
        <f>IF(G462="Yes",$C$8-I462,0)</f>
        <v>10000</v>
      </c>
      <c r="K462" s="4">
        <f ca="1">IF(H462&gt;=$C$4,J462+I462,I462)</f>
        <v>5000</v>
      </c>
    </row>
    <row r="463" spans="5:11" x14ac:dyDescent="0.25">
      <c r="E463" s="1">
        <f t="shared" si="22"/>
        <v>460</v>
      </c>
      <c r="F463" s="4">
        <f t="shared" ca="1" si="23"/>
        <v>320000</v>
      </c>
      <c r="G463" s="1" t="s">
        <v>70</v>
      </c>
      <c r="H463" s="26">
        <f t="shared" ca="1" si="21"/>
        <v>0.30071309424275927</v>
      </c>
      <c r="I463" s="4">
        <f>IF(G463="Yes",-$C$8,0)</f>
        <v>-5000</v>
      </c>
      <c r="J463" s="4">
        <f>IF(G463="Yes",$C$8-I463,0)</f>
        <v>10000</v>
      </c>
      <c r="K463" s="4">
        <f ca="1">IF(H463&gt;=$C$4,J463+I463,I463)</f>
        <v>-5000</v>
      </c>
    </row>
    <row r="464" spans="5:11" x14ac:dyDescent="0.25">
      <c r="E464" s="1">
        <f t="shared" si="22"/>
        <v>461</v>
      </c>
      <c r="F464" s="4">
        <f t="shared" ca="1" si="23"/>
        <v>325000</v>
      </c>
      <c r="G464" s="1" t="s">
        <v>70</v>
      </c>
      <c r="H464" s="26">
        <f t="shared" ca="1" si="21"/>
        <v>0.77769120660843205</v>
      </c>
      <c r="I464" s="4">
        <f>IF(G464="Yes",-$C$8,0)</f>
        <v>-5000</v>
      </c>
      <c r="J464" s="4">
        <f>IF(G464="Yes",$C$8-I464,0)</f>
        <v>10000</v>
      </c>
      <c r="K464" s="4">
        <f ca="1">IF(H464&gt;=$C$4,J464+I464,I464)</f>
        <v>5000</v>
      </c>
    </row>
    <row r="465" spans="5:11" x14ac:dyDescent="0.25">
      <c r="E465" s="1">
        <f t="shared" si="22"/>
        <v>462</v>
      </c>
      <c r="F465" s="4">
        <f t="shared" ca="1" si="23"/>
        <v>320000</v>
      </c>
      <c r="G465" s="1" t="s">
        <v>70</v>
      </c>
      <c r="H465" s="26">
        <f t="shared" ca="1" si="21"/>
        <v>3.7240829783374618E-2</v>
      </c>
      <c r="I465" s="4">
        <f>IF(G465="Yes",-$C$8,0)</f>
        <v>-5000</v>
      </c>
      <c r="J465" s="4">
        <f>IF(G465="Yes",$C$8-I465,0)</f>
        <v>10000</v>
      </c>
      <c r="K465" s="4">
        <f ca="1">IF(H465&gt;=$C$4,J465+I465,I465)</f>
        <v>-5000</v>
      </c>
    </row>
    <row r="466" spans="5:11" x14ac:dyDescent="0.25">
      <c r="E466" s="1">
        <f t="shared" si="22"/>
        <v>463</v>
      </c>
      <c r="F466" s="4">
        <f t="shared" ca="1" si="23"/>
        <v>325000</v>
      </c>
      <c r="G466" s="1" t="s">
        <v>70</v>
      </c>
      <c r="H466" s="26">
        <f t="shared" ca="1" si="21"/>
        <v>0.54528425354537979</v>
      </c>
      <c r="I466" s="4">
        <f>IF(G466="Yes",-$C$8,0)</f>
        <v>-5000</v>
      </c>
      <c r="J466" s="4">
        <f>IF(G466="Yes",$C$8-I466,0)</f>
        <v>10000</v>
      </c>
      <c r="K466" s="4">
        <f ca="1">IF(H466&gt;=$C$4,J466+I466,I466)</f>
        <v>5000</v>
      </c>
    </row>
    <row r="467" spans="5:11" x14ac:dyDescent="0.25">
      <c r="E467" s="1">
        <f t="shared" si="22"/>
        <v>464</v>
      </c>
      <c r="F467" s="4">
        <f t="shared" ca="1" si="23"/>
        <v>320000</v>
      </c>
      <c r="G467" s="1" t="s">
        <v>70</v>
      </c>
      <c r="H467" s="26">
        <f t="shared" ca="1" si="21"/>
        <v>0.32128035601932647</v>
      </c>
      <c r="I467" s="4">
        <f>IF(G467="Yes",-$C$8,0)</f>
        <v>-5000</v>
      </c>
      <c r="J467" s="4">
        <f>IF(G467="Yes",$C$8-I467,0)</f>
        <v>10000</v>
      </c>
      <c r="K467" s="4">
        <f ca="1">IF(H467&gt;=$C$4,J467+I467,I467)</f>
        <v>-5000</v>
      </c>
    </row>
    <row r="468" spans="5:11" x14ac:dyDescent="0.25">
      <c r="E468" s="1">
        <f t="shared" si="22"/>
        <v>465</v>
      </c>
      <c r="F468" s="4">
        <f t="shared" ca="1" si="23"/>
        <v>315000</v>
      </c>
      <c r="G468" s="1" t="s">
        <v>70</v>
      </c>
      <c r="H468" s="26">
        <f t="shared" ca="1" si="21"/>
        <v>0.32618074891955018</v>
      </c>
      <c r="I468" s="4">
        <f>IF(G468="Yes",-$C$8,0)</f>
        <v>-5000</v>
      </c>
      <c r="J468" s="4">
        <f>IF(G468="Yes",$C$8-I468,0)</f>
        <v>10000</v>
      </c>
      <c r="K468" s="4">
        <f ca="1">IF(H468&gt;=$C$4,J468+I468,I468)</f>
        <v>-5000</v>
      </c>
    </row>
    <row r="469" spans="5:11" x14ac:dyDescent="0.25">
      <c r="E469" s="1">
        <f t="shared" si="22"/>
        <v>466</v>
      </c>
      <c r="F469" s="4">
        <f t="shared" ca="1" si="23"/>
        <v>310000</v>
      </c>
      <c r="G469" s="1" t="s">
        <v>70</v>
      </c>
      <c r="H469" s="26">
        <f t="shared" ca="1" si="21"/>
        <v>3.0725436870135736E-2</v>
      </c>
      <c r="I469" s="4">
        <f>IF(G469="Yes",-$C$8,0)</f>
        <v>-5000</v>
      </c>
      <c r="J469" s="4">
        <f>IF(G469="Yes",$C$8-I469,0)</f>
        <v>10000</v>
      </c>
      <c r="K469" s="4">
        <f ca="1">IF(H469&gt;=$C$4,J469+I469,I469)</f>
        <v>-5000</v>
      </c>
    </row>
    <row r="470" spans="5:11" x14ac:dyDescent="0.25">
      <c r="E470" s="1">
        <f t="shared" si="22"/>
        <v>467</v>
      </c>
      <c r="F470" s="4">
        <f t="shared" ca="1" si="23"/>
        <v>305000</v>
      </c>
      <c r="G470" s="1" t="s">
        <v>70</v>
      </c>
      <c r="H470" s="26">
        <f t="shared" ca="1" si="21"/>
        <v>0.19486991530605691</v>
      </c>
      <c r="I470" s="4">
        <f>IF(G470="Yes",-$C$8,0)</f>
        <v>-5000</v>
      </c>
      <c r="J470" s="4">
        <f>IF(G470="Yes",$C$8-I470,0)</f>
        <v>10000</v>
      </c>
      <c r="K470" s="4">
        <f ca="1">IF(H470&gt;=$C$4,J470+I470,I470)</f>
        <v>-5000</v>
      </c>
    </row>
    <row r="471" spans="5:11" x14ac:dyDescent="0.25">
      <c r="E471" s="1">
        <f t="shared" si="22"/>
        <v>468</v>
      </c>
      <c r="F471" s="4">
        <f t="shared" ca="1" si="23"/>
        <v>310000</v>
      </c>
      <c r="G471" s="1" t="s">
        <v>70</v>
      </c>
      <c r="H471" s="26">
        <f t="shared" ca="1" si="21"/>
        <v>0.67492709953176055</v>
      </c>
      <c r="I471" s="4">
        <f>IF(G471="Yes",-$C$8,0)</f>
        <v>-5000</v>
      </c>
      <c r="J471" s="4">
        <f>IF(G471="Yes",$C$8-I471,0)</f>
        <v>10000</v>
      </c>
      <c r="K471" s="4">
        <f ca="1">IF(H471&gt;=$C$4,J471+I471,I471)</f>
        <v>5000</v>
      </c>
    </row>
    <row r="472" spans="5:11" x14ac:dyDescent="0.25">
      <c r="E472" s="1">
        <f t="shared" si="22"/>
        <v>469</v>
      </c>
      <c r="F472" s="4">
        <f t="shared" ca="1" si="23"/>
        <v>315000</v>
      </c>
      <c r="G472" s="1" t="s">
        <v>70</v>
      </c>
      <c r="H472" s="26">
        <f t="shared" ca="1" si="21"/>
        <v>0.75020796054733752</v>
      </c>
      <c r="I472" s="4">
        <f>IF(G472="Yes",-$C$8,0)</f>
        <v>-5000</v>
      </c>
      <c r="J472" s="4">
        <f>IF(G472="Yes",$C$8-I472,0)</f>
        <v>10000</v>
      </c>
      <c r="K472" s="4">
        <f ca="1">IF(H472&gt;=$C$4,J472+I472,I472)</f>
        <v>5000</v>
      </c>
    </row>
    <row r="473" spans="5:11" x14ac:dyDescent="0.25">
      <c r="E473" s="1">
        <f t="shared" si="22"/>
        <v>470</v>
      </c>
      <c r="F473" s="4">
        <f t="shared" ca="1" si="23"/>
        <v>320000</v>
      </c>
      <c r="G473" s="1" t="s">
        <v>70</v>
      </c>
      <c r="H473" s="26">
        <f t="shared" ca="1" si="21"/>
        <v>0.69908598073318828</v>
      </c>
      <c r="I473" s="4">
        <f>IF(G473="Yes",-$C$8,0)</f>
        <v>-5000</v>
      </c>
      <c r="J473" s="4">
        <f>IF(G473="Yes",$C$8-I473,0)</f>
        <v>10000</v>
      </c>
      <c r="K473" s="4">
        <f ca="1">IF(H473&gt;=$C$4,J473+I473,I473)</f>
        <v>5000</v>
      </c>
    </row>
    <row r="474" spans="5:11" x14ac:dyDescent="0.25">
      <c r="E474" s="1">
        <f t="shared" si="22"/>
        <v>471</v>
      </c>
      <c r="F474" s="4">
        <f t="shared" ca="1" si="23"/>
        <v>325000</v>
      </c>
      <c r="G474" s="1" t="s">
        <v>70</v>
      </c>
      <c r="H474" s="26">
        <f t="shared" ca="1" si="21"/>
        <v>0.88450426450018405</v>
      </c>
      <c r="I474" s="4">
        <f>IF(G474="Yes",-$C$8,0)</f>
        <v>-5000</v>
      </c>
      <c r="J474" s="4">
        <f>IF(G474="Yes",$C$8-I474,0)</f>
        <v>10000</v>
      </c>
      <c r="K474" s="4">
        <f ca="1">IF(H474&gt;=$C$4,J474+I474,I474)</f>
        <v>5000</v>
      </c>
    </row>
    <row r="475" spans="5:11" x14ac:dyDescent="0.25">
      <c r="E475" s="1">
        <f t="shared" si="22"/>
        <v>472</v>
      </c>
      <c r="F475" s="4">
        <f t="shared" ca="1" si="23"/>
        <v>320000</v>
      </c>
      <c r="G475" s="1" t="s">
        <v>70</v>
      </c>
      <c r="H475" s="26">
        <f t="shared" ca="1" si="21"/>
        <v>0.38916104197300361</v>
      </c>
      <c r="I475" s="4">
        <f>IF(G475="Yes",-$C$8,0)</f>
        <v>-5000</v>
      </c>
      <c r="J475" s="4">
        <f>IF(G475="Yes",$C$8-I475,0)</f>
        <v>10000</v>
      </c>
      <c r="K475" s="4">
        <f ca="1">IF(H475&gt;=$C$4,J475+I475,I475)</f>
        <v>-5000</v>
      </c>
    </row>
    <row r="476" spans="5:11" x14ac:dyDescent="0.25">
      <c r="E476" s="1">
        <f t="shared" si="22"/>
        <v>473</v>
      </c>
      <c r="F476" s="4">
        <f t="shared" ca="1" si="23"/>
        <v>315000</v>
      </c>
      <c r="G476" s="1" t="s">
        <v>70</v>
      </c>
      <c r="H476" s="26">
        <f t="shared" ca="1" si="21"/>
        <v>0.30733158364759916</v>
      </c>
      <c r="I476" s="4">
        <f>IF(G476="Yes",-$C$8,0)</f>
        <v>-5000</v>
      </c>
      <c r="J476" s="4">
        <f>IF(G476="Yes",$C$8-I476,0)</f>
        <v>10000</v>
      </c>
      <c r="K476" s="4">
        <f ca="1">IF(H476&gt;=$C$4,J476+I476,I476)</f>
        <v>-5000</v>
      </c>
    </row>
    <row r="477" spans="5:11" x14ac:dyDescent="0.25">
      <c r="E477" s="1">
        <f t="shared" si="22"/>
        <v>474</v>
      </c>
      <c r="F477" s="4">
        <f t="shared" ca="1" si="23"/>
        <v>320000</v>
      </c>
      <c r="G477" s="1" t="s">
        <v>70</v>
      </c>
      <c r="H477" s="26">
        <f t="shared" ca="1" si="21"/>
        <v>0.83850144726461517</v>
      </c>
      <c r="I477" s="4">
        <f>IF(G477="Yes",-$C$8,0)</f>
        <v>-5000</v>
      </c>
      <c r="J477" s="4">
        <f>IF(G477="Yes",$C$8-I477,0)</f>
        <v>10000</v>
      </c>
      <c r="K477" s="4">
        <f ca="1">IF(H477&gt;=$C$4,J477+I477,I477)</f>
        <v>5000</v>
      </c>
    </row>
    <row r="478" spans="5:11" x14ac:dyDescent="0.25">
      <c r="E478" s="1">
        <f t="shared" si="22"/>
        <v>475</v>
      </c>
      <c r="F478" s="4">
        <f t="shared" ca="1" si="23"/>
        <v>325000</v>
      </c>
      <c r="G478" s="1" t="s">
        <v>70</v>
      </c>
      <c r="H478" s="26">
        <f t="shared" ca="1" si="21"/>
        <v>0.45617319750484364</v>
      </c>
      <c r="I478" s="4">
        <f>IF(G478="Yes",-$C$8,0)</f>
        <v>-5000</v>
      </c>
      <c r="J478" s="4">
        <f>IF(G478="Yes",$C$8-I478,0)</f>
        <v>10000</v>
      </c>
      <c r="K478" s="4">
        <f ca="1">IF(H478&gt;=$C$4,J478+I478,I478)</f>
        <v>5000</v>
      </c>
    </row>
    <row r="479" spans="5:11" x14ac:dyDescent="0.25">
      <c r="E479" s="1">
        <f t="shared" si="22"/>
        <v>476</v>
      </c>
      <c r="F479" s="4">
        <f t="shared" ca="1" si="23"/>
        <v>330000</v>
      </c>
      <c r="G479" s="1" t="s">
        <v>70</v>
      </c>
      <c r="H479" s="26">
        <f t="shared" ca="1" si="21"/>
        <v>0.70948845079380274</v>
      </c>
      <c r="I479" s="4">
        <f>IF(G479="Yes",-$C$8,0)</f>
        <v>-5000</v>
      </c>
      <c r="J479" s="4">
        <f>IF(G479="Yes",$C$8-I479,0)</f>
        <v>10000</v>
      </c>
      <c r="K479" s="4">
        <f ca="1">IF(H479&gt;=$C$4,J479+I479,I479)</f>
        <v>5000</v>
      </c>
    </row>
    <row r="480" spans="5:11" x14ac:dyDescent="0.25">
      <c r="E480" s="1">
        <f t="shared" si="22"/>
        <v>477</v>
      </c>
      <c r="F480" s="4">
        <f t="shared" ca="1" si="23"/>
        <v>325000</v>
      </c>
      <c r="G480" s="1" t="s">
        <v>70</v>
      </c>
      <c r="H480" s="26">
        <f t="shared" ca="1" si="21"/>
        <v>0.31345309905436136</v>
      </c>
      <c r="I480" s="4">
        <f>IF(G480="Yes",-$C$8,0)</f>
        <v>-5000</v>
      </c>
      <c r="J480" s="4">
        <f>IF(G480="Yes",$C$8-I480,0)</f>
        <v>10000</v>
      </c>
      <c r="K480" s="4">
        <f ca="1">IF(H480&gt;=$C$4,J480+I480,I480)</f>
        <v>-5000</v>
      </c>
    </row>
    <row r="481" spans="5:11" x14ac:dyDescent="0.25">
      <c r="E481" s="1">
        <f t="shared" si="22"/>
        <v>478</v>
      </c>
      <c r="F481" s="4">
        <f t="shared" ca="1" si="23"/>
        <v>320000</v>
      </c>
      <c r="G481" s="1" t="s">
        <v>70</v>
      </c>
      <c r="H481" s="26">
        <f t="shared" ca="1" si="21"/>
        <v>0.36038957353106726</v>
      </c>
      <c r="I481" s="4">
        <f>IF(G481="Yes",-$C$8,0)</f>
        <v>-5000</v>
      </c>
      <c r="J481" s="4">
        <f>IF(G481="Yes",$C$8-I481,0)</f>
        <v>10000</v>
      </c>
      <c r="K481" s="4">
        <f ca="1">IF(H481&gt;=$C$4,J481+I481,I481)</f>
        <v>-5000</v>
      </c>
    </row>
    <row r="482" spans="5:11" x14ac:dyDescent="0.25">
      <c r="E482" s="1">
        <f t="shared" si="22"/>
        <v>479</v>
      </c>
      <c r="F482" s="4">
        <f t="shared" ca="1" si="23"/>
        <v>315000</v>
      </c>
      <c r="G482" s="1" t="s">
        <v>70</v>
      </c>
      <c r="H482" s="26">
        <f t="shared" ca="1" si="21"/>
        <v>0.18088076758922855</v>
      </c>
      <c r="I482" s="4">
        <f>IF(G482="Yes",-$C$8,0)</f>
        <v>-5000</v>
      </c>
      <c r="J482" s="4">
        <f>IF(G482="Yes",$C$8-I482,0)</f>
        <v>10000</v>
      </c>
      <c r="K482" s="4">
        <f ca="1">IF(H482&gt;=$C$4,J482+I482,I482)</f>
        <v>-5000</v>
      </c>
    </row>
    <row r="483" spans="5:11" x14ac:dyDescent="0.25">
      <c r="E483" s="1">
        <f t="shared" si="22"/>
        <v>480</v>
      </c>
      <c r="F483" s="4">
        <f t="shared" ca="1" si="23"/>
        <v>320000</v>
      </c>
      <c r="G483" s="1" t="s">
        <v>70</v>
      </c>
      <c r="H483" s="26">
        <f t="shared" ca="1" si="21"/>
        <v>0.93441343207516958</v>
      </c>
      <c r="I483" s="4">
        <f>IF(G483="Yes",-$C$8,0)</f>
        <v>-5000</v>
      </c>
      <c r="J483" s="4">
        <f>IF(G483="Yes",$C$8-I483,0)</f>
        <v>10000</v>
      </c>
      <c r="K483" s="4">
        <f ca="1">IF(H483&gt;=$C$4,J483+I483,I483)</f>
        <v>5000</v>
      </c>
    </row>
    <row r="484" spans="5:11" x14ac:dyDescent="0.25">
      <c r="E484" s="1">
        <f t="shared" si="22"/>
        <v>481</v>
      </c>
      <c r="F484" s="4">
        <f t="shared" ca="1" si="23"/>
        <v>325000</v>
      </c>
      <c r="G484" s="1" t="s">
        <v>70</v>
      </c>
      <c r="H484" s="26">
        <f t="shared" ca="1" si="21"/>
        <v>0.59978996111779437</v>
      </c>
      <c r="I484" s="4">
        <f>IF(G484="Yes",-$C$8,0)</f>
        <v>-5000</v>
      </c>
      <c r="J484" s="4">
        <f>IF(G484="Yes",$C$8-I484,0)</f>
        <v>10000</v>
      </c>
      <c r="K484" s="4">
        <f ca="1">IF(H484&gt;=$C$4,J484+I484,I484)</f>
        <v>5000</v>
      </c>
    </row>
    <row r="485" spans="5:11" x14ac:dyDescent="0.25">
      <c r="E485" s="1">
        <f t="shared" si="22"/>
        <v>482</v>
      </c>
      <c r="F485" s="4">
        <f t="shared" ca="1" si="23"/>
        <v>320000</v>
      </c>
      <c r="G485" s="1" t="s">
        <v>70</v>
      </c>
      <c r="H485" s="26">
        <f t="shared" ca="1" si="21"/>
        <v>2.1794594146167356E-2</v>
      </c>
      <c r="I485" s="4">
        <f>IF(G485="Yes",-$C$8,0)</f>
        <v>-5000</v>
      </c>
      <c r="J485" s="4">
        <f>IF(G485="Yes",$C$8-I485,0)</f>
        <v>10000</v>
      </c>
      <c r="K485" s="4">
        <f ca="1">IF(H485&gt;=$C$4,J485+I485,I485)</f>
        <v>-5000</v>
      </c>
    </row>
    <row r="486" spans="5:11" x14ac:dyDescent="0.25">
      <c r="E486" s="1">
        <f t="shared" si="22"/>
        <v>483</v>
      </c>
      <c r="F486" s="4">
        <f t="shared" ca="1" si="23"/>
        <v>325000</v>
      </c>
      <c r="G486" s="1" t="s">
        <v>70</v>
      </c>
      <c r="H486" s="26">
        <f t="shared" ca="1" si="21"/>
        <v>0.52398149517912307</v>
      </c>
      <c r="I486" s="4">
        <f>IF(G486="Yes",-$C$8,0)</f>
        <v>-5000</v>
      </c>
      <c r="J486" s="4">
        <f>IF(G486="Yes",$C$8-I486,0)</f>
        <v>10000</v>
      </c>
      <c r="K486" s="4">
        <f ca="1">IF(H486&gt;=$C$4,J486+I486,I486)</f>
        <v>5000</v>
      </c>
    </row>
    <row r="487" spans="5:11" x14ac:dyDescent="0.25">
      <c r="E487" s="1">
        <f t="shared" si="22"/>
        <v>484</v>
      </c>
      <c r="F487" s="4">
        <f t="shared" ca="1" si="23"/>
        <v>320000</v>
      </c>
      <c r="G487" s="1" t="s">
        <v>70</v>
      </c>
      <c r="H487" s="26">
        <f t="shared" ca="1" si="21"/>
        <v>9.3990361355551499E-3</v>
      </c>
      <c r="I487" s="4">
        <f>IF(G487="Yes",-$C$8,0)</f>
        <v>-5000</v>
      </c>
      <c r="J487" s="4">
        <f>IF(G487="Yes",$C$8-I487,0)</f>
        <v>10000</v>
      </c>
      <c r="K487" s="4">
        <f ca="1">IF(H487&gt;=$C$4,J487+I487,I487)</f>
        <v>-5000</v>
      </c>
    </row>
    <row r="488" spans="5:11" x14ac:dyDescent="0.25">
      <c r="E488" s="1">
        <f t="shared" si="22"/>
        <v>485</v>
      </c>
      <c r="F488" s="4">
        <f t="shared" ca="1" si="23"/>
        <v>325000</v>
      </c>
      <c r="G488" s="1" t="s">
        <v>70</v>
      </c>
      <c r="H488" s="26">
        <f t="shared" ca="1" si="21"/>
        <v>0.83349752375306896</v>
      </c>
      <c r="I488" s="4">
        <f>IF(G488="Yes",-$C$8,0)</f>
        <v>-5000</v>
      </c>
      <c r="J488" s="4">
        <f>IF(G488="Yes",$C$8-I488,0)</f>
        <v>10000</v>
      </c>
      <c r="K488" s="4">
        <f ca="1">IF(H488&gt;=$C$4,J488+I488,I488)</f>
        <v>5000</v>
      </c>
    </row>
    <row r="489" spans="5:11" x14ac:dyDescent="0.25">
      <c r="E489" s="1">
        <f t="shared" si="22"/>
        <v>486</v>
      </c>
      <c r="F489" s="4">
        <f t="shared" ca="1" si="23"/>
        <v>320000</v>
      </c>
      <c r="G489" s="1" t="s">
        <v>70</v>
      </c>
      <c r="H489" s="26">
        <f t="shared" ca="1" si="21"/>
        <v>0.24220806098212677</v>
      </c>
      <c r="I489" s="4">
        <f>IF(G489="Yes",-$C$8,0)</f>
        <v>-5000</v>
      </c>
      <c r="J489" s="4">
        <f>IF(G489="Yes",$C$8-I489,0)</f>
        <v>10000</v>
      </c>
      <c r="K489" s="4">
        <f ca="1">IF(H489&gt;=$C$4,J489+I489,I489)</f>
        <v>-5000</v>
      </c>
    </row>
    <row r="490" spans="5:11" x14ac:dyDescent="0.25">
      <c r="E490" s="1">
        <f t="shared" si="22"/>
        <v>487</v>
      </c>
      <c r="F490" s="4">
        <f t="shared" ca="1" si="23"/>
        <v>315000</v>
      </c>
      <c r="G490" s="1" t="s">
        <v>70</v>
      </c>
      <c r="H490" s="26">
        <f t="shared" ca="1" si="21"/>
        <v>0.16239936626641227</v>
      </c>
      <c r="I490" s="4">
        <f>IF(G490="Yes",-$C$8,0)</f>
        <v>-5000</v>
      </c>
      <c r="J490" s="4">
        <f>IF(G490="Yes",$C$8-I490,0)</f>
        <v>10000</v>
      </c>
      <c r="K490" s="4">
        <f ca="1">IF(H490&gt;=$C$4,J490+I490,I490)</f>
        <v>-5000</v>
      </c>
    </row>
    <row r="491" spans="5:11" x14ac:dyDescent="0.25">
      <c r="E491" s="1">
        <f t="shared" si="22"/>
        <v>488</v>
      </c>
      <c r="F491" s="4">
        <f t="shared" ca="1" si="23"/>
        <v>320000</v>
      </c>
      <c r="G491" s="1" t="s">
        <v>70</v>
      </c>
      <c r="H491" s="26">
        <f t="shared" ca="1" si="21"/>
        <v>0.52099088576499042</v>
      </c>
      <c r="I491" s="4">
        <f>IF(G491="Yes",-$C$8,0)</f>
        <v>-5000</v>
      </c>
      <c r="J491" s="4">
        <f>IF(G491="Yes",$C$8-I491,0)</f>
        <v>10000</v>
      </c>
      <c r="K491" s="4">
        <f ca="1">IF(H491&gt;=$C$4,J491+I491,I491)</f>
        <v>5000</v>
      </c>
    </row>
    <row r="492" spans="5:11" x14ac:dyDescent="0.25">
      <c r="E492" s="1">
        <f t="shared" si="22"/>
        <v>489</v>
      </c>
      <c r="F492" s="4">
        <f t="shared" ca="1" si="23"/>
        <v>315000</v>
      </c>
      <c r="G492" s="1" t="s">
        <v>70</v>
      </c>
      <c r="H492" s="26">
        <f t="shared" ca="1" si="21"/>
        <v>0.43360458682533609</v>
      </c>
      <c r="I492" s="4">
        <f>IF(G492="Yes",-$C$8,0)</f>
        <v>-5000</v>
      </c>
      <c r="J492" s="4">
        <f>IF(G492="Yes",$C$8-I492,0)</f>
        <v>10000</v>
      </c>
      <c r="K492" s="4">
        <f ca="1">IF(H492&gt;=$C$4,J492+I492,I492)</f>
        <v>-5000</v>
      </c>
    </row>
    <row r="493" spans="5:11" x14ac:dyDescent="0.25">
      <c r="E493" s="1">
        <f t="shared" si="22"/>
        <v>490</v>
      </c>
      <c r="F493" s="4">
        <f t="shared" ca="1" si="23"/>
        <v>310000</v>
      </c>
      <c r="G493" s="1" t="s">
        <v>70</v>
      </c>
      <c r="H493" s="26">
        <f t="shared" ca="1" si="21"/>
        <v>4.3094912846253219E-2</v>
      </c>
      <c r="I493" s="4">
        <f>IF(G493="Yes",-$C$8,0)</f>
        <v>-5000</v>
      </c>
      <c r="J493" s="4">
        <f>IF(G493="Yes",$C$8-I493,0)</f>
        <v>10000</v>
      </c>
      <c r="K493" s="4">
        <f ca="1">IF(H493&gt;=$C$4,J493+I493,I493)</f>
        <v>-5000</v>
      </c>
    </row>
    <row r="494" spans="5:11" x14ac:dyDescent="0.25">
      <c r="E494" s="1">
        <f t="shared" si="22"/>
        <v>491</v>
      </c>
      <c r="F494" s="4">
        <f t="shared" ca="1" si="23"/>
        <v>315000</v>
      </c>
      <c r="G494" s="1" t="s">
        <v>70</v>
      </c>
      <c r="H494" s="26">
        <f t="shared" ca="1" si="21"/>
        <v>0.92849890860162665</v>
      </c>
      <c r="I494" s="4">
        <f>IF(G494="Yes",-$C$8,0)</f>
        <v>-5000</v>
      </c>
      <c r="J494" s="4">
        <f>IF(G494="Yes",$C$8-I494,0)</f>
        <v>10000</v>
      </c>
      <c r="K494" s="4">
        <f ca="1">IF(H494&gt;=$C$4,J494+I494,I494)</f>
        <v>5000</v>
      </c>
    </row>
    <row r="495" spans="5:11" x14ac:dyDescent="0.25">
      <c r="E495" s="1">
        <f t="shared" si="22"/>
        <v>492</v>
      </c>
      <c r="F495" s="4">
        <f t="shared" ca="1" si="23"/>
        <v>320000</v>
      </c>
      <c r="G495" s="1" t="s">
        <v>70</v>
      </c>
      <c r="H495" s="26">
        <f t="shared" ca="1" si="21"/>
        <v>0.80484623439996561</v>
      </c>
      <c r="I495" s="4">
        <f>IF(G495="Yes",-$C$8,0)</f>
        <v>-5000</v>
      </c>
      <c r="J495" s="4">
        <f>IF(G495="Yes",$C$8-I495,0)</f>
        <v>10000</v>
      </c>
      <c r="K495" s="4">
        <f ca="1">IF(H495&gt;=$C$4,J495+I495,I495)</f>
        <v>5000</v>
      </c>
    </row>
    <row r="496" spans="5:11" x14ac:dyDescent="0.25">
      <c r="E496" s="1">
        <f t="shared" si="22"/>
        <v>493</v>
      </c>
      <c r="F496" s="4">
        <f t="shared" ca="1" si="23"/>
        <v>325000</v>
      </c>
      <c r="G496" s="1" t="s">
        <v>70</v>
      </c>
      <c r="H496" s="26">
        <f t="shared" ca="1" si="21"/>
        <v>0.85468320595270564</v>
      </c>
      <c r="I496" s="4">
        <f>IF(G496="Yes",-$C$8,0)</f>
        <v>-5000</v>
      </c>
      <c r="J496" s="4">
        <f>IF(G496="Yes",$C$8-I496,0)</f>
        <v>10000</v>
      </c>
      <c r="K496" s="4">
        <f ca="1">IF(H496&gt;=$C$4,J496+I496,I496)</f>
        <v>5000</v>
      </c>
    </row>
    <row r="497" spans="5:11" x14ac:dyDescent="0.25">
      <c r="E497" s="1">
        <f t="shared" si="22"/>
        <v>494</v>
      </c>
      <c r="F497" s="4">
        <f t="shared" ca="1" si="23"/>
        <v>330000</v>
      </c>
      <c r="G497" s="1" t="s">
        <v>70</v>
      </c>
      <c r="H497" s="26">
        <f t="shared" ca="1" si="21"/>
        <v>0.65435241268695332</v>
      </c>
      <c r="I497" s="4">
        <f>IF(G497="Yes",-$C$8,0)</f>
        <v>-5000</v>
      </c>
      <c r="J497" s="4">
        <f>IF(G497="Yes",$C$8-I497,0)</f>
        <v>10000</v>
      </c>
      <c r="K497" s="4">
        <f ca="1">IF(H497&gt;=$C$4,J497+I497,I497)</f>
        <v>5000</v>
      </c>
    </row>
    <row r="498" spans="5:11" x14ac:dyDescent="0.25">
      <c r="E498" s="1">
        <f t="shared" si="22"/>
        <v>495</v>
      </c>
      <c r="F498" s="4">
        <f t="shared" ca="1" si="23"/>
        <v>335000</v>
      </c>
      <c r="G498" s="1" t="s">
        <v>70</v>
      </c>
      <c r="H498" s="26">
        <f t="shared" ca="1" si="21"/>
        <v>0.85687405623422386</v>
      </c>
      <c r="I498" s="4">
        <f>IF(G498="Yes",-$C$8,0)</f>
        <v>-5000</v>
      </c>
      <c r="J498" s="4">
        <f>IF(G498="Yes",$C$8-I498,0)</f>
        <v>10000</v>
      </c>
      <c r="K498" s="4">
        <f ca="1">IF(H498&gt;=$C$4,J498+I498,I498)</f>
        <v>5000</v>
      </c>
    </row>
    <row r="499" spans="5:11" x14ac:dyDescent="0.25">
      <c r="E499" s="1">
        <f t="shared" si="22"/>
        <v>496</v>
      </c>
      <c r="F499" s="4">
        <f t="shared" ca="1" si="23"/>
        <v>330000</v>
      </c>
      <c r="G499" s="1" t="s">
        <v>70</v>
      </c>
      <c r="H499" s="26">
        <f t="shared" ca="1" si="21"/>
        <v>0.14328771562508091</v>
      </c>
      <c r="I499" s="4">
        <f>IF(G499="Yes",-$C$8,0)</f>
        <v>-5000</v>
      </c>
      <c r="J499" s="4">
        <f>IF(G499="Yes",$C$8-I499,0)</f>
        <v>10000</v>
      </c>
      <c r="K499" s="4">
        <f ca="1">IF(H499&gt;=$C$4,J499+I499,I499)</f>
        <v>-5000</v>
      </c>
    </row>
    <row r="500" spans="5:11" x14ac:dyDescent="0.25">
      <c r="E500" s="1">
        <f t="shared" si="22"/>
        <v>497</v>
      </c>
      <c r="F500" s="4">
        <f t="shared" ca="1" si="23"/>
        <v>335000</v>
      </c>
      <c r="G500" s="1" t="s">
        <v>70</v>
      </c>
      <c r="H500" s="26">
        <f t="shared" ca="1" si="21"/>
        <v>0.97536270991299823</v>
      </c>
      <c r="I500" s="4">
        <f>IF(G500="Yes",-$C$8,0)</f>
        <v>-5000</v>
      </c>
      <c r="J500" s="4">
        <f>IF(G500="Yes",$C$8-I500,0)</f>
        <v>10000</v>
      </c>
      <c r="K500" s="4">
        <f ca="1">IF(H500&gt;=$C$4,J500+I500,I500)</f>
        <v>5000</v>
      </c>
    </row>
    <row r="501" spans="5:11" x14ac:dyDescent="0.25">
      <c r="E501" s="1">
        <f t="shared" si="22"/>
        <v>498</v>
      </c>
      <c r="F501" s="4">
        <f t="shared" ca="1" si="23"/>
        <v>330000</v>
      </c>
      <c r="G501" s="1" t="s">
        <v>70</v>
      </c>
      <c r="H501" s="26">
        <f t="shared" ca="1" si="21"/>
        <v>2.9305541032149662E-3</v>
      </c>
      <c r="I501" s="4">
        <f>IF(G501="Yes",-$C$8,0)</f>
        <v>-5000</v>
      </c>
      <c r="J501" s="4">
        <f>IF(G501="Yes",$C$8-I501,0)</f>
        <v>10000</v>
      </c>
      <c r="K501" s="4">
        <f ca="1">IF(H501&gt;=$C$4,J501+I501,I501)</f>
        <v>-5000</v>
      </c>
    </row>
    <row r="502" spans="5:11" x14ac:dyDescent="0.25">
      <c r="E502" s="1">
        <f t="shared" si="22"/>
        <v>499</v>
      </c>
      <c r="F502" s="4">
        <f t="shared" ca="1" si="23"/>
        <v>335000</v>
      </c>
      <c r="G502" s="1" t="s">
        <v>70</v>
      </c>
      <c r="H502" s="26">
        <f t="shared" ca="1" si="21"/>
        <v>0.77947358564174118</v>
      </c>
      <c r="I502" s="4">
        <f>IF(G502="Yes",-$C$8,0)</f>
        <v>-5000</v>
      </c>
      <c r="J502" s="4">
        <f>IF(G502="Yes",$C$8-I502,0)</f>
        <v>10000</v>
      </c>
      <c r="K502" s="4">
        <f ca="1">IF(H502&gt;=$C$4,J502+I502,I502)</f>
        <v>5000</v>
      </c>
    </row>
    <row r="503" spans="5:11" x14ac:dyDescent="0.25">
      <c r="E503" s="1">
        <f t="shared" si="22"/>
        <v>500</v>
      </c>
      <c r="F503" s="4">
        <f t="shared" ca="1" si="23"/>
        <v>340000</v>
      </c>
      <c r="G503" s="1" t="s">
        <v>70</v>
      </c>
      <c r="H503" s="26">
        <f t="shared" ca="1" si="21"/>
        <v>0.72059220765817134</v>
      </c>
      <c r="I503" s="4">
        <f>IF(G503="Yes",-$C$8,0)</f>
        <v>-5000</v>
      </c>
      <c r="J503" s="4">
        <f>IF(G503="Yes",$C$8-I503,0)</f>
        <v>10000</v>
      </c>
      <c r="K503" s="4">
        <f ca="1">IF(H503&gt;=$C$4,J503+I503,I503)</f>
        <v>5000</v>
      </c>
    </row>
    <row r="504" spans="5:11" x14ac:dyDescent="0.25">
      <c r="E504" s="1">
        <f t="shared" si="22"/>
        <v>501</v>
      </c>
      <c r="F504" s="4">
        <f t="shared" ca="1" si="23"/>
        <v>335000</v>
      </c>
      <c r="G504" s="1" t="s">
        <v>70</v>
      </c>
      <c r="H504" s="26">
        <f t="shared" ca="1" si="21"/>
        <v>0.24104198681636646</v>
      </c>
      <c r="I504" s="4">
        <f>IF(G504="Yes",-$C$8,0)</f>
        <v>-5000</v>
      </c>
      <c r="J504" s="4">
        <f>IF(G504="Yes",$C$8-I504,0)</f>
        <v>10000</v>
      </c>
      <c r="K504" s="4">
        <f ca="1">IF(H504&gt;=$C$4,J504+I504,I504)</f>
        <v>-5000</v>
      </c>
    </row>
    <row r="505" spans="5:11" x14ac:dyDescent="0.25">
      <c r="E505" s="1">
        <f t="shared" si="22"/>
        <v>502</v>
      </c>
      <c r="F505" s="4">
        <f t="shared" ca="1" si="23"/>
        <v>340000</v>
      </c>
      <c r="G505" s="1" t="s">
        <v>70</v>
      </c>
      <c r="H505" s="26">
        <f t="shared" ca="1" si="21"/>
        <v>0.54658068385801006</v>
      </c>
      <c r="I505" s="4">
        <f>IF(G505="Yes",-$C$8,0)</f>
        <v>-5000</v>
      </c>
      <c r="J505" s="4">
        <f>IF(G505="Yes",$C$8-I505,0)</f>
        <v>10000</v>
      </c>
      <c r="K505" s="4">
        <f ca="1">IF(H505&gt;=$C$4,J505+I505,I505)</f>
        <v>5000</v>
      </c>
    </row>
    <row r="506" spans="5:11" x14ac:dyDescent="0.25">
      <c r="E506" s="1">
        <f t="shared" si="22"/>
        <v>503</v>
      </c>
      <c r="F506" s="4">
        <f t="shared" ca="1" si="23"/>
        <v>335000</v>
      </c>
      <c r="G506" s="1" t="s">
        <v>70</v>
      </c>
      <c r="H506" s="26">
        <f t="shared" ca="1" si="21"/>
        <v>0.10314801781845007</v>
      </c>
      <c r="I506" s="4">
        <f>IF(G506="Yes",-$C$8,0)</f>
        <v>-5000</v>
      </c>
      <c r="J506" s="4">
        <f>IF(G506="Yes",$C$8-I506,0)</f>
        <v>10000</v>
      </c>
      <c r="K506" s="4">
        <f ca="1">IF(H506&gt;=$C$4,J506+I506,I506)</f>
        <v>-5000</v>
      </c>
    </row>
    <row r="507" spans="5:11" x14ac:dyDescent="0.25">
      <c r="E507" s="1">
        <f t="shared" si="22"/>
        <v>504</v>
      </c>
      <c r="F507" s="4">
        <f t="shared" ca="1" si="23"/>
        <v>340000</v>
      </c>
      <c r="G507" s="1" t="s">
        <v>70</v>
      </c>
      <c r="H507" s="26">
        <f t="shared" ca="1" si="21"/>
        <v>0.47093776465400461</v>
      </c>
      <c r="I507" s="4">
        <f>IF(G507="Yes",-$C$8,0)</f>
        <v>-5000</v>
      </c>
      <c r="J507" s="4">
        <f>IF(G507="Yes",$C$8-I507,0)</f>
        <v>10000</v>
      </c>
      <c r="K507" s="4">
        <f ca="1">IF(H507&gt;=$C$4,J507+I507,I507)</f>
        <v>5000</v>
      </c>
    </row>
    <row r="508" spans="5:11" x14ac:dyDescent="0.25">
      <c r="E508" s="1">
        <f t="shared" si="22"/>
        <v>505</v>
      </c>
      <c r="F508" s="4">
        <f t="shared" ca="1" si="23"/>
        <v>335000</v>
      </c>
      <c r="G508" s="1" t="s">
        <v>70</v>
      </c>
      <c r="H508" s="26">
        <f t="shared" ca="1" si="21"/>
        <v>0.39313142438086424</v>
      </c>
      <c r="I508" s="4">
        <f>IF(G508="Yes",-$C$8,0)</f>
        <v>-5000</v>
      </c>
      <c r="J508" s="4">
        <f>IF(G508="Yes",$C$8-I508,0)</f>
        <v>10000</v>
      </c>
      <c r="K508" s="4">
        <f ca="1">IF(H508&gt;=$C$4,J508+I508,I508)</f>
        <v>-5000</v>
      </c>
    </row>
    <row r="509" spans="5:11" x14ac:dyDescent="0.25">
      <c r="E509" s="1">
        <f t="shared" si="22"/>
        <v>506</v>
      </c>
      <c r="F509" s="4">
        <f t="shared" ca="1" si="23"/>
        <v>330000</v>
      </c>
      <c r="G509" s="1" t="s">
        <v>70</v>
      </c>
      <c r="H509" s="26">
        <f t="shared" ca="1" si="21"/>
        <v>0.31618474459252499</v>
      </c>
      <c r="I509" s="4">
        <f>IF(G509="Yes",-$C$8,0)</f>
        <v>-5000</v>
      </c>
      <c r="J509" s="4">
        <f>IF(G509="Yes",$C$8-I509,0)</f>
        <v>10000</v>
      </c>
      <c r="K509" s="4">
        <f ca="1">IF(H509&gt;=$C$4,J509+I509,I509)</f>
        <v>-5000</v>
      </c>
    </row>
    <row r="510" spans="5:11" x14ac:dyDescent="0.25">
      <c r="E510" s="1">
        <f t="shared" si="22"/>
        <v>507</v>
      </c>
      <c r="F510" s="4">
        <f t="shared" ca="1" si="23"/>
        <v>325000</v>
      </c>
      <c r="G510" s="1" t="s">
        <v>70</v>
      </c>
      <c r="H510" s="26">
        <f t="shared" ca="1" si="21"/>
        <v>0.10957914472641395</v>
      </c>
      <c r="I510" s="4">
        <f>IF(G510="Yes",-$C$8,0)</f>
        <v>-5000</v>
      </c>
      <c r="J510" s="4">
        <f>IF(G510="Yes",$C$8-I510,0)</f>
        <v>10000</v>
      </c>
      <c r="K510" s="4">
        <f ca="1">IF(H510&gt;=$C$4,J510+I510,I510)</f>
        <v>-5000</v>
      </c>
    </row>
    <row r="511" spans="5:11" x14ac:dyDescent="0.25">
      <c r="E511" s="1">
        <f t="shared" si="22"/>
        <v>508</v>
      </c>
      <c r="F511" s="4">
        <f t="shared" ca="1" si="23"/>
        <v>330000</v>
      </c>
      <c r="G511" s="1" t="s">
        <v>70</v>
      </c>
      <c r="H511" s="26">
        <f t="shared" ca="1" si="21"/>
        <v>0.61421543568047299</v>
      </c>
      <c r="I511" s="4">
        <f>IF(G511="Yes",-$C$8,0)</f>
        <v>-5000</v>
      </c>
      <c r="J511" s="4">
        <f>IF(G511="Yes",$C$8-I511,0)</f>
        <v>10000</v>
      </c>
      <c r="K511" s="4">
        <f ca="1">IF(H511&gt;=$C$4,J511+I511,I511)</f>
        <v>5000</v>
      </c>
    </row>
    <row r="512" spans="5:11" x14ac:dyDescent="0.25">
      <c r="E512" s="1">
        <f t="shared" si="22"/>
        <v>509</v>
      </c>
      <c r="F512" s="4">
        <f t="shared" ca="1" si="23"/>
        <v>335000</v>
      </c>
      <c r="G512" s="1" t="s">
        <v>70</v>
      </c>
      <c r="H512" s="26">
        <f t="shared" ca="1" si="21"/>
        <v>0.68535082657938939</v>
      </c>
      <c r="I512" s="4">
        <f>IF(G512="Yes",-$C$8,0)</f>
        <v>-5000</v>
      </c>
      <c r="J512" s="4">
        <f>IF(G512="Yes",$C$8-I512,0)</f>
        <v>10000</v>
      </c>
      <c r="K512" s="4">
        <f ca="1">IF(H512&gt;=$C$4,J512+I512,I512)</f>
        <v>5000</v>
      </c>
    </row>
    <row r="513" spans="5:11" x14ac:dyDescent="0.25">
      <c r="E513" s="1">
        <f t="shared" si="22"/>
        <v>510</v>
      </c>
      <c r="F513" s="4">
        <f t="shared" ca="1" si="23"/>
        <v>330000</v>
      </c>
      <c r="G513" s="1" t="s">
        <v>70</v>
      </c>
      <c r="H513" s="26">
        <f t="shared" ca="1" si="21"/>
        <v>3.5187303924682167E-2</v>
      </c>
      <c r="I513" s="4">
        <f>IF(G513="Yes",-$C$8,0)</f>
        <v>-5000</v>
      </c>
      <c r="J513" s="4">
        <f>IF(G513="Yes",$C$8-I513,0)</f>
        <v>10000</v>
      </c>
      <c r="K513" s="4">
        <f ca="1">IF(H513&gt;=$C$4,J513+I513,I513)</f>
        <v>-5000</v>
      </c>
    </row>
    <row r="514" spans="5:11" x14ac:dyDescent="0.25">
      <c r="E514" s="1">
        <f t="shared" si="22"/>
        <v>511</v>
      </c>
      <c r="F514" s="4">
        <f t="shared" ca="1" si="23"/>
        <v>335000</v>
      </c>
      <c r="G514" s="1" t="s">
        <v>70</v>
      </c>
      <c r="H514" s="26">
        <f t="shared" ca="1" si="21"/>
        <v>0.52002666973405343</v>
      </c>
      <c r="I514" s="4">
        <f>IF(G514="Yes",-$C$8,0)</f>
        <v>-5000</v>
      </c>
      <c r="J514" s="4">
        <f>IF(G514="Yes",$C$8-I514,0)</f>
        <v>10000</v>
      </c>
      <c r="K514" s="4">
        <f ca="1">IF(H514&gt;=$C$4,J514+I514,I514)</f>
        <v>5000</v>
      </c>
    </row>
    <row r="515" spans="5:11" x14ac:dyDescent="0.25">
      <c r="E515" s="1">
        <f t="shared" si="22"/>
        <v>512</v>
      </c>
      <c r="F515" s="4">
        <f t="shared" ca="1" si="23"/>
        <v>340000</v>
      </c>
      <c r="G515" s="1" t="s">
        <v>70</v>
      </c>
      <c r="H515" s="26">
        <f t="shared" ca="1" si="21"/>
        <v>0.56826591512449454</v>
      </c>
      <c r="I515" s="4">
        <f>IF(G515="Yes",-$C$8,0)</f>
        <v>-5000</v>
      </c>
      <c r="J515" s="4">
        <f>IF(G515="Yes",$C$8-I515,0)</f>
        <v>10000</v>
      </c>
      <c r="K515" s="4">
        <f ca="1">IF(H515&gt;=$C$4,J515+I515,I515)</f>
        <v>5000</v>
      </c>
    </row>
    <row r="516" spans="5:11" x14ac:dyDescent="0.25">
      <c r="E516" s="1">
        <f t="shared" si="22"/>
        <v>513</v>
      </c>
      <c r="F516" s="4">
        <f t="shared" ca="1" si="23"/>
        <v>335000</v>
      </c>
      <c r="G516" s="1" t="s">
        <v>70</v>
      </c>
      <c r="H516" s="26">
        <f t="shared" ref="H516:H579" ca="1" si="24">RAND()</f>
        <v>6.9520027072555002E-2</v>
      </c>
      <c r="I516" s="4">
        <f>IF(G516="Yes",-$C$8,0)</f>
        <v>-5000</v>
      </c>
      <c r="J516" s="4">
        <f>IF(G516="Yes",$C$8-I516,0)</f>
        <v>10000</v>
      </c>
      <c r="K516" s="4">
        <f ca="1">IF(H516&gt;=$C$4,J516+I516,I516)</f>
        <v>-5000</v>
      </c>
    </row>
    <row r="517" spans="5:11" x14ac:dyDescent="0.25">
      <c r="E517" s="1">
        <f t="shared" ref="E517:G580" si="25">E516+1</f>
        <v>514</v>
      </c>
      <c r="F517" s="4">
        <f t="shared" ref="F517:F580" ca="1" si="26">F516+K517</f>
        <v>340000</v>
      </c>
      <c r="G517" s="1" t="s">
        <v>70</v>
      </c>
      <c r="H517" s="26">
        <f t="shared" ca="1" si="24"/>
        <v>0.67971885962965273</v>
      </c>
      <c r="I517" s="4">
        <f>IF(G517="Yes",-$C$8,0)</f>
        <v>-5000</v>
      </c>
      <c r="J517" s="4">
        <f>IF(G517="Yes",$C$8-I517,0)</f>
        <v>10000</v>
      </c>
      <c r="K517" s="4">
        <f ca="1">IF(H517&gt;=$C$4,J517+I517,I517)</f>
        <v>5000</v>
      </c>
    </row>
    <row r="518" spans="5:11" x14ac:dyDescent="0.25">
      <c r="E518" s="1">
        <f t="shared" si="25"/>
        <v>515</v>
      </c>
      <c r="F518" s="4">
        <f t="shared" ca="1" si="26"/>
        <v>335000</v>
      </c>
      <c r="G518" s="1" t="s">
        <v>70</v>
      </c>
      <c r="H518" s="26">
        <f t="shared" ca="1" si="24"/>
        <v>0.12664655845614525</v>
      </c>
      <c r="I518" s="4">
        <f>IF(G518="Yes",-$C$8,0)</f>
        <v>-5000</v>
      </c>
      <c r="J518" s="4">
        <f>IF(G518="Yes",$C$8-I518,0)</f>
        <v>10000</v>
      </c>
      <c r="K518" s="4">
        <f ca="1">IF(H518&gt;=$C$4,J518+I518,I518)</f>
        <v>-5000</v>
      </c>
    </row>
    <row r="519" spans="5:11" x14ac:dyDescent="0.25">
      <c r="E519" s="1">
        <f t="shared" si="25"/>
        <v>516</v>
      </c>
      <c r="F519" s="4">
        <f t="shared" ca="1" si="26"/>
        <v>330000</v>
      </c>
      <c r="G519" s="1" t="s">
        <v>70</v>
      </c>
      <c r="H519" s="26">
        <f t="shared" ca="1" si="24"/>
        <v>0.16388081637954366</v>
      </c>
      <c r="I519" s="4">
        <f>IF(G519="Yes",-$C$8,0)</f>
        <v>-5000</v>
      </c>
      <c r="J519" s="4">
        <f>IF(G519="Yes",$C$8-I519,0)</f>
        <v>10000</v>
      </c>
      <c r="K519" s="4">
        <f ca="1">IF(H519&gt;=$C$4,J519+I519,I519)</f>
        <v>-5000</v>
      </c>
    </row>
    <row r="520" spans="5:11" x14ac:dyDescent="0.25">
      <c r="E520" s="1">
        <f t="shared" si="25"/>
        <v>517</v>
      </c>
      <c r="F520" s="4">
        <f t="shared" ca="1" si="26"/>
        <v>335000</v>
      </c>
      <c r="G520" s="1" t="s">
        <v>70</v>
      </c>
      <c r="H520" s="26">
        <f t="shared" ca="1" si="24"/>
        <v>0.79905272075004941</v>
      </c>
      <c r="I520" s="4">
        <f>IF(G520="Yes",-$C$8,0)</f>
        <v>-5000</v>
      </c>
      <c r="J520" s="4">
        <f>IF(G520="Yes",$C$8-I520,0)</f>
        <v>10000</v>
      </c>
      <c r="K520" s="4">
        <f ca="1">IF(H520&gt;=$C$4,J520+I520,I520)</f>
        <v>5000</v>
      </c>
    </row>
    <row r="521" spans="5:11" x14ac:dyDescent="0.25">
      <c r="E521" s="1">
        <f t="shared" si="25"/>
        <v>518</v>
      </c>
      <c r="F521" s="4">
        <f t="shared" ca="1" si="26"/>
        <v>340000</v>
      </c>
      <c r="G521" s="1" t="s">
        <v>70</v>
      </c>
      <c r="H521" s="26">
        <f t="shared" ca="1" si="24"/>
        <v>0.68219628088555495</v>
      </c>
      <c r="I521" s="4">
        <f>IF(G521="Yes",-$C$8,0)</f>
        <v>-5000</v>
      </c>
      <c r="J521" s="4">
        <f>IF(G521="Yes",$C$8-I521,0)</f>
        <v>10000</v>
      </c>
      <c r="K521" s="4">
        <f ca="1">IF(H521&gt;=$C$4,J521+I521,I521)</f>
        <v>5000</v>
      </c>
    </row>
    <row r="522" spans="5:11" x14ac:dyDescent="0.25">
      <c r="E522" s="1">
        <f t="shared" si="25"/>
        <v>519</v>
      </c>
      <c r="F522" s="4">
        <f t="shared" ca="1" si="26"/>
        <v>345000</v>
      </c>
      <c r="G522" s="1" t="s">
        <v>70</v>
      </c>
      <c r="H522" s="26">
        <f t="shared" ca="1" si="24"/>
        <v>0.96301206569234765</v>
      </c>
      <c r="I522" s="4">
        <f>IF(G522="Yes",-$C$8,0)</f>
        <v>-5000</v>
      </c>
      <c r="J522" s="4">
        <f>IF(G522="Yes",$C$8-I522,0)</f>
        <v>10000</v>
      </c>
      <c r="K522" s="4">
        <f ca="1">IF(H522&gt;=$C$4,J522+I522,I522)</f>
        <v>5000</v>
      </c>
    </row>
    <row r="523" spans="5:11" x14ac:dyDescent="0.25">
      <c r="E523" s="1">
        <f t="shared" si="25"/>
        <v>520</v>
      </c>
      <c r="F523" s="4">
        <f t="shared" ca="1" si="26"/>
        <v>340000</v>
      </c>
      <c r="G523" s="1" t="s">
        <v>70</v>
      </c>
      <c r="H523" s="26">
        <f t="shared" ca="1" si="24"/>
        <v>9.9363023181133325E-2</v>
      </c>
      <c r="I523" s="4">
        <f>IF(G523="Yes",-$C$8,0)</f>
        <v>-5000</v>
      </c>
      <c r="J523" s="4">
        <f>IF(G523="Yes",$C$8-I523,0)</f>
        <v>10000</v>
      </c>
      <c r="K523" s="4">
        <f ca="1">IF(H523&gt;=$C$4,J523+I523,I523)</f>
        <v>-5000</v>
      </c>
    </row>
    <row r="524" spans="5:11" x14ac:dyDescent="0.25">
      <c r="E524" s="1">
        <f t="shared" si="25"/>
        <v>521</v>
      </c>
      <c r="F524" s="4">
        <f t="shared" ca="1" si="26"/>
        <v>345000</v>
      </c>
      <c r="G524" s="1" t="s">
        <v>70</v>
      </c>
      <c r="H524" s="26">
        <f t="shared" ca="1" si="24"/>
        <v>0.93874873432149641</v>
      </c>
      <c r="I524" s="4">
        <f>IF(G524="Yes",-$C$8,0)</f>
        <v>-5000</v>
      </c>
      <c r="J524" s="4">
        <f>IF(G524="Yes",$C$8-I524,0)</f>
        <v>10000</v>
      </c>
      <c r="K524" s="4">
        <f ca="1">IF(H524&gt;=$C$4,J524+I524,I524)</f>
        <v>5000</v>
      </c>
    </row>
    <row r="525" spans="5:11" x14ac:dyDescent="0.25">
      <c r="E525" s="1">
        <f t="shared" si="25"/>
        <v>522</v>
      </c>
      <c r="F525" s="4">
        <f t="shared" ca="1" si="26"/>
        <v>340000</v>
      </c>
      <c r="G525" s="1" t="s">
        <v>70</v>
      </c>
      <c r="H525" s="26">
        <f t="shared" ca="1" si="24"/>
        <v>6.1429351588815462E-2</v>
      </c>
      <c r="I525" s="4">
        <f>IF(G525="Yes",-$C$8,0)</f>
        <v>-5000</v>
      </c>
      <c r="J525" s="4">
        <f>IF(G525="Yes",$C$8-I525,0)</f>
        <v>10000</v>
      </c>
      <c r="K525" s="4">
        <f ca="1">IF(H525&gt;=$C$4,J525+I525,I525)</f>
        <v>-5000</v>
      </c>
    </row>
    <row r="526" spans="5:11" x14ac:dyDescent="0.25">
      <c r="E526" s="1">
        <f t="shared" si="25"/>
        <v>523</v>
      </c>
      <c r="F526" s="4">
        <f t="shared" ca="1" si="26"/>
        <v>335000</v>
      </c>
      <c r="G526" s="1" t="s">
        <v>70</v>
      </c>
      <c r="H526" s="26">
        <f t="shared" ca="1" si="24"/>
        <v>0.32077207870397806</v>
      </c>
      <c r="I526" s="4">
        <f>IF(G526="Yes",-$C$8,0)</f>
        <v>-5000</v>
      </c>
      <c r="J526" s="4">
        <f>IF(G526="Yes",$C$8-I526,0)</f>
        <v>10000</v>
      </c>
      <c r="K526" s="4">
        <f ca="1">IF(H526&gt;=$C$4,J526+I526,I526)</f>
        <v>-5000</v>
      </c>
    </row>
    <row r="527" spans="5:11" x14ac:dyDescent="0.25">
      <c r="E527" s="1">
        <f t="shared" si="25"/>
        <v>524</v>
      </c>
      <c r="F527" s="4">
        <f t="shared" ca="1" si="26"/>
        <v>330000</v>
      </c>
      <c r="G527" s="1" t="s">
        <v>70</v>
      </c>
      <c r="H527" s="26">
        <f t="shared" ca="1" si="24"/>
        <v>4.7713999308318433E-2</v>
      </c>
      <c r="I527" s="4">
        <f>IF(G527="Yes",-$C$8,0)</f>
        <v>-5000</v>
      </c>
      <c r="J527" s="4">
        <f>IF(G527="Yes",$C$8-I527,0)</f>
        <v>10000</v>
      </c>
      <c r="K527" s="4">
        <f ca="1">IF(H527&gt;=$C$4,J527+I527,I527)</f>
        <v>-5000</v>
      </c>
    </row>
    <row r="528" spans="5:11" x14ac:dyDescent="0.25">
      <c r="E528" s="1">
        <f t="shared" si="25"/>
        <v>525</v>
      </c>
      <c r="F528" s="4">
        <f t="shared" ca="1" si="26"/>
        <v>335000</v>
      </c>
      <c r="G528" s="1" t="s">
        <v>70</v>
      </c>
      <c r="H528" s="26">
        <f t="shared" ca="1" si="24"/>
        <v>0.75152715684964866</v>
      </c>
      <c r="I528" s="4">
        <f>IF(G528="Yes",-$C$8,0)</f>
        <v>-5000</v>
      </c>
      <c r="J528" s="4">
        <f>IF(G528="Yes",$C$8-I528,0)</f>
        <v>10000</v>
      </c>
      <c r="K528" s="4">
        <f ca="1">IF(H528&gt;=$C$4,J528+I528,I528)</f>
        <v>5000</v>
      </c>
    </row>
    <row r="529" spans="5:11" x14ac:dyDescent="0.25">
      <c r="E529" s="1">
        <f t="shared" si="25"/>
        <v>526</v>
      </c>
      <c r="F529" s="4">
        <f t="shared" ca="1" si="26"/>
        <v>340000</v>
      </c>
      <c r="G529" s="1" t="s">
        <v>70</v>
      </c>
      <c r="H529" s="26">
        <f t="shared" ca="1" si="24"/>
        <v>0.56888549518797682</v>
      </c>
      <c r="I529" s="4">
        <f>IF(G529="Yes",-$C$8,0)</f>
        <v>-5000</v>
      </c>
      <c r="J529" s="4">
        <f>IF(G529="Yes",$C$8-I529,0)</f>
        <v>10000</v>
      </c>
      <c r="K529" s="4">
        <f ca="1">IF(H529&gt;=$C$4,J529+I529,I529)</f>
        <v>5000</v>
      </c>
    </row>
    <row r="530" spans="5:11" x14ac:dyDescent="0.25">
      <c r="E530" s="1">
        <f t="shared" si="25"/>
        <v>527</v>
      </c>
      <c r="F530" s="4">
        <f t="shared" ca="1" si="26"/>
        <v>345000</v>
      </c>
      <c r="G530" s="1" t="s">
        <v>70</v>
      </c>
      <c r="H530" s="26">
        <f t="shared" ca="1" si="24"/>
        <v>0.49888603177267477</v>
      </c>
      <c r="I530" s="4">
        <f>IF(G530="Yes",-$C$8,0)</f>
        <v>-5000</v>
      </c>
      <c r="J530" s="4">
        <f>IF(G530="Yes",$C$8-I530,0)</f>
        <v>10000</v>
      </c>
      <c r="K530" s="4">
        <f ca="1">IF(H530&gt;=$C$4,J530+I530,I530)</f>
        <v>5000</v>
      </c>
    </row>
    <row r="531" spans="5:11" x14ac:dyDescent="0.25">
      <c r="E531" s="1">
        <f t="shared" si="25"/>
        <v>528</v>
      </c>
      <c r="F531" s="4">
        <f t="shared" ca="1" si="26"/>
        <v>350000</v>
      </c>
      <c r="G531" s="1" t="s">
        <v>70</v>
      </c>
      <c r="H531" s="26">
        <f t="shared" ca="1" si="24"/>
        <v>0.91207692964378351</v>
      </c>
      <c r="I531" s="4">
        <f>IF(G531="Yes",-$C$8,0)</f>
        <v>-5000</v>
      </c>
      <c r="J531" s="4">
        <f>IF(G531="Yes",$C$8-I531,0)</f>
        <v>10000</v>
      </c>
      <c r="K531" s="4">
        <f ca="1">IF(H531&gt;=$C$4,J531+I531,I531)</f>
        <v>5000</v>
      </c>
    </row>
    <row r="532" spans="5:11" x14ac:dyDescent="0.25">
      <c r="E532" s="1">
        <f t="shared" si="25"/>
        <v>529</v>
      </c>
      <c r="F532" s="4">
        <f t="shared" ca="1" si="26"/>
        <v>355000</v>
      </c>
      <c r="G532" s="1" t="s">
        <v>70</v>
      </c>
      <c r="H532" s="26">
        <f t="shared" ca="1" si="24"/>
        <v>0.82045770475325308</v>
      </c>
      <c r="I532" s="4">
        <f>IF(G532="Yes",-$C$8,0)</f>
        <v>-5000</v>
      </c>
      <c r="J532" s="4">
        <f>IF(G532="Yes",$C$8-I532,0)</f>
        <v>10000</v>
      </c>
      <c r="K532" s="4">
        <f ca="1">IF(H532&gt;=$C$4,J532+I532,I532)</f>
        <v>5000</v>
      </c>
    </row>
    <row r="533" spans="5:11" x14ac:dyDescent="0.25">
      <c r="E533" s="1">
        <f t="shared" si="25"/>
        <v>530</v>
      </c>
      <c r="F533" s="4">
        <f t="shared" ca="1" si="26"/>
        <v>360000</v>
      </c>
      <c r="G533" s="1" t="s">
        <v>70</v>
      </c>
      <c r="H533" s="26">
        <f t="shared" ca="1" si="24"/>
        <v>0.93488158431300006</v>
      </c>
      <c r="I533" s="4">
        <f>IF(G533="Yes",-$C$8,0)</f>
        <v>-5000</v>
      </c>
      <c r="J533" s="4">
        <f>IF(G533="Yes",$C$8-I533,0)</f>
        <v>10000</v>
      </c>
      <c r="K533" s="4">
        <f ca="1">IF(H533&gt;=$C$4,J533+I533,I533)</f>
        <v>5000</v>
      </c>
    </row>
    <row r="534" spans="5:11" x14ac:dyDescent="0.25">
      <c r="E534" s="1">
        <f t="shared" si="25"/>
        <v>531</v>
      </c>
      <c r="F534" s="4">
        <f t="shared" ca="1" si="26"/>
        <v>355000</v>
      </c>
      <c r="G534" s="1" t="s">
        <v>70</v>
      </c>
      <c r="H534" s="26">
        <f t="shared" ca="1" si="24"/>
        <v>0.31176418605110567</v>
      </c>
      <c r="I534" s="4">
        <f>IF(G534="Yes",-$C$8,0)</f>
        <v>-5000</v>
      </c>
      <c r="J534" s="4">
        <f>IF(G534="Yes",$C$8-I534,0)</f>
        <v>10000</v>
      </c>
      <c r="K534" s="4">
        <f ca="1">IF(H534&gt;=$C$4,J534+I534,I534)</f>
        <v>-5000</v>
      </c>
    </row>
    <row r="535" spans="5:11" x14ac:dyDescent="0.25">
      <c r="E535" s="1">
        <f t="shared" si="25"/>
        <v>532</v>
      </c>
      <c r="F535" s="4">
        <f t="shared" ca="1" si="26"/>
        <v>360000</v>
      </c>
      <c r="G535" s="1" t="s">
        <v>70</v>
      </c>
      <c r="H535" s="26">
        <f t="shared" ca="1" si="24"/>
        <v>0.75569442648699636</v>
      </c>
      <c r="I535" s="4">
        <f>IF(G535="Yes",-$C$8,0)</f>
        <v>-5000</v>
      </c>
      <c r="J535" s="4">
        <f>IF(G535="Yes",$C$8-I535,0)</f>
        <v>10000</v>
      </c>
      <c r="K535" s="4">
        <f ca="1">IF(H535&gt;=$C$4,J535+I535,I535)</f>
        <v>5000</v>
      </c>
    </row>
    <row r="536" spans="5:11" x14ac:dyDescent="0.25">
      <c r="E536" s="1">
        <f t="shared" si="25"/>
        <v>533</v>
      </c>
      <c r="F536" s="4">
        <f t="shared" ca="1" si="26"/>
        <v>365000</v>
      </c>
      <c r="G536" s="1" t="s">
        <v>70</v>
      </c>
      <c r="H536" s="26">
        <f t="shared" ca="1" si="24"/>
        <v>0.53689750021509519</v>
      </c>
      <c r="I536" s="4">
        <f>IF(G536="Yes",-$C$8,0)</f>
        <v>-5000</v>
      </c>
      <c r="J536" s="4">
        <f>IF(G536="Yes",$C$8-I536,0)</f>
        <v>10000</v>
      </c>
      <c r="K536" s="4">
        <f ca="1">IF(H536&gt;=$C$4,J536+I536,I536)</f>
        <v>5000</v>
      </c>
    </row>
    <row r="537" spans="5:11" x14ac:dyDescent="0.25">
      <c r="E537" s="1">
        <f t="shared" si="25"/>
        <v>534</v>
      </c>
      <c r="F537" s="4">
        <f t="shared" ca="1" si="26"/>
        <v>370000</v>
      </c>
      <c r="G537" s="1" t="s">
        <v>70</v>
      </c>
      <c r="H537" s="26">
        <f t="shared" ca="1" si="24"/>
        <v>0.98744486842388035</v>
      </c>
      <c r="I537" s="4">
        <f>IF(G537="Yes",-$C$8,0)</f>
        <v>-5000</v>
      </c>
      <c r="J537" s="4">
        <f>IF(G537="Yes",$C$8-I537,0)</f>
        <v>10000</v>
      </c>
      <c r="K537" s="4">
        <f ca="1">IF(H537&gt;=$C$4,J537+I537,I537)</f>
        <v>5000</v>
      </c>
    </row>
    <row r="538" spans="5:11" x14ac:dyDescent="0.25">
      <c r="E538" s="1">
        <f t="shared" si="25"/>
        <v>535</v>
      </c>
      <c r="F538" s="4">
        <f t="shared" ca="1" si="26"/>
        <v>375000</v>
      </c>
      <c r="G538" s="1" t="s">
        <v>70</v>
      </c>
      <c r="H538" s="26">
        <f t="shared" ca="1" si="24"/>
        <v>0.81303423798424113</v>
      </c>
      <c r="I538" s="4">
        <f>IF(G538="Yes",-$C$8,0)</f>
        <v>-5000</v>
      </c>
      <c r="J538" s="4">
        <f>IF(G538="Yes",$C$8-I538,0)</f>
        <v>10000</v>
      </c>
      <c r="K538" s="4">
        <f ca="1">IF(H538&gt;=$C$4,J538+I538,I538)</f>
        <v>5000</v>
      </c>
    </row>
    <row r="539" spans="5:11" x14ac:dyDescent="0.25">
      <c r="E539" s="1">
        <f t="shared" si="25"/>
        <v>536</v>
      </c>
      <c r="F539" s="4">
        <f t="shared" ca="1" si="26"/>
        <v>380000</v>
      </c>
      <c r="G539" s="1" t="s">
        <v>70</v>
      </c>
      <c r="H539" s="26">
        <f t="shared" ca="1" si="24"/>
        <v>0.79249159817415582</v>
      </c>
      <c r="I539" s="4">
        <f>IF(G539="Yes",-$C$8,0)</f>
        <v>-5000</v>
      </c>
      <c r="J539" s="4">
        <f>IF(G539="Yes",$C$8-I539,0)</f>
        <v>10000</v>
      </c>
      <c r="K539" s="4">
        <f ca="1">IF(H539&gt;=$C$4,J539+I539,I539)</f>
        <v>5000</v>
      </c>
    </row>
    <row r="540" spans="5:11" x14ac:dyDescent="0.25">
      <c r="E540" s="1">
        <f t="shared" si="25"/>
        <v>537</v>
      </c>
      <c r="F540" s="4">
        <f t="shared" ca="1" si="26"/>
        <v>375000</v>
      </c>
      <c r="G540" s="1" t="s">
        <v>70</v>
      </c>
      <c r="H540" s="26">
        <f t="shared" ca="1" si="24"/>
        <v>0.29868854293598945</v>
      </c>
      <c r="I540" s="4">
        <f>IF(G540="Yes",-$C$8,0)</f>
        <v>-5000</v>
      </c>
      <c r="J540" s="4">
        <f>IF(G540="Yes",$C$8-I540,0)</f>
        <v>10000</v>
      </c>
      <c r="K540" s="4">
        <f ca="1">IF(H540&gt;=$C$4,J540+I540,I540)</f>
        <v>-5000</v>
      </c>
    </row>
    <row r="541" spans="5:11" x14ac:dyDescent="0.25">
      <c r="E541" s="1">
        <f t="shared" si="25"/>
        <v>538</v>
      </c>
      <c r="F541" s="4">
        <f t="shared" ca="1" si="26"/>
        <v>380000</v>
      </c>
      <c r="G541" s="1" t="s">
        <v>70</v>
      </c>
      <c r="H541" s="26">
        <f t="shared" ca="1" si="24"/>
        <v>0.52223209039269369</v>
      </c>
      <c r="I541" s="4">
        <f>IF(G541="Yes",-$C$8,0)</f>
        <v>-5000</v>
      </c>
      <c r="J541" s="4">
        <f>IF(G541="Yes",$C$8-I541,0)</f>
        <v>10000</v>
      </c>
      <c r="K541" s="4">
        <f ca="1">IF(H541&gt;=$C$4,J541+I541,I541)</f>
        <v>5000</v>
      </c>
    </row>
    <row r="542" spans="5:11" x14ac:dyDescent="0.25">
      <c r="E542" s="1">
        <f t="shared" si="25"/>
        <v>539</v>
      </c>
      <c r="F542" s="4">
        <f t="shared" ca="1" si="26"/>
        <v>375000</v>
      </c>
      <c r="G542" s="1" t="s">
        <v>70</v>
      </c>
      <c r="H542" s="26">
        <f t="shared" ca="1" si="24"/>
        <v>0.36032482737832816</v>
      </c>
      <c r="I542" s="4">
        <f>IF(G542="Yes",-$C$8,0)</f>
        <v>-5000</v>
      </c>
      <c r="J542" s="4">
        <f>IF(G542="Yes",$C$8-I542,0)</f>
        <v>10000</v>
      </c>
      <c r="K542" s="4">
        <f ca="1">IF(H542&gt;=$C$4,J542+I542,I542)</f>
        <v>-5000</v>
      </c>
    </row>
    <row r="543" spans="5:11" x14ac:dyDescent="0.25">
      <c r="E543" s="1">
        <f t="shared" si="25"/>
        <v>540</v>
      </c>
      <c r="F543" s="4">
        <f t="shared" ca="1" si="26"/>
        <v>380000</v>
      </c>
      <c r="G543" s="1" t="s">
        <v>70</v>
      </c>
      <c r="H543" s="26">
        <f t="shared" ca="1" si="24"/>
        <v>0.63517342634540197</v>
      </c>
      <c r="I543" s="4">
        <f>IF(G543="Yes",-$C$8,0)</f>
        <v>-5000</v>
      </c>
      <c r="J543" s="4">
        <f>IF(G543="Yes",$C$8-I543,0)</f>
        <v>10000</v>
      </c>
      <c r="K543" s="4">
        <f ca="1">IF(H543&gt;=$C$4,J543+I543,I543)</f>
        <v>5000</v>
      </c>
    </row>
    <row r="544" spans="5:11" x14ac:dyDescent="0.25">
      <c r="E544" s="1">
        <f t="shared" si="25"/>
        <v>541</v>
      </c>
      <c r="F544" s="4">
        <f t="shared" ca="1" si="26"/>
        <v>385000</v>
      </c>
      <c r="G544" s="1" t="s">
        <v>70</v>
      </c>
      <c r="H544" s="26">
        <f t="shared" ca="1" si="24"/>
        <v>0.91363269861571017</v>
      </c>
      <c r="I544" s="4">
        <f>IF(G544="Yes",-$C$8,0)</f>
        <v>-5000</v>
      </c>
      <c r="J544" s="4">
        <f>IF(G544="Yes",$C$8-I544,0)</f>
        <v>10000</v>
      </c>
      <c r="K544" s="4">
        <f ca="1">IF(H544&gt;=$C$4,J544+I544,I544)</f>
        <v>5000</v>
      </c>
    </row>
    <row r="545" spans="5:11" x14ac:dyDescent="0.25">
      <c r="E545" s="1">
        <f t="shared" si="25"/>
        <v>542</v>
      </c>
      <c r="F545" s="4">
        <f t="shared" ca="1" si="26"/>
        <v>380000</v>
      </c>
      <c r="G545" s="1" t="s">
        <v>70</v>
      </c>
      <c r="H545" s="26">
        <f t="shared" ca="1" si="24"/>
        <v>0.40920093323304174</v>
      </c>
      <c r="I545" s="4">
        <f>IF(G545="Yes",-$C$8,0)</f>
        <v>-5000</v>
      </c>
      <c r="J545" s="4">
        <f>IF(G545="Yes",$C$8-I545,0)</f>
        <v>10000</v>
      </c>
      <c r="K545" s="4">
        <f ca="1">IF(H545&gt;=$C$4,J545+I545,I545)</f>
        <v>-5000</v>
      </c>
    </row>
    <row r="546" spans="5:11" x14ac:dyDescent="0.25">
      <c r="E546" s="1">
        <f t="shared" si="25"/>
        <v>543</v>
      </c>
      <c r="F546" s="4">
        <f t="shared" ca="1" si="26"/>
        <v>385000</v>
      </c>
      <c r="G546" s="1" t="s">
        <v>70</v>
      </c>
      <c r="H546" s="26">
        <f t="shared" ca="1" si="24"/>
        <v>0.83897425086852773</v>
      </c>
      <c r="I546" s="4">
        <f>IF(G546="Yes",-$C$8,0)</f>
        <v>-5000</v>
      </c>
      <c r="J546" s="4">
        <f>IF(G546="Yes",$C$8-I546,0)</f>
        <v>10000</v>
      </c>
      <c r="K546" s="4">
        <f ca="1">IF(H546&gt;=$C$4,J546+I546,I546)</f>
        <v>5000</v>
      </c>
    </row>
    <row r="547" spans="5:11" x14ac:dyDescent="0.25">
      <c r="E547" s="1">
        <f t="shared" si="25"/>
        <v>544</v>
      </c>
      <c r="F547" s="4">
        <f t="shared" ca="1" si="26"/>
        <v>380000</v>
      </c>
      <c r="G547" s="1" t="s">
        <v>70</v>
      </c>
      <c r="H547" s="26">
        <f t="shared" ca="1" si="24"/>
        <v>8.0049754753703906E-2</v>
      </c>
      <c r="I547" s="4">
        <f>IF(G547="Yes",-$C$8,0)</f>
        <v>-5000</v>
      </c>
      <c r="J547" s="4">
        <f>IF(G547="Yes",$C$8-I547,0)</f>
        <v>10000</v>
      </c>
      <c r="K547" s="4">
        <f ca="1">IF(H547&gt;=$C$4,J547+I547,I547)</f>
        <v>-5000</v>
      </c>
    </row>
    <row r="548" spans="5:11" x14ac:dyDescent="0.25">
      <c r="E548" s="1">
        <f t="shared" si="25"/>
        <v>545</v>
      </c>
      <c r="F548" s="4">
        <f t="shared" ca="1" si="26"/>
        <v>375000</v>
      </c>
      <c r="G548" s="1" t="s">
        <v>70</v>
      </c>
      <c r="H548" s="26">
        <f t="shared" ca="1" si="24"/>
        <v>1.5467591864084529E-3</v>
      </c>
      <c r="I548" s="4">
        <f>IF(G548="Yes",-$C$8,0)</f>
        <v>-5000</v>
      </c>
      <c r="J548" s="4">
        <f>IF(G548="Yes",$C$8-I548,0)</f>
        <v>10000</v>
      </c>
      <c r="K548" s="4">
        <f ca="1">IF(H548&gt;=$C$4,J548+I548,I548)</f>
        <v>-5000</v>
      </c>
    </row>
    <row r="549" spans="5:11" x14ac:dyDescent="0.25">
      <c r="E549" s="1">
        <f t="shared" si="25"/>
        <v>546</v>
      </c>
      <c r="F549" s="4">
        <f t="shared" ca="1" si="26"/>
        <v>380000</v>
      </c>
      <c r="G549" s="1" t="s">
        <v>70</v>
      </c>
      <c r="H549" s="26">
        <f t="shared" ca="1" si="24"/>
        <v>0.4703433293399909</v>
      </c>
      <c r="I549" s="4">
        <f>IF(G549="Yes",-$C$8,0)</f>
        <v>-5000</v>
      </c>
      <c r="J549" s="4">
        <f>IF(G549="Yes",$C$8-I549,0)</f>
        <v>10000</v>
      </c>
      <c r="K549" s="4">
        <f ca="1">IF(H549&gt;=$C$4,J549+I549,I549)</f>
        <v>5000</v>
      </c>
    </row>
    <row r="550" spans="5:11" x14ac:dyDescent="0.25">
      <c r="E550" s="1">
        <f t="shared" si="25"/>
        <v>547</v>
      </c>
      <c r="F550" s="4">
        <f t="shared" ca="1" si="26"/>
        <v>385000</v>
      </c>
      <c r="G550" s="1" t="s">
        <v>70</v>
      </c>
      <c r="H550" s="26">
        <f t="shared" ca="1" si="24"/>
        <v>0.70080237065206896</v>
      </c>
      <c r="I550" s="4">
        <f>IF(G550="Yes",-$C$8,0)</f>
        <v>-5000</v>
      </c>
      <c r="J550" s="4">
        <f>IF(G550="Yes",$C$8-I550,0)</f>
        <v>10000</v>
      </c>
      <c r="K550" s="4">
        <f ca="1">IF(H550&gt;=$C$4,J550+I550,I550)</f>
        <v>5000</v>
      </c>
    </row>
    <row r="551" spans="5:11" x14ac:dyDescent="0.25">
      <c r="E551" s="1">
        <f t="shared" si="25"/>
        <v>548</v>
      </c>
      <c r="F551" s="4">
        <f t="shared" ca="1" si="26"/>
        <v>380000</v>
      </c>
      <c r="G551" s="1" t="s">
        <v>70</v>
      </c>
      <c r="H551" s="26">
        <f t="shared" ca="1" si="24"/>
        <v>0.30121623986414348</v>
      </c>
      <c r="I551" s="4">
        <f>IF(G551="Yes",-$C$8,0)</f>
        <v>-5000</v>
      </c>
      <c r="J551" s="4">
        <f>IF(G551="Yes",$C$8-I551,0)</f>
        <v>10000</v>
      </c>
      <c r="K551" s="4">
        <f ca="1">IF(H551&gt;=$C$4,J551+I551,I551)</f>
        <v>-5000</v>
      </c>
    </row>
    <row r="552" spans="5:11" x14ac:dyDescent="0.25">
      <c r="E552" s="1">
        <f t="shared" si="25"/>
        <v>549</v>
      </c>
      <c r="F552" s="4">
        <f t="shared" ca="1" si="26"/>
        <v>385000</v>
      </c>
      <c r="G552" s="1" t="s">
        <v>70</v>
      </c>
      <c r="H552" s="26">
        <f t="shared" ca="1" si="24"/>
        <v>0.92907357415651826</v>
      </c>
      <c r="I552" s="4">
        <f>IF(G552="Yes",-$C$8,0)</f>
        <v>-5000</v>
      </c>
      <c r="J552" s="4">
        <f>IF(G552="Yes",$C$8-I552,0)</f>
        <v>10000</v>
      </c>
      <c r="K552" s="4">
        <f ca="1">IF(H552&gt;=$C$4,J552+I552,I552)</f>
        <v>5000</v>
      </c>
    </row>
    <row r="553" spans="5:11" x14ac:dyDescent="0.25">
      <c r="E553" s="1">
        <f t="shared" si="25"/>
        <v>550</v>
      </c>
      <c r="F553" s="4">
        <f t="shared" ca="1" si="26"/>
        <v>390000</v>
      </c>
      <c r="G553" s="1" t="s">
        <v>70</v>
      </c>
      <c r="H553" s="26">
        <f t="shared" ca="1" si="24"/>
        <v>0.74278404257411157</v>
      </c>
      <c r="I553" s="4">
        <f>IF(G553="Yes",-$C$8,0)</f>
        <v>-5000</v>
      </c>
      <c r="J553" s="4">
        <f>IF(G553="Yes",$C$8-I553,0)</f>
        <v>10000</v>
      </c>
      <c r="K553" s="4">
        <f ca="1">IF(H553&gt;=$C$4,J553+I553,I553)</f>
        <v>5000</v>
      </c>
    </row>
    <row r="554" spans="5:11" x14ac:dyDescent="0.25">
      <c r="E554" s="1">
        <f t="shared" si="25"/>
        <v>551</v>
      </c>
      <c r="F554" s="4">
        <f t="shared" ca="1" si="26"/>
        <v>385000</v>
      </c>
      <c r="G554" s="1" t="s">
        <v>70</v>
      </c>
      <c r="H554" s="26">
        <f t="shared" ca="1" si="24"/>
        <v>0.43780092914005198</v>
      </c>
      <c r="I554" s="4">
        <f>IF(G554="Yes",-$C$8,0)</f>
        <v>-5000</v>
      </c>
      <c r="J554" s="4">
        <f>IF(G554="Yes",$C$8-I554,0)</f>
        <v>10000</v>
      </c>
      <c r="K554" s="4">
        <f ca="1">IF(H554&gt;=$C$4,J554+I554,I554)</f>
        <v>-5000</v>
      </c>
    </row>
    <row r="555" spans="5:11" x14ac:dyDescent="0.25">
      <c r="E555" s="1">
        <f t="shared" si="25"/>
        <v>552</v>
      </c>
      <c r="F555" s="4">
        <f t="shared" ca="1" si="26"/>
        <v>390000</v>
      </c>
      <c r="G555" s="1" t="s">
        <v>70</v>
      </c>
      <c r="H555" s="26">
        <f t="shared" ca="1" si="24"/>
        <v>0.70802309971417599</v>
      </c>
      <c r="I555" s="4">
        <f>IF(G555="Yes",-$C$8,0)</f>
        <v>-5000</v>
      </c>
      <c r="J555" s="4">
        <f>IF(G555="Yes",$C$8-I555,0)</f>
        <v>10000</v>
      </c>
      <c r="K555" s="4">
        <f ca="1">IF(H555&gt;=$C$4,J555+I555,I555)</f>
        <v>5000</v>
      </c>
    </row>
    <row r="556" spans="5:11" x14ac:dyDescent="0.25">
      <c r="E556" s="1">
        <f t="shared" si="25"/>
        <v>553</v>
      </c>
      <c r="F556" s="4">
        <f t="shared" ca="1" si="26"/>
        <v>395000</v>
      </c>
      <c r="G556" s="1" t="s">
        <v>70</v>
      </c>
      <c r="H556" s="26">
        <f t="shared" ca="1" si="24"/>
        <v>0.84491002337171772</v>
      </c>
      <c r="I556" s="4">
        <f>IF(G556="Yes",-$C$8,0)</f>
        <v>-5000</v>
      </c>
      <c r="J556" s="4">
        <f>IF(G556="Yes",$C$8-I556,0)</f>
        <v>10000</v>
      </c>
      <c r="K556" s="4">
        <f ca="1">IF(H556&gt;=$C$4,J556+I556,I556)</f>
        <v>5000</v>
      </c>
    </row>
    <row r="557" spans="5:11" x14ac:dyDescent="0.25">
      <c r="E557" s="1">
        <f t="shared" si="25"/>
        <v>554</v>
      </c>
      <c r="F557" s="4">
        <f t="shared" ca="1" si="26"/>
        <v>390000</v>
      </c>
      <c r="G557" s="1" t="s">
        <v>70</v>
      </c>
      <c r="H557" s="26">
        <f t="shared" ca="1" si="24"/>
        <v>0.10600209181106213</v>
      </c>
      <c r="I557" s="4">
        <f>IF(G557="Yes",-$C$8,0)</f>
        <v>-5000</v>
      </c>
      <c r="J557" s="4">
        <f>IF(G557="Yes",$C$8-I557,0)</f>
        <v>10000</v>
      </c>
      <c r="K557" s="4">
        <f ca="1">IF(H557&gt;=$C$4,J557+I557,I557)</f>
        <v>-5000</v>
      </c>
    </row>
    <row r="558" spans="5:11" x14ac:dyDescent="0.25">
      <c r="E558" s="1">
        <f t="shared" si="25"/>
        <v>555</v>
      </c>
      <c r="F558" s="4">
        <f t="shared" ca="1" si="26"/>
        <v>395000</v>
      </c>
      <c r="G558" s="1" t="s">
        <v>70</v>
      </c>
      <c r="H558" s="26">
        <f t="shared" ca="1" si="24"/>
        <v>0.57446054215500852</v>
      </c>
      <c r="I558" s="4">
        <f>IF(G558="Yes",-$C$8,0)</f>
        <v>-5000</v>
      </c>
      <c r="J558" s="4">
        <f>IF(G558="Yes",$C$8-I558,0)</f>
        <v>10000</v>
      </c>
      <c r="K558" s="4">
        <f ca="1">IF(H558&gt;=$C$4,J558+I558,I558)</f>
        <v>5000</v>
      </c>
    </row>
    <row r="559" spans="5:11" x14ac:dyDescent="0.25">
      <c r="E559" s="1">
        <f t="shared" si="25"/>
        <v>556</v>
      </c>
      <c r="F559" s="4">
        <f t="shared" ca="1" si="26"/>
        <v>400000</v>
      </c>
      <c r="G559" s="1" t="s">
        <v>70</v>
      </c>
      <c r="H559" s="26">
        <f t="shared" ca="1" si="24"/>
        <v>0.93120538237598205</v>
      </c>
      <c r="I559" s="4">
        <f>IF(G559="Yes",-$C$8,0)</f>
        <v>-5000</v>
      </c>
      <c r="J559" s="4">
        <f>IF(G559="Yes",$C$8-I559,0)</f>
        <v>10000</v>
      </c>
      <c r="K559" s="4">
        <f ca="1">IF(H559&gt;=$C$4,J559+I559,I559)</f>
        <v>5000</v>
      </c>
    </row>
    <row r="560" spans="5:11" x14ac:dyDescent="0.25">
      <c r="E560" s="1">
        <f t="shared" si="25"/>
        <v>557</v>
      </c>
      <c r="F560" s="4">
        <f t="shared" ca="1" si="26"/>
        <v>395000</v>
      </c>
      <c r="G560" s="1" t="s">
        <v>70</v>
      </c>
      <c r="H560" s="26">
        <f t="shared" ca="1" si="24"/>
        <v>0.24058970724015161</v>
      </c>
      <c r="I560" s="4">
        <f>IF(G560="Yes",-$C$8,0)</f>
        <v>-5000</v>
      </c>
      <c r="J560" s="4">
        <f>IF(G560="Yes",$C$8-I560,0)</f>
        <v>10000</v>
      </c>
      <c r="K560" s="4">
        <f ca="1">IF(H560&gt;=$C$4,J560+I560,I560)</f>
        <v>-5000</v>
      </c>
    </row>
    <row r="561" spans="5:11" x14ac:dyDescent="0.25">
      <c r="E561" s="1">
        <f t="shared" si="25"/>
        <v>558</v>
      </c>
      <c r="F561" s="4">
        <f t="shared" ca="1" si="26"/>
        <v>400000</v>
      </c>
      <c r="G561" s="1" t="s">
        <v>70</v>
      </c>
      <c r="H561" s="26">
        <f t="shared" ca="1" si="24"/>
        <v>0.95011656589520888</v>
      </c>
      <c r="I561" s="4">
        <f>IF(G561="Yes",-$C$8,0)</f>
        <v>-5000</v>
      </c>
      <c r="J561" s="4">
        <f>IF(G561="Yes",$C$8-I561,0)</f>
        <v>10000</v>
      </c>
      <c r="K561" s="4">
        <f ca="1">IF(H561&gt;=$C$4,J561+I561,I561)</f>
        <v>5000</v>
      </c>
    </row>
    <row r="562" spans="5:11" x14ac:dyDescent="0.25">
      <c r="E562" s="1">
        <f t="shared" si="25"/>
        <v>559</v>
      </c>
      <c r="F562" s="4">
        <f t="shared" ca="1" si="26"/>
        <v>405000</v>
      </c>
      <c r="G562" s="1" t="s">
        <v>70</v>
      </c>
      <c r="H562" s="26">
        <f t="shared" ca="1" si="24"/>
        <v>0.97083375755280932</v>
      </c>
      <c r="I562" s="4">
        <f>IF(G562="Yes",-$C$8,0)</f>
        <v>-5000</v>
      </c>
      <c r="J562" s="4">
        <f>IF(G562="Yes",$C$8-I562,0)</f>
        <v>10000</v>
      </c>
      <c r="K562" s="4">
        <f ca="1">IF(H562&gt;=$C$4,J562+I562,I562)</f>
        <v>5000</v>
      </c>
    </row>
    <row r="563" spans="5:11" x14ac:dyDescent="0.25">
      <c r="E563" s="1">
        <f t="shared" si="25"/>
        <v>560</v>
      </c>
      <c r="F563" s="4">
        <f t="shared" ca="1" si="26"/>
        <v>400000</v>
      </c>
      <c r="G563" s="1" t="s">
        <v>70</v>
      </c>
      <c r="H563" s="26">
        <f t="shared" ca="1" si="24"/>
        <v>0.16053538581616822</v>
      </c>
      <c r="I563" s="4">
        <f>IF(G563="Yes",-$C$8,0)</f>
        <v>-5000</v>
      </c>
      <c r="J563" s="4">
        <f>IF(G563="Yes",$C$8-I563,0)</f>
        <v>10000</v>
      </c>
      <c r="K563" s="4">
        <f ca="1">IF(H563&gt;=$C$4,J563+I563,I563)</f>
        <v>-5000</v>
      </c>
    </row>
    <row r="564" spans="5:11" x14ac:dyDescent="0.25">
      <c r="E564" s="1">
        <f t="shared" si="25"/>
        <v>561</v>
      </c>
      <c r="F564" s="4">
        <f t="shared" ca="1" si="26"/>
        <v>405000</v>
      </c>
      <c r="G564" s="1" t="s">
        <v>70</v>
      </c>
      <c r="H564" s="26">
        <f t="shared" ca="1" si="24"/>
        <v>0.65506933153232771</v>
      </c>
      <c r="I564" s="4">
        <f>IF(G564="Yes",-$C$8,0)</f>
        <v>-5000</v>
      </c>
      <c r="J564" s="4">
        <f>IF(G564="Yes",$C$8-I564,0)</f>
        <v>10000</v>
      </c>
      <c r="K564" s="4">
        <f ca="1">IF(H564&gt;=$C$4,J564+I564,I564)</f>
        <v>5000</v>
      </c>
    </row>
    <row r="565" spans="5:11" x14ac:dyDescent="0.25">
      <c r="E565" s="1">
        <f t="shared" si="25"/>
        <v>562</v>
      </c>
      <c r="F565" s="4">
        <f t="shared" ca="1" si="26"/>
        <v>400000</v>
      </c>
      <c r="G565" s="1" t="s">
        <v>70</v>
      </c>
      <c r="H565" s="26">
        <f t="shared" ca="1" si="24"/>
        <v>0.25656621478921215</v>
      </c>
      <c r="I565" s="4">
        <f>IF(G565="Yes",-$C$8,0)</f>
        <v>-5000</v>
      </c>
      <c r="J565" s="4">
        <f>IF(G565="Yes",$C$8-I565,0)</f>
        <v>10000</v>
      </c>
      <c r="K565" s="4">
        <f ca="1">IF(H565&gt;=$C$4,J565+I565,I565)</f>
        <v>-5000</v>
      </c>
    </row>
    <row r="566" spans="5:11" x14ac:dyDescent="0.25">
      <c r="E566" s="1">
        <f t="shared" si="25"/>
        <v>563</v>
      </c>
      <c r="F566" s="4">
        <f t="shared" ca="1" si="26"/>
        <v>395000</v>
      </c>
      <c r="G566" s="1" t="s">
        <v>70</v>
      </c>
      <c r="H566" s="26">
        <f t="shared" ca="1" si="24"/>
        <v>0.42184685102848807</v>
      </c>
      <c r="I566" s="4">
        <f>IF(G566="Yes",-$C$8,0)</f>
        <v>-5000</v>
      </c>
      <c r="J566" s="4">
        <f>IF(G566="Yes",$C$8-I566,0)</f>
        <v>10000</v>
      </c>
      <c r="K566" s="4">
        <f ca="1">IF(H566&gt;=$C$4,J566+I566,I566)</f>
        <v>-5000</v>
      </c>
    </row>
    <row r="567" spans="5:11" x14ac:dyDescent="0.25">
      <c r="E567" s="1">
        <f t="shared" si="25"/>
        <v>564</v>
      </c>
      <c r="F567" s="4">
        <f t="shared" ca="1" si="26"/>
        <v>390000</v>
      </c>
      <c r="G567" s="1" t="s">
        <v>70</v>
      </c>
      <c r="H567" s="26">
        <f t="shared" ca="1" si="24"/>
        <v>0.34975360921396681</v>
      </c>
      <c r="I567" s="4">
        <f>IF(G567="Yes",-$C$8,0)</f>
        <v>-5000</v>
      </c>
      <c r="J567" s="4">
        <f>IF(G567="Yes",$C$8-I567,0)</f>
        <v>10000</v>
      </c>
      <c r="K567" s="4">
        <f ca="1">IF(H567&gt;=$C$4,J567+I567,I567)</f>
        <v>-5000</v>
      </c>
    </row>
    <row r="568" spans="5:11" x14ac:dyDescent="0.25">
      <c r="E568" s="1">
        <f t="shared" si="25"/>
        <v>565</v>
      </c>
      <c r="F568" s="4">
        <f t="shared" ca="1" si="26"/>
        <v>385000</v>
      </c>
      <c r="G568" s="1" t="s">
        <v>70</v>
      </c>
      <c r="H568" s="26">
        <f t="shared" ca="1" si="24"/>
        <v>0.10306556690807012</v>
      </c>
      <c r="I568" s="4">
        <f>IF(G568="Yes",-$C$8,0)</f>
        <v>-5000</v>
      </c>
      <c r="J568" s="4">
        <f>IF(G568="Yes",$C$8-I568,0)</f>
        <v>10000</v>
      </c>
      <c r="K568" s="4">
        <f ca="1">IF(H568&gt;=$C$4,J568+I568,I568)</f>
        <v>-5000</v>
      </c>
    </row>
    <row r="569" spans="5:11" x14ac:dyDescent="0.25">
      <c r="E569" s="1">
        <f t="shared" si="25"/>
        <v>566</v>
      </c>
      <c r="F569" s="4">
        <f t="shared" ca="1" si="26"/>
        <v>380000</v>
      </c>
      <c r="G569" s="1" t="s">
        <v>70</v>
      </c>
      <c r="H569" s="26">
        <f t="shared" ca="1" si="24"/>
        <v>0.21757725308935705</v>
      </c>
      <c r="I569" s="4">
        <f>IF(G569="Yes",-$C$8,0)</f>
        <v>-5000</v>
      </c>
      <c r="J569" s="4">
        <f>IF(G569="Yes",$C$8-I569,0)</f>
        <v>10000</v>
      </c>
      <c r="K569" s="4">
        <f ca="1">IF(H569&gt;=$C$4,J569+I569,I569)</f>
        <v>-5000</v>
      </c>
    </row>
    <row r="570" spans="5:11" x14ac:dyDescent="0.25">
      <c r="E570" s="1">
        <f t="shared" si="25"/>
        <v>567</v>
      </c>
      <c r="F570" s="4">
        <f t="shared" ca="1" si="26"/>
        <v>375000</v>
      </c>
      <c r="G570" s="1" t="s">
        <v>70</v>
      </c>
      <c r="H570" s="26">
        <f t="shared" ca="1" si="24"/>
        <v>1.2897802374089884E-2</v>
      </c>
      <c r="I570" s="4">
        <f>IF(G570="Yes",-$C$8,0)</f>
        <v>-5000</v>
      </c>
      <c r="J570" s="4">
        <f>IF(G570="Yes",$C$8-I570,0)</f>
        <v>10000</v>
      </c>
      <c r="K570" s="4">
        <f ca="1">IF(H570&gt;=$C$4,J570+I570,I570)</f>
        <v>-5000</v>
      </c>
    </row>
    <row r="571" spans="5:11" x14ac:dyDescent="0.25">
      <c r="E571" s="1">
        <f t="shared" si="25"/>
        <v>568</v>
      </c>
      <c r="F571" s="4">
        <f t="shared" ca="1" si="26"/>
        <v>370000</v>
      </c>
      <c r="G571" s="1" t="s">
        <v>70</v>
      </c>
      <c r="H571" s="26">
        <f t="shared" ca="1" si="24"/>
        <v>0.39289943076535438</v>
      </c>
      <c r="I571" s="4">
        <f>IF(G571="Yes",-$C$8,0)</f>
        <v>-5000</v>
      </c>
      <c r="J571" s="4">
        <f>IF(G571="Yes",$C$8-I571,0)</f>
        <v>10000</v>
      </c>
      <c r="K571" s="4">
        <f ca="1">IF(H571&gt;=$C$4,J571+I571,I571)</f>
        <v>-5000</v>
      </c>
    </row>
    <row r="572" spans="5:11" x14ac:dyDescent="0.25">
      <c r="E572" s="1">
        <f t="shared" si="25"/>
        <v>569</v>
      </c>
      <c r="F572" s="4">
        <f t="shared" ca="1" si="26"/>
        <v>365000</v>
      </c>
      <c r="G572" s="1" t="s">
        <v>70</v>
      </c>
      <c r="H572" s="26">
        <f t="shared" ca="1" si="24"/>
        <v>0.43233339269710847</v>
      </c>
      <c r="I572" s="4">
        <f>IF(G572="Yes",-$C$8,0)</f>
        <v>-5000</v>
      </c>
      <c r="J572" s="4">
        <f>IF(G572="Yes",$C$8-I572,0)</f>
        <v>10000</v>
      </c>
      <c r="K572" s="4">
        <f ca="1">IF(H572&gt;=$C$4,J572+I572,I572)</f>
        <v>-5000</v>
      </c>
    </row>
    <row r="573" spans="5:11" x14ac:dyDescent="0.25">
      <c r="E573" s="1">
        <f t="shared" si="25"/>
        <v>570</v>
      </c>
      <c r="F573" s="4">
        <f t="shared" ca="1" si="26"/>
        <v>370000</v>
      </c>
      <c r="G573" s="1" t="s">
        <v>70</v>
      </c>
      <c r="H573" s="26">
        <f t="shared" ca="1" si="24"/>
        <v>0.68286100902623126</v>
      </c>
      <c r="I573" s="4">
        <f>IF(G573="Yes",-$C$8,0)</f>
        <v>-5000</v>
      </c>
      <c r="J573" s="4">
        <f>IF(G573="Yes",$C$8-I573,0)</f>
        <v>10000</v>
      </c>
      <c r="K573" s="4">
        <f ca="1">IF(H573&gt;=$C$4,J573+I573,I573)</f>
        <v>5000</v>
      </c>
    </row>
    <row r="574" spans="5:11" x14ac:dyDescent="0.25">
      <c r="E574" s="1">
        <f t="shared" si="25"/>
        <v>571</v>
      </c>
      <c r="F574" s="4">
        <f t="shared" ca="1" si="26"/>
        <v>365000</v>
      </c>
      <c r="G574" s="1" t="s">
        <v>70</v>
      </c>
      <c r="H574" s="26">
        <f t="shared" ca="1" si="24"/>
        <v>0.17134455770701384</v>
      </c>
      <c r="I574" s="4">
        <f>IF(G574="Yes",-$C$8,0)</f>
        <v>-5000</v>
      </c>
      <c r="J574" s="4">
        <f>IF(G574="Yes",$C$8-I574,0)</f>
        <v>10000</v>
      </c>
      <c r="K574" s="4">
        <f ca="1">IF(H574&gt;=$C$4,J574+I574,I574)</f>
        <v>-5000</v>
      </c>
    </row>
    <row r="575" spans="5:11" x14ac:dyDescent="0.25">
      <c r="E575" s="1">
        <f t="shared" si="25"/>
        <v>572</v>
      </c>
      <c r="F575" s="4">
        <f t="shared" ca="1" si="26"/>
        <v>370000</v>
      </c>
      <c r="G575" s="1" t="s">
        <v>70</v>
      </c>
      <c r="H575" s="26">
        <f t="shared" ca="1" si="24"/>
        <v>0.50025653990850139</v>
      </c>
      <c r="I575" s="4">
        <f>IF(G575="Yes",-$C$8,0)</f>
        <v>-5000</v>
      </c>
      <c r="J575" s="4">
        <f>IF(G575="Yes",$C$8-I575,0)</f>
        <v>10000</v>
      </c>
      <c r="K575" s="4">
        <f ca="1">IF(H575&gt;=$C$4,J575+I575,I575)</f>
        <v>5000</v>
      </c>
    </row>
    <row r="576" spans="5:11" x14ac:dyDescent="0.25">
      <c r="E576" s="1">
        <f t="shared" si="25"/>
        <v>573</v>
      </c>
      <c r="F576" s="4">
        <f t="shared" ca="1" si="26"/>
        <v>375000</v>
      </c>
      <c r="G576" s="1" t="s">
        <v>70</v>
      </c>
      <c r="H576" s="26">
        <f t="shared" ca="1" si="24"/>
        <v>0.69395888903397918</v>
      </c>
      <c r="I576" s="4">
        <f>IF(G576="Yes",-$C$8,0)</f>
        <v>-5000</v>
      </c>
      <c r="J576" s="4">
        <f>IF(G576="Yes",$C$8-I576,0)</f>
        <v>10000</v>
      </c>
      <c r="K576" s="4">
        <f ca="1">IF(H576&gt;=$C$4,J576+I576,I576)</f>
        <v>5000</v>
      </c>
    </row>
    <row r="577" spans="5:11" x14ac:dyDescent="0.25">
      <c r="E577" s="1">
        <f t="shared" si="25"/>
        <v>574</v>
      </c>
      <c r="F577" s="4">
        <f t="shared" ca="1" si="26"/>
        <v>370000</v>
      </c>
      <c r="G577" s="1" t="s">
        <v>70</v>
      </c>
      <c r="H577" s="26">
        <f t="shared" ca="1" si="24"/>
        <v>0.38373862755945876</v>
      </c>
      <c r="I577" s="4">
        <f>IF(G577="Yes",-$C$8,0)</f>
        <v>-5000</v>
      </c>
      <c r="J577" s="4">
        <f>IF(G577="Yes",$C$8-I577,0)</f>
        <v>10000</v>
      </c>
      <c r="K577" s="4">
        <f ca="1">IF(H577&gt;=$C$4,J577+I577,I577)</f>
        <v>-5000</v>
      </c>
    </row>
    <row r="578" spans="5:11" x14ac:dyDescent="0.25">
      <c r="E578" s="1">
        <f t="shared" si="25"/>
        <v>575</v>
      </c>
      <c r="F578" s="4">
        <f t="shared" ca="1" si="26"/>
        <v>365000</v>
      </c>
      <c r="G578" s="1" t="s">
        <v>70</v>
      </c>
      <c r="H578" s="26">
        <f t="shared" ca="1" si="24"/>
        <v>6.8694701422544413E-2</v>
      </c>
      <c r="I578" s="4">
        <f>IF(G578="Yes",-$C$8,0)</f>
        <v>-5000</v>
      </c>
      <c r="J578" s="4">
        <f>IF(G578="Yes",$C$8-I578,0)</f>
        <v>10000</v>
      </c>
      <c r="K578" s="4">
        <f ca="1">IF(H578&gt;=$C$4,J578+I578,I578)</f>
        <v>-5000</v>
      </c>
    </row>
    <row r="579" spans="5:11" x14ac:dyDescent="0.25">
      <c r="E579" s="1">
        <f t="shared" si="25"/>
        <v>576</v>
      </c>
      <c r="F579" s="4">
        <f t="shared" ca="1" si="26"/>
        <v>360000</v>
      </c>
      <c r="G579" s="1" t="s">
        <v>70</v>
      </c>
      <c r="H579" s="26">
        <f t="shared" ca="1" si="24"/>
        <v>0.37197475429557181</v>
      </c>
      <c r="I579" s="4">
        <f>IF(G579="Yes",-$C$8,0)</f>
        <v>-5000</v>
      </c>
      <c r="J579" s="4">
        <f>IF(G579="Yes",$C$8-I579,0)</f>
        <v>10000</v>
      </c>
      <c r="K579" s="4">
        <f ca="1">IF(H579&gt;=$C$4,J579+I579,I579)</f>
        <v>-5000</v>
      </c>
    </row>
    <row r="580" spans="5:11" x14ac:dyDescent="0.25">
      <c r="E580" s="1">
        <f t="shared" si="25"/>
        <v>577</v>
      </c>
      <c r="F580" s="4">
        <f t="shared" ca="1" si="26"/>
        <v>355000</v>
      </c>
      <c r="G580" s="1" t="s">
        <v>70</v>
      </c>
      <c r="H580" s="26">
        <f t="shared" ref="H580:H643" ca="1" si="27">RAND()</f>
        <v>0.37037143811663298</v>
      </c>
      <c r="I580" s="4">
        <f>IF(G580="Yes",-$C$8,0)</f>
        <v>-5000</v>
      </c>
      <c r="J580" s="4">
        <f>IF(G580="Yes",$C$8-I580,0)</f>
        <v>10000</v>
      </c>
      <c r="K580" s="4">
        <f ca="1">IF(H580&gt;=$C$4,J580+I580,I580)</f>
        <v>-5000</v>
      </c>
    </row>
    <row r="581" spans="5:11" x14ac:dyDescent="0.25">
      <c r="E581" s="1">
        <f t="shared" ref="E581:G644" si="28">E580+1</f>
        <v>578</v>
      </c>
      <c r="F581" s="4">
        <f t="shared" ref="F581:F644" ca="1" si="29">F580+K581</f>
        <v>360000</v>
      </c>
      <c r="G581" s="1" t="s">
        <v>70</v>
      </c>
      <c r="H581" s="26">
        <f t="shared" ca="1" si="27"/>
        <v>0.73257772192583537</v>
      </c>
      <c r="I581" s="4">
        <f>IF(G581="Yes",-$C$8,0)</f>
        <v>-5000</v>
      </c>
      <c r="J581" s="4">
        <f>IF(G581="Yes",$C$8-I581,0)</f>
        <v>10000</v>
      </c>
      <c r="K581" s="4">
        <f ca="1">IF(H581&gt;=$C$4,J581+I581,I581)</f>
        <v>5000</v>
      </c>
    </row>
    <row r="582" spans="5:11" x14ac:dyDescent="0.25">
      <c r="E582" s="1">
        <f t="shared" si="28"/>
        <v>579</v>
      </c>
      <c r="F582" s="4">
        <f t="shared" ca="1" si="29"/>
        <v>355000</v>
      </c>
      <c r="G582" s="1" t="s">
        <v>70</v>
      </c>
      <c r="H582" s="26">
        <f t="shared" ca="1" si="27"/>
        <v>0.23785240732923729</v>
      </c>
      <c r="I582" s="4">
        <f>IF(G582="Yes",-$C$8,0)</f>
        <v>-5000</v>
      </c>
      <c r="J582" s="4">
        <f>IF(G582="Yes",$C$8-I582,0)</f>
        <v>10000</v>
      </c>
      <c r="K582" s="4">
        <f ca="1">IF(H582&gt;=$C$4,J582+I582,I582)</f>
        <v>-5000</v>
      </c>
    </row>
    <row r="583" spans="5:11" x14ac:dyDescent="0.25">
      <c r="E583" s="1">
        <f t="shared" si="28"/>
        <v>580</v>
      </c>
      <c r="F583" s="4">
        <f t="shared" ca="1" si="29"/>
        <v>350000</v>
      </c>
      <c r="G583" s="1" t="s">
        <v>70</v>
      </c>
      <c r="H583" s="26">
        <f t="shared" ca="1" si="27"/>
        <v>0.27146070130612354</v>
      </c>
      <c r="I583" s="4">
        <f>IF(G583="Yes",-$C$8,0)</f>
        <v>-5000</v>
      </c>
      <c r="J583" s="4">
        <f>IF(G583="Yes",$C$8-I583,0)</f>
        <v>10000</v>
      </c>
      <c r="K583" s="4">
        <f ca="1">IF(H583&gt;=$C$4,J583+I583,I583)</f>
        <v>-5000</v>
      </c>
    </row>
    <row r="584" spans="5:11" x14ac:dyDescent="0.25">
      <c r="E584" s="1">
        <f t="shared" si="28"/>
        <v>581</v>
      </c>
      <c r="F584" s="4">
        <f t="shared" ca="1" si="29"/>
        <v>355000</v>
      </c>
      <c r="G584" s="1" t="s">
        <v>70</v>
      </c>
      <c r="H584" s="26">
        <f t="shared" ca="1" si="27"/>
        <v>0.46030293132929345</v>
      </c>
      <c r="I584" s="4">
        <f>IF(G584="Yes",-$C$8,0)</f>
        <v>-5000</v>
      </c>
      <c r="J584" s="4">
        <f>IF(G584="Yes",$C$8-I584,0)</f>
        <v>10000</v>
      </c>
      <c r="K584" s="4">
        <f ca="1">IF(H584&gt;=$C$4,J584+I584,I584)</f>
        <v>5000</v>
      </c>
    </row>
    <row r="585" spans="5:11" x14ac:dyDescent="0.25">
      <c r="E585" s="1">
        <f t="shared" si="28"/>
        <v>582</v>
      </c>
      <c r="F585" s="4">
        <f t="shared" ca="1" si="29"/>
        <v>360000</v>
      </c>
      <c r="G585" s="1" t="s">
        <v>70</v>
      </c>
      <c r="H585" s="26">
        <f t="shared" ca="1" si="27"/>
        <v>0.67905194070832264</v>
      </c>
      <c r="I585" s="4">
        <f>IF(G585="Yes",-$C$8,0)</f>
        <v>-5000</v>
      </c>
      <c r="J585" s="4">
        <f>IF(G585="Yes",$C$8-I585,0)</f>
        <v>10000</v>
      </c>
      <c r="K585" s="4">
        <f ca="1">IF(H585&gt;=$C$4,J585+I585,I585)</f>
        <v>5000</v>
      </c>
    </row>
    <row r="586" spans="5:11" x14ac:dyDescent="0.25">
      <c r="E586" s="1">
        <f t="shared" si="28"/>
        <v>583</v>
      </c>
      <c r="F586" s="4">
        <f t="shared" ca="1" si="29"/>
        <v>355000</v>
      </c>
      <c r="G586" s="1" t="s">
        <v>70</v>
      </c>
      <c r="H586" s="26">
        <f t="shared" ca="1" si="27"/>
        <v>0.19263769567615918</v>
      </c>
      <c r="I586" s="4">
        <f>IF(G586="Yes",-$C$8,0)</f>
        <v>-5000</v>
      </c>
      <c r="J586" s="4">
        <f>IF(G586="Yes",$C$8-I586,0)</f>
        <v>10000</v>
      </c>
      <c r="K586" s="4">
        <f ca="1">IF(H586&gt;=$C$4,J586+I586,I586)</f>
        <v>-5000</v>
      </c>
    </row>
    <row r="587" spans="5:11" x14ac:dyDescent="0.25">
      <c r="E587" s="1">
        <f t="shared" si="28"/>
        <v>584</v>
      </c>
      <c r="F587" s="4">
        <f t="shared" ca="1" si="29"/>
        <v>350000</v>
      </c>
      <c r="G587" s="1" t="s">
        <v>70</v>
      </c>
      <c r="H587" s="26">
        <f t="shared" ca="1" si="27"/>
        <v>0.41462125790087578</v>
      </c>
      <c r="I587" s="4">
        <f>IF(G587="Yes",-$C$8,0)</f>
        <v>-5000</v>
      </c>
      <c r="J587" s="4">
        <f>IF(G587="Yes",$C$8-I587,0)</f>
        <v>10000</v>
      </c>
      <c r="K587" s="4">
        <f ca="1">IF(H587&gt;=$C$4,J587+I587,I587)</f>
        <v>-5000</v>
      </c>
    </row>
    <row r="588" spans="5:11" x14ac:dyDescent="0.25">
      <c r="E588" s="1">
        <f t="shared" si="28"/>
        <v>585</v>
      </c>
      <c r="F588" s="4">
        <f t="shared" ca="1" si="29"/>
        <v>355000</v>
      </c>
      <c r="G588" s="1" t="s">
        <v>70</v>
      </c>
      <c r="H588" s="26">
        <f t="shared" ca="1" si="27"/>
        <v>0.49875529785993578</v>
      </c>
      <c r="I588" s="4">
        <f>IF(G588="Yes",-$C$8,0)</f>
        <v>-5000</v>
      </c>
      <c r="J588" s="4">
        <f>IF(G588="Yes",$C$8-I588,0)</f>
        <v>10000</v>
      </c>
      <c r="K588" s="4">
        <f ca="1">IF(H588&gt;=$C$4,J588+I588,I588)</f>
        <v>5000</v>
      </c>
    </row>
    <row r="589" spans="5:11" x14ac:dyDescent="0.25">
      <c r="E589" s="1">
        <f t="shared" si="28"/>
        <v>586</v>
      </c>
      <c r="F589" s="4">
        <f t="shared" ca="1" si="29"/>
        <v>360000</v>
      </c>
      <c r="G589" s="1" t="s">
        <v>70</v>
      </c>
      <c r="H589" s="26">
        <f t="shared" ca="1" si="27"/>
        <v>0.99495286600934496</v>
      </c>
      <c r="I589" s="4">
        <f>IF(G589="Yes",-$C$8,0)</f>
        <v>-5000</v>
      </c>
      <c r="J589" s="4">
        <f>IF(G589="Yes",$C$8-I589,0)</f>
        <v>10000</v>
      </c>
      <c r="K589" s="4">
        <f ca="1">IF(H589&gt;=$C$4,J589+I589,I589)</f>
        <v>5000</v>
      </c>
    </row>
    <row r="590" spans="5:11" x14ac:dyDescent="0.25">
      <c r="E590" s="1">
        <f t="shared" si="28"/>
        <v>587</v>
      </c>
      <c r="F590" s="4">
        <f t="shared" ca="1" si="29"/>
        <v>365000</v>
      </c>
      <c r="G590" s="1" t="s">
        <v>70</v>
      </c>
      <c r="H590" s="26">
        <f t="shared" ca="1" si="27"/>
        <v>0.77944438459212706</v>
      </c>
      <c r="I590" s="4">
        <f>IF(G590="Yes",-$C$8,0)</f>
        <v>-5000</v>
      </c>
      <c r="J590" s="4">
        <f>IF(G590="Yes",$C$8-I590,0)</f>
        <v>10000</v>
      </c>
      <c r="K590" s="4">
        <f ca="1">IF(H590&gt;=$C$4,J590+I590,I590)</f>
        <v>5000</v>
      </c>
    </row>
    <row r="591" spans="5:11" x14ac:dyDescent="0.25">
      <c r="E591" s="1">
        <f t="shared" si="28"/>
        <v>588</v>
      </c>
      <c r="F591" s="4">
        <f t="shared" ca="1" si="29"/>
        <v>370000</v>
      </c>
      <c r="G591" s="1" t="s">
        <v>70</v>
      </c>
      <c r="H591" s="26">
        <f t="shared" ca="1" si="27"/>
        <v>0.742109261140521</v>
      </c>
      <c r="I591" s="4">
        <f>IF(G591="Yes",-$C$8,0)</f>
        <v>-5000</v>
      </c>
      <c r="J591" s="4">
        <f>IF(G591="Yes",$C$8-I591,0)</f>
        <v>10000</v>
      </c>
      <c r="K591" s="4">
        <f ca="1">IF(H591&gt;=$C$4,J591+I591,I591)</f>
        <v>5000</v>
      </c>
    </row>
    <row r="592" spans="5:11" x14ac:dyDescent="0.25">
      <c r="E592" s="1">
        <f t="shared" si="28"/>
        <v>589</v>
      </c>
      <c r="F592" s="4">
        <f t="shared" ca="1" si="29"/>
        <v>365000</v>
      </c>
      <c r="G592" s="1" t="s">
        <v>70</v>
      </c>
      <c r="H592" s="26">
        <f t="shared" ca="1" si="27"/>
        <v>0.12215587354920476</v>
      </c>
      <c r="I592" s="4">
        <f>IF(G592="Yes",-$C$8,0)</f>
        <v>-5000</v>
      </c>
      <c r="J592" s="4">
        <f>IF(G592="Yes",$C$8-I592,0)</f>
        <v>10000</v>
      </c>
      <c r="K592" s="4">
        <f ca="1">IF(H592&gt;=$C$4,J592+I592,I592)</f>
        <v>-5000</v>
      </c>
    </row>
    <row r="593" spans="5:11" x14ac:dyDescent="0.25">
      <c r="E593" s="1">
        <f t="shared" si="28"/>
        <v>590</v>
      </c>
      <c r="F593" s="4">
        <f t="shared" ca="1" si="29"/>
        <v>370000</v>
      </c>
      <c r="G593" s="1" t="s">
        <v>70</v>
      </c>
      <c r="H593" s="26">
        <f t="shared" ca="1" si="27"/>
        <v>0.75812580987122191</v>
      </c>
      <c r="I593" s="4">
        <f>IF(G593="Yes",-$C$8,0)</f>
        <v>-5000</v>
      </c>
      <c r="J593" s="4">
        <f>IF(G593="Yes",$C$8-I593,0)</f>
        <v>10000</v>
      </c>
      <c r="K593" s="4">
        <f ca="1">IF(H593&gt;=$C$4,J593+I593,I593)</f>
        <v>5000</v>
      </c>
    </row>
    <row r="594" spans="5:11" x14ac:dyDescent="0.25">
      <c r="E594" s="1">
        <f t="shared" si="28"/>
        <v>591</v>
      </c>
      <c r="F594" s="4">
        <f t="shared" ca="1" si="29"/>
        <v>375000</v>
      </c>
      <c r="G594" s="1" t="s">
        <v>70</v>
      </c>
      <c r="H594" s="26">
        <f t="shared" ca="1" si="27"/>
        <v>0.49101597305090017</v>
      </c>
      <c r="I594" s="4">
        <f>IF(G594="Yes",-$C$8,0)</f>
        <v>-5000</v>
      </c>
      <c r="J594" s="4">
        <f>IF(G594="Yes",$C$8-I594,0)</f>
        <v>10000</v>
      </c>
      <c r="K594" s="4">
        <f ca="1">IF(H594&gt;=$C$4,J594+I594,I594)</f>
        <v>5000</v>
      </c>
    </row>
    <row r="595" spans="5:11" x14ac:dyDescent="0.25">
      <c r="E595" s="1">
        <f t="shared" si="28"/>
        <v>592</v>
      </c>
      <c r="F595" s="4">
        <f t="shared" ca="1" si="29"/>
        <v>380000</v>
      </c>
      <c r="G595" s="1" t="s">
        <v>70</v>
      </c>
      <c r="H595" s="26">
        <f t="shared" ca="1" si="27"/>
        <v>0.98100939486814143</v>
      </c>
      <c r="I595" s="4">
        <f>IF(G595="Yes",-$C$8,0)</f>
        <v>-5000</v>
      </c>
      <c r="J595" s="4">
        <f>IF(G595="Yes",$C$8-I595,0)</f>
        <v>10000</v>
      </c>
      <c r="K595" s="4">
        <f ca="1">IF(H595&gt;=$C$4,J595+I595,I595)</f>
        <v>5000</v>
      </c>
    </row>
    <row r="596" spans="5:11" x14ac:dyDescent="0.25">
      <c r="E596" s="1">
        <f t="shared" si="28"/>
        <v>593</v>
      </c>
      <c r="F596" s="4">
        <f t="shared" ca="1" si="29"/>
        <v>375000</v>
      </c>
      <c r="G596" s="1" t="s">
        <v>70</v>
      </c>
      <c r="H596" s="26">
        <f t="shared" ca="1" si="27"/>
        <v>2.0491245615190112E-2</v>
      </c>
      <c r="I596" s="4">
        <f>IF(G596="Yes",-$C$8,0)</f>
        <v>-5000</v>
      </c>
      <c r="J596" s="4">
        <f>IF(G596="Yes",$C$8-I596,0)</f>
        <v>10000</v>
      </c>
      <c r="K596" s="4">
        <f ca="1">IF(H596&gt;=$C$4,J596+I596,I596)</f>
        <v>-5000</v>
      </c>
    </row>
    <row r="597" spans="5:11" x14ac:dyDescent="0.25">
      <c r="E597" s="1">
        <f t="shared" si="28"/>
        <v>594</v>
      </c>
      <c r="F597" s="4">
        <f t="shared" ca="1" si="29"/>
        <v>380000</v>
      </c>
      <c r="G597" s="1" t="s">
        <v>70</v>
      </c>
      <c r="H597" s="26">
        <f t="shared" ca="1" si="27"/>
        <v>0.81824786411475658</v>
      </c>
      <c r="I597" s="4">
        <f>IF(G597="Yes",-$C$8,0)</f>
        <v>-5000</v>
      </c>
      <c r="J597" s="4">
        <f>IF(G597="Yes",$C$8-I597,0)</f>
        <v>10000</v>
      </c>
      <c r="K597" s="4">
        <f ca="1">IF(H597&gt;=$C$4,J597+I597,I597)</f>
        <v>5000</v>
      </c>
    </row>
    <row r="598" spans="5:11" x14ac:dyDescent="0.25">
      <c r="E598" s="1">
        <f t="shared" si="28"/>
        <v>595</v>
      </c>
      <c r="F598" s="4">
        <f t="shared" ca="1" si="29"/>
        <v>375000</v>
      </c>
      <c r="G598" s="1" t="s">
        <v>70</v>
      </c>
      <c r="H598" s="26">
        <f t="shared" ca="1" si="27"/>
        <v>0.39272171924917854</v>
      </c>
      <c r="I598" s="4">
        <f>IF(G598="Yes",-$C$8,0)</f>
        <v>-5000</v>
      </c>
      <c r="J598" s="4">
        <f>IF(G598="Yes",$C$8-I598,0)</f>
        <v>10000</v>
      </c>
      <c r="K598" s="4">
        <f ca="1">IF(H598&gt;=$C$4,J598+I598,I598)</f>
        <v>-5000</v>
      </c>
    </row>
    <row r="599" spans="5:11" x14ac:dyDescent="0.25">
      <c r="E599" s="1">
        <f t="shared" si="28"/>
        <v>596</v>
      </c>
      <c r="F599" s="4">
        <f t="shared" ca="1" si="29"/>
        <v>380000</v>
      </c>
      <c r="G599" s="1" t="s">
        <v>70</v>
      </c>
      <c r="H599" s="26">
        <f t="shared" ca="1" si="27"/>
        <v>0.78472998267143335</v>
      </c>
      <c r="I599" s="4">
        <f>IF(G599="Yes",-$C$8,0)</f>
        <v>-5000</v>
      </c>
      <c r="J599" s="4">
        <f>IF(G599="Yes",$C$8-I599,0)</f>
        <v>10000</v>
      </c>
      <c r="K599" s="4">
        <f ca="1">IF(H599&gt;=$C$4,J599+I599,I599)</f>
        <v>5000</v>
      </c>
    </row>
    <row r="600" spans="5:11" x14ac:dyDescent="0.25">
      <c r="E600" s="1">
        <f t="shared" si="28"/>
        <v>597</v>
      </c>
      <c r="F600" s="4">
        <f t="shared" ca="1" si="29"/>
        <v>375000</v>
      </c>
      <c r="G600" s="1" t="s">
        <v>70</v>
      </c>
      <c r="H600" s="26">
        <f t="shared" ca="1" si="27"/>
        <v>4.2530116987946176E-2</v>
      </c>
      <c r="I600" s="4">
        <f>IF(G600="Yes",-$C$8,0)</f>
        <v>-5000</v>
      </c>
      <c r="J600" s="4">
        <f>IF(G600="Yes",$C$8-I600,0)</f>
        <v>10000</v>
      </c>
      <c r="K600" s="4">
        <f ca="1">IF(H600&gt;=$C$4,J600+I600,I600)</f>
        <v>-5000</v>
      </c>
    </row>
    <row r="601" spans="5:11" x14ac:dyDescent="0.25">
      <c r="E601" s="1">
        <f t="shared" si="28"/>
        <v>598</v>
      </c>
      <c r="F601" s="4">
        <f t="shared" ca="1" si="29"/>
        <v>380000</v>
      </c>
      <c r="G601" s="1" t="s">
        <v>70</v>
      </c>
      <c r="H601" s="26">
        <f t="shared" ca="1" si="27"/>
        <v>0.81456792916890952</v>
      </c>
      <c r="I601" s="4">
        <f>IF(G601="Yes",-$C$8,0)</f>
        <v>-5000</v>
      </c>
      <c r="J601" s="4">
        <f>IF(G601="Yes",$C$8-I601,0)</f>
        <v>10000</v>
      </c>
      <c r="K601" s="4">
        <f ca="1">IF(H601&gt;=$C$4,J601+I601,I601)</f>
        <v>5000</v>
      </c>
    </row>
    <row r="602" spans="5:11" x14ac:dyDescent="0.25">
      <c r="E602" s="1">
        <f t="shared" si="28"/>
        <v>599</v>
      </c>
      <c r="F602" s="4">
        <f t="shared" ca="1" si="29"/>
        <v>375000</v>
      </c>
      <c r="G602" s="1" t="s">
        <v>70</v>
      </c>
      <c r="H602" s="26">
        <f t="shared" ca="1" si="27"/>
        <v>0.1742912069264837</v>
      </c>
      <c r="I602" s="4">
        <f>IF(G602="Yes",-$C$8,0)</f>
        <v>-5000</v>
      </c>
      <c r="J602" s="4">
        <f>IF(G602="Yes",$C$8-I602,0)</f>
        <v>10000</v>
      </c>
      <c r="K602" s="4">
        <f ca="1">IF(H602&gt;=$C$4,J602+I602,I602)</f>
        <v>-5000</v>
      </c>
    </row>
    <row r="603" spans="5:11" x14ac:dyDescent="0.25">
      <c r="E603" s="1">
        <f t="shared" si="28"/>
        <v>600</v>
      </c>
      <c r="F603" s="4">
        <f t="shared" ca="1" si="29"/>
        <v>380000</v>
      </c>
      <c r="G603" s="1" t="s">
        <v>70</v>
      </c>
      <c r="H603" s="26">
        <f t="shared" ca="1" si="27"/>
        <v>0.61975883415154642</v>
      </c>
      <c r="I603" s="4">
        <f>IF(G603="Yes",-$C$8,0)</f>
        <v>-5000</v>
      </c>
      <c r="J603" s="4">
        <f>IF(G603="Yes",$C$8-I603,0)</f>
        <v>10000</v>
      </c>
      <c r="K603" s="4">
        <f ca="1">IF(H603&gt;=$C$4,J603+I603,I603)</f>
        <v>5000</v>
      </c>
    </row>
    <row r="604" spans="5:11" x14ac:dyDescent="0.25">
      <c r="E604" s="1">
        <f t="shared" si="28"/>
        <v>601</v>
      </c>
      <c r="F604" s="4">
        <f t="shared" ca="1" si="29"/>
        <v>385000</v>
      </c>
      <c r="G604" s="1" t="s">
        <v>70</v>
      </c>
      <c r="H604" s="26">
        <f t="shared" ca="1" si="27"/>
        <v>0.78100153671188544</v>
      </c>
      <c r="I604" s="4">
        <f>IF(G604="Yes",-$C$8,0)</f>
        <v>-5000</v>
      </c>
      <c r="J604" s="4">
        <f>IF(G604="Yes",$C$8-I604,0)</f>
        <v>10000</v>
      </c>
      <c r="K604" s="4">
        <f ca="1">IF(H604&gt;=$C$4,J604+I604,I604)</f>
        <v>5000</v>
      </c>
    </row>
    <row r="605" spans="5:11" x14ac:dyDescent="0.25">
      <c r="E605" s="1">
        <f t="shared" si="28"/>
        <v>602</v>
      </c>
      <c r="F605" s="4">
        <f t="shared" ca="1" si="29"/>
        <v>380000</v>
      </c>
      <c r="G605" s="1" t="s">
        <v>70</v>
      </c>
      <c r="H605" s="26">
        <f t="shared" ca="1" si="27"/>
        <v>0.42252949404790385</v>
      </c>
      <c r="I605" s="4">
        <f>IF(G605="Yes",-$C$8,0)</f>
        <v>-5000</v>
      </c>
      <c r="J605" s="4">
        <f>IF(G605="Yes",$C$8-I605,0)</f>
        <v>10000</v>
      </c>
      <c r="K605" s="4">
        <f ca="1">IF(H605&gt;=$C$4,J605+I605,I605)</f>
        <v>-5000</v>
      </c>
    </row>
    <row r="606" spans="5:11" x14ac:dyDescent="0.25">
      <c r="E606" s="1">
        <f t="shared" si="28"/>
        <v>603</v>
      </c>
      <c r="F606" s="4">
        <f t="shared" ca="1" si="29"/>
        <v>385000</v>
      </c>
      <c r="G606" s="1" t="s">
        <v>70</v>
      </c>
      <c r="H606" s="26">
        <f t="shared" ca="1" si="27"/>
        <v>0.73001741834044309</v>
      </c>
      <c r="I606" s="4">
        <f>IF(G606="Yes",-$C$8,0)</f>
        <v>-5000</v>
      </c>
      <c r="J606" s="4">
        <f>IF(G606="Yes",$C$8-I606,0)</f>
        <v>10000</v>
      </c>
      <c r="K606" s="4">
        <f ca="1">IF(H606&gt;=$C$4,J606+I606,I606)</f>
        <v>5000</v>
      </c>
    </row>
    <row r="607" spans="5:11" x14ac:dyDescent="0.25">
      <c r="E607" s="1">
        <f t="shared" si="28"/>
        <v>604</v>
      </c>
      <c r="F607" s="4">
        <f t="shared" ca="1" si="29"/>
        <v>390000</v>
      </c>
      <c r="G607" s="1" t="s">
        <v>70</v>
      </c>
      <c r="H607" s="26">
        <f t="shared" ca="1" si="27"/>
        <v>0.5521964115016269</v>
      </c>
      <c r="I607" s="4">
        <f>IF(G607="Yes",-$C$8,0)</f>
        <v>-5000</v>
      </c>
      <c r="J607" s="4">
        <f>IF(G607="Yes",$C$8-I607,0)</f>
        <v>10000</v>
      </c>
      <c r="K607" s="4">
        <f ca="1">IF(H607&gt;=$C$4,J607+I607,I607)</f>
        <v>5000</v>
      </c>
    </row>
    <row r="608" spans="5:11" x14ac:dyDescent="0.25">
      <c r="E608" s="1">
        <f t="shared" si="28"/>
        <v>605</v>
      </c>
      <c r="F608" s="4">
        <f t="shared" ca="1" si="29"/>
        <v>385000</v>
      </c>
      <c r="G608" s="1" t="s">
        <v>70</v>
      </c>
      <c r="H608" s="26">
        <f t="shared" ca="1" si="27"/>
        <v>4.2163326097264031E-2</v>
      </c>
      <c r="I608" s="4">
        <f>IF(G608="Yes",-$C$8,0)</f>
        <v>-5000</v>
      </c>
      <c r="J608" s="4">
        <f>IF(G608="Yes",$C$8-I608,0)</f>
        <v>10000</v>
      </c>
      <c r="K608" s="4">
        <f ca="1">IF(H608&gt;=$C$4,J608+I608,I608)</f>
        <v>-5000</v>
      </c>
    </row>
    <row r="609" spans="5:11" x14ac:dyDescent="0.25">
      <c r="E609" s="1">
        <f t="shared" si="28"/>
        <v>606</v>
      </c>
      <c r="F609" s="4">
        <f t="shared" ca="1" si="29"/>
        <v>390000</v>
      </c>
      <c r="G609" s="1" t="s">
        <v>70</v>
      </c>
      <c r="H609" s="26">
        <f t="shared" ca="1" si="27"/>
        <v>0.9932675381147813</v>
      </c>
      <c r="I609" s="4">
        <f>IF(G609="Yes",-$C$8,0)</f>
        <v>-5000</v>
      </c>
      <c r="J609" s="4">
        <f>IF(G609="Yes",$C$8-I609,0)</f>
        <v>10000</v>
      </c>
      <c r="K609" s="4">
        <f ca="1">IF(H609&gt;=$C$4,J609+I609,I609)</f>
        <v>5000</v>
      </c>
    </row>
    <row r="610" spans="5:11" x14ac:dyDescent="0.25">
      <c r="E610" s="1">
        <f t="shared" si="28"/>
        <v>607</v>
      </c>
      <c r="F610" s="4">
        <f t="shared" ca="1" si="29"/>
        <v>395000</v>
      </c>
      <c r="G610" s="1" t="s">
        <v>70</v>
      </c>
      <c r="H610" s="26">
        <f t="shared" ca="1" si="27"/>
        <v>0.81798022875865051</v>
      </c>
      <c r="I610" s="4">
        <f>IF(G610="Yes",-$C$8,0)</f>
        <v>-5000</v>
      </c>
      <c r="J610" s="4">
        <f>IF(G610="Yes",$C$8-I610,0)</f>
        <v>10000</v>
      </c>
      <c r="K610" s="4">
        <f ca="1">IF(H610&gt;=$C$4,J610+I610,I610)</f>
        <v>5000</v>
      </c>
    </row>
    <row r="611" spans="5:11" x14ac:dyDescent="0.25">
      <c r="E611" s="1">
        <f t="shared" si="28"/>
        <v>608</v>
      </c>
      <c r="F611" s="4">
        <f t="shared" ca="1" si="29"/>
        <v>400000</v>
      </c>
      <c r="G611" s="1" t="s">
        <v>70</v>
      </c>
      <c r="H611" s="26">
        <f t="shared" ca="1" si="27"/>
        <v>0.8964651119444832</v>
      </c>
      <c r="I611" s="4">
        <f>IF(G611="Yes",-$C$8,0)</f>
        <v>-5000</v>
      </c>
      <c r="J611" s="4">
        <f>IF(G611="Yes",$C$8-I611,0)</f>
        <v>10000</v>
      </c>
      <c r="K611" s="4">
        <f ca="1">IF(H611&gt;=$C$4,J611+I611,I611)</f>
        <v>5000</v>
      </c>
    </row>
    <row r="612" spans="5:11" x14ac:dyDescent="0.25">
      <c r="E612" s="1">
        <f t="shared" si="28"/>
        <v>609</v>
      </c>
      <c r="F612" s="4">
        <f t="shared" ca="1" si="29"/>
        <v>395000</v>
      </c>
      <c r="G612" s="1" t="s">
        <v>70</v>
      </c>
      <c r="H612" s="26">
        <f t="shared" ca="1" si="27"/>
        <v>9.2405349046335905E-2</v>
      </c>
      <c r="I612" s="4">
        <f>IF(G612="Yes",-$C$8,0)</f>
        <v>-5000</v>
      </c>
      <c r="J612" s="4">
        <f>IF(G612="Yes",$C$8-I612,0)</f>
        <v>10000</v>
      </c>
      <c r="K612" s="4">
        <f ca="1">IF(H612&gt;=$C$4,J612+I612,I612)</f>
        <v>-5000</v>
      </c>
    </row>
    <row r="613" spans="5:11" x14ac:dyDescent="0.25">
      <c r="E613" s="1">
        <f t="shared" si="28"/>
        <v>610</v>
      </c>
      <c r="F613" s="4">
        <f t="shared" ca="1" si="29"/>
        <v>400000</v>
      </c>
      <c r="G613" s="1" t="s">
        <v>70</v>
      </c>
      <c r="H613" s="26">
        <f t="shared" ca="1" si="27"/>
        <v>0.93554309817339476</v>
      </c>
      <c r="I613" s="4">
        <f>IF(G613="Yes",-$C$8,0)</f>
        <v>-5000</v>
      </c>
      <c r="J613" s="4">
        <f>IF(G613="Yes",$C$8-I613,0)</f>
        <v>10000</v>
      </c>
      <c r="K613" s="4">
        <f ca="1">IF(H613&gt;=$C$4,J613+I613,I613)</f>
        <v>5000</v>
      </c>
    </row>
    <row r="614" spans="5:11" x14ac:dyDescent="0.25">
      <c r="E614" s="1">
        <f t="shared" si="28"/>
        <v>611</v>
      </c>
      <c r="F614" s="4">
        <f t="shared" ca="1" si="29"/>
        <v>395000</v>
      </c>
      <c r="G614" s="1" t="s">
        <v>70</v>
      </c>
      <c r="H614" s="26">
        <f t="shared" ca="1" si="27"/>
        <v>0.12254334896241614</v>
      </c>
      <c r="I614" s="4">
        <f>IF(G614="Yes",-$C$8,0)</f>
        <v>-5000</v>
      </c>
      <c r="J614" s="4">
        <f>IF(G614="Yes",$C$8-I614,0)</f>
        <v>10000</v>
      </c>
      <c r="K614" s="4">
        <f ca="1">IF(H614&gt;=$C$4,J614+I614,I614)</f>
        <v>-5000</v>
      </c>
    </row>
    <row r="615" spans="5:11" x14ac:dyDescent="0.25">
      <c r="E615" s="1">
        <f t="shared" si="28"/>
        <v>612</v>
      </c>
      <c r="F615" s="4">
        <f t="shared" ca="1" si="29"/>
        <v>400000</v>
      </c>
      <c r="G615" s="1" t="s">
        <v>70</v>
      </c>
      <c r="H615" s="26">
        <f t="shared" ca="1" si="27"/>
        <v>0.70232426011686067</v>
      </c>
      <c r="I615" s="4">
        <f>IF(G615="Yes",-$C$8,0)</f>
        <v>-5000</v>
      </c>
      <c r="J615" s="4">
        <f>IF(G615="Yes",$C$8-I615,0)</f>
        <v>10000</v>
      </c>
      <c r="K615" s="4">
        <f ca="1">IF(H615&gt;=$C$4,J615+I615,I615)</f>
        <v>5000</v>
      </c>
    </row>
    <row r="616" spans="5:11" x14ac:dyDescent="0.25">
      <c r="E616" s="1">
        <f t="shared" si="28"/>
        <v>613</v>
      </c>
      <c r="F616" s="4">
        <f t="shared" ca="1" si="29"/>
        <v>395000</v>
      </c>
      <c r="G616" s="1" t="s">
        <v>70</v>
      </c>
      <c r="H616" s="26">
        <f t="shared" ca="1" si="27"/>
        <v>6.2136880733452249E-2</v>
      </c>
      <c r="I616" s="4">
        <f>IF(G616="Yes",-$C$8,0)</f>
        <v>-5000</v>
      </c>
      <c r="J616" s="4">
        <f>IF(G616="Yes",$C$8-I616,0)</f>
        <v>10000</v>
      </c>
      <c r="K616" s="4">
        <f ca="1">IF(H616&gt;=$C$4,J616+I616,I616)</f>
        <v>-5000</v>
      </c>
    </row>
    <row r="617" spans="5:11" x14ac:dyDescent="0.25">
      <c r="E617" s="1">
        <f t="shared" si="28"/>
        <v>614</v>
      </c>
      <c r="F617" s="4">
        <f t="shared" ca="1" si="29"/>
        <v>390000</v>
      </c>
      <c r="G617" s="1" t="s">
        <v>70</v>
      </c>
      <c r="H617" s="26">
        <f t="shared" ca="1" si="27"/>
        <v>0.35219133185120466</v>
      </c>
      <c r="I617" s="4">
        <f>IF(G617="Yes",-$C$8,0)</f>
        <v>-5000</v>
      </c>
      <c r="J617" s="4">
        <f>IF(G617="Yes",$C$8-I617,0)</f>
        <v>10000</v>
      </c>
      <c r="K617" s="4">
        <f ca="1">IF(H617&gt;=$C$4,J617+I617,I617)</f>
        <v>-5000</v>
      </c>
    </row>
    <row r="618" spans="5:11" x14ac:dyDescent="0.25">
      <c r="E618" s="1">
        <f t="shared" si="28"/>
        <v>615</v>
      </c>
      <c r="F618" s="4">
        <f t="shared" ca="1" si="29"/>
        <v>395000</v>
      </c>
      <c r="G618" s="1" t="s">
        <v>70</v>
      </c>
      <c r="H618" s="26">
        <f t="shared" ca="1" si="27"/>
        <v>0.72610041723952223</v>
      </c>
      <c r="I618" s="4">
        <f>IF(G618="Yes",-$C$8,0)</f>
        <v>-5000</v>
      </c>
      <c r="J618" s="4">
        <f>IF(G618="Yes",$C$8-I618,0)</f>
        <v>10000</v>
      </c>
      <c r="K618" s="4">
        <f ca="1">IF(H618&gt;=$C$4,J618+I618,I618)</f>
        <v>5000</v>
      </c>
    </row>
    <row r="619" spans="5:11" x14ac:dyDescent="0.25">
      <c r="E619" s="1">
        <f t="shared" si="28"/>
        <v>616</v>
      </c>
      <c r="F619" s="4">
        <f t="shared" ca="1" si="29"/>
        <v>400000</v>
      </c>
      <c r="G619" s="1" t="s">
        <v>70</v>
      </c>
      <c r="H619" s="26">
        <f t="shared" ca="1" si="27"/>
        <v>0.89123477084735747</v>
      </c>
      <c r="I619" s="4">
        <f>IF(G619="Yes",-$C$8,0)</f>
        <v>-5000</v>
      </c>
      <c r="J619" s="4">
        <f>IF(G619="Yes",$C$8-I619,0)</f>
        <v>10000</v>
      </c>
      <c r="K619" s="4">
        <f ca="1">IF(H619&gt;=$C$4,J619+I619,I619)</f>
        <v>5000</v>
      </c>
    </row>
    <row r="620" spans="5:11" x14ac:dyDescent="0.25">
      <c r="E620" s="1">
        <f t="shared" si="28"/>
        <v>617</v>
      </c>
      <c r="F620" s="4">
        <f t="shared" ca="1" si="29"/>
        <v>405000</v>
      </c>
      <c r="G620" s="1" t="s">
        <v>70</v>
      </c>
      <c r="H620" s="26">
        <f t="shared" ca="1" si="27"/>
        <v>0.65065042936080919</v>
      </c>
      <c r="I620" s="4">
        <f>IF(G620="Yes",-$C$8,0)</f>
        <v>-5000</v>
      </c>
      <c r="J620" s="4">
        <f>IF(G620="Yes",$C$8-I620,0)</f>
        <v>10000</v>
      </c>
      <c r="K620" s="4">
        <f ca="1">IF(H620&gt;=$C$4,J620+I620,I620)</f>
        <v>5000</v>
      </c>
    </row>
    <row r="621" spans="5:11" x14ac:dyDescent="0.25">
      <c r="E621" s="1">
        <f t="shared" si="28"/>
        <v>618</v>
      </c>
      <c r="F621" s="4">
        <f t="shared" ca="1" si="29"/>
        <v>400000</v>
      </c>
      <c r="G621" s="1" t="s">
        <v>70</v>
      </c>
      <c r="H621" s="26">
        <f t="shared" ca="1" si="27"/>
        <v>0.18534362701272078</v>
      </c>
      <c r="I621" s="4">
        <f>IF(G621="Yes",-$C$8,0)</f>
        <v>-5000</v>
      </c>
      <c r="J621" s="4">
        <f>IF(G621="Yes",$C$8-I621,0)</f>
        <v>10000</v>
      </c>
      <c r="K621" s="4">
        <f ca="1">IF(H621&gt;=$C$4,J621+I621,I621)</f>
        <v>-5000</v>
      </c>
    </row>
    <row r="622" spans="5:11" x14ac:dyDescent="0.25">
      <c r="E622" s="1">
        <f t="shared" si="28"/>
        <v>619</v>
      </c>
      <c r="F622" s="4">
        <f t="shared" ca="1" si="29"/>
        <v>395000</v>
      </c>
      <c r="G622" s="1" t="s">
        <v>70</v>
      </c>
      <c r="H622" s="26">
        <f t="shared" ca="1" si="27"/>
        <v>6.4461224853545773E-2</v>
      </c>
      <c r="I622" s="4">
        <f>IF(G622="Yes",-$C$8,0)</f>
        <v>-5000</v>
      </c>
      <c r="J622" s="4">
        <f>IF(G622="Yes",$C$8-I622,0)</f>
        <v>10000</v>
      </c>
      <c r="K622" s="4">
        <f ca="1">IF(H622&gt;=$C$4,J622+I622,I622)</f>
        <v>-5000</v>
      </c>
    </row>
    <row r="623" spans="5:11" x14ac:dyDescent="0.25">
      <c r="E623" s="1">
        <f t="shared" si="28"/>
        <v>620</v>
      </c>
      <c r="F623" s="4">
        <f t="shared" ca="1" si="29"/>
        <v>400000</v>
      </c>
      <c r="G623" s="1" t="s">
        <v>70</v>
      </c>
      <c r="H623" s="26">
        <f t="shared" ca="1" si="27"/>
        <v>0.60412485271858429</v>
      </c>
      <c r="I623" s="4">
        <f>IF(G623="Yes",-$C$8,0)</f>
        <v>-5000</v>
      </c>
      <c r="J623" s="4">
        <f>IF(G623="Yes",$C$8-I623,0)</f>
        <v>10000</v>
      </c>
      <c r="K623" s="4">
        <f ca="1">IF(H623&gt;=$C$4,J623+I623,I623)</f>
        <v>5000</v>
      </c>
    </row>
    <row r="624" spans="5:11" x14ac:dyDescent="0.25">
      <c r="E624" s="1">
        <f t="shared" si="28"/>
        <v>621</v>
      </c>
      <c r="F624" s="4">
        <f t="shared" ca="1" si="29"/>
        <v>405000</v>
      </c>
      <c r="G624" s="1" t="s">
        <v>70</v>
      </c>
      <c r="H624" s="26">
        <f t="shared" ca="1" si="27"/>
        <v>0.5965881112029755</v>
      </c>
      <c r="I624" s="4">
        <f>IF(G624="Yes",-$C$8,0)</f>
        <v>-5000</v>
      </c>
      <c r="J624" s="4">
        <f>IF(G624="Yes",$C$8-I624,0)</f>
        <v>10000</v>
      </c>
      <c r="K624" s="4">
        <f ca="1">IF(H624&gt;=$C$4,J624+I624,I624)</f>
        <v>5000</v>
      </c>
    </row>
    <row r="625" spans="5:11" x14ac:dyDescent="0.25">
      <c r="E625" s="1">
        <f t="shared" si="28"/>
        <v>622</v>
      </c>
      <c r="F625" s="4">
        <f t="shared" ca="1" si="29"/>
        <v>410000</v>
      </c>
      <c r="G625" s="1" t="s">
        <v>70</v>
      </c>
      <c r="H625" s="26">
        <f t="shared" ca="1" si="27"/>
        <v>0.99327901771408988</v>
      </c>
      <c r="I625" s="4">
        <f>IF(G625="Yes",-$C$8,0)</f>
        <v>-5000</v>
      </c>
      <c r="J625" s="4">
        <f>IF(G625="Yes",$C$8-I625,0)</f>
        <v>10000</v>
      </c>
      <c r="K625" s="4">
        <f ca="1">IF(H625&gt;=$C$4,J625+I625,I625)</f>
        <v>5000</v>
      </c>
    </row>
    <row r="626" spans="5:11" x14ac:dyDescent="0.25">
      <c r="E626" s="1">
        <f t="shared" si="28"/>
        <v>623</v>
      </c>
      <c r="F626" s="4">
        <f t="shared" ca="1" si="29"/>
        <v>415000</v>
      </c>
      <c r="G626" s="1" t="s">
        <v>70</v>
      </c>
      <c r="H626" s="26">
        <f t="shared" ca="1" si="27"/>
        <v>0.75000398299700122</v>
      </c>
      <c r="I626" s="4">
        <f>IF(G626="Yes",-$C$8,0)</f>
        <v>-5000</v>
      </c>
      <c r="J626" s="4">
        <f>IF(G626="Yes",$C$8-I626,0)</f>
        <v>10000</v>
      </c>
      <c r="K626" s="4">
        <f ca="1">IF(H626&gt;=$C$4,J626+I626,I626)</f>
        <v>5000</v>
      </c>
    </row>
    <row r="627" spans="5:11" x14ac:dyDescent="0.25">
      <c r="E627" s="1">
        <f t="shared" si="28"/>
        <v>624</v>
      </c>
      <c r="F627" s="4">
        <f t="shared" ca="1" si="29"/>
        <v>410000</v>
      </c>
      <c r="G627" s="1" t="s">
        <v>70</v>
      </c>
      <c r="H627" s="26">
        <f t="shared" ca="1" si="27"/>
        <v>0.43585756641485274</v>
      </c>
      <c r="I627" s="4">
        <f>IF(G627="Yes",-$C$8,0)</f>
        <v>-5000</v>
      </c>
      <c r="J627" s="4">
        <f>IF(G627="Yes",$C$8-I627,0)</f>
        <v>10000</v>
      </c>
      <c r="K627" s="4">
        <f ca="1">IF(H627&gt;=$C$4,J627+I627,I627)</f>
        <v>-5000</v>
      </c>
    </row>
    <row r="628" spans="5:11" x14ac:dyDescent="0.25">
      <c r="E628" s="1">
        <f t="shared" si="28"/>
        <v>625</v>
      </c>
      <c r="F628" s="4">
        <f t="shared" ca="1" si="29"/>
        <v>405000</v>
      </c>
      <c r="G628" s="1" t="s">
        <v>70</v>
      </c>
      <c r="H628" s="26">
        <f t="shared" ca="1" si="27"/>
        <v>0.14250418716464064</v>
      </c>
      <c r="I628" s="4">
        <f>IF(G628="Yes",-$C$8,0)</f>
        <v>-5000</v>
      </c>
      <c r="J628" s="4">
        <f>IF(G628="Yes",$C$8-I628,0)</f>
        <v>10000</v>
      </c>
      <c r="K628" s="4">
        <f ca="1">IF(H628&gt;=$C$4,J628+I628,I628)</f>
        <v>-5000</v>
      </c>
    </row>
    <row r="629" spans="5:11" x14ac:dyDescent="0.25">
      <c r="E629" s="1">
        <f t="shared" si="28"/>
        <v>626</v>
      </c>
      <c r="F629" s="4">
        <f t="shared" ca="1" si="29"/>
        <v>410000</v>
      </c>
      <c r="G629" s="1" t="s">
        <v>70</v>
      </c>
      <c r="H629" s="26">
        <f t="shared" ca="1" si="27"/>
        <v>0.70989206848996733</v>
      </c>
      <c r="I629" s="4">
        <f>IF(G629="Yes",-$C$8,0)</f>
        <v>-5000</v>
      </c>
      <c r="J629" s="4">
        <f>IF(G629="Yes",$C$8-I629,0)</f>
        <v>10000</v>
      </c>
      <c r="K629" s="4">
        <f ca="1">IF(H629&gt;=$C$4,J629+I629,I629)</f>
        <v>5000</v>
      </c>
    </row>
    <row r="630" spans="5:11" x14ac:dyDescent="0.25">
      <c r="E630" s="1">
        <f t="shared" si="28"/>
        <v>627</v>
      </c>
      <c r="F630" s="4">
        <f t="shared" ca="1" si="29"/>
        <v>415000</v>
      </c>
      <c r="G630" s="1" t="s">
        <v>70</v>
      </c>
      <c r="H630" s="26">
        <f t="shared" ca="1" si="27"/>
        <v>0.75042394583390015</v>
      </c>
      <c r="I630" s="4">
        <f>IF(G630="Yes",-$C$8,0)</f>
        <v>-5000</v>
      </c>
      <c r="J630" s="4">
        <f>IF(G630="Yes",$C$8-I630,0)</f>
        <v>10000</v>
      </c>
      <c r="K630" s="4">
        <f ca="1">IF(H630&gt;=$C$4,J630+I630,I630)</f>
        <v>5000</v>
      </c>
    </row>
    <row r="631" spans="5:11" x14ac:dyDescent="0.25">
      <c r="E631" s="1">
        <f t="shared" si="28"/>
        <v>628</v>
      </c>
      <c r="F631" s="4">
        <f t="shared" ca="1" si="29"/>
        <v>420000</v>
      </c>
      <c r="G631" s="1" t="s">
        <v>70</v>
      </c>
      <c r="H631" s="26">
        <f t="shared" ca="1" si="27"/>
        <v>0.80219253570480498</v>
      </c>
      <c r="I631" s="4">
        <f>IF(G631="Yes",-$C$8,0)</f>
        <v>-5000</v>
      </c>
      <c r="J631" s="4">
        <f>IF(G631="Yes",$C$8-I631,0)</f>
        <v>10000</v>
      </c>
      <c r="K631" s="4">
        <f ca="1">IF(H631&gt;=$C$4,J631+I631,I631)</f>
        <v>5000</v>
      </c>
    </row>
    <row r="632" spans="5:11" x14ac:dyDescent="0.25">
      <c r="E632" s="1">
        <f t="shared" si="28"/>
        <v>629</v>
      </c>
      <c r="F632" s="4">
        <f t="shared" ca="1" si="29"/>
        <v>425000</v>
      </c>
      <c r="G632" s="1" t="s">
        <v>70</v>
      </c>
      <c r="H632" s="26">
        <f t="shared" ca="1" si="27"/>
        <v>0.93853928851359469</v>
      </c>
      <c r="I632" s="4">
        <f>IF(G632="Yes",-$C$8,0)</f>
        <v>-5000</v>
      </c>
      <c r="J632" s="4">
        <f>IF(G632="Yes",$C$8-I632,0)</f>
        <v>10000</v>
      </c>
      <c r="K632" s="4">
        <f ca="1">IF(H632&gt;=$C$4,J632+I632,I632)</f>
        <v>5000</v>
      </c>
    </row>
    <row r="633" spans="5:11" x14ac:dyDescent="0.25">
      <c r="E633" s="1">
        <f t="shared" si="28"/>
        <v>630</v>
      </c>
      <c r="F633" s="4">
        <f t="shared" ca="1" si="29"/>
        <v>420000</v>
      </c>
      <c r="G633" s="1" t="s">
        <v>70</v>
      </c>
      <c r="H633" s="26">
        <f t="shared" ca="1" si="27"/>
        <v>0.39813438512244037</v>
      </c>
      <c r="I633" s="4">
        <f>IF(G633="Yes",-$C$8,0)</f>
        <v>-5000</v>
      </c>
      <c r="J633" s="4">
        <f>IF(G633="Yes",$C$8-I633,0)</f>
        <v>10000</v>
      </c>
      <c r="K633" s="4">
        <f ca="1">IF(H633&gt;=$C$4,J633+I633,I633)</f>
        <v>-5000</v>
      </c>
    </row>
    <row r="634" spans="5:11" x14ac:dyDescent="0.25">
      <c r="E634" s="1">
        <f t="shared" si="28"/>
        <v>631</v>
      </c>
      <c r="F634" s="4">
        <f t="shared" ca="1" si="29"/>
        <v>415000</v>
      </c>
      <c r="G634" s="1" t="s">
        <v>70</v>
      </c>
      <c r="H634" s="26">
        <f t="shared" ca="1" si="27"/>
        <v>3.2799339339647404E-2</v>
      </c>
      <c r="I634" s="4">
        <f>IF(G634="Yes",-$C$8,0)</f>
        <v>-5000</v>
      </c>
      <c r="J634" s="4">
        <f>IF(G634="Yes",$C$8-I634,0)</f>
        <v>10000</v>
      </c>
      <c r="K634" s="4">
        <f ca="1">IF(H634&gt;=$C$4,J634+I634,I634)</f>
        <v>-5000</v>
      </c>
    </row>
    <row r="635" spans="5:11" x14ac:dyDescent="0.25">
      <c r="E635" s="1">
        <f t="shared" si="28"/>
        <v>632</v>
      </c>
      <c r="F635" s="4">
        <f t="shared" ca="1" si="29"/>
        <v>420000</v>
      </c>
      <c r="G635" s="1" t="s">
        <v>70</v>
      </c>
      <c r="H635" s="26">
        <f t="shared" ca="1" si="27"/>
        <v>0.67495064717483599</v>
      </c>
      <c r="I635" s="4">
        <f>IF(G635="Yes",-$C$8,0)</f>
        <v>-5000</v>
      </c>
      <c r="J635" s="4">
        <f>IF(G635="Yes",$C$8-I635,0)</f>
        <v>10000</v>
      </c>
      <c r="K635" s="4">
        <f ca="1">IF(H635&gt;=$C$4,J635+I635,I635)</f>
        <v>5000</v>
      </c>
    </row>
    <row r="636" spans="5:11" x14ac:dyDescent="0.25">
      <c r="E636" s="1">
        <f t="shared" si="28"/>
        <v>633</v>
      </c>
      <c r="F636" s="4">
        <f t="shared" ca="1" si="29"/>
        <v>425000</v>
      </c>
      <c r="G636" s="1" t="s">
        <v>70</v>
      </c>
      <c r="H636" s="26">
        <f t="shared" ca="1" si="27"/>
        <v>0.69729656089252634</v>
      </c>
      <c r="I636" s="4">
        <f>IF(G636="Yes",-$C$8,0)</f>
        <v>-5000</v>
      </c>
      <c r="J636" s="4">
        <f>IF(G636="Yes",$C$8-I636,0)</f>
        <v>10000</v>
      </c>
      <c r="K636" s="4">
        <f ca="1">IF(H636&gt;=$C$4,J636+I636,I636)</f>
        <v>5000</v>
      </c>
    </row>
    <row r="637" spans="5:11" x14ac:dyDescent="0.25">
      <c r="E637" s="1">
        <f t="shared" si="28"/>
        <v>634</v>
      </c>
      <c r="F637" s="4">
        <f t="shared" ca="1" si="29"/>
        <v>420000</v>
      </c>
      <c r="G637" s="1" t="s">
        <v>70</v>
      </c>
      <c r="H637" s="26">
        <f t="shared" ca="1" si="27"/>
        <v>0.44595287060606104</v>
      </c>
      <c r="I637" s="4">
        <f>IF(G637="Yes",-$C$8,0)</f>
        <v>-5000</v>
      </c>
      <c r="J637" s="4">
        <f>IF(G637="Yes",$C$8-I637,0)</f>
        <v>10000</v>
      </c>
      <c r="K637" s="4">
        <f ca="1">IF(H637&gt;=$C$4,J637+I637,I637)</f>
        <v>-5000</v>
      </c>
    </row>
    <row r="638" spans="5:11" x14ac:dyDescent="0.25">
      <c r="E638" s="1">
        <f t="shared" si="28"/>
        <v>635</v>
      </c>
      <c r="F638" s="4">
        <f t="shared" ca="1" si="29"/>
        <v>415000</v>
      </c>
      <c r="G638" s="1" t="s">
        <v>70</v>
      </c>
      <c r="H638" s="26">
        <f t="shared" ca="1" si="27"/>
        <v>4.0694974787119254E-2</v>
      </c>
      <c r="I638" s="4">
        <f>IF(G638="Yes",-$C$8,0)</f>
        <v>-5000</v>
      </c>
      <c r="J638" s="4">
        <f>IF(G638="Yes",$C$8-I638,0)</f>
        <v>10000</v>
      </c>
      <c r="K638" s="4">
        <f ca="1">IF(H638&gt;=$C$4,J638+I638,I638)</f>
        <v>-5000</v>
      </c>
    </row>
    <row r="639" spans="5:11" x14ac:dyDescent="0.25">
      <c r="E639" s="1">
        <f t="shared" si="28"/>
        <v>636</v>
      </c>
      <c r="F639" s="4">
        <f t="shared" ca="1" si="29"/>
        <v>410000</v>
      </c>
      <c r="G639" s="1" t="s">
        <v>70</v>
      </c>
      <c r="H639" s="26">
        <f t="shared" ca="1" si="27"/>
        <v>0.14933059306063978</v>
      </c>
      <c r="I639" s="4">
        <f>IF(G639="Yes",-$C$8,0)</f>
        <v>-5000</v>
      </c>
      <c r="J639" s="4">
        <f>IF(G639="Yes",$C$8-I639,0)</f>
        <v>10000</v>
      </c>
      <c r="K639" s="4">
        <f ca="1">IF(H639&gt;=$C$4,J639+I639,I639)</f>
        <v>-5000</v>
      </c>
    </row>
    <row r="640" spans="5:11" x14ac:dyDescent="0.25">
      <c r="E640" s="1">
        <f t="shared" si="28"/>
        <v>637</v>
      </c>
      <c r="F640" s="4">
        <f t="shared" ca="1" si="29"/>
        <v>405000</v>
      </c>
      <c r="G640" s="1" t="s">
        <v>70</v>
      </c>
      <c r="H640" s="26">
        <f t="shared" ca="1" si="27"/>
        <v>0.2042492777844116</v>
      </c>
      <c r="I640" s="4">
        <f>IF(G640="Yes",-$C$8,0)</f>
        <v>-5000</v>
      </c>
      <c r="J640" s="4">
        <f>IF(G640="Yes",$C$8-I640,0)</f>
        <v>10000</v>
      </c>
      <c r="K640" s="4">
        <f ca="1">IF(H640&gt;=$C$4,J640+I640,I640)</f>
        <v>-5000</v>
      </c>
    </row>
    <row r="641" spans="5:11" x14ac:dyDescent="0.25">
      <c r="E641" s="1">
        <f t="shared" si="28"/>
        <v>638</v>
      </c>
      <c r="F641" s="4">
        <f t="shared" ca="1" si="29"/>
        <v>410000</v>
      </c>
      <c r="G641" s="1" t="s">
        <v>70</v>
      </c>
      <c r="H641" s="26">
        <f t="shared" ca="1" si="27"/>
        <v>0.63959226515623913</v>
      </c>
      <c r="I641" s="4">
        <f>IF(G641="Yes",-$C$8,0)</f>
        <v>-5000</v>
      </c>
      <c r="J641" s="4">
        <f>IF(G641="Yes",$C$8-I641,0)</f>
        <v>10000</v>
      </c>
      <c r="K641" s="4">
        <f ca="1">IF(H641&gt;=$C$4,J641+I641,I641)</f>
        <v>5000</v>
      </c>
    </row>
    <row r="642" spans="5:11" x14ac:dyDescent="0.25">
      <c r="E642" s="1">
        <f t="shared" si="28"/>
        <v>639</v>
      </c>
      <c r="F642" s="4">
        <f t="shared" ca="1" si="29"/>
        <v>415000</v>
      </c>
      <c r="G642" s="1" t="s">
        <v>70</v>
      </c>
      <c r="H642" s="26">
        <f t="shared" ca="1" si="27"/>
        <v>0.82854729512938752</v>
      </c>
      <c r="I642" s="4">
        <f>IF(G642="Yes",-$C$8,0)</f>
        <v>-5000</v>
      </c>
      <c r="J642" s="4">
        <f>IF(G642="Yes",$C$8-I642,0)</f>
        <v>10000</v>
      </c>
      <c r="K642" s="4">
        <f ca="1">IF(H642&gt;=$C$4,J642+I642,I642)</f>
        <v>5000</v>
      </c>
    </row>
    <row r="643" spans="5:11" x14ac:dyDescent="0.25">
      <c r="E643" s="1">
        <f t="shared" si="28"/>
        <v>640</v>
      </c>
      <c r="F643" s="4">
        <f t="shared" ca="1" si="29"/>
        <v>420000</v>
      </c>
      <c r="G643" s="1" t="s">
        <v>70</v>
      </c>
      <c r="H643" s="26">
        <f t="shared" ca="1" si="27"/>
        <v>0.86630904704666811</v>
      </c>
      <c r="I643" s="4">
        <f>IF(G643="Yes",-$C$8,0)</f>
        <v>-5000</v>
      </c>
      <c r="J643" s="4">
        <f>IF(G643="Yes",$C$8-I643,0)</f>
        <v>10000</v>
      </c>
      <c r="K643" s="4">
        <f ca="1">IF(H643&gt;=$C$4,J643+I643,I643)</f>
        <v>5000</v>
      </c>
    </row>
    <row r="644" spans="5:11" x14ac:dyDescent="0.25">
      <c r="E644" s="1">
        <f t="shared" si="28"/>
        <v>641</v>
      </c>
      <c r="F644" s="4">
        <f t="shared" ca="1" si="29"/>
        <v>425000</v>
      </c>
      <c r="G644" s="1" t="s">
        <v>70</v>
      </c>
      <c r="H644" s="26">
        <f t="shared" ref="H644:H707" ca="1" si="30">RAND()</f>
        <v>0.64180592659247226</v>
      </c>
      <c r="I644" s="4">
        <f>IF(G644="Yes",-$C$8,0)</f>
        <v>-5000</v>
      </c>
      <c r="J644" s="4">
        <f>IF(G644="Yes",$C$8-I644,0)</f>
        <v>10000</v>
      </c>
      <c r="K644" s="4">
        <f ca="1">IF(H644&gt;=$C$4,J644+I644,I644)</f>
        <v>5000</v>
      </c>
    </row>
    <row r="645" spans="5:11" x14ac:dyDescent="0.25">
      <c r="E645" s="1">
        <f t="shared" ref="E645:G708" si="31">E644+1</f>
        <v>642</v>
      </c>
      <c r="F645" s="4">
        <f t="shared" ref="F645:F708" ca="1" si="32">F644+K645</f>
        <v>420000</v>
      </c>
      <c r="G645" s="1" t="s">
        <v>70</v>
      </c>
      <c r="H645" s="26">
        <f t="shared" ca="1" si="30"/>
        <v>0.18682663529140731</v>
      </c>
      <c r="I645" s="4">
        <f>IF(G645="Yes",-$C$8,0)</f>
        <v>-5000</v>
      </c>
      <c r="J645" s="4">
        <f>IF(G645="Yes",$C$8-I645,0)</f>
        <v>10000</v>
      </c>
      <c r="K645" s="4">
        <f ca="1">IF(H645&gt;=$C$4,J645+I645,I645)</f>
        <v>-5000</v>
      </c>
    </row>
    <row r="646" spans="5:11" x14ac:dyDescent="0.25">
      <c r="E646" s="1">
        <f t="shared" si="31"/>
        <v>643</v>
      </c>
      <c r="F646" s="4">
        <f t="shared" ca="1" si="32"/>
        <v>425000</v>
      </c>
      <c r="G646" s="1" t="s">
        <v>70</v>
      </c>
      <c r="H646" s="26">
        <f t="shared" ca="1" si="30"/>
        <v>0.72345001673735976</v>
      </c>
      <c r="I646" s="4">
        <f>IF(G646="Yes",-$C$8,0)</f>
        <v>-5000</v>
      </c>
      <c r="J646" s="4">
        <f>IF(G646="Yes",$C$8-I646,0)</f>
        <v>10000</v>
      </c>
      <c r="K646" s="4">
        <f ca="1">IF(H646&gt;=$C$4,J646+I646,I646)</f>
        <v>5000</v>
      </c>
    </row>
    <row r="647" spans="5:11" x14ac:dyDescent="0.25">
      <c r="E647" s="1">
        <f t="shared" si="31"/>
        <v>644</v>
      </c>
      <c r="F647" s="4">
        <f t="shared" ca="1" si="32"/>
        <v>420000</v>
      </c>
      <c r="G647" s="1" t="s">
        <v>70</v>
      </c>
      <c r="H647" s="26">
        <f t="shared" ca="1" si="30"/>
        <v>9.5668616287736596E-2</v>
      </c>
      <c r="I647" s="4">
        <f>IF(G647="Yes",-$C$8,0)</f>
        <v>-5000</v>
      </c>
      <c r="J647" s="4">
        <f>IF(G647="Yes",$C$8-I647,0)</f>
        <v>10000</v>
      </c>
      <c r="K647" s="4">
        <f ca="1">IF(H647&gt;=$C$4,J647+I647,I647)</f>
        <v>-5000</v>
      </c>
    </row>
    <row r="648" spans="5:11" x14ac:dyDescent="0.25">
      <c r="E648" s="1">
        <f t="shared" si="31"/>
        <v>645</v>
      </c>
      <c r="F648" s="4">
        <f t="shared" ca="1" si="32"/>
        <v>425000</v>
      </c>
      <c r="G648" s="1" t="s">
        <v>70</v>
      </c>
      <c r="H648" s="26">
        <f t="shared" ca="1" si="30"/>
        <v>0.47826124716020713</v>
      </c>
      <c r="I648" s="4">
        <f>IF(G648="Yes",-$C$8,0)</f>
        <v>-5000</v>
      </c>
      <c r="J648" s="4">
        <f>IF(G648="Yes",$C$8-I648,0)</f>
        <v>10000</v>
      </c>
      <c r="K648" s="4">
        <f ca="1">IF(H648&gt;=$C$4,J648+I648,I648)</f>
        <v>5000</v>
      </c>
    </row>
    <row r="649" spans="5:11" x14ac:dyDescent="0.25">
      <c r="E649" s="1">
        <f t="shared" si="31"/>
        <v>646</v>
      </c>
      <c r="F649" s="4">
        <f t="shared" ca="1" si="32"/>
        <v>430000</v>
      </c>
      <c r="G649" s="1" t="s">
        <v>70</v>
      </c>
      <c r="H649" s="26">
        <f t="shared" ca="1" si="30"/>
        <v>0.98657583365075308</v>
      </c>
      <c r="I649" s="4">
        <f>IF(G649="Yes",-$C$8,0)</f>
        <v>-5000</v>
      </c>
      <c r="J649" s="4">
        <f>IF(G649="Yes",$C$8-I649,0)</f>
        <v>10000</v>
      </c>
      <c r="K649" s="4">
        <f ca="1">IF(H649&gt;=$C$4,J649+I649,I649)</f>
        <v>5000</v>
      </c>
    </row>
    <row r="650" spans="5:11" x14ac:dyDescent="0.25">
      <c r="E650" s="1">
        <f t="shared" si="31"/>
        <v>647</v>
      </c>
      <c r="F650" s="4">
        <f t="shared" ca="1" si="32"/>
        <v>435000</v>
      </c>
      <c r="G650" s="1" t="s">
        <v>70</v>
      </c>
      <c r="H650" s="26">
        <f t="shared" ca="1" si="30"/>
        <v>0.64682653272237645</v>
      </c>
      <c r="I650" s="4">
        <f>IF(G650="Yes",-$C$8,0)</f>
        <v>-5000</v>
      </c>
      <c r="J650" s="4">
        <f>IF(G650="Yes",$C$8-I650,0)</f>
        <v>10000</v>
      </c>
      <c r="K650" s="4">
        <f ca="1">IF(H650&gt;=$C$4,J650+I650,I650)</f>
        <v>5000</v>
      </c>
    </row>
    <row r="651" spans="5:11" x14ac:dyDescent="0.25">
      <c r="E651" s="1">
        <f t="shared" si="31"/>
        <v>648</v>
      </c>
      <c r="F651" s="4">
        <f t="shared" ca="1" si="32"/>
        <v>430000</v>
      </c>
      <c r="G651" s="1" t="s">
        <v>70</v>
      </c>
      <c r="H651" s="26">
        <f t="shared" ca="1" si="30"/>
        <v>7.1942378854786937E-2</v>
      </c>
      <c r="I651" s="4">
        <f>IF(G651="Yes",-$C$8,0)</f>
        <v>-5000</v>
      </c>
      <c r="J651" s="4">
        <f>IF(G651="Yes",$C$8-I651,0)</f>
        <v>10000</v>
      </c>
      <c r="K651" s="4">
        <f ca="1">IF(H651&gt;=$C$4,J651+I651,I651)</f>
        <v>-5000</v>
      </c>
    </row>
    <row r="652" spans="5:11" x14ac:dyDescent="0.25">
      <c r="E652" s="1">
        <f t="shared" si="31"/>
        <v>649</v>
      </c>
      <c r="F652" s="4">
        <f t="shared" ca="1" si="32"/>
        <v>425000</v>
      </c>
      <c r="G652" s="1" t="s">
        <v>70</v>
      </c>
      <c r="H652" s="26">
        <f t="shared" ca="1" si="30"/>
        <v>0.17913918102319948</v>
      </c>
      <c r="I652" s="4">
        <f>IF(G652="Yes",-$C$8,0)</f>
        <v>-5000</v>
      </c>
      <c r="J652" s="4">
        <f>IF(G652="Yes",$C$8-I652,0)</f>
        <v>10000</v>
      </c>
      <c r="K652" s="4">
        <f ca="1">IF(H652&gt;=$C$4,J652+I652,I652)</f>
        <v>-5000</v>
      </c>
    </row>
    <row r="653" spans="5:11" x14ac:dyDescent="0.25">
      <c r="E653" s="1">
        <f t="shared" si="31"/>
        <v>650</v>
      </c>
      <c r="F653" s="4">
        <f t="shared" ca="1" si="32"/>
        <v>420000</v>
      </c>
      <c r="G653" s="1" t="s">
        <v>70</v>
      </c>
      <c r="H653" s="26">
        <f t="shared" ca="1" si="30"/>
        <v>2.9148691374984326E-2</v>
      </c>
      <c r="I653" s="4">
        <f>IF(G653="Yes",-$C$8,0)</f>
        <v>-5000</v>
      </c>
      <c r="J653" s="4">
        <f>IF(G653="Yes",$C$8-I653,0)</f>
        <v>10000</v>
      </c>
      <c r="K653" s="4">
        <f ca="1">IF(H653&gt;=$C$4,J653+I653,I653)</f>
        <v>-5000</v>
      </c>
    </row>
    <row r="654" spans="5:11" x14ac:dyDescent="0.25">
      <c r="E654" s="1">
        <f t="shared" si="31"/>
        <v>651</v>
      </c>
      <c r="F654" s="4">
        <f t="shared" ca="1" si="32"/>
        <v>415000</v>
      </c>
      <c r="G654" s="1" t="s">
        <v>70</v>
      </c>
      <c r="H654" s="26">
        <f t="shared" ca="1" si="30"/>
        <v>0.2507231932893047</v>
      </c>
      <c r="I654" s="4">
        <f>IF(G654="Yes",-$C$8,0)</f>
        <v>-5000</v>
      </c>
      <c r="J654" s="4">
        <f>IF(G654="Yes",$C$8-I654,0)</f>
        <v>10000</v>
      </c>
      <c r="K654" s="4">
        <f ca="1">IF(H654&gt;=$C$4,J654+I654,I654)</f>
        <v>-5000</v>
      </c>
    </row>
    <row r="655" spans="5:11" x14ac:dyDescent="0.25">
      <c r="E655" s="1">
        <f t="shared" si="31"/>
        <v>652</v>
      </c>
      <c r="F655" s="4">
        <f t="shared" ca="1" si="32"/>
        <v>420000</v>
      </c>
      <c r="G655" s="1" t="s">
        <v>70</v>
      </c>
      <c r="H655" s="26">
        <f t="shared" ca="1" si="30"/>
        <v>0.57826956099581517</v>
      </c>
      <c r="I655" s="4">
        <f>IF(G655="Yes",-$C$8,0)</f>
        <v>-5000</v>
      </c>
      <c r="J655" s="4">
        <f>IF(G655="Yes",$C$8-I655,0)</f>
        <v>10000</v>
      </c>
      <c r="K655" s="4">
        <f ca="1">IF(H655&gt;=$C$4,J655+I655,I655)</f>
        <v>5000</v>
      </c>
    </row>
    <row r="656" spans="5:11" x14ac:dyDescent="0.25">
      <c r="E656" s="1">
        <f t="shared" si="31"/>
        <v>653</v>
      </c>
      <c r="F656" s="4">
        <f t="shared" ca="1" si="32"/>
        <v>415000</v>
      </c>
      <c r="G656" s="1" t="s">
        <v>70</v>
      </c>
      <c r="H656" s="26">
        <f t="shared" ca="1" si="30"/>
        <v>0.32117853160428467</v>
      </c>
      <c r="I656" s="4">
        <f>IF(G656="Yes",-$C$8,0)</f>
        <v>-5000</v>
      </c>
      <c r="J656" s="4">
        <f>IF(G656="Yes",$C$8-I656,0)</f>
        <v>10000</v>
      </c>
      <c r="K656" s="4">
        <f ca="1">IF(H656&gt;=$C$4,J656+I656,I656)</f>
        <v>-5000</v>
      </c>
    </row>
    <row r="657" spans="5:11" x14ac:dyDescent="0.25">
      <c r="E657" s="1">
        <f t="shared" si="31"/>
        <v>654</v>
      </c>
      <c r="F657" s="4">
        <f t="shared" ca="1" si="32"/>
        <v>420000</v>
      </c>
      <c r="G657" s="1" t="s">
        <v>70</v>
      </c>
      <c r="H657" s="26">
        <f t="shared" ca="1" si="30"/>
        <v>0.79216324720610853</v>
      </c>
      <c r="I657" s="4">
        <f>IF(G657="Yes",-$C$8,0)</f>
        <v>-5000</v>
      </c>
      <c r="J657" s="4">
        <f>IF(G657="Yes",$C$8-I657,0)</f>
        <v>10000</v>
      </c>
      <c r="K657" s="4">
        <f ca="1">IF(H657&gt;=$C$4,J657+I657,I657)</f>
        <v>5000</v>
      </c>
    </row>
    <row r="658" spans="5:11" x14ac:dyDescent="0.25">
      <c r="E658" s="1">
        <f t="shared" si="31"/>
        <v>655</v>
      </c>
      <c r="F658" s="4">
        <f t="shared" ca="1" si="32"/>
        <v>415000</v>
      </c>
      <c r="G658" s="1" t="s">
        <v>70</v>
      </c>
      <c r="H658" s="26">
        <f t="shared" ca="1" si="30"/>
        <v>0.37527377433399056</v>
      </c>
      <c r="I658" s="4">
        <f>IF(G658="Yes",-$C$8,0)</f>
        <v>-5000</v>
      </c>
      <c r="J658" s="4">
        <f>IF(G658="Yes",$C$8-I658,0)</f>
        <v>10000</v>
      </c>
      <c r="K658" s="4">
        <f ca="1">IF(H658&gt;=$C$4,J658+I658,I658)</f>
        <v>-5000</v>
      </c>
    </row>
    <row r="659" spans="5:11" x14ac:dyDescent="0.25">
      <c r="E659" s="1">
        <f t="shared" si="31"/>
        <v>656</v>
      </c>
      <c r="F659" s="4">
        <f t="shared" ca="1" si="32"/>
        <v>420000</v>
      </c>
      <c r="G659" s="1" t="s">
        <v>70</v>
      </c>
      <c r="H659" s="26">
        <f t="shared" ca="1" si="30"/>
        <v>0.67306920095187273</v>
      </c>
      <c r="I659" s="4">
        <f>IF(G659="Yes",-$C$8,0)</f>
        <v>-5000</v>
      </c>
      <c r="J659" s="4">
        <f>IF(G659="Yes",$C$8-I659,0)</f>
        <v>10000</v>
      </c>
      <c r="K659" s="4">
        <f ca="1">IF(H659&gt;=$C$4,J659+I659,I659)</f>
        <v>5000</v>
      </c>
    </row>
    <row r="660" spans="5:11" x14ac:dyDescent="0.25">
      <c r="E660" s="1">
        <f t="shared" si="31"/>
        <v>657</v>
      </c>
      <c r="F660" s="4">
        <f t="shared" ca="1" si="32"/>
        <v>425000</v>
      </c>
      <c r="G660" s="1" t="s">
        <v>70</v>
      </c>
      <c r="H660" s="26">
        <f t="shared" ca="1" si="30"/>
        <v>0.51072552026181173</v>
      </c>
      <c r="I660" s="4">
        <f>IF(G660="Yes",-$C$8,0)</f>
        <v>-5000</v>
      </c>
      <c r="J660" s="4">
        <f>IF(G660="Yes",$C$8-I660,0)</f>
        <v>10000</v>
      </c>
      <c r="K660" s="4">
        <f ca="1">IF(H660&gt;=$C$4,J660+I660,I660)</f>
        <v>5000</v>
      </c>
    </row>
    <row r="661" spans="5:11" x14ac:dyDescent="0.25">
      <c r="E661" s="1">
        <f t="shared" si="31"/>
        <v>658</v>
      </c>
      <c r="F661" s="4">
        <f t="shared" ca="1" si="32"/>
        <v>430000</v>
      </c>
      <c r="G661" s="1" t="s">
        <v>70</v>
      </c>
      <c r="H661" s="26">
        <f t="shared" ca="1" si="30"/>
        <v>0.54454533574978137</v>
      </c>
      <c r="I661" s="4">
        <f>IF(G661="Yes",-$C$8,0)</f>
        <v>-5000</v>
      </c>
      <c r="J661" s="4">
        <f>IF(G661="Yes",$C$8-I661,0)</f>
        <v>10000</v>
      </c>
      <c r="K661" s="4">
        <f ca="1">IF(H661&gt;=$C$4,J661+I661,I661)</f>
        <v>5000</v>
      </c>
    </row>
    <row r="662" spans="5:11" x14ac:dyDescent="0.25">
      <c r="E662" s="1">
        <f t="shared" si="31"/>
        <v>659</v>
      </c>
      <c r="F662" s="4">
        <f t="shared" ca="1" si="32"/>
        <v>425000</v>
      </c>
      <c r="G662" s="1" t="s">
        <v>70</v>
      </c>
      <c r="H662" s="26">
        <f t="shared" ca="1" si="30"/>
        <v>0.29263196756601539</v>
      </c>
      <c r="I662" s="4">
        <f>IF(G662="Yes",-$C$8,0)</f>
        <v>-5000</v>
      </c>
      <c r="J662" s="4">
        <f>IF(G662="Yes",$C$8-I662,0)</f>
        <v>10000</v>
      </c>
      <c r="K662" s="4">
        <f ca="1">IF(H662&gt;=$C$4,J662+I662,I662)</f>
        <v>-5000</v>
      </c>
    </row>
    <row r="663" spans="5:11" x14ac:dyDescent="0.25">
      <c r="E663" s="1">
        <f t="shared" si="31"/>
        <v>660</v>
      </c>
      <c r="F663" s="4">
        <f t="shared" ca="1" si="32"/>
        <v>430000</v>
      </c>
      <c r="G663" s="1" t="s">
        <v>70</v>
      </c>
      <c r="H663" s="26">
        <f t="shared" ca="1" si="30"/>
        <v>0.84048737752338132</v>
      </c>
      <c r="I663" s="4">
        <f>IF(G663="Yes",-$C$8,0)</f>
        <v>-5000</v>
      </c>
      <c r="J663" s="4">
        <f>IF(G663="Yes",$C$8-I663,0)</f>
        <v>10000</v>
      </c>
      <c r="K663" s="4">
        <f ca="1">IF(H663&gt;=$C$4,J663+I663,I663)</f>
        <v>5000</v>
      </c>
    </row>
    <row r="664" spans="5:11" x14ac:dyDescent="0.25">
      <c r="E664" s="1">
        <f t="shared" si="31"/>
        <v>661</v>
      </c>
      <c r="F664" s="4">
        <f t="shared" ca="1" si="32"/>
        <v>425000</v>
      </c>
      <c r="G664" s="1" t="s">
        <v>70</v>
      </c>
      <c r="H664" s="26">
        <f t="shared" ca="1" si="30"/>
        <v>0.43462561010236367</v>
      </c>
      <c r="I664" s="4">
        <f>IF(G664="Yes",-$C$8,0)</f>
        <v>-5000</v>
      </c>
      <c r="J664" s="4">
        <f>IF(G664="Yes",$C$8-I664,0)</f>
        <v>10000</v>
      </c>
      <c r="K664" s="4">
        <f ca="1">IF(H664&gt;=$C$4,J664+I664,I664)</f>
        <v>-5000</v>
      </c>
    </row>
    <row r="665" spans="5:11" x14ac:dyDescent="0.25">
      <c r="E665" s="1">
        <f t="shared" si="31"/>
        <v>662</v>
      </c>
      <c r="F665" s="4">
        <f t="shared" ca="1" si="32"/>
        <v>430000</v>
      </c>
      <c r="G665" s="1" t="s">
        <v>70</v>
      </c>
      <c r="H665" s="26">
        <f t="shared" ca="1" si="30"/>
        <v>0.85872962520002738</v>
      </c>
      <c r="I665" s="4">
        <f>IF(G665="Yes",-$C$8,0)</f>
        <v>-5000</v>
      </c>
      <c r="J665" s="4">
        <f>IF(G665="Yes",$C$8-I665,0)</f>
        <v>10000</v>
      </c>
      <c r="K665" s="4">
        <f ca="1">IF(H665&gt;=$C$4,J665+I665,I665)</f>
        <v>5000</v>
      </c>
    </row>
    <row r="666" spans="5:11" x14ac:dyDescent="0.25">
      <c r="E666" s="1">
        <f t="shared" si="31"/>
        <v>663</v>
      </c>
      <c r="F666" s="4">
        <f t="shared" ca="1" si="32"/>
        <v>425000</v>
      </c>
      <c r="G666" s="1" t="s">
        <v>70</v>
      </c>
      <c r="H666" s="26">
        <f t="shared" ca="1" si="30"/>
        <v>0.34474087180358559</v>
      </c>
      <c r="I666" s="4">
        <f>IF(G666="Yes",-$C$8,0)</f>
        <v>-5000</v>
      </c>
      <c r="J666" s="4">
        <f>IF(G666="Yes",$C$8-I666,0)</f>
        <v>10000</v>
      </c>
      <c r="K666" s="4">
        <f ca="1">IF(H666&gt;=$C$4,J666+I666,I666)</f>
        <v>-5000</v>
      </c>
    </row>
    <row r="667" spans="5:11" x14ac:dyDescent="0.25">
      <c r="E667" s="1">
        <f t="shared" si="31"/>
        <v>664</v>
      </c>
      <c r="F667" s="4">
        <f t="shared" ca="1" si="32"/>
        <v>430000</v>
      </c>
      <c r="G667" s="1" t="s">
        <v>70</v>
      </c>
      <c r="H667" s="26">
        <f t="shared" ca="1" si="30"/>
        <v>0.68414867113814304</v>
      </c>
      <c r="I667" s="4">
        <f>IF(G667="Yes",-$C$8,0)</f>
        <v>-5000</v>
      </c>
      <c r="J667" s="4">
        <f>IF(G667="Yes",$C$8-I667,0)</f>
        <v>10000</v>
      </c>
      <c r="K667" s="4">
        <f ca="1">IF(H667&gt;=$C$4,J667+I667,I667)</f>
        <v>5000</v>
      </c>
    </row>
    <row r="668" spans="5:11" x14ac:dyDescent="0.25">
      <c r="E668" s="1">
        <f t="shared" si="31"/>
        <v>665</v>
      </c>
      <c r="F668" s="4">
        <f t="shared" ca="1" si="32"/>
        <v>435000</v>
      </c>
      <c r="G668" s="1" t="s">
        <v>70</v>
      </c>
      <c r="H668" s="26">
        <f t="shared" ca="1" si="30"/>
        <v>0.53963977455914525</v>
      </c>
      <c r="I668" s="4">
        <f>IF(G668="Yes",-$C$8,0)</f>
        <v>-5000</v>
      </c>
      <c r="J668" s="4">
        <f>IF(G668="Yes",$C$8-I668,0)</f>
        <v>10000</v>
      </c>
      <c r="K668" s="4">
        <f ca="1">IF(H668&gt;=$C$4,J668+I668,I668)</f>
        <v>5000</v>
      </c>
    </row>
    <row r="669" spans="5:11" x14ac:dyDescent="0.25">
      <c r="E669" s="1">
        <f t="shared" si="31"/>
        <v>666</v>
      </c>
      <c r="F669" s="4">
        <f t="shared" ca="1" si="32"/>
        <v>440000</v>
      </c>
      <c r="G669" s="1" t="s">
        <v>70</v>
      </c>
      <c r="H669" s="26">
        <f t="shared" ca="1" si="30"/>
        <v>0.95777334450708529</v>
      </c>
      <c r="I669" s="4">
        <f>IF(G669="Yes",-$C$8,0)</f>
        <v>-5000</v>
      </c>
      <c r="J669" s="4">
        <f>IF(G669="Yes",$C$8-I669,0)</f>
        <v>10000</v>
      </c>
      <c r="K669" s="4">
        <f ca="1">IF(H669&gt;=$C$4,J669+I669,I669)</f>
        <v>5000</v>
      </c>
    </row>
    <row r="670" spans="5:11" x14ac:dyDescent="0.25">
      <c r="E670" s="1">
        <f t="shared" si="31"/>
        <v>667</v>
      </c>
      <c r="F670" s="4">
        <f t="shared" ca="1" si="32"/>
        <v>445000</v>
      </c>
      <c r="G670" s="1" t="s">
        <v>70</v>
      </c>
      <c r="H670" s="26">
        <f t="shared" ca="1" si="30"/>
        <v>0.66230975860572916</v>
      </c>
      <c r="I670" s="4">
        <f>IF(G670="Yes",-$C$8,0)</f>
        <v>-5000</v>
      </c>
      <c r="J670" s="4">
        <f>IF(G670="Yes",$C$8-I670,0)</f>
        <v>10000</v>
      </c>
      <c r="K670" s="4">
        <f ca="1">IF(H670&gt;=$C$4,J670+I670,I670)</f>
        <v>5000</v>
      </c>
    </row>
    <row r="671" spans="5:11" x14ac:dyDescent="0.25">
      <c r="E671" s="1">
        <f t="shared" si="31"/>
        <v>668</v>
      </c>
      <c r="F671" s="4">
        <f t="shared" ca="1" si="32"/>
        <v>440000</v>
      </c>
      <c r="G671" s="1" t="s">
        <v>70</v>
      </c>
      <c r="H671" s="26">
        <f t="shared" ca="1" si="30"/>
        <v>0.25936130332851848</v>
      </c>
      <c r="I671" s="4">
        <f>IF(G671="Yes",-$C$8,0)</f>
        <v>-5000</v>
      </c>
      <c r="J671" s="4">
        <f>IF(G671="Yes",$C$8-I671,0)</f>
        <v>10000</v>
      </c>
      <c r="K671" s="4">
        <f ca="1">IF(H671&gt;=$C$4,J671+I671,I671)</f>
        <v>-5000</v>
      </c>
    </row>
    <row r="672" spans="5:11" x14ac:dyDescent="0.25">
      <c r="E672" s="1">
        <f t="shared" si="31"/>
        <v>669</v>
      </c>
      <c r="F672" s="4">
        <f t="shared" ca="1" si="32"/>
        <v>445000</v>
      </c>
      <c r="G672" s="1" t="s">
        <v>70</v>
      </c>
      <c r="H672" s="26">
        <f t="shared" ca="1" si="30"/>
        <v>0.84211936766332762</v>
      </c>
      <c r="I672" s="4">
        <f>IF(G672="Yes",-$C$8,0)</f>
        <v>-5000</v>
      </c>
      <c r="J672" s="4">
        <f>IF(G672="Yes",$C$8-I672,0)</f>
        <v>10000</v>
      </c>
      <c r="K672" s="4">
        <f ca="1">IF(H672&gt;=$C$4,J672+I672,I672)</f>
        <v>5000</v>
      </c>
    </row>
    <row r="673" spans="5:11" x14ac:dyDescent="0.25">
      <c r="E673" s="1">
        <f t="shared" si="31"/>
        <v>670</v>
      </c>
      <c r="F673" s="4">
        <f t="shared" ca="1" si="32"/>
        <v>440000</v>
      </c>
      <c r="G673" s="1" t="s">
        <v>70</v>
      </c>
      <c r="H673" s="26">
        <f t="shared" ca="1" si="30"/>
        <v>8.3096316847299123E-2</v>
      </c>
      <c r="I673" s="4">
        <f>IF(G673="Yes",-$C$8,0)</f>
        <v>-5000</v>
      </c>
      <c r="J673" s="4">
        <f>IF(G673="Yes",$C$8-I673,0)</f>
        <v>10000</v>
      </c>
      <c r="K673" s="4">
        <f ca="1">IF(H673&gt;=$C$4,J673+I673,I673)</f>
        <v>-5000</v>
      </c>
    </row>
    <row r="674" spans="5:11" x14ac:dyDescent="0.25">
      <c r="E674" s="1">
        <f t="shared" si="31"/>
        <v>671</v>
      </c>
      <c r="F674" s="4">
        <f t="shared" ca="1" si="32"/>
        <v>445000</v>
      </c>
      <c r="G674" s="1" t="s">
        <v>70</v>
      </c>
      <c r="H674" s="26">
        <f t="shared" ca="1" si="30"/>
        <v>0.92324747379531602</v>
      </c>
      <c r="I674" s="4">
        <f>IF(G674="Yes",-$C$8,0)</f>
        <v>-5000</v>
      </c>
      <c r="J674" s="4">
        <f>IF(G674="Yes",$C$8-I674,0)</f>
        <v>10000</v>
      </c>
      <c r="K674" s="4">
        <f ca="1">IF(H674&gt;=$C$4,J674+I674,I674)</f>
        <v>5000</v>
      </c>
    </row>
    <row r="675" spans="5:11" x14ac:dyDescent="0.25">
      <c r="E675" s="1">
        <f t="shared" si="31"/>
        <v>672</v>
      </c>
      <c r="F675" s="4">
        <f t="shared" ca="1" si="32"/>
        <v>440000</v>
      </c>
      <c r="G675" s="1" t="s">
        <v>70</v>
      </c>
      <c r="H675" s="26">
        <f t="shared" ca="1" si="30"/>
        <v>0.28051077055034601</v>
      </c>
      <c r="I675" s="4">
        <f>IF(G675="Yes",-$C$8,0)</f>
        <v>-5000</v>
      </c>
      <c r="J675" s="4">
        <f>IF(G675="Yes",$C$8-I675,0)</f>
        <v>10000</v>
      </c>
      <c r="K675" s="4">
        <f ca="1">IF(H675&gt;=$C$4,J675+I675,I675)</f>
        <v>-5000</v>
      </c>
    </row>
    <row r="676" spans="5:11" x14ac:dyDescent="0.25">
      <c r="E676" s="1">
        <f t="shared" si="31"/>
        <v>673</v>
      </c>
      <c r="F676" s="4">
        <f t="shared" ca="1" si="32"/>
        <v>435000</v>
      </c>
      <c r="G676" s="1" t="s">
        <v>70</v>
      </c>
      <c r="H676" s="26">
        <f t="shared" ca="1" si="30"/>
        <v>0.21695815172187904</v>
      </c>
      <c r="I676" s="4">
        <f>IF(G676="Yes",-$C$8,0)</f>
        <v>-5000</v>
      </c>
      <c r="J676" s="4">
        <f>IF(G676="Yes",$C$8-I676,0)</f>
        <v>10000</v>
      </c>
      <c r="K676" s="4">
        <f ca="1">IF(H676&gt;=$C$4,J676+I676,I676)</f>
        <v>-5000</v>
      </c>
    </row>
    <row r="677" spans="5:11" x14ac:dyDescent="0.25">
      <c r="E677" s="1">
        <f t="shared" si="31"/>
        <v>674</v>
      </c>
      <c r="F677" s="4">
        <f t="shared" ca="1" si="32"/>
        <v>430000</v>
      </c>
      <c r="G677" s="1" t="s">
        <v>70</v>
      </c>
      <c r="H677" s="26">
        <f t="shared" ca="1" si="30"/>
        <v>0.42486282226638339</v>
      </c>
      <c r="I677" s="4">
        <f>IF(G677="Yes",-$C$8,0)</f>
        <v>-5000</v>
      </c>
      <c r="J677" s="4">
        <f>IF(G677="Yes",$C$8-I677,0)</f>
        <v>10000</v>
      </c>
      <c r="K677" s="4">
        <f ca="1">IF(H677&gt;=$C$4,J677+I677,I677)</f>
        <v>-5000</v>
      </c>
    </row>
    <row r="678" spans="5:11" x14ac:dyDescent="0.25">
      <c r="E678" s="1">
        <f t="shared" si="31"/>
        <v>675</v>
      </c>
      <c r="F678" s="4">
        <f t="shared" ca="1" si="32"/>
        <v>435000</v>
      </c>
      <c r="G678" s="1" t="s">
        <v>70</v>
      </c>
      <c r="H678" s="26">
        <f t="shared" ca="1" si="30"/>
        <v>0.56926276149646671</v>
      </c>
      <c r="I678" s="4">
        <f>IF(G678="Yes",-$C$8,0)</f>
        <v>-5000</v>
      </c>
      <c r="J678" s="4">
        <f>IF(G678="Yes",$C$8-I678,0)</f>
        <v>10000</v>
      </c>
      <c r="K678" s="4">
        <f ca="1">IF(H678&gt;=$C$4,J678+I678,I678)</f>
        <v>5000</v>
      </c>
    </row>
    <row r="679" spans="5:11" x14ac:dyDescent="0.25">
      <c r="E679" s="1">
        <f t="shared" si="31"/>
        <v>676</v>
      </c>
      <c r="F679" s="4">
        <f t="shared" ca="1" si="32"/>
        <v>440000</v>
      </c>
      <c r="G679" s="1" t="s">
        <v>70</v>
      </c>
      <c r="H679" s="26">
        <f t="shared" ca="1" si="30"/>
        <v>0.68248975639771481</v>
      </c>
      <c r="I679" s="4">
        <f>IF(G679="Yes",-$C$8,0)</f>
        <v>-5000</v>
      </c>
      <c r="J679" s="4">
        <f>IF(G679="Yes",$C$8-I679,0)</f>
        <v>10000</v>
      </c>
      <c r="K679" s="4">
        <f ca="1">IF(H679&gt;=$C$4,J679+I679,I679)</f>
        <v>5000</v>
      </c>
    </row>
    <row r="680" spans="5:11" x14ac:dyDescent="0.25">
      <c r="E680" s="1">
        <f t="shared" si="31"/>
        <v>677</v>
      </c>
      <c r="F680" s="4">
        <f t="shared" ca="1" si="32"/>
        <v>435000</v>
      </c>
      <c r="G680" s="1" t="s">
        <v>70</v>
      </c>
      <c r="H680" s="26">
        <f t="shared" ca="1" si="30"/>
        <v>0.14743841342511932</v>
      </c>
      <c r="I680" s="4">
        <f>IF(G680="Yes",-$C$8,0)</f>
        <v>-5000</v>
      </c>
      <c r="J680" s="4">
        <f>IF(G680="Yes",$C$8-I680,0)</f>
        <v>10000</v>
      </c>
      <c r="K680" s="4">
        <f ca="1">IF(H680&gt;=$C$4,J680+I680,I680)</f>
        <v>-5000</v>
      </c>
    </row>
    <row r="681" spans="5:11" x14ac:dyDescent="0.25">
      <c r="E681" s="1">
        <f t="shared" si="31"/>
        <v>678</v>
      </c>
      <c r="F681" s="4">
        <f t="shared" ca="1" si="32"/>
        <v>430000</v>
      </c>
      <c r="G681" s="1" t="s">
        <v>70</v>
      </c>
      <c r="H681" s="26">
        <f t="shared" ca="1" si="30"/>
        <v>3.1407577360858752E-2</v>
      </c>
      <c r="I681" s="4">
        <f>IF(G681="Yes",-$C$8,0)</f>
        <v>-5000</v>
      </c>
      <c r="J681" s="4">
        <f>IF(G681="Yes",$C$8-I681,0)</f>
        <v>10000</v>
      </c>
      <c r="K681" s="4">
        <f ca="1">IF(H681&gt;=$C$4,J681+I681,I681)</f>
        <v>-5000</v>
      </c>
    </row>
    <row r="682" spans="5:11" x14ac:dyDescent="0.25">
      <c r="E682" s="1">
        <f t="shared" si="31"/>
        <v>679</v>
      </c>
      <c r="F682" s="4">
        <f t="shared" ca="1" si="32"/>
        <v>425000</v>
      </c>
      <c r="G682" s="1" t="s">
        <v>70</v>
      </c>
      <c r="H682" s="26">
        <f t="shared" ca="1" si="30"/>
        <v>4.7351336632041163E-2</v>
      </c>
      <c r="I682" s="4">
        <f>IF(G682="Yes",-$C$8,0)</f>
        <v>-5000</v>
      </c>
      <c r="J682" s="4">
        <f>IF(G682="Yes",$C$8-I682,0)</f>
        <v>10000</v>
      </c>
      <c r="K682" s="4">
        <f ca="1">IF(H682&gt;=$C$4,J682+I682,I682)</f>
        <v>-5000</v>
      </c>
    </row>
    <row r="683" spans="5:11" x14ac:dyDescent="0.25">
      <c r="E683" s="1">
        <f t="shared" si="31"/>
        <v>680</v>
      </c>
      <c r="F683" s="4">
        <f t="shared" ca="1" si="32"/>
        <v>430000</v>
      </c>
      <c r="G683" s="1" t="s">
        <v>70</v>
      </c>
      <c r="H683" s="26">
        <f t="shared" ca="1" si="30"/>
        <v>0.7557364237922467</v>
      </c>
      <c r="I683" s="4">
        <f>IF(G683="Yes",-$C$8,0)</f>
        <v>-5000</v>
      </c>
      <c r="J683" s="4">
        <f>IF(G683="Yes",$C$8-I683,0)</f>
        <v>10000</v>
      </c>
      <c r="K683" s="4">
        <f ca="1">IF(H683&gt;=$C$4,J683+I683,I683)</f>
        <v>5000</v>
      </c>
    </row>
    <row r="684" spans="5:11" x14ac:dyDescent="0.25">
      <c r="E684" s="1">
        <f t="shared" si="31"/>
        <v>681</v>
      </c>
      <c r="F684" s="4">
        <f t="shared" ca="1" si="32"/>
        <v>435000</v>
      </c>
      <c r="G684" s="1" t="s">
        <v>70</v>
      </c>
      <c r="H684" s="26">
        <f t="shared" ca="1" si="30"/>
        <v>0.8410136521964523</v>
      </c>
      <c r="I684" s="4">
        <f>IF(G684="Yes",-$C$8,0)</f>
        <v>-5000</v>
      </c>
      <c r="J684" s="4">
        <f>IF(G684="Yes",$C$8-I684,0)</f>
        <v>10000</v>
      </c>
      <c r="K684" s="4">
        <f ca="1">IF(H684&gt;=$C$4,J684+I684,I684)</f>
        <v>5000</v>
      </c>
    </row>
    <row r="685" spans="5:11" x14ac:dyDescent="0.25">
      <c r="E685" s="1">
        <f t="shared" si="31"/>
        <v>682</v>
      </c>
      <c r="F685" s="4">
        <f t="shared" ca="1" si="32"/>
        <v>430000</v>
      </c>
      <c r="G685" s="1" t="s">
        <v>70</v>
      </c>
      <c r="H685" s="26">
        <f t="shared" ca="1" si="30"/>
        <v>0.38236680514245303</v>
      </c>
      <c r="I685" s="4">
        <f>IF(G685="Yes",-$C$8,0)</f>
        <v>-5000</v>
      </c>
      <c r="J685" s="4">
        <f>IF(G685="Yes",$C$8-I685,0)</f>
        <v>10000</v>
      </c>
      <c r="K685" s="4">
        <f ca="1">IF(H685&gt;=$C$4,J685+I685,I685)</f>
        <v>-5000</v>
      </c>
    </row>
    <row r="686" spans="5:11" x14ac:dyDescent="0.25">
      <c r="E686" s="1">
        <f t="shared" si="31"/>
        <v>683</v>
      </c>
      <c r="F686" s="4">
        <f t="shared" ca="1" si="32"/>
        <v>435000</v>
      </c>
      <c r="G686" s="1" t="s">
        <v>70</v>
      </c>
      <c r="H686" s="26">
        <f t="shared" ca="1" si="30"/>
        <v>0.45647873097800817</v>
      </c>
      <c r="I686" s="4">
        <f>IF(G686="Yes",-$C$8,0)</f>
        <v>-5000</v>
      </c>
      <c r="J686" s="4">
        <f>IF(G686="Yes",$C$8-I686,0)</f>
        <v>10000</v>
      </c>
      <c r="K686" s="4">
        <f ca="1">IF(H686&gt;=$C$4,J686+I686,I686)</f>
        <v>5000</v>
      </c>
    </row>
    <row r="687" spans="5:11" x14ac:dyDescent="0.25">
      <c r="E687" s="1">
        <f t="shared" si="31"/>
        <v>684</v>
      </c>
      <c r="F687" s="4">
        <f t="shared" ca="1" si="32"/>
        <v>430000</v>
      </c>
      <c r="G687" s="1" t="s">
        <v>70</v>
      </c>
      <c r="H687" s="26">
        <f t="shared" ca="1" si="30"/>
        <v>0.27068528041791673</v>
      </c>
      <c r="I687" s="4">
        <f>IF(G687="Yes",-$C$8,0)</f>
        <v>-5000</v>
      </c>
      <c r="J687" s="4">
        <f>IF(G687="Yes",$C$8-I687,0)</f>
        <v>10000</v>
      </c>
      <c r="K687" s="4">
        <f ca="1">IF(H687&gt;=$C$4,J687+I687,I687)</f>
        <v>-5000</v>
      </c>
    </row>
    <row r="688" spans="5:11" x14ac:dyDescent="0.25">
      <c r="E688" s="1">
        <f t="shared" si="31"/>
        <v>685</v>
      </c>
      <c r="F688" s="4">
        <f t="shared" ca="1" si="32"/>
        <v>425000</v>
      </c>
      <c r="G688" s="1" t="s">
        <v>70</v>
      </c>
      <c r="H688" s="26">
        <f t="shared" ca="1" si="30"/>
        <v>2.6274834409948489E-2</v>
      </c>
      <c r="I688" s="4">
        <f>IF(G688="Yes",-$C$8,0)</f>
        <v>-5000</v>
      </c>
      <c r="J688" s="4">
        <f>IF(G688="Yes",$C$8-I688,0)</f>
        <v>10000</v>
      </c>
      <c r="K688" s="4">
        <f ca="1">IF(H688&gt;=$C$4,J688+I688,I688)</f>
        <v>-5000</v>
      </c>
    </row>
    <row r="689" spans="5:11" x14ac:dyDescent="0.25">
      <c r="E689" s="1">
        <f t="shared" si="31"/>
        <v>686</v>
      </c>
      <c r="F689" s="4">
        <f t="shared" ca="1" si="32"/>
        <v>420000</v>
      </c>
      <c r="G689" s="1" t="s">
        <v>70</v>
      </c>
      <c r="H689" s="26">
        <f t="shared" ca="1" si="30"/>
        <v>0.19124757973358131</v>
      </c>
      <c r="I689" s="4">
        <f>IF(G689="Yes",-$C$8,0)</f>
        <v>-5000</v>
      </c>
      <c r="J689" s="4">
        <f>IF(G689="Yes",$C$8-I689,0)</f>
        <v>10000</v>
      </c>
      <c r="K689" s="4">
        <f ca="1">IF(H689&gt;=$C$4,J689+I689,I689)</f>
        <v>-5000</v>
      </c>
    </row>
    <row r="690" spans="5:11" x14ac:dyDescent="0.25">
      <c r="E690" s="1">
        <f t="shared" si="31"/>
        <v>687</v>
      </c>
      <c r="F690" s="4">
        <f t="shared" ca="1" si="32"/>
        <v>415000</v>
      </c>
      <c r="G690" s="1" t="s">
        <v>70</v>
      </c>
      <c r="H690" s="26">
        <f t="shared" ca="1" si="30"/>
        <v>2.3182356563630213E-2</v>
      </c>
      <c r="I690" s="4">
        <f>IF(G690="Yes",-$C$8,0)</f>
        <v>-5000</v>
      </c>
      <c r="J690" s="4">
        <f>IF(G690="Yes",$C$8-I690,0)</f>
        <v>10000</v>
      </c>
      <c r="K690" s="4">
        <f ca="1">IF(H690&gt;=$C$4,J690+I690,I690)</f>
        <v>-5000</v>
      </c>
    </row>
    <row r="691" spans="5:11" x14ac:dyDescent="0.25">
      <c r="E691" s="1">
        <f t="shared" si="31"/>
        <v>688</v>
      </c>
      <c r="F691" s="4">
        <f t="shared" ca="1" si="32"/>
        <v>410000</v>
      </c>
      <c r="G691" s="1" t="s">
        <v>70</v>
      </c>
      <c r="H691" s="26">
        <f t="shared" ca="1" si="30"/>
        <v>0.38660060209738378</v>
      </c>
      <c r="I691" s="4">
        <f>IF(G691="Yes",-$C$8,0)</f>
        <v>-5000</v>
      </c>
      <c r="J691" s="4">
        <f>IF(G691="Yes",$C$8-I691,0)</f>
        <v>10000</v>
      </c>
      <c r="K691" s="4">
        <f ca="1">IF(H691&gt;=$C$4,J691+I691,I691)</f>
        <v>-5000</v>
      </c>
    </row>
    <row r="692" spans="5:11" x14ac:dyDescent="0.25">
      <c r="E692" s="1">
        <f t="shared" si="31"/>
        <v>689</v>
      </c>
      <c r="F692" s="4">
        <f t="shared" ca="1" si="32"/>
        <v>415000</v>
      </c>
      <c r="G692" s="1" t="s">
        <v>70</v>
      </c>
      <c r="H692" s="26">
        <f t="shared" ca="1" si="30"/>
        <v>0.79188429718095876</v>
      </c>
      <c r="I692" s="4">
        <f>IF(G692="Yes",-$C$8,0)</f>
        <v>-5000</v>
      </c>
      <c r="J692" s="4">
        <f>IF(G692="Yes",$C$8-I692,0)</f>
        <v>10000</v>
      </c>
      <c r="K692" s="4">
        <f ca="1">IF(H692&gt;=$C$4,J692+I692,I692)</f>
        <v>5000</v>
      </c>
    </row>
    <row r="693" spans="5:11" x14ac:dyDescent="0.25">
      <c r="E693" s="1">
        <f t="shared" si="31"/>
        <v>690</v>
      </c>
      <c r="F693" s="4">
        <f t="shared" ca="1" si="32"/>
        <v>420000</v>
      </c>
      <c r="G693" s="1" t="s">
        <v>70</v>
      </c>
      <c r="H693" s="26">
        <f t="shared" ca="1" si="30"/>
        <v>0.88555584249564767</v>
      </c>
      <c r="I693" s="4">
        <f>IF(G693="Yes",-$C$8,0)</f>
        <v>-5000</v>
      </c>
      <c r="J693" s="4">
        <f>IF(G693="Yes",$C$8-I693,0)</f>
        <v>10000</v>
      </c>
      <c r="K693" s="4">
        <f ca="1">IF(H693&gt;=$C$4,J693+I693,I693)</f>
        <v>5000</v>
      </c>
    </row>
    <row r="694" spans="5:11" x14ac:dyDescent="0.25">
      <c r="E694" s="1">
        <f t="shared" si="31"/>
        <v>691</v>
      </c>
      <c r="F694" s="4">
        <f t="shared" ca="1" si="32"/>
        <v>425000</v>
      </c>
      <c r="G694" s="1" t="s">
        <v>70</v>
      </c>
      <c r="H694" s="26">
        <f t="shared" ca="1" si="30"/>
        <v>0.7340400310312446</v>
      </c>
      <c r="I694" s="4">
        <f>IF(G694="Yes",-$C$8,0)</f>
        <v>-5000</v>
      </c>
      <c r="J694" s="4">
        <f>IF(G694="Yes",$C$8-I694,0)</f>
        <v>10000</v>
      </c>
      <c r="K694" s="4">
        <f ca="1">IF(H694&gt;=$C$4,J694+I694,I694)</f>
        <v>5000</v>
      </c>
    </row>
    <row r="695" spans="5:11" x14ac:dyDescent="0.25">
      <c r="E695" s="1">
        <f t="shared" si="31"/>
        <v>692</v>
      </c>
      <c r="F695" s="4">
        <f t="shared" ca="1" si="32"/>
        <v>420000</v>
      </c>
      <c r="G695" s="1" t="s">
        <v>70</v>
      </c>
      <c r="H695" s="26">
        <f t="shared" ca="1" si="30"/>
        <v>0.41113443590652776</v>
      </c>
      <c r="I695" s="4">
        <f>IF(G695="Yes",-$C$8,0)</f>
        <v>-5000</v>
      </c>
      <c r="J695" s="4">
        <f>IF(G695="Yes",$C$8-I695,0)</f>
        <v>10000</v>
      </c>
      <c r="K695" s="4">
        <f ca="1">IF(H695&gt;=$C$4,J695+I695,I695)</f>
        <v>-5000</v>
      </c>
    </row>
    <row r="696" spans="5:11" x14ac:dyDescent="0.25">
      <c r="E696" s="1">
        <f t="shared" si="31"/>
        <v>693</v>
      </c>
      <c r="F696" s="4">
        <f t="shared" ca="1" si="32"/>
        <v>425000</v>
      </c>
      <c r="G696" s="1" t="s">
        <v>70</v>
      </c>
      <c r="H696" s="26">
        <f t="shared" ca="1" si="30"/>
        <v>0.86350854695747903</v>
      </c>
      <c r="I696" s="4">
        <f>IF(G696="Yes",-$C$8,0)</f>
        <v>-5000</v>
      </c>
      <c r="J696" s="4">
        <f>IF(G696="Yes",$C$8-I696,0)</f>
        <v>10000</v>
      </c>
      <c r="K696" s="4">
        <f ca="1">IF(H696&gt;=$C$4,J696+I696,I696)</f>
        <v>5000</v>
      </c>
    </row>
    <row r="697" spans="5:11" x14ac:dyDescent="0.25">
      <c r="E697" s="1">
        <f t="shared" si="31"/>
        <v>694</v>
      </c>
      <c r="F697" s="4">
        <f t="shared" ca="1" si="32"/>
        <v>430000</v>
      </c>
      <c r="G697" s="1" t="s">
        <v>70</v>
      </c>
      <c r="H697" s="26">
        <f t="shared" ca="1" si="30"/>
        <v>0.97004152852614589</v>
      </c>
      <c r="I697" s="4">
        <f>IF(G697="Yes",-$C$8,0)</f>
        <v>-5000</v>
      </c>
      <c r="J697" s="4">
        <f>IF(G697="Yes",$C$8-I697,0)</f>
        <v>10000</v>
      </c>
      <c r="K697" s="4">
        <f ca="1">IF(H697&gt;=$C$4,J697+I697,I697)</f>
        <v>5000</v>
      </c>
    </row>
    <row r="698" spans="5:11" x14ac:dyDescent="0.25">
      <c r="E698" s="1">
        <f t="shared" si="31"/>
        <v>695</v>
      </c>
      <c r="F698" s="4">
        <f t="shared" ca="1" si="32"/>
        <v>435000</v>
      </c>
      <c r="G698" s="1" t="s">
        <v>70</v>
      </c>
      <c r="H698" s="26">
        <f t="shared" ca="1" si="30"/>
        <v>0.83027753399156001</v>
      </c>
      <c r="I698" s="4">
        <f>IF(G698="Yes",-$C$8,0)</f>
        <v>-5000</v>
      </c>
      <c r="J698" s="4">
        <f>IF(G698="Yes",$C$8-I698,0)</f>
        <v>10000</v>
      </c>
      <c r="K698" s="4">
        <f ca="1">IF(H698&gt;=$C$4,J698+I698,I698)</f>
        <v>5000</v>
      </c>
    </row>
    <row r="699" spans="5:11" x14ac:dyDescent="0.25">
      <c r="E699" s="1">
        <f t="shared" si="31"/>
        <v>696</v>
      </c>
      <c r="F699" s="4">
        <f t="shared" ca="1" si="32"/>
        <v>430000</v>
      </c>
      <c r="G699" s="1" t="s">
        <v>70</v>
      </c>
      <c r="H699" s="26">
        <f t="shared" ca="1" si="30"/>
        <v>0.35737630831108713</v>
      </c>
      <c r="I699" s="4">
        <f>IF(G699="Yes",-$C$8,0)</f>
        <v>-5000</v>
      </c>
      <c r="J699" s="4">
        <f>IF(G699="Yes",$C$8-I699,0)</f>
        <v>10000</v>
      </c>
      <c r="K699" s="4">
        <f ca="1">IF(H699&gt;=$C$4,J699+I699,I699)</f>
        <v>-5000</v>
      </c>
    </row>
    <row r="700" spans="5:11" x14ac:dyDescent="0.25">
      <c r="E700" s="1">
        <f t="shared" si="31"/>
        <v>697</v>
      </c>
      <c r="F700" s="4">
        <f t="shared" ca="1" si="32"/>
        <v>435000</v>
      </c>
      <c r="G700" s="1" t="s">
        <v>70</v>
      </c>
      <c r="H700" s="26">
        <f t="shared" ca="1" si="30"/>
        <v>0.84407300318619449</v>
      </c>
      <c r="I700" s="4">
        <f>IF(G700="Yes",-$C$8,0)</f>
        <v>-5000</v>
      </c>
      <c r="J700" s="4">
        <f>IF(G700="Yes",$C$8-I700,0)</f>
        <v>10000</v>
      </c>
      <c r="K700" s="4">
        <f ca="1">IF(H700&gt;=$C$4,J700+I700,I700)</f>
        <v>5000</v>
      </c>
    </row>
    <row r="701" spans="5:11" x14ac:dyDescent="0.25">
      <c r="E701" s="1">
        <f t="shared" si="31"/>
        <v>698</v>
      </c>
      <c r="F701" s="4">
        <f t="shared" ca="1" si="32"/>
        <v>430000</v>
      </c>
      <c r="G701" s="1" t="s">
        <v>70</v>
      </c>
      <c r="H701" s="26">
        <f t="shared" ca="1" si="30"/>
        <v>0.38530856426269977</v>
      </c>
      <c r="I701" s="4">
        <f>IF(G701="Yes",-$C$8,0)</f>
        <v>-5000</v>
      </c>
      <c r="J701" s="4">
        <f>IF(G701="Yes",$C$8-I701,0)</f>
        <v>10000</v>
      </c>
      <c r="K701" s="4">
        <f ca="1">IF(H701&gt;=$C$4,J701+I701,I701)</f>
        <v>-5000</v>
      </c>
    </row>
    <row r="702" spans="5:11" x14ac:dyDescent="0.25">
      <c r="E702" s="1">
        <f t="shared" si="31"/>
        <v>699</v>
      </c>
      <c r="F702" s="4">
        <f t="shared" ca="1" si="32"/>
        <v>425000</v>
      </c>
      <c r="G702" s="1" t="s">
        <v>70</v>
      </c>
      <c r="H702" s="26">
        <f t="shared" ca="1" si="30"/>
        <v>0.24655042285177198</v>
      </c>
      <c r="I702" s="4">
        <f>IF(G702="Yes",-$C$8,0)</f>
        <v>-5000</v>
      </c>
      <c r="J702" s="4">
        <f>IF(G702="Yes",$C$8-I702,0)</f>
        <v>10000</v>
      </c>
      <c r="K702" s="4">
        <f ca="1">IF(H702&gt;=$C$4,J702+I702,I702)</f>
        <v>-5000</v>
      </c>
    </row>
    <row r="703" spans="5:11" x14ac:dyDescent="0.25">
      <c r="E703" s="1">
        <f t="shared" si="31"/>
        <v>700</v>
      </c>
      <c r="F703" s="4">
        <f t="shared" ca="1" si="32"/>
        <v>430000</v>
      </c>
      <c r="G703" s="1" t="s">
        <v>70</v>
      </c>
      <c r="H703" s="26">
        <f t="shared" ca="1" si="30"/>
        <v>0.57659317663257026</v>
      </c>
      <c r="I703" s="4">
        <f>IF(G703="Yes",-$C$8,0)</f>
        <v>-5000</v>
      </c>
      <c r="J703" s="4">
        <f>IF(G703="Yes",$C$8-I703,0)</f>
        <v>10000</v>
      </c>
      <c r="K703" s="4">
        <f ca="1">IF(H703&gt;=$C$4,J703+I703,I703)</f>
        <v>5000</v>
      </c>
    </row>
    <row r="704" spans="5:11" x14ac:dyDescent="0.25">
      <c r="E704" s="1">
        <f t="shared" si="31"/>
        <v>701</v>
      </c>
      <c r="F704" s="4">
        <f t="shared" ca="1" si="32"/>
        <v>425000</v>
      </c>
      <c r="G704" s="1" t="s">
        <v>70</v>
      </c>
      <c r="H704" s="26">
        <f t="shared" ca="1" si="30"/>
        <v>3.1924793300683763E-2</v>
      </c>
      <c r="I704" s="4">
        <f>IF(G704="Yes",-$C$8,0)</f>
        <v>-5000</v>
      </c>
      <c r="J704" s="4">
        <f>IF(G704="Yes",$C$8-I704,0)</f>
        <v>10000</v>
      </c>
      <c r="K704" s="4">
        <f ca="1">IF(H704&gt;=$C$4,J704+I704,I704)</f>
        <v>-5000</v>
      </c>
    </row>
    <row r="705" spans="5:11" x14ac:dyDescent="0.25">
      <c r="E705" s="1">
        <f t="shared" si="31"/>
        <v>702</v>
      </c>
      <c r="F705" s="4">
        <f t="shared" ca="1" si="32"/>
        <v>420000</v>
      </c>
      <c r="G705" s="1" t="s">
        <v>70</v>
      </c>
      <c r="H705" s="26">
        <f t="shared" ca="1" si="30"/>
        <v>0.11549304266825178</v>
      </c>
      <c r="I705" s="4">
        <f>IF(G705="Yes",-$C$8,0)</f>
        <v>-5000</v>
      </c>
      <c r="J705" s="4">
        <f>IF(G705="Yes",$C$8-I705,0)</f>
        <v>10000</v>
      </c>
      <c r="K705" s="4">
        <f ca="1">IF(H705&gt;=$C$4,J705+I705,I705)</f>
        <v>-5000</v>
      </c>
    </row>
    <row r="706" spans="5:11" x14ac:dyDescent="0.25">
      <c r="E706" s="1">
        <f t="shared" si="31"/>
        <v>703</v>
      </c>
      <c r="F706" s="4">
        <f t="shared" ca="1" si="32"/>
        <v>425000</v>
      </c>
      <c r="G706" s="1" t="s">
        <v>70</v>
      </c>
      <c r="H706" s="26">
        <f t="shared" ca="1" si="30"/>
        <v>0.64793461315774703</v>
      </c>
      <c r="I706" s="4">
        <f>IF(G706="Yes",-$C$8,0)</f>
        <v>-5000</v>
      </c>
      <c r="J706" s="4">
        <f>IF(G706="Yes",$C$8-I706,0)</f>
        <v>10000</v>
      </c>
      <c r="K706" s="4">
        <f ca="1">IF(H706&gt;=$C$4,J706+I706,I706)</f>
        <v>5000</v>
      </c>
    </row>
    <row r="707" spans="5:11" x14ac:dyDescent="0.25">
      <c r="E707" s="1">
        <f t="shared" si="31"/>
        <v>704</v>
      </c>
      <c r="F707" s="4">
        <f t="shared" ca="1" si="32"/>
        <v>420000</v>
      </c>
      <c r="G707" s="1" t="s">
        <v>70</v>
      </c>
      <c r="H707" s="26">
        <f t="shared" ca="1" si="30"/>
        <v>3.5111903745013939E-2</v>
      </c>
      <c r="I707" s="4">
        <f>IF(G707="Yes",-$C$8,0)</f>
        <v>-5000</v>
      </c>
      <c r="J707" s="4">
        <f>IF(G707="Yes",$C$8-I707,0)</f>
        <v>10000</v>
      </c>
      <c r="K707" s="4">
        <f ca="1">IF(H707&gt;=$C$4,J707+I707,I707)</f>
        <v>-5000</v>
      </c>
    </row>
    <row r="708" spans="5:11" x14ac:dyDescent="0.25">
      <c r="E708" s="1">
        <f t="shared" si="31"/>
        <v>705</v>
      </c>
      <c r="F708" s="4">
        <f t="shared" ca="1" si="32"/>
        <v>425000</v>
      </c>
      <c r="G708" s="1" t="s">
        <v>70</v>
      </c>
      <c r="H708" s="26">
        <f t="shared" ref="H708:H771" ca="1" si="33">RAND()</f>
        <v>0.54866309062138829</v>
      </c>
      <c r="I708" s="4">
        <f>IF(G708="Yes",-$C$8,0)</f>
        <v>-5000</v>
      </c>
      <c r="J708" s="4">
        <f>IF(G708="Yes",$C$8-I708,0)</f>
        <v>10000</v>
      </c>
      <c r="K708" s="4">
        <f ca="1">IF(H708&gt;=$C$4,J708+I708,I708)</f>
        <v>5000</v>
      </c>
    </row>
    <row r="709" spans="5:11" x14ac:dyDescent="0.25">
      <c r="E709" s="1">
        <f t="shared" ref="E709:G772" si="34">E708+1</f>
        <v>706</v>
      </c>
      <c r="F709" s="4">
        <f t="shared" ref="F709:F772" ca="1" si="35">F708+K709</f>
        <v>420000</v>
      </c>
      <c r="G709" s="1" t="s">
        <v>70</v>
      </c>
      <c r="H709" s="26">
        <f t="shared" ca="1" si="33"/>
        <v>8.0750813314009018E-2</v>
      </c>
      <c r="I709" s="4">
        <f>IF(G709="Yes",-$C$8,0)</f>
        <v>-5000</v>
      </c>
      <c r="J709" s="4">
        <f>IF(G709="Yes",$C$8-I709,0)</f>
        <v>10000</v>
      </c>
      <c r="K709" s="4">
        <f ca="1">IF(H709&gt;=$C$4,J709+I709,I709)</f>
        <v>-5000</v>
      </c>
    </row>
    <row r="710" spans="5:11" x14ac:dyDescent="0.25">
      <c r="E710" s="1">
        <f t="shared" si="34"/>
        <v>707</v>
      </c>
      <c r="F710" s="4">
        <f t="shared" ca="1" si="35"/>
        <v>425000</v>
      </c>
      <c r="G710" s="1" t="s">
        <v>70</v>
      </c>
      <c r="H710" s="26">
        <f t="shared" ca="1" si="33"/>
        <v>0.77585607408115609</v>
      </c>
      <c r="I710" s="4">
        <f>IF(G710="Yes",-$C$8,0)</f>
        <v>-5000</v>
      </c>
      <c r="J710" s="4">
        <f>IF(G710="Yes",$C$8-I710,0)</f>
        <v>10000</v>
      </c>
      <c r="K710" s="4">
        <f ca="1">IF(H710&gt;=$C$4,J710+I710,I710)</f>
        <v>5000</v>
      </c>
    </row>
    <row r="711" spans="5:11" x14ac:dyDescent="0.25">
      <c r="E711" s="1">
        <f t="shared" si="34"/>
        <v>708</v>
      </c>
      <c r="F711" s="4">
        <f t="shared" ca="1" si="35"/>
        <v>430000</v>
      </c>
      <c r="G711" s="1" t="s">
        <v>70</v>
      </c>
      <c r="H711" s="26">
        <f t="shared" ca="1" si="33"/>
        <v>0.98497943148398126</v>
      </c>
      <c r="I711" s="4">
        <f>IF(G711="Yes",-$C$8,0)</f>
        <v>-5000</v>
      </c>
      <c r="J711" s="4">
        <f>IF(G711="Yes",$C$8-I711,0)</f>
        <v>10000</v>
      </c>
      <c r="K711" s="4">
        <f ca="1">IF(H711&gt;=$C$4,J711+I711,I711)</f>
        <v>5000</v>
      </c>
    </row>
    <row r="712" spans="5:11" x14ac:dyDescent="0.25">
      <c r="E712" s="1">
        <f t="shared" si="34"/>
        <v>709</v>
      </c>
      <c r="F712" s="4">
        <f t="shared" ca="1" si="35"/>
        <v>435000</v>
      </c>
      <c r="G712" s="1" t="s">
        <v>70</v>
      </c>
      <c r="H712" s="26">
        <f t="shared" ca="1" si="33"/>
        <v>0.47869314855179335</v>
      </c>
      <c r="I712" s="4">
        <f>IF(G712="Yes",-$C$8,0)</f>
        <v>-5000</v>
      </c>
      <c r="J712" s="4">
        <f>IF(G712="Yes",$C$8-I712,0)</f>
        <v>10000</v>
      </c>
      <c r="K712" s="4">
        <f ca="1">IF(H712&gt;=$C$4,J712+I712,I712)</f>
        <v>5000</v>
      </c>
    </row>
    <row r="713" spans="5:11" x14ac:dyDescent="0.25">
      <c r="E713" s="1">
        <f t="shared" si="34"/>
        <v>710</v>
      </c>
      <c r="F713" s="4">
        <f t="shared" ca="1" si="35"/>
        <v>430000</v>
      </c>
      <c r="G713" s="1" t="s">
        <v>70</v>
      </c>
      <c r="H713" s="26">
        <f t="shared" ca="1" si="33"/>
        <v>0.25493794538177872</v>
      </c>
      <c r="I713" s="4">
        <f>IF(G713="Yes",-$C$8,0)</f>
        <v>-5000</v>
      </c>
      <c r="J713" s="4">
        <f>IF(G713="Yes",$C$8-I713,0)</f>
        <v>10000</v>
      </c>
      <c r="K713" s="4">
        <f ca="1">IF(H713&gt;=$C$4,J713+I713,I713)</f>
        <v>-5000</v>
      </c>
    </row>
    <row r="714" spans="5:11" x14ac:dyDescent="0.25">
      <c r="E714" s="1">
        <f t="shared" si="34"/>
        <v>711</v>
      </c>
      <c r="F714" s="4">
        <f t="shared" ca="1" si="35"/>
        <v>425000</v>
      </c>
      <c r="G714" s="1" t="s">
        <v>70</v>
      </c>
      <c r="H714" s="26">
        <f t="shared" ca="1" si="33"/>
        <v>0.44776281687164099</v>
      </c>
      <c r="I714" s="4">
        <f>IF(G714="Yes",-$C$8,0)</f>
        <v>-5000</v>
      </c>
      <c r="J714" s="4">
        <f>IF(G714="Yes",$C$8-I714,0)</f>
        <v>10000</v>
      </c>
      <c r="K714" s="4">
        <f ca="1">IF(H714&gt;=$C$4,J714+I714,I714)</f>
        <v>-5000</v>
      </c>
    </row>
    <row r="715" spans="5:11" x14ac:dyDescent="0.25">
      <c r="E715" s="1">
        <f t="shared" si="34"/>
        <v>712</v>
      </c>
      <c r="F715" s="4">
        <f t="shared" ca="1" si="35"/>
        <v>420000</v>
      </c>
      <c r="G715" s="1" t="s">
        <v>70</v>
      </c>
      <c r="H715" s="26">
        <f t="shared" ca="1" si="33"/>
        <v>0.1990025288117695</v>
      </c>
      <c r="I715" s="4">
        <f>IF(G715="Yes",-$C$8,0)</f>
        <v>-5000</v>
      </c>
      <c r="J715" s="4">
        <f>IF(G715="Yes",$C$8-I715,0)</f>
        <v>10000</v>
      </c>
      <c r="K715" s="4">
        <f ca="1">IF(H715&gt;=$C$4,J715+I715,I715)</f>
        <v>-5000</v>
      </c>
    </row>
    <row r="716" spans="5:11" x14ac:dyDescent="0.25">
      <c r="E716" s="1">
        <f t="shared" si="34"/>
        <v>713</v>
      </c>
      <c r="F716" s="4">
        <f t="shared" ca="1" si="35"/>
        <v>425000</v>
      </c>
      <c r="G716" s="1" t="s">
        <v>70</v>
      </c>
      <c r="H716" s="26">
        <f t="shared" ca="1" si="33"/>
        <v>0.60885214584463532</v>
      </c>
      <c r="I716" s="4">
        <f>IF(G716="Yes",-$C$8,0)</f>
        <v>-5000</v>
      </c>
      <c r="J716" s="4">
        <f>IF(G716="Yes",$C$8-I716,0)</f>
        <v>10000</v>
      </c>
      <c r="K716" s="4">
        <f ca="1">IF(H716&gt;=$C$4,J716+I716,I716)</f>
        <v>5000</v>
      </c>
    </row>
    <row r="717" spans="5:11" x14ac:dyDescent="0.25">
      <c r="E717" s="1">
        <f t="shared" si="34"/>
        <v>714</v>
      </c>
      <c r="F717" s="4">
        <f t="shared" ca="1" si="35"/>
        <v>420000</v>
      </c>
      <c r="G717" s="1" t="s">
        <v>70</v>
      </c>
      <c r="H717" s="26">
        <f t="shared" ca="1" si="33"/>
        <v>0.32007817602140931</v>
      </c>
      <c r="I717" s="4">
        <f>IF(G717="Yes",-$C$8,0)</f>
        <v>-5000</v>
      </c>
      <c r="J717" s="4">
        <f>IF(G717="Yes",$C$8-I717,0)</f>
        <v>10000</v>
      </c>
      <c r="K717" s="4">
        <f ca="1">IF(H717&gt;=$C$4,J717+I717,I717)</f>
        <v>-5000</v>
      </c>
    </row>
    <row r="718" spans="5:11" x14ac:dyDescent="0.25">
      <c r="E718" s="1">
        <f t="shared" si="34"/>
        <v>715</v>
      </c>
      <c r="F718" s="4">
        <f t="shared" ca="1" si="35"/>
        <v>425000</v>
      </c>
      <c r="G718" s="1" t="s">
        <v>70</v>
      </c>
      <c r="H718" s="26">
        <f t="shared" ca="1" si="33"/>
        <v>0.56151876966260117</v>
      </c>
      <c r="I718" s="4">
        <f>IF(G718="Yes",-$C$8,0)</f>
        <v>-5000</v>
      </c>
      <c r="J718" s="4">
        <f>IF(G718="Yes",$C$8-I718,0)</f>
        <v>10000</v>
      </c>
      <c r="K718" s="4">
        <f ca="1">IF(H718&gt;=$C$4,J718+I718,I718)</f>
        <v>5000</v>
      </c>
    </row>
    <row r="719" spans="5:11" x14ac:dyDescent="0.25">
      <c r="E719" s="1">
        <f t="shared" si="34"/>
        <v>716</v>
      </c>
      <c r="F719" s="4">
        <f t="shared" ca="1" si="35"/>
        <v>430000</v>
      </c>
      <c r="G719" s="1" t="s">
        <v>70</v>
      </c>
      <c r="H719" s="26">
        <f t="shared" ca="1" si="33"/>
        <v>0.56754263937671401</v>
      </c>
      <c r="I719" s="4">
        <f>IF(G719="Yes",-$C$8,0)</f>
        <v>-5000</v>
      </c>
      <c r="J719" s="4">
        <f>IF(G719="Yes",$C$8-I719,0)</f>
        <v>10000</v>
      </c>
      <c r="K719" s="4">
        <f ca="1">IF(H719&gt;=$C$4,J719+I719,I719)</f>
        <v>5000</v>
      </c>
    </row>
    <row r="720" spans="5:11" x14ac:dyDescent="0.25">
      <c r="E720" s="1">
        <f t="shared" si="34"/>
        <v>717</v>
      </c>
      <c r="F720" s="4">
        <f t="shared" ca="1" si="35"/>
        <v>435000</v>
      </c>
      <c r="G720" s="1" t="s">
        <v>70</v>
      </c>
      <c r="H720" s="26">
        <f t="shared" ca="1" si="33"/>
        <v>0.92731524537130749</v>
      </c>
      <c r="I720" s="4">
        <f>IF(G720="Yes",-$C$8,0)</f>
        <v>-5000</v>
      </c>
      <c r="J720" s="4">
        <f>IF(G720="Yes",$C$8-I720,0)</f>
        <v>10000</v>
      </c>
      <c r="K720" s="4">
        <f ca="1">IF(H720&gt;=$C$4,J720+I720,I720)</f>
        <v>5000</v>
      </c>
    </row>
    <row r="721" spans="5:11" x14ac:dyDescent="0.25">
      <c r="E721" s="1">
        <f t="shared" si="34"/>
        <v>718</v>
      </c>
      <c r="F721" s="4">
        <f t="shared" ca="1" si="35"/>
        <v>430000</v>
      </c>
      <c r="G721" s="1" t="s">
        <v>70</v>
      </c>
      <c r="H721" s="26">
        <f t="shared" ca="1" si="33"/>
        <v>0.43318602161445241</v>
      </c>
      <c r="I721" s="4">
        <f>IF(G721="Yes",-$C$8,0)</f>
        <v>-5000</v>
      </c>
      <c r="J721" s="4">
        <f>IF(G721="Yes",$C$8-I721,0)</f>
        <v>10000</v>
      </c>
      <c r="K721" s="4">
        <f ca="1">IF(H721&gt;=$C$4,J721+I721,I721)</f>
        <v>-5000</v>
      </c>
    </row>
    <row r="722" spans="5:11" x14ac:dyDescent="0.25">
      <c r="E722" s="1">
        <f t="shared" si="34"/>
        <v>719</v>
      </c>
      <c r="F722" s="4">
        <f t="shared" ca="1" si="35"/>
        <v>425000</v>
      </c>
      <c r="G722" s="1" t="s">
        <v>70</v>
      </c>
      <c r="H722" s="26">
        <f t="shared" ca="1" si="33"/>
        <v>0.19863407217756679</v>
      </c>
      <c r="I722" s="4">
        <f>IF(G722="Yes",-$C$8,0)</f>
        <v>-5000</v>
      </c>
      <c r="J722" s="4">
        <f>IF(G722="Yes",$C$8-I722,0)</f>
        <v>10000</v>
      </c>
      <c r="K722" s="4">
        <f ca="1">IF(H722&gt;=$C$4,J722+I722,I722)</f>
        <v>-5000</v>
      </c>
    </row>
    <row r="723" spans="5:11" x14ac:dyDescent="0.25">
      <c r="E723" s="1">
        <f t="shared" si="34"/>
        <v>720</v>
      </c>
      <c r="F723" s="4">
        <f t="shared" ca="1" si="35"/>
        <v>430000</v>
      </c>
      <c r="G723" s="1" t="s">
        <v>70</v>
      </c>
      <c r="H723" s="26">
        <f t="shared" ca="1" si="33"/>
        <v>0.69197998381057391</v>
      </c>
      <c r="I723" s="4">
        <f>IF(G723="Yes",-$C$8,0)</f>
        <v>-5000</v>
      </c>
      <c r="J723" s="4">
        <f>IF(G723="Yes",$C$8-I723,0)</f>
        <v>10000</v>
      </c>
      <c r="K723" s="4">
        <f ca="1">IF(H723&gt;=$C$4,J723+I723,I723)</f>
        <v>5000</v>
      </c>
    </row>
    <row r="724" spans="5:11" x14ac:dyDescent="0.25">
      <c r="E724" s="1">
        <f t="shared" si="34"/>
        <v>721</v>
      </c>
      <c r="F724" s="4">
        <f t="shared" ca="1" si="35"/>
        <v>435000</v>
      </c>
      <c r="G724" s="1" t="s">
        <v>70</v>
      </c>
      <c r="H724" s="26">
        <f t="shared" ca="1" si="33"/>
        <v>0.77004178575760829</v>
      </c>
      <c r="I724" s="4">
        <f>IF(G724="Yes",-$C$8,0)</f>
        <v>-5000</v>
      </c>
      <c r="J724" s="4">
        <f>IF(G724="Yes",$C$8-I724,0)</f>
        <v>10000</v>
      </c>
      <c r="K724" s="4">
        <f ca="1">IF(H724&gt;=$C$4,J724+I724,I724)</f>
        <v>5000</v>
      </c>
    </row>
    <row r="725" spans="5:11" x14ac:dyDescent="0.25">
      <c r="E725" s="1">
        <f t="shared" si="34"/>
        <v>722</v>
      </c>
      <c r="F725" s="4">
        <f t="shared" ca="1" si="35"/>
        <v>440000</v>
      </c>
      <c r="G725" s="1" t="s">
        <v>70</v>
      </c>
      <c r="H725" s="26">
        <f t="shared" ca="1" si="33"/>
        <v>0.64818619269553601</v>
      </c>
      <c r="I725" s="4">
        <f>IF(G725="Yes",-$C$8,0)</f>
        <v>-5000</v>
      </c>
      <c r="J725" s="4">
        <f>IF(G725="Yes",$C$8-I725,0)</f>
        <v>10000</v>
      </c>
      <c r="K725" s="4">
        <f ca="1">IF(H725&gt;=$C$4,J725+I725,I725)</f>
        <v>5000</v>
      </c>
    </row>
    <row r="726" spans="5:11" x14ac:dyDescent="0.25">
      <c r="E726" s="1">
        <f t="shared" si="34"/>
        <v>723</v>
      </c>
      <c r="F726" s="4">
        <f t="shared" ca="1" si="35"/>
        <v>435000</v>
      </c>
      <c r="G726" s="1" t="s">
        <v>70</v>
      </c>
      <c r="H726" s="26">
        <f t="shared" ca="1" si="33"/>
        <v>0.26623549675906666</v>
      </c>
      <c r="I726" s="4">
        <f>IF(G726="Yes",-$C$8,0)</f>
        <v>-5000</v>
      </c>
      <c r="J726" s="4">
        <f>IF(G726="Yes",$C$8-I726,0)</f>
        <v>10000</v>
      </c>
      <c r="K726" s="4">
        <f ca="1">IF(H726&gt;=$C$4,J726+I726,I726)</f>
        <v>-5000</v>
      </c>
    </row>
    <row r="727" spans="5:11" x14ac:dyDescent="0.25">
      <c r="E727" s="1">
        <f t="shared" si="34"/>
        <v>724</v>
      </c>
      <c r="F727" s="4">
        <f t="shared" ca="1" si="35"/>
        <v>440000</v>
      </c>
      <c r="G727" s="1" t="s">
        <v>70</v>
      </c>
      <c r="H727" s="26">
        <f t="shared" ca="1" si="33"/>
        <v>0.58791358076766753</v>
      </c>
      <c r="I727" s="4">
        <f>IF(G727="Yes",-$C$8,0)</f>
        <v>-5000</v>
      </c>
      <c r="J727" s="4">
        <f>IF(G727="Yes",$C$8-I727,0)</f>
        <v>10000</v>
      </c>
      <c r="K727" s="4">
        <f ca="1">IF(H727&gt;=$C$4,J727+I727,I727)</f>
        <v>5000</v>
      </c>
    </row>
    <row r="728" spans="5:11" x14ac:dyDescent="0.25">
      <c r="E728" s="1">
        <f t="shared" si="34"/>
        <v>725</v>
      </c>
      <c r="F728" s="4">
        <f t="shared" ca="1" si="35"/>
        <v>445000</v>
      </c>
      <c r="G728" s="1" t="s">
        <v>70</v>
      </c>
      <c r="H728" s="26">
        <f t="shared" ca="1" si="33"/>
        <v>0.50533285485024926</v>
      </c>
      <c r="I728" s="4">
        <f>IF(G728="Yes",-$C$8,0)</f>
        <v>-5000</v>
      </c>
      <c r="J728" s="4">
        <f>IF(G728="Yes",$C$8-I728,0)</f>
        <v>10000</v>
      </c>
      <c r="K728" s="4">
        <f ca="1">IF(H728&gt;=$C$4,J728+I728,I728)</f>
        <v>5000</v>
      </c>
    </row>
    <row r="729" spans="5:11" x14ac:dyDescent="0.25">
      <c r="E729" s="1">
        <f t="shared" si="34"/>
        <v>726</v>
      </c>
      <c r="F729" s="4">
        <f t="shared" ca="1" si="35"/>
        <v>440000</v>
      </c>
      <c r="G729" s="1" t="s">
        <v>70</v>
      </c>
      <c r="H729" s="26">
        <f t="shared" ca="1" si="33"/>
        <v>0.37694730495626527</v>
      </c>
      <c r="I729" s="4">
        <f>IF(G729="Yes",-$C$8,0)</f>
        <v>-5000</v>
      </c>
      <c r="J729" s="4">
        <f>IF(G729="Yes",$C$8-I729,0)</f>
        <v>10000</v>
      </c>
      <c r="K729" s="4">
        <f ca="1">IF(H729&gt;=$C$4,J729+I729,I729)</f>
        <v>-5000</v>
      </c>
    </row>
    <row r="730" spans="5:11" x14ac:dyDescent="0.25">
      <c r="E730" s="1">
        <f t="shared" si="34"/>
        <v>727</v>
      </c>
      <c r="F730" s="4">
        <f t="shared" ca="1" si="35"/>
        <v>435000</v>
      </c>
      <c r="G730" s="1" t="s">
        <v>70</v>
      </c>
      <c r="H730" s="26">
        <f t="shared" ca="1" si="33"/>
        <v>0.43490878211452499</v>
      </c>
      <c r="I730" s="4">
        <f>IF(G730="Yes",-$C$8,0)</f>
        <v>-5000</v>
      </c>
      <c r="J730" s="4">
        <f>IF(G730="Yes",$C$8-I730,0)</f>
        <v>10000</v>
      </c>
      <c r="K730" s="4">
        <f ca="1">IF(H730&gt;=$C$4,J730+I730,I730)</f>
        <v>-5000</v>
      </c>
    </row>
    <row r="731" spans="5:11" x14ac:dyDescent="0.25">
      <c r="E731" s="1">
        <f t="shared" si="34"/>
        <v>728</v>
      </c>
      <c r="F731" s="4">
        <f t="shared" ca="1" si="35"/>
        <v>440000</v>
      </c>
      <c r="G731" s="1" t="s">
        <v>70</v>
      </c>
      <c r="H731" s="26">
        <f t="shared" ca="1" si="33"/>
        <v>0.66629618576611616</v>
      </c>
      <c r="I731" s="4">
        <f>IF(G731="Yes",-$C$8,0)</f>
        <v>-5000</v>
      </c>
      <c r="J731" s="4">
        <f>IF(G731="Yes",$C$8-I731,0)</f>
        <v>10000</v>
      </c>
      <c r="K731" s="4">
        <f ca="1">IF(H731&gt;=$C$4,J731+I731,I731)</f>
        <v>5000</v>
      </c>
    </row>
    <row r="732" spans="5:11" x14ac:dyDescent="0.25">
      <c r="E732" s="1">
        <f t="shared" si="34"/>
        <v>729</v>
      </c>
      <c r="F732" s="4">
        <f t="shared" ca="1" si="35"/>
        <v>445000</v>
      </c>
      <c r="G732" s="1" t="s">
        <v>70</v>
      </c>
      <c r="H732" s="26">
        <f t="shared" ca="1" si="33"/>
        <v>0.89658046522835322</v>
      </c>
      <c r="I732" s="4">
        <f>IF(G732="Yes",-$C$8,0)</f>
        <v>-5000</v>
      </c>
      <c r="J732" s="4">
        <f>IF(G732="Yes",$C$8-I732,0)</f>
        <v>10000</v>
      </c>
      <c r="K732" s="4">
        <f ca="1">IF(H732&gt;=$C$4,J732+I732,I732)</f>
        <v>5000</v>
      </c>
    </row>
    <row r="733" spans="5:11" x14ac:dyDescent="0.25">
      <c r="E733" s="1">
        <f t="shared" si="34"/>
        <v>730</v>
      </c>
      <c r="F733" s="4">
        <f t="shared" ca="1" si="35"/>
        <v>440000</v>
      </c>
      <c r="G733" s="1" t="s">
        <v>70</v>
      </c>
      <c r="H733" s="26">
        <f t="shared" ca="1" si="33"/>
        <v>0.25994340649339176</v>
      </c>
      <c r="I733" s="4">
        <f>IF(G733="Yes",-$C$8,0)</f>
        <v>-5000</v>
      </c>
      <c r="J733" s="4">
        <f>IF(G733="Yes",$C$8-I733,0)</f>
        <v>10000</v>
      </c>
      <c r="K733" s="4">
        <f ca="1">IF(H733&gt;=$C$4,J733+I733,I733)</f>
        <v>-5000</v>
      </c>
    </row>
    <row r="734" spans="5:11" x14ac:dyDescent="0.25">
      <c r="E734" s="1">
        <f t="shared" si="34"/>
        <v>731</v>
      </c>
      <c r="F734" s="4">
        <f t="shared" ca="1" si="35"/>
        <v>435000</v>
      </c>
      <c r="G734" s="1" t="s">
        <v>70</v>
      </c>
      <c r="H734" s="26">
        <f t="shared" ca="1" si="33"/>
        <v>0.29986289714537628</v>
      </c>
      <c r="I734" s="4">
        <f>IF(G734="Yes",-$C$8,0)</f>
        <v>-5000</v>
      </c>
      <c r="J734" s="4">
        <f>IF(G734="Yes",$C$8-I734,0)</f>
        <v>10000</v>
      </c>
      <c r="K734" s="4">
        <f ca="1">IF(H734&gt;=$C$4,J734+I734,I734)</f>
        <v>-5000</v>
      </c>
    </row>
    <row r="735" spans="5:11" x14ac:dyDescent="0.25">
      <c r="E735" s="1">
        <f t="shared" si="34"/>
        <v>732</v>
      </c>
      <c r="F735" s="4">
        <f t="shared" ca="1" si="35"/>
        <v>440000</v>
      </c>
      <c r="G735" s="1" t="s">
        <v>70</v>
      </c>
      <c r="H735" s="26">
        <f t="shared" ca="1" si="33"/>
        <v>0.4902772086765621</v>
      </c>
      <c r="I735" s="4">
        <f>IF(G735="Yes",-$C$8,0)</f>
        <v>-5000</v>
      </c>
      <c r="J735" s="4">
        <f>IF(G735="Yes",$C$8-I735,0)</f>
        <v>10000</v>
      </c>
      <c r="K735" s="4">
        <f ca="1">IF(H735&gt;=$C$4,J735+I735,I735)</f>
        <v>5000</v>
      </c>
    </row>
    <row r="736" spans="5:11" x14ac:dyDescent="0.25">
      <c r="E736" s="1">
        <f t="shared" si="34"/>
        <v>733</v>
      </c>
      <c r="F736" s="4">
        <f t="shared" ca="1" si="35"/>
        <v>445000</v>
      </c>
      <c r="G736" s="1" t="s">
        <v>70</v>
      </c>
      <c r="H736" s="26">
        <f t="shared" ca="1" si="33"/>
        <v>0.95813087030827193</v>
      </c>
      <c r="I736" s="4">
        <f>IF(G736="Yes",-$C$8,0)</f>
        <v>-5000</v>
      </c>
      <c r="J736" s="4">
        <f>IF(G736="Yes",$C$8-I736,0)</f>
        <v>10000</v>
      </c>
      <c r="K736" s="4">
        <f ca="1">IF(H736&gt;=$C$4,J736+I736,I736)</f>
        <v>5000</v>
      </c>
    </row>
    <row r="737" spans="5:11" x14ac:dyDescent="0.25">
      <c r="E737" s="1">
        <f t="shared" si="34"/>
        <v>734</v>
      </c>
      <c r="F737" s="4">
        <f t="shared" ca="1" si="35"/>
        <v>450000</v>
      </c>
      <c r="G737" s="1" t="s">
        <v>70</v>
      </c>
      <c r="H737" s="26">
        <f t="shared" ca="1" si="33"/>
        <v>0.92061045101544403</v>
      </c>
      <c r="I737" s="4">
        <f>IF(G737="Yes",-$C$8,0)</f>
        <v>-5000</v>
      </c>
      <c r="J737" s="4">
        <f>IF(G737="Yes",$C$8-I737,0)</f>
        <v>10000</v>
      </c>
      <c r="K737" s="4">
        <f ca="1">IF(H737&gt;=$C$4,J737+I737,I737)</f>
        <v>5000</v>
      </c>
    </row>
    <row r="738" spans="5:11" x14ac:dyDescent="0.25">
      <c r="E738" s="1">
        <f t="shared" si="34"/>
        <v>735</v>
      </c>
      <c r="F738" s="4">
        <f t="shared" ca="1" si="35"/>
        <v>445000</v>
      </c>
      <c r="G738" s="1" t="s">
        <v>70</v>
      </c>
      <c r="H738" s="26">
        <f t="shared" ca="1" si="33"/>
        <v>4.1074381440485475E-2</v>
      </c>
      <c r="I738" s="4">
        <f>IF(G738="Yes",-$C$8,0)</f>
        <v>-5000</v>
      </c>
      <c r="J738" s="4">
        <f>IF(G738="Yes",$C$8-I738,0)</f>
        <v>10000</v>
      </c>
      <c r="K738" s="4">
        <f ca="1">IF(H738&gt;=$C$4,J738+I738,I738)</f>
        <v>-5000</v>
      </c>
    </row>
    <row r="739" spans="5:11" x14ac:dyDescent="0.25">
      <c r="E739" s="1">
        <f t="shared" si="34"/>
        <v>736</v>
      </c>
      <c r="F739" s="4">
        <f t="shared" ca="1" si="35"/>
        <v>440000</v>
      </c>
      <c r="G739" s="1" t="s">
        <v>70</v>
      </c>
      <c r="H739" s="26">
        <f t="shared" ca="1" si="33"/>
        <v>0.37869342180682208</v>
      </c>
      <c r="I739" s="4">
        <f>IF(G739="Yes",-$C$8,0)</f>
        <v>-5000</v>
      </c>
      <c r="J739" s="4">
        <f>IF(G739="Yes",$C$8-I739,0)</f>
        <v>10000</v>
      </c>
      <c r="K739" s="4">
        <f ca="1">IF(H739&gt;=$C$4,J739+I739,I739)</f>
        <v>-5000</v>
      </c>
    </row>
    <row r="740" spans="5:11" x14ac:dyDescent="0.25">
      <c r="E740" s="1">
        <f t="shared" si="34"/>
        <v>737</v>
      </c>
      <c r="F740" s="4">
        <f t="shared" ca="1" si="35"/>
        <v>445000</v>
      </c>
      <c r="G740" s="1" t="s">
        <v>70</v>
      </c>
      <c r="H740" s="26">
        <f t="shared" ca="1" si="33"/>
        <v>0.71471260470020992</v>
      </c>
      <c r="I740" s="4">
        <f>IF(G740="Yes",-$C$8,0)</f>
        <v>-5000</v>
      </c>
      <c r="J740" s="4">
        <f>IF(G740="Yes",$C$8-I740,0)</f>
        <v>10000</v>
      </c>
      <c r="K740" s="4">
        <f ca="1">IF(H740&gt;=$C$4,J740+I740,I740)</f>
        <v>5000</v>
      </c>
    </row>
    <row r="741" spans="5:11" x14ac:dyDescent="0.25">
      <c r="E741" s="1">
        <f t="shared" si="34"/>
        <v>738</v>
      </c>
      <c r="F741" s="4">
        <f t="shared" ca="1" si="35"/>
        <v>440000</v>
      </c>
      <c r="G741" s="1" t="s">
        <v>70</v>
      </c>
      <c r="H741" s="26">
        <f t="shared" ca="1" si="33"/>
        <v>0.30866573033360267</v>
      </c>
      <c r="I741" s="4">
        <f>IF(G741="Yes",-$C$8,0)</f>
        <v>-5000</v>
      </c>
      <c r="J741" s="4">
        <f>IF(G741="Yes",$C$8-I741,0)</f>
        <v>10000</v>
      </c>
      <c r="K741" s="4">
        <f ca="1">IF(H741&gt;=$C$4,J741+I741,I741)</f>
        <v>-5000</v>
      </c>
    </row>
    <row r="742" spans="5:11" x14ac:dyDescent="0.25">
      <c r="E742" s="1">
        <f t="shared" si="34"/>
        <v>739</v>
      </c>
      <c r="F742" s="4">
        <f t="shared" ca="1" si="35"/>
        <v>435000</v>
      </c>
      <c r="G742" s="1" t="s">
        <v>70</v>
      </c>
      <c r="H742" s="26">
        <f t="shared" ca="1" si="33"/>
        <v>0.17014607214809063</v>
      </c>
      <c r="I742" s="4">
        <f>IF(G742="Yes",-$C$8,0)</f>
        <v>-5000</v>
      </c>
      <c r="J742" s="4">
        <f>IF(G742="Yes",$C$8-I742,0)</f>
        <v>10000</v>
      </c>
      <c r="K742" s="4">
        <f ca="1">IF(H742&gt;=$C$4,J742+I742,I742)</f>
        <v>-5000</v>
      </c>
    </row>
    <row r="743" spans="5:11" x14ac:dyDescent="0.25">
      <c r="E743" s="1">
        <f t="shared" si="34"/>
        <v>740</v>
      </c>
      <c r="F743" s="4">
        <f t="shared" ca="1" si="35"/>
        <v>430000</v>
      </c>
      <c r="G743" s="1" t="s">
        <v>70</v>
      </c>
      <c r="H743" s="26">
        <f t="shared" ca="1" si="33"/>
        <v>0.14274900676855773</v>
      </c>
      <c r="I743" s="4">
        <f>IF(G743="Yes",-$C$8,0)</f>
        <v>-5000</v>
      </c>
      <c r="J743" s="4">
        <f>IF(G743="Yes",$C$8-I743,0)</f>
        <v>10000</v>
      </c>
      <c r="K743" s="4">
        <f ca="1">IF(H743&gt;=$C$4,J743+I743,I743)</f>
        <v>-5000</v>
      </c>
    </row>
    <row r="744" spans="5:11" x14ac:dyDescent="0.25">
      <c r="E744" s="1">
        <f t="shared" si="34"/>
        <v>741</v>
      </c>
      <c r="F744" s="4">
        <f t="shared" ca="1" si="35"/>
        <v>435000</v>
      </c>
      <c r="G744" s="1" t="s">
        <v>70</v>
      </c>
      <c r="H744" s="26">
        <f t="shared" ca="1" si="33"/>
        <v>0.58528929421138642</v>
      </c>
      <c r="I744" s="4">
        <f>IF(G744="Yes",-$C$8,0)</f>
        <v>-5000</v>
      </c>
      <c r="J744" s="4">
        <f>IF(G744="Yes",$C$8-I744,0)</f>
        <v>10000</v>
      </c>
      <c r="K744" s="4">
        <f ca="1">IF(H744&gt;=$C$4,J744+I744,I744)</f>
        <v>5000</v>
      </c>
    </row>
    <row r="745" spans="5:11" x14ac:dyDescent="0.25">
      <c r="E745" s="1">
        <f t="shared" si="34"/>
        <v>742</v>
      </c>
      <c r="F745" s="4">
        <f t="shared" ca="1" si="35"/>
        <v>430000</v>
      </c>
      <c r="G745" s="1" t="s">
        <v>70</v>
      </c>
      <c r="H745" s="26">
        <f t="shared" ca="1" si="33"/>
        <v>0.34080113791774636</v>
      </c>
      <c r="I745" s="4">
        <f>IF(G745="Yes",-$C$8,0)</f>
        <v>-5000</v>
      </c>
      <c r="J745" s="4">
        <f>IF(G745="Yes",$C$8-I745,0)</f>
        <v>10000</v>
      </c>
      <c r="K745" s="4">
        <f ca="1">IF(H745&gt;=$C$4,J745+I745,I745)</f>
        <v>-5000</v>
      </c>
    </row>
    <row r="746" spans="5:11" x14ac:dyDescent="0.25">
      <c r="E746" s="1">
        <f t="shared" si="34"/>
        <v>743</v>
      </c>
      <c r="F746" s="4">
        <f t="shared" ca="1" si="35"/>
        <v>435000</v>
      </c>
      <c r="G746" s="1" t="s">
        <v>70</v>
      </c>
      <c r="H746" s="26">
        <f t="shared" ca="1" si="33"/>
        <v>0.45352557041783947</v>
      </c>
      <c r="I746" s="4">
        <f>IF(G746="Yes",-$C$8,0)</f>
        <v>-5000</v>
      </c>
      <c r="J746" s="4">
        <f>IF(G746="Yes",$C$8-I746,0)</f>
        <v>10000</v>
      </c>
      <c r="K746" s="4">
        <f ca="1">IF(H746&gt;=$C$4,J746+I746,I746)</f>
        <v>5000</v>
      </c>
    </row>
    <row r="747" spans="5:11" x14ac:dyDescent="0.25">
      <c r="E747" s="1">
        <f t="shared" si="34"/>
        <v>744</v>
      </c>
      <c r="F747" s="4">
        <f t="shared" ca="1" si="35"/>
        <v>440000</v>
      </c>
      <c r="G747" s="1" t="s">
        <v>70</v>
      </c>
      <c r="H747" s="26">
        <f t="shared" ca="1" si="33"/>
        <v>0.73740525940258461</v>
      </c>
      <c r="I747" s="4">
        <f>IF(G747="Yes",-$C$8,0)</f>
        <v>-5000</v>
      </c>
      <c r="J747" s="4">
        <f>IF(G747="Yes",$C$8-I747,0)</f>
        <v>10000</v>
      </c>
      <c r="K747" s="4">
        <f ca="1">IF(H747&gt;=$C$4,J747+I747,I747)</f>
        <v>5000</v>
      </c>
    </row>
    <row r="748" spans="5:11" x14ac:dyDescent="0.25">
      <c r="E748" s="1">
        <f t="shared" si="34"/>
        <v>745</v>
      </c>
      <c r="F748" s="4">
        <f t="shared" ca="1" si="35"/>
        <v>435000</v>
      </c>
      <c r="G748" s="1" t="s">
        <v>70</v>
      </c>
      <c r="H748" s="26">
        <f t="shared" ca="1" si="33"/>
        <v>0.13850849580434865</v>
      </c>
      <c r="I748" s="4">
        <f>IF(G748="Yes",-$C$8,0)</f>
        <v>-5000</v>
      </c>
      <c r="J748" s="4">
        <f>IF(G748="Yes",$C$8-I748,0)</f>
        <v>10000</v>
      </c>
      <c r="K748" s="4">
        <f ca="1">IF(H748&gt;=$C$4,J748+I748,I748)</f>
        <v>-5000</v>
      </c>
    </row>
    <row r="749" spans="5:11" x14ac:dyDescent="0.25">
      <c r="E749" s="1">
        <f t="shared" si="34"/>
        <v>746</v>
      </c>
      <c r="F749" s="4">
        <f t="shared" ca="1" si="35"/>
        <v>440000</v>
      </c>
      <c r="G749" s="1" t="s">
        <v>70</v>
      </c>
      <c r="H749" s="26">
        <f t="shared" ca="1" si="33"/>
        <v>0.46553514042127431</v>
      </c>
      <c r="I749" s="4">
        <f>IF(G749="Yes",-$C$8,0)</f>
        <v>-5000</v>
      </c>
      <c r="J749" s="4">
        <f>IF(G749="Yes",$C$8-I749,0)</f>
        <v>10000</v>
      </c>
      <c r="K749" s="4">
        <f ca="1">IF(H749&gt;=$C$4,J749+I749,I749)</f>
        <v>5000</v>
      </c>
    </row>
    <row r="750" spans="5:11" x14ac:dyDescent="0.25">
      <c r="E750" s="1">
        <f t="shared" si="34"/>
        <v>747</v>
      </c>
      <c r="F750" s="4">
        <f t="shared" ca="1" si="35"/>
        <v>435000</v>
      </c>
      <c r="G750" s="1" t="s">
        <v>70</v>
      </c>
      <c r="H750" s="26">
        <f t="shared" ca="1" si="33"/>
        <v>0.21064947348271801</v>
      </c>
      <c r="I750" s="4">
        <f>IF(G750="Yes",-$C$8,0)</f>
        <v>-5000</v>
      </c>
      <c r="J750" s="4">
        <f>IF(G750="Yes",$C$8-I750,0)</f>
        <v>10000</v>
      </c>
      <c r="K750" s="4">
        <f ca="1">IF(H750&gt;=$C$4,J750+I750,I750)</f>
        <v>-5000</v>
      </c>
    </row>
    <row r="751" spans="5:11" x14ac:dyDescent="0.25">
      <c r="E751" s="1">
        <f t="shared" si="34"/>
        <v>748</v>
      </c>
      <c r="F751" s="4">
        <f t="shared" ca="1" si="35"/>
        <v>440000</v>
      </c>
      <c r="G751" s="1" t="s">
        <v>70</v>
      </c>
      <c r="H751" s="26">
        <f t="shared" ca="1" si="33"/>
        <v>0.7664183011800445</v>
      </c>
      <c r="I751" s="4">
        <f>IF(G751="Yes",-$C$8,0)</f>
        <v>-5000</v>
      </c>
      <c r="J751" s="4">
        <f>IF(G751="Yes",$C$8-I751,0)</f>
        <v>10000</v>
      </c>
      <c r="K751" s="4">
        <f ca="1">IF(H751&gt;=$C$4,J751+I751,I751)</f>
        <v>5000</v>
      </c>
    </row>
    <row r="752" spans="5:11" x14ac:dyDescent="0.25">
      <c r="E752" s="1">
        <f t="shared" si="34"/>
        <v>749</v>
      </c>
      <c r="F752" s="4">
        <f t="shared" ca="1" si="35"/>
        <v>435000</v>
      </c>
      <c r="G752" s="1" t="s">
        <v>70</v>
      </c>
      <c r="H752" s="26">
        <f t="shared" ca="1" si="33"/>
        <v>0.20344930353727431</v>
      </c>
      <c r="I752" s="4">
        <f>IF(G752="Yes",-$C$8,0)</f>
        <v>-5000</v>
      </c>
      <c r="J752" s="4">
        <f>IF(G752="Yes",$C$8-I752,0)</f>
        <v>10000</v>
      </c>
      <c r="K752" s="4">
        <f ca="1">IF(H752&gt;=$C$4,J752+I752,I752)</f>
        <v>-5000</v>
      </c>
    </row>
    <row r="753" spans="5:11" x14ac:dyDescent="0.25">
      <c r="E753" s="1">
        <f t="shared" si="34"/>
        <v>750</v>
      </c>
      <c r="F753" s="4">
        <f t="shared" ca="1" si="35"/>
        <v>430000</v>
      </c>
      <c r="G753" s="1" t="s">
        <v>70</v>
      </c>
      <c r="H753" s="26">
        <f t="shared" ca="1" si="33"/>
        <v>0.25758363661712114</v>
      </c>
      <c r="I753" s="4">
        <f>IF(G753="Yes",-$C$8,0)</f>
        <v>-5000</v>
      </c>
      <c r="J753" s="4">
        <f>IF(G753="Yes",$C$8-I753,0)</f>
        <v>10000</v>
      </c>
      <c r="K753" s="4">
        <f ca="1">IF(H753&gt;=$C$4,J753+I753,I753)</f>
        <v>-5000</v>
      </c>
    </row>
    <row r="754" spans="5:11" x14ac:dyDescent="0.25">
      <c r="E754" s="1">
        <f t="shared" si="34"/>
        <v>751</v>
      </c>
      <c r="F754" s="4">
        <f t="shared" ca="1" si="35"/>
        <v>435000</v>
      </c>
      <c r="G754" s="1" t="s">
        <v>70</v>
      </c>
      <c r="H754" s="26">
        <f t="shared" ca="1" si="33"/>
        <v>0.86705375721220868</v>
      </c>
      <c r="I754" s="4">
        <f>IF(G754="Yes",-$C$8,0)</f>
        <v>-5000</v>
      </c>
      <c r="J754" s="4">
        <f>IF(G754="Yes",$C$8-I754,0)</f>
        <v>10000</v>
      </c>
      <c r="K754" s="4">
        <f ca="1">IF(H754&gt;=$C$4,J754+I754,I754)</f>
        <v>5000</v>
      </c>
    </row>
    <row r="755" spans="5:11" x14ac:dyDescent="0.25">
      <c r="E755" s="1">
        <f t="shared" si="34"/>
        <v>752</v>
      </c>
      <c r="F755" s="4">
        <f t="shared" ca="1" si="35"/>
        <v>430000</v>
      </c>
      <c r="G755" s="1" t="s">
        <v>70</v>
      </c>
      <c r="H755" s="26">
        <f t="shared" ca="1" si="33"/>
        <v>0.32419605257422557</v>
      </c>
      <c r="I755" s="4">
        <f>IF(G755="Yes",-$C$8,0)</f>
        <v>-5000</v>
      </c>
      <c r="J755" s="4">
        <f>IF(G755="Yes",$C$8-I755,0)</f>
        <v>10000</v>
      </c>
      <c r="K755" s="4">
        <f ca="1">IF(H755&gt;=$C$4,J755+I755,I755)</f>
        <v>-5000</v>
      </c>
    </row>
    <row r="756" spans="5:11" x14ac:dyDescent="0.25">
      <c r="E756" s="1">
        <f t="shared" si="34"/>
        <v>753</v>
      </c>
      <c r="F756" s="4">
        <f t="shared" ca="1" si="35"/>
        <v>435000</v>
      </c>
      <c r="G756" s="1" t="s">
        <v>70</v>
      </c>
      <c r="H756" s="26">
        <f t="shared" ca="1" si="33"/>
        <v>0.53305504669150605</v>
      </c>
      <c r="I756" s="4">
        <f>IF(G756="Yes",-$C$8,0)</f>
        <v>-5000</v>
      </c>
      <c r="J756" s="4">
        <f>IF(G756="Yes",$C$8-I756,0)</f>
        <v>10000</v>
      </c>
      <c r="K756" s="4">
        <f ca="1">IF(H756&gt;=$C$4,J756+I756,I756)</f>
        <v>5000</v>
      </c>
    </row>
    <row r="757" spans="5:11" x14ac:dyDescent="0.25">
      <c r="E757" s="1">
        <f t="shared" si="34"/>
        <v>754</v>
      </c>
      <c r="F757" s="4">
        <f t="shared" ca="1" si="35"/>
        <v>430000</v>
      </c>
      <c r="G757" s="1" t="s">
        <v>70</v>
      </c>
      <c r="H757" s="26">
        <f t="shared" ca="1" si="33"/>
        <v>0.15629344751177832</v>
      </c>
      <c r="I757" s="4">
        <f>IF(G757="Yes",-$C$8,0)</f>
        <v>-5000</v>
      </c>
      <c r="J757" s="4">
        <f>IF(G757="Yes",$C$8-I757,0)</f>
        <v>10000</v>
      </c>
      <c r="K757" s="4">
        <f ca="1">IF(H757&gt;=$C$4,J757+I757,I757)</f>
        <v>-5000</v>
      </c>
    </row>
    <row r="758" spans="5:11" x14ac:dyDescent="0.25">
      <c r="E758" s="1">
        <f t="shared" si="34"/>
        <v>755</v>
      </c>
      <c r="F758" s="4">
        <f t="shared" ca="1" si="35"/>
        <v>425000</v>
      </c>
      <c r="G758" s="1" t="s">
        <v>70</v>
      </c>
      <c r="H758" s="26">
        <f t="shared" ca="1" si="33"/>
        <v>0.36765870370313336</v>
      </c>
      <c r="I758" s="4">
        <f>IF(G758="Yes",-$C$8,0)</f>
        <v>-5000</v>
      </c>
      <c r="J758" s="4">
        <f>IF(G758="Yes",$C$8-I758,0)</f>
        <v>10000</v>
      </c>
      <c r="K758" s="4">
        <f ca="1">IF(H758&gt;=$C$4,J758+I758,I758)</f>
        <v>-5000</v>
      </c>
    </row>
    <row r="759" spans="5:11" x14ac:dyDescent="0.25">
      <c r="E759" s="1">
        <f t="shared" si="34"/>
        <v>756</v>
      </c>
      <c r="F759" s="4">
        <f t="shared" ca="1" si="35"/>
        <v>430000</v>
      </c>
      <c r="G759" s="1" t="s">
        <v>70</v>
      </c>
      <c r="H759" s="26">
        <f t="shared" ca="1" si="33"/>
        <v>0.76246684092018768</v>
      </c>
      <c r="I759" s="4">
        <f>IF(G759="Yes",-$C$8,0)</f>
        <v>-5000</v>
      </c>
      <c r="J759" s="4">
        <f>IF(G759="Yes",$C$8-I759,0)</f>
        <v>10000</v>
      </c>
      <c r="K759" s="4">
        <f ca="1">IF(H759&gt;=$C$4,J759+I759,I759)</f>
        <v>5000</v>
      </c>
    </row>
    <row r="760" spans="5:11" x14ac:dyDescent="0.25">
      <c r="E760" s="1">
        <f t="shared" si="34"/>
        <v>757</v>
      </c>
      <c r="F760" s="4">
        <f t="shared" ca="1" si="35"/>
        <v>425000</v>
      </c>
      <c r="G760" s="1" t="s">
        <v>70</v>
      </c>
      <c r="H760" s="26">
        <f t="shared" ca="1" si="33"/>
        <v>0.14013965797120942</v>
      </c>
      <c r="I760" s="4">
        <f>IF(G760="Yes",-$C$8,0)</f>
        <v>-5000</v>
      </c>
      <c r="J760" s="4">
        <f>IF(G760="Yes",$C$8-I760,0)</f>
        <v>10000</v>
      </c>
      <c r="K760" s="4">
        <f ca="1">IF(H760&gt;=$C$4,J760+I760,I760)</f>
        <v>-5000</v>
      </c>
    </row>
    <row r="761" spans="5:11" x14ac:dyDescent="0.25">
      <c r="E761" s="1">
        <f t="shared" si="34"/>
        <v>758</v>
      </c>
      <c r="F761" s="4">
        <f t="shared" ca="1" si="35"/>
        <v>430000</v>
      </c>
      <c r="G761" s="1" t="s">
        <v>70</v>
      </c>
      <c r="H761" s="26">
        <f t="shared" ca="1" si="33"/>
        <v>0.60847310050067527</v>
      </c>
      <c r="I761" s="4">
        <f>IF(G761="Yes",-$C$8,0)</f>
        <v>-5000</v>
      </c>
      <c r="J761" s="4">
        <f>IF(G761="Yes",$C$8-I761,0)</f>
        <v>10000</v>
      </c>
      <c r="K761" s="4">
        <f ca="1">IF(H761&gt;=$C$4,J761+I761,I761)</f>
        <v>5000</v>
      </c>
    </row>
    <row r="762" spans="5:11" x14ac:dyDescent="0.25">
      <c r="E762" s="1">
        <f t="shared" si="34"/>
        <v>759</v>
      </c>
      <c r="F762" s="4">
        <f t="shared" ca="1" si="35"/>
        <v>435000</v>
      </c>
      <c r="G762" s="1" t="s">
        <v>70</v>
      </c>
      <c r="H762" s="26">
        <f t="shared" ca="1" si="33"/>
        <v>0.83515381694267043</v>
      </c>
      <c r="I762" s="4">
        <f>IF(G762="Yes",-$C$8,0)</f>
        <v>-5000</v>
      </c>
      <c r="J762" s="4">
        <f>IF(G762="Yes",$C$8-I762,0)</f>
        <v>10000</v>
      </c>
      <c r="K762" s="4">
        <f ca="1">IF(H762&gt;=$C$4,J762+I762,I762)</f>
        <v>5000</v>
      </c>
    </row>
    <row r="763" spans="5:11" x14ac:dyDescent="0.25">
      <c r="E763" s="1">
        <f t="shared" si="34"/>
        <v>760</v>
      </c>
      <c r="F763" s="4">
        <f t="shared" ca="1" si="35"/>
        <v>440000</v>
      </c>
      <c r="G763" s="1" t="s">
        <v>70</v>
      </c>
      <c r="H763" s="26">
        <f t="shared" ca="1" si="33"/>
        <v>0.79124273293660441</v>
      </c>
      <c r="I763" s="4">
        <f>IF(G763="Yes",-$C$8,0)</f>
        <v>-5000</v>
      </c>
      <c r="J763" s="4">
        <f>IF(G763="Yes",$C$8-I763,0)</f>
        <v>10000</v>
      </c>
      <c r="K763" s="4">
        <f ca="1">IF(H763&gt;=$C$4,J763+I763,I763)</f>
        <v>5000</v>
      </c>
    </row>
    <row r="764" spans="5:11" x14ac:dyDescent="0.25">
      <c r="E764" s="1">
        <f t="shared" si="34"/>
        <v>761</v>
      </c>
      <c r="F764" s="4">
        <f t="shared" ca="1" si="35"/>
        <v>435000</v>
      </c>
      <c r="G764" s="1" t="s">
        <v>70</v>
      </c>
      <c r="H764" s="26">
        <f t="shared" ca="1" si="33"/>
        <v>0.38581411265806853</v>
      </c>
      <c r="I764" s="4">
        <f>IF(G764="Yes",-$C$8,0)</f>
        <v>-5000</v>
      </c>
      <c r="J764" s="4">
        <f>IF(G764="Yes",$C$8-I764,0)</f>
        <v>10000</v>
      </c>
      <c r="K764" s="4">
        <f ca="1">IF(H764&gt;=$C$4,J764+I764,I764)</f>
        <v>-5000</v>
      </c>
    </row>
    <row r="765" spans="5:11" x14ac:dyDescent="0.25">
      <c r="E765" s="1">
        <f t="shared" si="34"/>
        <v>762</v>
      </c>
      <c r="F765" s="4">
        <f t="shared" ca="1" si="35"/>
        <v>430000</v>
      </c>
      <c r="G765" s="1" t="s">
        <v>70</v>
      </c>
      <c r="H765" s="26">
        <f t="shared" ca="1" si="33"/>
        <v>0.265995421848362</v>
      </c>
      <c r="I765" s="4">
        <f>IF(G765="Yes",-$C$8,0)</f>
        <v>-5000</v>
      </c>
      <c r="J765" s="4">
        <f>IF(G765="Yes",$C$8-I765,0)</f>
        <v>10000</v>
      </c>
      <c r="K765" s="4">
        <f ca="1">IF(H765&gt;=$C$4,J765+I765,I765)</f>
        <v>-5000</v>
      </c>
    </row>
    <row r="766" spans="5:11" x14ac:dyDescent="0.25">
      <c r="E766" s="1">
        <f t="shared" si="34"/>
        <v>763</v>
      </c>
      <c r="F766" s="4">
        <f t="shared" ca="1" si="35"/>
        <v>425000</v>
      </c>
      <c r="G766" s="1" t="s">
        <v>70</v>
      </c>
      <c r="H766" s="26">
        <f t="shared" ca="1" si="33"/>
        <v>0.35257008300893988</v>
      </c>
      <c r="I766" s="4">
        <f>IF(G766="Yes",-$C$8,0)</f>
        <v>-5000</v>
      </c>
      <c r="J766" s="4">
        <f>IF(G766="Yes",$C$8-I766,0)</f>
        <v>10000</v>
      </c>
      <c r="K766" s="4">
        <f ca="1">IF(H766&gt;=$C$4,J766+I766,I766)</f>
        <v>-5000</v>
      </c>
    </row>
    <row r="767" spans="5:11" x14ac:dyDescent="0.25">
      <c r="E767" s="1">
        <f t="shared" si="34"/>
        <v>764</v>
      </c>
      <c r="F767" s="4">
        <f t="shared" ca="1" si="35"/>
        <v>420000</v>
      </c>
      <c r="G767" s="1" t="s">
        <v>70</v>
      </c>
      <c r="H767" s="26">
        <f t="shared" ca="1" si="33"/>
        <v>4.4252887364572557E-2</v>
      </c>
      <c r="I767" s="4">
        <f>IF(G767="Yes",-$C$8,0)</f>
        <v>-5000</v>
      </c>
      <c r="J767" s="4">
        <f>IF(G767="Yes",$C$8-I767,0)</f>
        <v>10000</v>
      </c>
      <c r="K767" s="4">
        <f ca="1">IF(H767&gt;=$C$4,J767+I767,I767)</f>
        <v>-5000</v>
      </c>
    </row>
    <row r="768" spans="5:11" x14ac:dyDescent="0.25">
      <c r="E768" s="1">
        <f t="shared" si="34"/>
        <v>765</v>
      </c>
      <c r="F768" s="4">
        <f t="shared" ca="1" si="35"/>
        <v>425000</v>
      </c>
      <c r="G768" s="1" t="s">
        <v>70</v>
      </c>
      <c r="H768" s="26">
        <f t="shared" ca="1" si="33"/>
        <v>0.47312754410910418</v>
      </c>
      <c r="I768" s="4">
        <f>IF(G768="Yes",-$C$8,0)</f>
        <v>-5000</v>
      </c>
      <c r="J768" s="4">
        <f>IF(G768="Yes",$C$8-I768,0)</f>
        <v>10000</v>
      </c>
      <c r="K768" s="4">
        <f ca="1">IF(H768&gt;=$C$4,J768+I768,I768)</f>
        <v>5000</v>
      </c>
    </row>
    <row r="769" spans="5:11" x14ac:dyDescent="0.25">
      <c r="E769" s="1">
        <f t="shared" si="34"/>
        <v>766</v>
      </c>
      <c r="F769" s="4">
        <f t="shared" ca="1" si="35"/>
        <v>430000</v>
      </c>
      <c r="G769" s="1" t="s">
        <v>70</v>
      </c>
      <c r="H769" s="26">
        <f t="shared" ca="1" si="33"/>
        <v>0.74085455393121802</v>
      </c>
      <c r="I769" s="4">
        <f>IF(G769="Yes",-$C$8,0)</f>
        <v>-5000</v>
      </c>
      <c r="J769" s="4">
        <f>IF(G769="Yes",$C$8-I769,0)</f>
        <v>10000</v>
      </c>
      <c r="K769" s="4">
        <f ca="1">IF(H769&gt;=$C$4,J769+I769,I769)</f>
        <v>5000</v>
      </c>
    </row>
    <row r="770" spans="5:11" x14ac:dyDescent="0.25">
      <c r="E770" s="1">
        <f t="shared" si="34"/>
        <v>767</v>
      </c>
      <c r="F770" s="4">
        <f t="shared" ca="1" si="35"/>
        <v>435000</v>
      </c>
      <c r="G770" s="1" t="s">
        <v>70</v>
      </c>
      <c r="H770" s="26">
        <f t="shared" ca="1" si="33"/>
        <v>0.79116524213326789</v>
      </c>
      <c r="I770" s="4">
        <f>IF(G770="Yes",-$C$8,0)</f>
        <v>-5000</v>
      </c>
      <c r="J770" s="4">
        <f>IF(G770="Yes",$C$8-I770,0)</f>
        <v>10000</v>
      </c>
      <c r="K770" s="4">
        <f ca="1">IF(H770&gt;=$C$4,J770+I770,I770)</f>
        <v>5000</v>
      </c>
    </row>
    <row r="771" spans="5:11" x14ac:dyDescent="0.25">
      <c r="E771" s="1">
        <f t="shared" si="34"/>
        <v>768</v>
      </c>
      <c r="F771" s="4">
        <f t="shared" ca="1" si="35"/>
        <v>430000</v>
      </c>
      <c r="G771" s="1" t="s">
        <v>70</v>
      </c>
      <c r="H771" s="26">
        <f t="shared" ca="1" si="33"/>
        <v>0.23787545003094224</v>
      </c>
      <c r="I771" s="4">
        <f>IF(G771="Yes",-$C$8,0)</f>
        <v>-5000</v>
      </c>
      <c r="J771" s="4">
        <f>IF(G771="Yes",$C$8-I771,0)</f>
        <v>10000</v>
      </c>
      <c r="K771" s="4">
        <f ca="1">IF(H771&gt;=$C$4,J771+I771,I771)</f>
        <v>-5000</v>
      </c>
    </row>
    <row r="772" spans="5:11" x14ac:dyDescent="0.25">
      <c r="E772" s="1">
        <f t="shared" si="34"/>
        <v>769</v>
      </c>
      <c r="F772" s="4">
        <f t="shared" ca="1" si="35"/>
        <v>425000</v>
      </c>
      <c r="G772" s="1" t="s">
        <v>70</v>
      </c>
      <c r="H772" s="26">
        <f t="shared" ref="H772:H835" ca="1" si="36">RAND()</f>
        <v>0.13471927561919261</v>
      </c>
      <c r="I772" s="4">
        <f>IF(G772="Yes",-$C$8,0)</f>
        <v>-5000</v>
      </c>
      <c r="J772" s="4">
        <f>IF(G772="Yes",$C$8-I772,0)</f>
        <v>10000</v>
      </c>
      <c r="K772" s="4">
        <f ca="1">IF(H772&gt;=$C$4,J772+I772,I772)</f>
        <v>-5000</v>
      </c>
    </row>
    <row r="773" spans="5:11" x14ac:dyDescent="0.25">
      <c r="E773" s="1">
        <f t="shared" ref="E773:G836" si="37">E772+1</f>
        <v>770</v>
      </c>
      <c r="F773" s="4">
        <f t="shared" ref="F773:F836" ca="1" si="38">F772+K773</f>
        <v>430000</v>
      </c>
      <c r="G773" s="1" t="s">
        <v>70</v>
      </c>
      <c r="H773" s="26">
        <f t="shared" ca="1" si="36"/>
        <v>0.62601157511272865</v>
      </c>
      <c r="I773" s="4">
        <f>IF(G773="Yes",-$C$8,0)</f>
        <v>-5000</v>
      </c>
      <c r="J773" s="4">
        <f>IF(G773="Yes",$C$8-I773,0)</f>
        <v>10000</v>
      </c>
      <c r="K773" s="4">
        <f ca="1">IF(H773&gt;=$C$4,J773+I773,I773)</f>
        <v>5000</v>
      </c>
    </row>
    <row r="774" spans="5:11" x14ac:dyDescent="0.25">
      <c r="E774" s="1">
        <f t="shared" si="37"/>
        <v>771</v>
      </c>
      <c r="F774" s="4">
        <f t="shared" ca="1" si="38"/>
        <v>435000</v>
      </c>
      <c r="G774" s="1" t="s">
        <v>70</v>
      </c>
      <c r="H774" s="26">
        <f t="shared" ca="1" si="36"/>
        <v>0.78285861793244338</v>
      </c>
      <c r="I774" s="4">
        <f>IF(G774="Yes",-$C$8,0)</f>
        <v>-5000</v>
      </c>
      <c r="J774" s="4">
        <f>IF(G774="Yes",$C$8-I774,0)</f>
        <v>10000</v>
      </c>
      <c r="K774" s="4">
        <f ca="1">IF(H774&gt;=$C$4,J774+I774,I774)</f>
        <v>5000</v>
      </c>
    </row>
    <row r="775" spans="5:11" x14ac:dyDescent="0.25">
      <c r="E775" s="1">
        <f t="shared" si="37"/>
        <v>772</v>
      </c>
      <c r="F775" s="4">
        <f t="shared" ca="1" si="38"/>
        <v>440000</v>
      </c>
      <c r="G775" s="1" t="s">
        <v>70</v>
      </c>
      <c r="H775" s="26">
        <f t="shared" ca="1" si="36"/>
        <v>0.75179086491951419</v>
      </c>
      <c r="I775" s="4">
        <f>IF(G775="Yes",-$C$8,0)</f>
        <v>-5000</v>
      </c>
      <c r="J775" s="4">
        <f>IF(G775="Yes",$C$8-I775,0)</f>
        <v>10000</v>
      </c>
      <c r="K775" s="4">
        <f ca="1">IF(H775&gt;=$C$4,J775+I775,I775)</f>
        <v>5000</v>
      </c>
    </row>
    <row r="776" spans="5:11" x14ac:dyDescent="0.25">
      <c r="E776" s="1">
        <f t="shared" si="37"/>
        <v>773</v>
      </c>
      <c r="F776" s="4">
        <f t="shared" ca="1" si="38"/>
        <v>445000</v>
      </c>
      <c r="G776" s="1" t="s">
        <v>70</v>
      </c>
      <c r="H776" s="26">
        <f t="shared" ca="1" si="36"/>
        <v>0.79865738715448742</v>
      </c>
      <c r="I776" s="4">
        <f>IF(G776="Yes",-$C$8,0)</f>
        <v>-5000</v>
      </c>
      <c r="J776" s="4">
        <f>IF(G776="Yes",$C$8-I776,0)</f>
        <v>10000</v>
      </c>
      <c r="K776" s="4">
        <f ca="1">IF(H776&gt;=$C$4,J776+I776,I776)</f>
        <v>5000</v>
      </c>
    </row>
    <row r="777" spans="5:11" x14ac:dyDescent="0.25">
      <c r="E777" s="1">
        <f t="shared" si="37"/>
        <v>774</v>
      </c>
      <c r="F777" s="4">
        <f t="shared" ca="1" si="38"/>
        <v>440000</v>
      </c>
      <c r="G777" s="1" t="s">
        <v>70</v>
      </c>
      <c r="H777" s="26">
        <f t="shared" ca="1" si="36"/>
        <v>0.21137510674273752</v>
      </c>
      <c r="I777" s="4">
        <f>IF(G777="Yes",-$C$8,0)</f>
        <v>-5000</v>
      </c>
      <c r="J777" s="4">
        <f>IF(G777="Yes",$C$8-I777,0)</f>
        <v>10000</v>
      </c>
      <c r="K777" s="4">
        <f ca="1">IF(H777&gt;=$C$4,J777+I777,I777)</f>
        <v>-5000</v>
      </c>
    </row>
    <row r="778" spans="5:11" x14ac:dyDescent="0.25">
      <c r="E778" s="1">
        <f t="shared" si="37"/>
        <v>775</v>
      </c>
      <c r="F778" s="4">
        <f t="shared" ca="1" si="38"/>
        <v>435000</v>
      </c>
      <c r="G778" s="1" t="s">
        <v>70</v>
      </c>
      <c r="H778" s="26">
        <f t="shared" ca="1" si="36"/>
        <v>0.44250147800704565</v>
      </c>
      <c r="I778" s="4">
        <f>IF(G778="Yes",-$C$8,0)</f>
        <v>-5000</v>
      </c>
      <c r="J778" s="4">
        <f>IF(G778="Yes",$C$8-I778,0)</f>
        <v>10000</v>
      </c>
      <c r="K778" s="4">
        <f ca="1">IF(H778&gt;=$C$4,J778+I778,I778)</f>
        <v>-5000</v>
      </c>
    </row>
    <row r="779" spans="5:11" x14ac:dyDescent="0.25">
      <c r="E779" s="1">
        <f t="shared" si="37"/>
        <v>776</v>
      </c>
      <c r="F779" s="4">
        <f t="shared" ca="1" si="38"/>
        <v>440000</v>
      </c>
      <c r="G779" s="1" t="s">
        <v>70</v>
      </c>
      <c r="H779" s="26">
        <f t="shared" ca="1" si="36"/>
        <v>0.47108368826869274</v>
      </c>
      <c r="I779" s="4">
        <f>IF(G779="Yes",-$C$8,0)</f>
        <v>-5000</v>
      </c>
      <c r="J779" s="4">
        <f>IF(G779="Yes",$C$8-I779,0)</f>
        <v>10000</v>
      </c>
      <c r="K779" s="4">
        <f ca="1">IF(H779&gt;=$C$4,J779+I779,I779)</f>
        <v>5000</v>
      </c>
    </row>
    <row r="780" spans="5:11" x14ac:dyDescent="0.25">
      <c r="E780" s="1">
        <f t="shared" si="37"/>
        <v>777</v>
      </c>
      <c r="F780" s="4">
        <f t="shared" ca="1" si="38"/>
        <v>445000</v>
      </c>
      <c r="G780" s="1" t="s">
        <v>70</v>
      </c>
      <c r="H780" s="26">
        <f t="shared" ca="1" si="36"/>
        <v>0.46154786937054459</v>
      </c>
      <c r="I780" s="4">
        <f>IF(G780="Yes",-$C$8,0)</f>
        <v>-5000</v>
      </c>
      <c r="J780" s="4">
        <f>IF(G780="Yes",$C$8-I780,0)</f>
        <v>10000</v>
      </c>
      <c r="K780" s="4">
        <f ca="1">IF(H780&gt;=$C$4,J780+I780,I780)</f>
        <v>5000</v>
      </c>
    </row>
    <row r="781" spans="5:11" x14ac:dyDescent="0.25">
      <c r="E781" s="1">
        <f t="shared" si="37"/>
        <v>778</v>
      </c>
      <c r="F781" s="4">
        <f t="shared" ca="1" si="38"/>
        <v>450000</v>
      </c>
      <c r="G781" s="1" t="s">
        <v>70</v>
      </c>
      <c r="H781" s="26">
        <f t="shared" ca="1" si="36"/>
        <v>0.50516136187568161</v>
      </c>
      <c r="I781" s="4">
        <f>IF(G781="Yes",-$C$8,0)</f>
        <v>-5000</v>
      </c>
      <c r="J781" s="4">
        <f>IF(G781="Yes",$C$8-I781,0)</f>
        <v>10000</v>
      </c>
      <c r="K781" s="4">
        <f ca="1">IF(H781&gt;=$C$4,J781+I781,I781)</f>
        <v>5000</v>
      </c>
    </row>
    <row r="782" spans="5:11" x14ac:dyDescent="0.25">
      <c r="E782" s="1">
        <f t="shared" si="37"/>
        <v>779</v>
      </c>
      <c r="F782" s="4">
        <f t="shared" ca="1" si="38"/>
        <v>445000</v>
      </c>
      <c r="G782" s="1" t="s">
        <v>70</v>
      </c>
      <c r="H782" s="26">
        <f t="shared" ca="1" si="36"/>
        <v>4.0453499020666528E-2</v>
      </c>
      <c r="I782" s="4">
        <f>IF(G782="Yes",-$C$8,0)</f>
        <v>-5000</v>
      </c>
      <c r="J782" s="4">
        <f>IF(G782="Yes",$C$8-I782,0)</f>
        <v>10000</v>
      </c>
      <c r="K782" s="4">
        <f ca="1">IF(H782&gt;=$C$4,J782+I782,I782)</f>
        <v>-5000</v>
      </c>
    </row>
    <row r="783" spans="5:11" x14ac:dyDescent="0.25">
      <c r="E783" s="1">
        <f t="shared" si="37"/>
        <v>780</v>
      </c>
      <c r="F783" s="4">
        <f t="shared" ca="1" si="38"/>
        <v>450000</v>
      </c>
      <c r="G783" s="1" t="s">
        <v>70</v>
      </c>
      <c r="H783" s="26">
        <f t="shared" ca="1" si="36"/>
        <v>0.82305286544346301</v>
      </c>
      <c r="I783" s="4">
        <f>IF(G783="Yes",-$C$8,0)</f>
        <v>-5000</v>
      </c>
      <c r="J783" s="4">
        <f>IF(G783="Yes",$C$8-I783,0)</f>
        <v>10000</v>
      </c>
      <c r="K783" s="4">
        <f ca="1">IF(H783&gt;=$C$4,J783+I783,I783)</f>
        <v>5000</v>
      </c>
    </row>
    <row r="784" spans="5:11" x14ac:dyDescent="0.25">
      <c r="E784" s="1">
        <f t="shared" si="37"/>
        <v>781</v>
      </c>
      <c r="F784" s="4">
        <f t="shared" ca="1" si="38"/>
        <v>445000</v>
      </c>
      <c r="G784" s="1" t="s">
        <v>70</v>
      </c>
      <c r="H784" s="26">
        <f t="shared" ca="1" si="36"/>
        <v>0.42985541202635147</v>
      </c>
      <c r="I784" s="4">
        <f>IF(G784="Yes",-$C$8,0)</f>
        <v>-5000</v>
      </c>
      <c r="J784" s="4">
        <f>IF(G784="Yes",$C$8-I784,0)</f>
        <v>10000</v>
      </c>
      <c r="K784" s="4">
        <f ca="1">IF(H784&gt;=$C$4,J784+I784,I784)</f>
        <v>-5000</v>
      </c>
    </row>
    <row r="785" spans="5:11" x14ac:dyDescent="0.25">
      <c r="E785" s="1">
        <f t="shared" si="37"/>
        <v>782</v>
      </c>
      <c r="F785" s="4">
        <f t="shared" ca="1" si="38"/>
        <v>450000</v>
      </c>
      <c r="G785" s="1" t="s">
        <v>70</v>
      </c>
      <c r="H785" s="26">
        <f t="shared" ca="1" si="36"/>
        <v>0.49031519224952891</v>
      </c>
      <c r="I785" s="4">
        <f>IF(G785="Yes",-$C$8,0)</f>
        <v>-5000</v>
      </c>
      <c r="J785" s="4">
        <f>IF(G785="Yes",$C$8-I785,0)</f>
        <v>10000</v>
      </c>
      <c r="K785" s="4">
        <f ca="1">IF(H785&gt;=$C$4,J785+I785,I785)</f>
        <v>5000</v>
      </c>
    </row>
    <row r="786" spans="5:11" x14ac:dyDescent="0.25">
      <c r="E786" s="1">
        <f t="shared" si="37"/>
        <v>783</v>
      </c>
      <c r="F786" s="4">
        <f t="shared" ca="1" si="38"/>
        <v>445000</v>
      </c>
      <c r="G786" s="1" t="s">
        <v>70</v>
      </c>
      <c r="H786" s="26">
        <f t="shared" ca="1" si="36"/>
        <v>0.15923329233428063</v>
      </c>
      <c r="I786" s="4">
        <f>IF(G786="Yes",-$C$8,0)</f>
        <v>-5000</v>
      </c>
      <c r="J786" s="4">
        <f>IF(G786="Yes",$C$8-I786,0)</f>
        <v>10000</v>
      </c>
      <c r="K786" s="4">
        <f ca="1">IF(H786&gt;=$C$4,J786+I786,I786)</f>
        <v>-5000</v>
      </c>
    </row>
    <row r="787" spans="5:11" x14ac:dyDescent="0.25">
      <c r="E787" s="1">
        <f t="shared" si="37"/>
        <v>784</v>
      </c>
      <c r="F787" s="4">
        <f t="shared" ca="1" si="38"/>
        <v>450000</v>
      </c>
      <c r="G787" s="1" t="s">
        <v>70</v>
      </c>
      <c r="H787" s="26">
        <f t="shared" ca="1" si="36"/>
        <v>0.78248046520453263</v>
      </c>
      <c r="I787" s="4">
        <f>IF(G787="Yes",-$C$8,0)</f>
        <v>-5000</v>
      </c>
      <c r="J787" s="4">
        <f>IF(G787="Yes",$C$8-I787,0)</f>
        <v>10000</v>
      </c>
      <c r="K787" s="4">
        <f ca="1">IF(H787&gt;=$C$4,J787+I787,I787)</f>
        <v>5000</v>
      </c>
    </row>
    <row r="788" spans="5:11" x14ac:dyDescent="0.25">
      <c r="E788" s="1">
        <f t="shared" si="37"/>
        <v>785</v>
      </c>
      <c r="F788" s="4">
        <f t="shared" ca="1" si="38"/>
        <v>455000</v>
      </c>
      <c r="G788" s="1" t="s">
        <v>70</v>
      </c>
      <c r="H788" s="26">
        <f t="shared" ca="1" si="36"/>
        <v>0.86518766074940623</v>
      </c>
      <c r="I788" s="4">
        <f>IF(G788="Yes",-$C$8,0)</f>
        <v>-5000</v>
      </c>
      <c r="J788" s="4">
        <f>IF(G788="Yes",$C$8-I788,0)</f>
        <v>10000</v>
      </c>
      <c r="K788" s="4">
        <f ca="1">IF(H788&gt;=$C$4,J788+I788,I788)</f>
        <v>5000</v>
      </c>
    </row>
    <row r="789" spans="5:11" x14ac:dyDescent="0.25">
      <c r="E789" s="1">
        <f t="shared" si="37"/>
        <v>786</v>
      </c>
      <c r="F789" s="4">
        <f t="shared" ca="1" si="38"/>
        <v>460000</v>
      </c>
      <c r="G789" s="1" t="s">
        <v>70</v>
      </c>
      <c r="H789" s="26">
        <f t="shared" ca="1" si="36"/>
        <v>0.78136337527551603</v>
      </c>
      <c r="I789" s="4">
        <f>IF(G789="Yes",-$C$8,0)</f>
        <v>-5000</v>
      </c>
      <c r="J789" s="4">
        <f>IF(G789="Yes",$C$8-I789,0)</f>
        <v>10000</v>
      </c>
      <c r="K789" s="4">
        <f ca="1">IF(H789&gt;=$C$4,J789+I789,I789)</f>
        <v>5000</v>
      </c>
    </row>
    <row r="790" spans="5:11" x14ac:dyDescent="0.25">
      <c r="E790" s="1">
        <f t="shared" si="37"/>
        <v>787</v>
      </c>
      <c r="F790" s="4">
        <f t="shared" ca="1" si="38"/>
        <v>465000</v>
      </c>
      <c r="G790" s="1" t="s">
        <v>70</v>
      </c>
      <c r="H790" s="26">
        <f t="shared" ca="1" si="36"/>
        <v>0.52965033975246101</v>
      </c>
      <c r="I790" s="4">
        <f>IF(G790="Yes",-$C$8,0)</f>
        <v>-5000</v>
      </c>
      <c r="J790" s="4">
        <f>IF(G790="Yes",$C$8-I790,0)</f>
        <v>10000</v>
      </c>
      <c r="K790" s="4">
        <f ca="1">IF(H790&gt;=$C$4,J790+I790,I790)</f>
        <v>5000</v>
      </c>
    </row>
    <row r="791" spans="5:11" x14ac:dyDescent="0.25">
      <c r="E791" s="1">
        <f t="shared" si="37"/>
        <v>788</v>
      </c>
      <c r="F791" s="4">
        <f t="shared" ca="1" si="38"/>
        <v>460000</v>
      </c>
      <c r="G791" s="1" t="s">
        <v>70</v>
      </c>
      <c r="H791" s="26">
        <f t="shared" ca="1" si="36"/>
        <v>0.10930169895859687</v>
      </c>
      <c r="I791" s="4">
        <f>IF(G791="Yes",-$C$8,0)</f>
        <v>-5000</v>
      </c>
      <c r="J791" s="4">
        <f>IF(G791="Yes",$C$8-I791,0)</f>
        <v>10000</v>
      </c>
      <c r="K791" s="4">
        <f ca="1">IF(H791&gt;=$C$4,J791+I791,I791)</f>
        <v>-5000</v>
      </c>
    </row>
    <row r="792" spans="5:11" x14ac:dyDescent="0.25">
      <c r="E792" s="1">
        <f t="shared" si="37"/>
        <v>789</v>
      </c>
      <c r="F792" s="4">
        <f t="shared" ca="1" si="38"/>
        <v>455000</v>
      </c>
      <c r="G792" s="1" t="s">
        <v>70</v>
      </c>
      <c r="H792" s="26">
        <f t="shared" ca="1" si="36"/>
        <v>2.5567342041146079E-2</v>
      </c>
      <c r="I792" s="4">
        <f>IF(G792="Yes",-$C$8,0)</f>
        <v>-5000</v>
      </c>
      <c r="J792" s="4">
        <f>IF(G792="Yes",$C$8-I792,0)</f>
        <v>10000</v>
      </c>
      <c r="K792" s="4">
        <f ca="1">IF(H792&gt;=$C$4,J792+I792,I792)</f>
        <v>-5000</v>
      </c>
    </row>
    <row r="793" spans="5:11" x14ac:dyDescent="0.25">
      <c r="E793" s="1">
        <f t="shared" si="37"/>
        <v>790</v>
      </c>
      <c r="F793" s="4">
        <f t="shared" ca="1" si="38"/>
        <v>450000</v>
      </c>
      <c r="G793" s="1" t="s">
        <v>70</v>
      </c>
      <c r="H793" s="26">
        <f t="shared" ca="1" si="36"/>
        <v>0.15286608809050251</v>
      </c>
      <c r="I793" s="4">
        <f>IF(G793="Yes",-$C$8,0)</f>
        <v>-5000</v>
      </c>
      <c r="J793" s="4">
        <f>IF(G793="Yes",$C$8-I793,0)</f>
        <v>10000</v>
      </c>
      <c r="K793" s="4">
        <f ca="1">IF(H793&gt;=$C$4,J793+I793,I793)</f>
        <v>-5000</v>
      </c>
    </row>
    <row r="794" spans="5:11" x14ac:dyDescent="0.25">
      <c r="E794" s="1">
        <f t="shared" si="37"/>
        <v>791</v>
      </c>
      <c r="F794" s="4">
        <f t="shared" ca="1" si="38"/>
        <v>455000</v>
      </c>
      <c r="G794" s="1" t="s">
        <v>70</v>
      </c>
      <c r="H794" s="26">
        <f t="shared" ca="1" si="36"/>
        <v>0.76049425354439393</v>
      </c>
      <c r="I794" s="4">
        <f>IF(G794="Yes",-$C$8,0)</f>
        <v>-5000</v>
      </c>
      <c r="J794" s="4">
        <f>IF(G794="Yes",$C$8-I794,0)</f>
        <v>10000</v>
      </c>
      <c r="K794" s="4">
        <f ca="1">IF(H794&gt;=$C$4,J794+I794,I794)</f>
        <v>5000</v>
      </c>
    </row>
    <row r="795" spans="5:11" x14ac:dyDescent="0.25">
      <c r="E795" s="1">
        <f t="shared" si="37"/>
        <v>792</v>
      </c>
      <c r="F795" s="4">
        <f t="shared" ca="1" si="38"/>
        <v>460000</v>
      </c>
      <c r="G795" s="1" t="s">
        <v>70</v>
      </c>
      <c r="H795" s="26">
        <f t="shared" ca="1" si="36"/>
        <v>0.75225112543960204</v>
      </c>
      <c r="I795" s="4">
        <f>IF(G795="Yes",-$C$8,0)</f>
        <v>-5000</v>
      </c>
      <c r="J795" s="4">
        <f>IF(G795="Yes",$C$8-I795,0)</f>
        <v>10000</v>
      </c>
      <c r="K795" s="4">
        <f ca="1">IF(H795&gt;=$C$4,J795+I795,I795)</f>
        <v>5000</v>
      </c>
    </row>
    <row r="796" spans="5:11" x14ac:dyDescent="0.25">
      <c r="E796" s="1">
        <f t="shared" si="37"/>
        <v>793</v>
      </c>
      <c r="F796" s="4">
        <f t="shared" ca="1" si="38"/>
        <v>465000</v>
      </c>
      <c r="G796" s="1" t="s">
        <v>70</v>
      </c>
      <c r="H796" s="26">
        <f t="shared" ca="1" si="36"/>
        <v>0.72337381785536303</v>
      </c>
      <c r="I796" s="4">
        <f>IF(G796="Yes",-$C$8,0)</f>
        <v>-5000</v>
      </c>
      <c r="J796" s="4">
        <f>IF(G796="Yes",$C$8-I796,0)</f>
        <v>10000</v>
      </c>
      <c r="K796" s="4">
        <f ca="1">IF(H796&gt;=$C$4,J796+I796,I796)</f>
        <v>5000</v>
      </c>
    </row>
    <row r="797" spans="5:11" x14ac:dyDescent="0.25">
      <c r="E797" s="1">
        <f t="shared" si="37"/>
        <v>794</v>
      </c>
      <c r="F797" s="4">
        <f t="shared" ca="1" si="38"/>
        <v>460000</v>
      </c>
      <c r="G797" s="1" t="s">
        <v>70</v>
      </c>
      <c r="H797" s="26">
        <f t="shared" ca="1" si="36"/>
        <v>0.28741404678481397</v>
      </c>
      <c r="I797" s="4">
        <f>IF(G797="Yes",-$C$8,0)</f>
        <v>-5000</v>
      </c>
      <c r="J797" s="4">
        <f>IF(G797="Yes",$C$8-I797,0)</f>
        <v>10000</v>
      </c>
      <c r="K797" s="4">
        <f ca="1">IF(H797&gt;=$C$4,J797+I797,I797)</f>
        <v>-5000</v>
      </c>
    </row>
    <row r="798" spans="5:11" x14ac:dyDescent="0.25">
      <c r="E798" s="1">
        <f t="shared" si="37"/>
        <v>795</v>
      </c>
      <c r="F798" s="4">
        <f t="shared" ca="1" si="38"/>
        <v>465000</v>
      </c>
      <c r="G798" s="1" t="s">
        <v>70</v>
      </c>
      <c r="H798" s="26">
        <f t="shared" ca="1" si="36"/>
        <v>0.77577800282259179</v>
      </c>
      <c r="I798" s="4">
        <f>IF(G798="Yes",-$C$8,0)</f>
        <v>-5000</v>
      </c>
      <c r="J798" s="4">
        <f>IF(G798="Yes",$C$8-I798,0)</f>
        <v>10000</v>
      </c>
      <c r="K798" s="4">
        <f ca="1">IF(H798&gt;=$C$4,J798+I798,I798)</f>
        <v>5000</v>
      </c>
    </row>
    <row r="799" spans="5:11" x14ac:dyDescent="0.25">
      <c r="E799" s="1">
        <f t="shared" si="37"/>
        <v>796</v>
      </c>
      <c r="F799" s="4">
        <f t="shared" ca="1" si="38"/>
        <v>460000</v>
      </c>
      <c r="G799" s="1" t="s">
        <v>70</v>
      </c>
      <c r="H799" s="26">
        <f t="shared" ca="1" si="36"/>
        <v>0.23472370437991763</v>
      </c>
      <c r="I799" s="4">
        <f>IF(G799="Yes",-$C$8,0)</f>
        <v>-5000</v>
      </c>
      <c r="J799" s="4">
        <f>IF(G799="Yes",$C$8-I799,0)</f>
        <v>10000</v>
      </c>
      <c r="K799" s="4">
        <f ca="1">IF(H799&gt;=$C$4,J799+I799,I799)</f>
        <v>-5000</v>
      </c>
    </row>
    <row r="800" spans="5:11" x14ac:dyDescent="0.25">
      <c r="E800" s="1">
        <f t="shared" si="37"/>
        <v>797</v>
      </c>
      <c r="F800" s="4">
        <f t="shared" ca="1" si="38"/>
        <v>465000</v>
      </c>
      <c r="G800" s="1" t="s">
        <v>70</v>
      </c>
      <c r="H800" s="26">
        <f t="shared" ca="1" si="36"/>
        <v>0.53959164108290625</v>
      </c>
      <c r="I800" s="4">
        <f>IF(G800="Yes",-$C$8,0)</f>
        <v>-5000</v>
      </c>
      <c r="J800" s="4">
        <f>IF(G800="Yes",$C$8-I800,0)</f>
        <v>10000</v>
      </c>
      <c r="K800" s="4">
        <f ca="1">IF(H800&gt;=$C$4,J800+I800,I800)</f>
        <v>5000</v>
      </c>
    </row>
    <row r="801" spans="5:11" x14ac:dyDescent="0.25">
      <c r="E801" s="1">
        <f t="shared" si="37"/>
        <v>798</v>
      </c>
      <c r="F801" s="4">
        <f t="shared" ca="1" si="38"/>
        <v>460000</v>
      </c>
      <c r="G801" s="1" t="s">
        <v>70</v>
      </c>
      <c r="H801" s="26">
        <f t="shared" ca="1" si="36"/>
        <v>0.44275249136241723</v>
      </c>
      <c r="I801" s="4">
        <f>IF(G801="Yes",-$C$8,0)</f>
        <v>-5000</v>
      </c>
      <c r="J801" s="4">
        <f>IF(G801="Yes",$C$8-I801,0)</f>
        <v>10000</v>
      </c>
      <c r="K801" s="4">
        <f ca="1">IF(H801&gt;=$C$4,J801+I801,I801)</f>
        <v>-5000</v>
      </c>
    </row>
    <row r="802" spans="5:11" x14ac:dyDescent="0.25">
      <c r="E802" s="1">
        <f t="shared" si="37"/>
        <v>799</v>
      </c>
      <c r="F802" s="4">
        <f t="shared" ca="1" si="38"/>
        <v>455000</v>
      </c>
      <c r="G802" s="1" t="s">
        <v>70</v>
      </c>
      <c r="H802" s="26">
        <f t="shared" ca="1" si="36"/>
        <v>0.2543492090620576</v>
      </c>
      <c r="I802" s="4">
        <f>IF(G802="Yes",-$C$8,0)</f>
        <v>-5000</v>
      </c>
      <c r="J802" s="4">
        <f>IF(G802="Yes",$C$8-I802,0)</f>
        <v>10000</v>
      </c>
      <c r="K802" s="4">
        <f ca="1">IF(H802&gt;=$C$4,J802+I802,I802)</f>
        <v>-5000</v>
      </c>
    </row>
    <row r="803" spans="5:11" x14ac:dyDescent="0.25">
      <c r="E803" s="1">
        <f t="shared" si="37"/>
        <v>800</v>
      </c>
      <c r="F803" s="4">
        <f t="shared" ca="1" si="38"/>
        <v>460000</v>
      </c>
      <c r="G803" s="1" t="s">
        <v>70</v>
      </c>
      <c r="H803" s="26">
        <f t="shared" ca="1" si="36"/>
        <v>0.65392902385072238</v>
      </c>
      <c r="I803" s="4">
        <f>IF(G803="Yes",-$C$8,0)</f>
        <v>-5000</v>
      </c>
      <c r="J803" s="4">
        <f>IF(G803="Yes",$C$8-I803,0)</f>
        <v>10000</v>
      </c>
      <c r="K803" s="4">
        <f ca="1">IF(H803&gt;=$C$4,J803+I803,I803)</f>
        <v>5000</v>
      </c>
    </row>
    <row r="804" spans="5:11" x14ac:dyDescent="0.25">
      <c r="E804" s="1">
        <f t="shared" si="37"/>
        <v>801</v>
      </c>
      <c r="F804" s="4">
        <f t="shared" ca="1" si="38"/>
        <v>465000</v>
      </c>
      <c r="G804" s="1" t="s">
        <v>70</v>
      </c>
      <c r="H804" s="26">
        <f t="shared" ca="1" si="36"/>
        <v>0.93748694816303813</v>
      </c>
      <c r="I804" s="4">
        <f>IF(G804="Yes",-$C$8,0)</f>
        <v>-5000</v>
      </c>
      <c r="J804" s="4">
        <f>IF(G804="Yes",$C$8-I804,0)</f>
        <v>10000</v>
      </c>
      <c r="K804" s="4">
        <f ca="1">IF(H804&gt;=$C$4,J804+I804,I804)</f>
        <v>5000</v>
      </c>
    </row>
    <row r="805" spans="5:11" x14ac:dyDescent="0.25">
      <c r="E805" s="1">
        <f t="shared" si="37"/>
        <v>802</v>
      </c>
      <c r="F805" s="4">
        <f t="shared" ca="1" si="38"/>
        <v>460000</v>
      </c>
      <c r="G805" s="1" t="s">
        <v>70</v>
      </c>
      <c r="H805" s="26">
        <f t="shared" ca="1" si="36"/>
        <v>0.2051369948553764</v>
      </c>
      <c r="I805" s="4">
        <f>IF(G805="Yes",-$C$8,0)</f>
        <v>-5000</v>
      </c>
      <c r="J805" s="4">
        <f>IF(G805="Yes",$C$8-I805,0)</f>
        <v>10000</v>
      </c>
      <c r="K805" s="4">
        <f ca="1">IF(H805&gt;=$C$4,J805+I805,I805)</f>
        <v>-5000</v>
      </c>
    </row>
    <row r="806" spans="5:11" x14ac:dyDescent="0.25">
      <c r="E806" s="1">
        <f t="shared" si="37"/>
        <v>803</v>
      </c>
      <c r="F806" s="4">
        <f t="shared" ca="1" si="38"/>
        <v>455000</v>
      </c>
      <c r="G806" s="1" t="s">
        <v>70</v>
      </c>
      <c r="H806" s="26">
        <f t="shared" ca="1" si="36"/>
        <v>0.32080564613299689</v>
      </c>
      <c r="I806" s="4">
        <f>IF(G806="Yes",-$C$8,0)</f>
        <v>-5000</v>
      </c>
      <c r="J806" s="4">
        <f>IF(G806="Yes",$C$8-I806,0)</f>
        <v>10000</v>
      </c>
      <c r="K806" s="4">
        <f ca="1">IF(H806&gt;=$C$4,J806+I806,I806)</f>
        <v>-5000</v>
      </c>
    </row>
    <row r="807" spans="5:11" x14ac:dyDescent="0.25">
      <c r="E807" s="1">
        <f t="shared" si="37"/>
        <v>804</v>
      </c>
      <c r="F807" s="4">
        <f t="shared" ca="1" si="38"/>
        <v>460000</v>
      </c>
      <c r="G807" s="1" t="s">
        <v>70</v>
      </c>
      <c r="H807" s="26">
        <f t="shared" ca="1" si="36"/>
        <v>0.46498771546460349</v>
      </c>
      <c r="I807" s="4">
        <f>IF(G807="Yes",-$C$8,0)</f>
        <v>-5000</v>
      </c>
      <c r="J807" s="4">
        <f>IF(G807="Yes",$C$8-I807,0)</f>
        <v>10000</v>
      </c>
      <c r="K807" s="4">
        <f ca="1">IF(H807&gt;=$C$4,J807+I807,I807)</f>
        <v>5000</v>
      </c>
    </row>
    <row r="808" spans="5:11" x14ac:dyDescent="0.25">
      <c r="E808" s="1">
        <f t="shared" si="37"/>
        <v>805</v>
      </c>
      <c r="F808" s="4">
        <f t="shared" ca="1" si="38"/>
        <v>455000</v>
      </c>
      <c r="G808" s="1" t="s">
        <v>70</v>
      </c>
      <c r="H808" s="26">
        <f t="shared" ca="1" si="36"/>
        <v>0.12007026201486204</v>
      </c>
      <c r="I808" s="4">
        <f>IF(G808="Yes",-$C$8,0)</f>
        <v>-5000</v>
      </c>
      <c r="J808" s="4">
        <f>IF(G808="Yes",$C$8-I808,0)</f>
        <v>10000</v>
      </c>
      <c r="K808" s="4">
        <f ca="1">IF(H808&gt;=$C$4,J808+I808,I808)</f>
        <v>-5000</v>
      </c>
    </row>
    <row r="809" spans="5:11" x14ac:dyDescent="0.25">
      <c r="E809" s="1">
        <f t="shared" si="37"/>
        <v>806</v>
      </c>
      <c r="F809" s="4">
        <f t="shared" ca="1" si="38"/>
        <v>460000</v>
      </c>
      <c r="G809" s="1" t="s">
        <v>70</v>
      </c>
      <c r="H809" s="26">
        <f t="shared" ca="1" si="36"/>
        <v>0.96025249350049158</v>
      </c>
      <c r="I809" s="4">
        <f>IF(G809="Yes",-$C$8,0)</f>
        <v>-5000</v>
      </c>
      <c r="J809" s="4">
        <f>IF(G809="Yes",$C$8-I809,0)</f>
        <v>10000</v>
      </c>
      <c r="K809" s="4">
        <f ca="1">IF(H809&gt;=$C$4,J809+I809,I809)</f>
        <v>5000</v>
      </c>
    </row>
    <row r="810" spans="5:11" x14ac:dyDescent="0.25">
      <c r="E810" s="1">
        <f t="shared" si="37"/>
        <v>807</v>
      </c>
      <c r="F810" s="4">
        <f t="shared" ca="1" si="38"/>
        <v>455000</v>
      </c>
      <c r="G810" s="1" t="s">
        <v>70</v>
      </c>
      <c r="H810" s="26">
        <f t="shared" ca="1" si="36"/>
        <v>0.27657465772270728</v>
      </c>
      <c r="I810" s="4">
        <f>IF(G810="Yes",-$C$8,0)</f>
        <v>-5000</v>
      </c>
      <c r="J810" s="4">
        <f>IF(G810="Yes",$C$8-I810,0)</f>
        <v>10000</v>
      </c>
      <c r="K810" s="4">
        <f ca="1">IF(H810&gt;=$C$4,J810+I810,I810)</f>
        <v>-5000</v>
      </c>
    </row>
    <row r="811" spans="5:11" x14ac:dyDescent="0.25">
      <c r="E811" s="1">
        <f t="shared" si="37"/>
        <v>808</v>
      </c>
      <c r="F811" s="4">
        <f t="shared" ca="1" si="38"/>
        <v>460000</v>
      </c>
      <c r="G811" s="1" t="s">
        <v>70</v>
      </c>
      <c r="H811" s="26">
        <f t="shared" ca="1" si="36"/>
        <v>0.6489869486591554</v>
      </c>
      <c r="I811" s="4">
        <f>IF(G811="Yes",-$C$8,0)</f>
        <v>-5000</v>
      </c>
      <c r="J811" s="4">
        <f>IF(G811="Yes",$C$8-I811,0)</f>
        <v>10000</v>
      </c>
      <c r="K811" s="4">
        <f ca="1">IF(H811&gt;=$C$4,J811+I811,I811)</f>
        <v>5000</v>
      </c>
    </row>
    <row r="812" spans="5:11" x14ac:dyDescent="0.25">
      <c r="E812" s="1">
        <f t="shared" si="37"/>
        <v>809</v>
      </c>
      <c r="F812" s="4">
        <f t="shared" ca="1" si="38"/>
        <v>455000</v>
      </c>
      <c r="G812" s="1" t="s">
        <v>70</v>
      </c>
      <c r="H812" s="26">
        <f t="shared" ca="1" si="36"/>
        <v>0.26014987600853268</v>
      </c>
      <c r="I812" s="4">
        <f>IF(G812="Yes",-$C$8,0)</f>
        <v>-5000</v>
      </c>
      <c r="J812" s="4">
        <f>IF(G812="Yes",$C$8-I812,0)</f>
        <v>10000</v>
      </c>
      <c r="K812" s="4">
        <f ca="1">IF(H812&gt;=$C$4,J812+I812,I812)</f>
        <v>-5000</v>
      </c>
    </row>
    <row r="813" spans="5:11" x14ac:dyDescent="0.25">
      <c r="E813" s="1">
        <f t="shared" si="37"/>
        <v>810</v>
      </c>
      <c r="F813" s="4">
        <f t="shared" ca="1" si="38"/>
        <v>460000</v>
      </c>
      <c r="G813" s="1" t="s">
        <v>70</v>
      </c>
      <c r="H813" s="26">
        <f t="shared" ca="1" si="36"/>
        <v>0.8095361692576184</v>
      </c>
      <c r="I813" s="4">
        <f>IF(G813="Yes",-$C$8,0)</f>
        <v>-5000</v>
      </c>
      <c r="J813" s="4">
        <f>IF(G813="Yes",$C$8-I813,0)</f>
        <v>10000</v>
      </c>
      <c r="K813" s="4">
        <f ca="1">IF(H813&gt;=$C$4,J813+I813,I813)</f>
        <v>5000</v>
      </c>
    </row>
    <row r="814" spans="5:11" x14ac:dyDescent="0.25">
      <c r="E814" s="1">
        <f t="shared" si="37"/>
        <v>811</v>
      </c>
      <c r="F814" s="4">
        <f t="shared" ca="1" si="38"/>
        <v>465000</v>
      </c>
      <c r="G814" s="1" t="s">
        <v>70</v>
      </c>
      <c r="H814" s="26">
        <f t="shared" ca="1" si="36"/>
        <v>0.89464269294288123</v>
      </c>
      <c r="I814" s="4">
        <f>IF(G814="Yes",-$C$8,0)</f>
        <v>-5000</v>
      </c>
      <c r="J814" s="4">
        <f>IF(G814="Yes",$C$8-I814,0)</f>
        <v>10000</v>
      </c>
      <c r="K814" s="4">
        <f ca="1">IF(H814&gt;=$C$4,J814+I814,I814)</f>
        <v>5000</v>
      </c>
    </row>
    <row r="815" spans="5:11" x14ac:dyDescent="0.25">
      <c r="E815" s="1">
        <f t="shared" si="37"/>
        <v>812</v>
      </c>
      <c r="F815" s="4">
        <f t="shared" ca="1" si="38"/>
        <v>470000</v>
      </c>
      <c r="G815" s="1" t="s">
        <v>70</v>
      </c>
      <c r="H815" s="26">
        <f t="shared" ca="1" si="36"/>
        <v>0.52506364358891933</v>
      </c>
      <c r="I815" s="4">
        <f>IF(G815="Yes",-$C$8,0)</f>
        <v>-5000</v>
      </c>
      <c r="J815" s="4">
        <f>IF(G815="Yes",$C$8-I815,0)</f>
        <v>10000</v>
      </c>
      <c r="K815" s="4">
        <f ca="1">IF(H815&gt;=$C$4,J815+I815,I815)</f>
        <v>5000</v>
      </c>
    </row>
    <row r="816" spans="5:11" x14ac:dyDescent="0.25">
      <c r="E816" s="1">
        <f t="shared" si="37"/>
        <v>813</v>
      </c>
      <c r="F816" s="4">
        <f t="shared" ca="1" si="38"/>
        <v>465000</v>
      </c>
      <c r="G816" s="1" t="s">
        <v>70</v>
      </c>
      <c r="H816" s="26">
        <f t="shared" ca="1" si="36"/>
        <v>0.10912888645704377</v>
      </c>
      <c r="I816" s="4">
        <f>IF(G816="Yes",-$C$8,0)</f>
        <v>-5000</v>
      </c>
      <c r="J816" s="4">
        <f>IF(G816="Yes",$C$8-I816,0)</f>
        <v>10000</v>
      </c>
      <c r="K816" s="4">
        <f ca="1">IF(H816&gt;=$C$4,J816+I816,I816)</f>
        <v>-5000</v>
      </c>
    </row>
    <row r="817" spans="5:11" x14ac:dyDescent="0.25">
      <c r="E817" s="1">
        <f t="shared" si="37"/>
        <v>814</v>
      </c>
      <c r="F817" s="4">
        <f t="shared" ca="1" si="38"/>
        <v>470000</v>
      </c>
      <c r="G817" s="1" t="s">
        <v>70</v>
      </c>
      <c r="H817" s="26">
        <f t="shared" ca="1" si="36"/>
        <v>0.74689457051032659</v>
      </c>
      <c r="I817" s="4">
        <f>IF(G817="Yes",-$C$8,0)</f>
        <v>-5000</v>
      </c>
      <c r="J817" s="4">
        <f>IF(G817="Yes",$C$8-I817,0)</f>
        <v>10000</v>
      </c>
      <c r="K817" s="4">
        <f ca="1">IF(H817&gt;=$C$4,J817+I817,I817)</f>
        <v>5000</v>
      </c>
    </row>
    <row r="818" spans="5:11" x14ac:dyDescent="0.25">
      <c r="E818" s="1">
        <f t="shared" si="37"/>
        <v>815</v>
      </c>
      <c r="F818" s="4">
        <f t="shared" ca="1" si="38"/>
        <v>475000</v>
      </c>
      <c r="G818" s="1" t="s">
        <v>70</v>
      </c>
      <c r="H818" s="26">
        <f t="shared" ca="1" si="36"/>
        <v>0.74568067481999634</v>
      </c>
      <c r="I818" s="4">
        <f>IF(G818="Yes",-$C$8,0)</f>
        <v>-5000</v>
      </c>
      <c r="J818" s="4">
        <f>IF(G818="Yes",$C$8-I818,0)</f>
        <v>10000</v>
      </c>
      <c r="K818" s="4">
        <f ca="1">IF(H818&gt;=$C$4,J818+I818,I818)</f>
        <v>5000</v>
      </c>
    </row>
    <row r="819" spans="5:11" x14ac:dyDescent="0.25">
      <c r="E819" s="1">
        <f t="shared" si="37"/>
        <v>816</v>
      </c>
      <c r="F819" s="4">
        <f t="shared" ca="1" si="38"/>
        <v>470000</v>
      </c>
      <c r="G819" s="1" t="s">
        <v>70</v>
      </c>
      <c r="H819" s="26">
        <f t="shared" ca="1" si="36"/>
        <v>0.2773335409083959</v>
      </c>
      <c r="I819" s="4">
        <f>IF(G819="Yes",-$C$8,0)</f>
        <v>-5000</v>
      </c>
      <c r="J819" s="4">
        <f>IF(G819="Yes",$C$8-I819,0)</f>
        <v>10000</v>
      </c>
      <c r="K819" s="4">
        <f ca="1">IF(H819&gt;=$C$4,J819+I819,I819)</f>
        <v>-5000</v>
      </c>
    </row>
    <row r="820" spans="5:11" x14ac:dyDescent="0.25">
      <c r="E820" s="1">
        <f t="shared" si="37"/>
        <v>817</v>
      </c>
      <c r="F820" s="4">
        <f t="shared" ca="1" si="38"/>
        <v>465000</v>
      </c>
      <c r="G820" s="1" t="s">
        <v>70</v>
      </c>
      <c r="H820" s="26">
        <f t="shared" ca="1" si="36"/>
        <v>0.298342454671913</v>
      </c>
      <c r="I820" s="4">
        <f>IF(G820="Yes",-$C$8,0)</f>
        <v>-5000</v>
      </c>
      <c r="J820" s="4">
        <f>IF(G820="Yes",$C$8-I820,0)</f>
        <v>10000</v>
      </c>
      <c r="K820" s="4">
        <f ca="1">IF(H820&gt;=$C$4,J820+I820,I820)</f>
        <v>-5000</v>
      </c>
    </row>
    <row r="821" spans="5:11" x14ac:dyDescent="0.25">
      <c r="E821" s="1">
        <f t="shared" si="37"/>
        <v>818</v>
      </c>
      <c r="F821" s="4">
        <f t="shared" ca="1" si="38"/>
        <v>460000</v>
      </c>
      <c r="G821" s="1" t="s">
        <v>70</v>
      </c>
      <c r="H821" s="26">
        <f t="shared" ca="1" si="36"/>
        <v>0.11484284374124054</v>
      </c>
      <c r="I821" s="4">
        <f>IF(G821="Yes",-$C$8,0)</f>
        <v>-5000</v>
      </c>
      <c r="J821" s="4">
        <f>IF(G821="Yes",$C$8-I821,0)</f>
        <v>10000</v>
      </c>
      <c r="K821" s="4">
        <f ca="1">IF(H821&gt;=$C$4,J821+I821,I821)</f>
        <v>-5000</v>
      </c>
    </row>
    <row r="822" spans="5:11" x14ac:dyDescent="0.25">
      <c r="E822" s="1">
        <f t="shared" si="37"/>
        <v>819</v>
      </c>
      <c r="F822" s="4">
        <f t="shared" ca="1" si="38"/>
        <v>455000</v>
      </c>
      <c r="G822" s="1" t="s">
        <v>70</v>
      </c>
      <c r="H822" s="26">
        <f t="shared" ca="1" si="36"/>
        <v>0.42382184588928229</v>
      </c>
      <c r="I822" s="4">
        <f>IF(G822="Yes",-$C$8,0)</f>
        <v>-5000</v>
      </c>
      <c r="J822" s="4">
        <f>IF(G822="Yes",$C$8-I822,0)</f>
        <v>10000</v>
      </c>
      <c r="K822" s="4">
        <f ca="1">IF(H822&gt;=$C$4,J822+I822,I822)</f>
        <v>-5000</v>
      </c>
    </row>
    <row r="823" spans="5:11" x14ac:dyDescent="0.25">
      <c r="E823" s="1">
        <f t="shared" si="37"/>
        <v>820</v>
      </c>
      <c r="F823" s="4">
        <f t="shared" ca="1" si="38"/>
        <v>460000</v>
      </c>
      <c r="G823" s="1" t="s">
        <v>70</v>
      </c>
      <c r="H823" s="26">
        <f t="shared" ca="1" si="36"/>
        <v>0.95557469265405526</v>
      </c>
      <c r="I823" s="4">
        <f>IF(G823="Yes",-$C$8,0)</f>
        <v>-5000</v>
      </c>
      <c r="J823" s="4">
        <f>IF(G823="Yes",$C$8-I823,0)</f>
        <v>10000</v>
      </c>
      <c r="K823" s="4">
        <f ca="1">IF(H823&gt;=$C$4,J823+I823,I823)</f>
        <v>5000</v>
      </c>
    </row>
    <row r="824" spans="5:11" x14ac:dyDescent="0.25">
      <c r="E824" s="1">
        <f t="shared" si="37"/>
        <v>821</v>
      </c>
      <c r="F824" s="4">
        <f t="shared" ca="1" si="38"/>
        <v>455000</v>
      </c>
      <c r="G824" s="1" t="s">
        <v>70</v>
      </c>
      <c r="H824" s="26">
        <f t="shared" ca="1" si="36"/>
        <v>6.0508244998184635E-2</v>
      </c>
      <c r="I824" s="4">
        <f>IF(G824="Yes",-$C$8,0)</f>
        <v>-5000</v>
      </c>
      <c r="J824" s="4">
        <f>IF(G824="Yes",$C$8-I824,0)</f>
        <v>10000</v>
      </c>
      <c r="K824" s="4">
        <f ca="1">IF(H824&gt;=$C$4,J824+I824,I824)</f>
        <v>-5000</v>
      </c>
    </row>
    <row r="825" spans="5:11" x14ac:dyDescent="0.25">
      <c r="E825" s="1">
        <f t="shared" si="37"/>
        <v>822</v>
      </c>
      <c r="F825" s="4">
        <f t="shared" ca="1" si="38"/>
        <v>460000</v>
      </c>
      <c r="G825" s="1" t="s">
        <v>70</v>
      </c>
      <c r="H825" s="26">
        <f t="shared" ca="1" si="36"/>
        <v>0.68600739284272594</v>
      </c>
      <c r="I825" s="4">
        <f>IF(G825="Yes",-$C$8,0)</f>
        <v>-5000</v>
      </c>
      <c r="J825" s="4">
        <f>IF(G825="Yes",$C$8-I825,0)</f>
        <v>10000</v>
      </c>
      <c r="K825" s="4">
        <f ca="1">IF(H825&gt;=$C$4,J825+I825,I825)</f>
        <v>5000</v>
      </c>
    </row>
    <row r="826" spans="5:11" x14ac:dyDescent="0.25">
      <c r="E826" s="1">
        <f t="shared" si="37"/>
        <v>823</v>
      </c>
      <c r="F826" s="4">
        <f t="shared" ca="1" si="38"/>
        <v>455000</v>
      </c>
      <c r="G826" s="1" t="s">
        <v>70</v>
      </c>
      <c r="H826" s="26">
        <f t="shared" ca="1" si="36"/>
        <v>0.43911685395954114</v>
      </c>
      <c r="I826" s="4">
        <f>IF(G826="Yes",-$C$8,0)</f>
        <v>-5000</v>
      </c>
      <c r="J826" s="4">
        <f>IF(G826="Yes",$C$8-I826,0)</f>
        <v>10000</v>
      </c>
      <c r="K826" s="4">
        <f ca="1">IF(H826&gt;=$C$4,J826+I826,I826)</f>
        <v>-5000</v>
      </c>
    </row>
    <row r="827" spans="5:11" x14ac:dyDescent="0.25">
      <c r="E827" s="1">
        <f t="shared" si="37"/>
        <v>824</v>
      </c>
      <c r="F827" s="4">
        <f t="shared" ca="1" si="38"/>
        <v>460000</v>
      </c>
      <c r="G827" s="1" t="s">
        <v>70</v>
      </c>
      <c r="H827" s="26">
        <f t="shared" ca="1" si="36"/>
        <v>0.81522843295913938</v>
      </c>
      <c r="I827" s="4">
        <f>IF(G827="Yes",-$C$8,0)</f>
        <v>-5000</v>
      </c>
      <c r="J827" s="4">
        <f>IF(G827="Yes",$C$8-I827,0)</f>
        <v>10000</v>
      </c>
      <c r="K827" s="4">
        <f ca="1">IF(H827&gt;=$C$4,J827+I827,I827)</f>
        <v>5000</v>
      </c>
    </row>
    <row r="828" spans="5:11" x14ac:dyDescent="0.25">
      <c r="E828" s="1">
        <f t="shared" si="37"/>
        <v>825</v>
      </c>
      <c r="F828" s="4">
        <f t="shared" ca="1" si="38"/>
        <v>455000</v>
      </c>
      <c r="G828" s="1" t="s">
        <v>70</v>
      </c>
      <c r="H828" s="26">
        <f t="shared" ca="1" si="36"/>
        <v>6.3455971561857893E-2</v>
      </c>
      <c r="I828" s="4">
        <f>IF(G828="Yes",-$C$8,0)</f>
        <v>-5000</v>
      </c>
      <c r="J828" s="4">
        <f>IF(G828="Yes",$C$8-I828,0)</f>
        <v>10000</v>
      </c>
      <c r="K828" s="4">
        <f ca="1">IF(H828&gt;=$C$4,J828+I828,I828)</f>
        <v>-5000</v>
      </c>
    </row>
    <row r="829" spans="5:11" x14ac:dyDescent="0.25">
      <c r="E829" s="1">
        <f t="shared" si="37"/>
        <v>826</v>
      </c>
      <c r="F829" s="4">
        <f t="shared" ca="1" si="38"/>
        <v>450000</v>
      </c>
      <c r="G829" s="1" t="s">
        <v>70</v>
      </c>
      <c r="H829" s="26">
        <f t="shared" ca="1" si="36"/>
        <v>0.18336509428664116</v>
      </c>
      <c r="I829" s="4">
        <f>IF(G829="Yes",-$C$8,0)</f>
        <v>-5000</v>
      </c>
      <c r="J829" s="4">
        <f>IF(G829="Yes",$C$8-I829,0)</f>
        <v>10000</v>
      </c>
      <c r="K829" s="4">
        <f ca="1">IF(H829&gt;=$C$4,J829+I829,I829)</f>
        <v>-5000</v>
      </c>
    </row>
    <row r="830" spans="5:11" x14ac:dyDescent="0.25">
      <c r="E830" s="1">
        <f t="shared" si="37"/>
        <v>827</v>
      </c>
      <c r="F830" s="4">
        <f t="shared" ca="1" si="38"/>
        <v>455000</v>
      </c>
      <c r="G830" s="1" t="s">
        <v>70</v>
      </c>
      <c r="H830" s="26">
        <f t="shared" ca="1" si="36"/>
        <v>0.63352864521657792</v>
      </c>
      <c r="I830" s="4">
        <f>IF(G830="Yes",-$C$8,0)</f>
        <v>-5000</v>
      </c>
      <c r="J830" s="4">
        <f>IF(G830="Yes",$C$8-I830,0)</f>
        <v>10000</v>
      </c>
      <c r="K830" s="4">
        <f ca="1">IF(H830&gt;=$C$4,J830+I830,I830)</f>
        <v>5000</v>
      </c>
    </row>
    <row r="831" spans="5:11" x14ac:dyDescent="0.25">
      <c r="E831" s="1">
        <f t="shared" si="37"/>
        <v>828</v>
      </c>
      <c r="F831" s="4">
        <f t="shared" ca="1" si="38"/>
        <v>450000</v>
      </c>
      <c r="G831" s="1" t="s">
        <v>70</v>
      </c>
      <c r="H831" s="26">
        <f t="shared" ca="1" si="36"/>
        <v>0.33078506109411665</v>
      </c>
      <c r="I831" s="4">
        <f>IF(G831="Yes",-$C$8,0)</f>
        <v>-5000</v>
      </c>
      <c r="J831" s="4">
        <f>IF(G831="Yes",$C$8-I831,0)</f>
        <v>10000</v>
      </c>
      <c r="K831" s="4">
        <f ca="1">IF(H831&gt;=$C$4,J831+I831,I831)</f>
        <v>-5000</v>
      </c>
    </row>
    <row r="832" spans="5:11" x14ac:dyDescent="0.25">
      <c r="E832" s="1">
        <f t="shared" si="37"/>
        <v>829</v>
      </c>
      <c r="F832" s="4">
        <f t="shared" ca="1" si="38"/>
        <v>455000</v>
      </c>
      <c r="G832" s="1" t="s">
        <v>70</v>
      </c>
      <c r="H832" s="26">
        <f t="shared" ca="1" si="36"/>
        <v>0.88005271748947822</v>
      </c>
      <c r="I832" s="4">
        <f>IF(G832="Yes",-$C$8,0)</f>
        <v>-5000</v>
      </c>
      <c r="J832" s="4">
        <f>IF(G832="Yes",$C$8-I832,0)</f>
        <v>10000</v>
      </c>
      <c r="K832" s="4">
        <f ca="1">IF(H832&gt;=$C$4,J832+I832,I832)</f>
        <v>5000</v>
      </c>
    </row>
    <row r="833" spans="5:11" x14ac:dyDescent="0.25">
      <c r="E833" s="1">
        <f t="shared" si="37"/>
        <v>830</v>
      </c>
      <c r="F833" s="4">
        <f t="shared" ca="1" si="38"/>
        <v>460000</v>
      </c>
      <c r="G833" s="1" t="s">
        <v>70</v>
      </c>
      <c r="H833" s="26">
        <f t="shared" ca="1" si="36"/>
        <v>0.65119568270488781</v>
      </c>
      <c r="I833" s="4">
        <f>IF(G833="Yes",-$C$8,0)</f>
        <v>-5000</v>
      </c>
      <c r="J833" s="4">
        <f>IF(G833="Yes",$C$8-I833,0)</f>
        <v>10000</v>
      </c>
      <c r="K833" s="4">
        <f ca="1">IF(H833&gt;=$C$4,J833+I833,I833)</f>
        <v>5000</v>
      </c>
    </row>
    <row r="834" spans="5:11" x14ac:dyDescent="0.25">
      <c r="E834" s="1">
        <f t="shared" si="37"/>
        <v>831</v>
      </c>
      <c r="F834" s="4">
        <f t="shared" ca="1" si="38"/>
        <v>465000</v>
      </c>
      <c r="G834" s="1" t="s">
        <v>70</v>
      </c>
      <c r="H834" s="26">
        <f t="shared" ca="1" si="36"/>
        <v>0.99776736476875694</v>
      </c>
      <c r="I834" s="4">
        <f>IF(G834="Yes",-$C$8,0)</f>
        <v>-5000</v>
      </c>
      <c r="J834" s="4">
        <f>IF(G834="Yes",$C$8-I834,0)</f>
        <v>10000</v>
      </c>
      <c r="K834" s="4">
        <f ca="1">IF(H834&gt;=$C$4,J834+I834,I834)</f>
        <v>5000</v>
      </c>
    </row>
    <row r="835" spans="5:11" x14ac:dyDescent="0.25">
      <c r="E835" s="1">
        <f t="shared" si="37"/>
        <v>832</v>
      </c>
      <c r="F835" s="4">
        <f t="shared" ca="1" si="38"/>
        <v>460000</v>
      </c>
      <c r="G835" s="1" t="s">
        <v>70</v>
      </c>
      <c r="H835" s="26">
        <f t="shared" ca="1" si="36"/>
        <v>0.36070080175078056</v>
      </c>
      <c r="I835" s="4">
        <f>IF(G835="Yes",-$C$8,0)</f>
        <v>-5000</v>
      </c>
      <c r="J835" s="4">
        <f>IF(G835="Yes",$C$8-I835,0)</f>
        <v>10000</v>
      </c>
      <c r="K835" s="4">
        <f ca="1">IF(H835&gt;=$C$4,J835+I835,I835)</f>
        <v>-5000</v>
      </c>
    </row>
    <row r="836" spans="5:11" x14ac:dyDescent="0.25">
      <c r="E836" s="1">
        <f t="shared" si="37"/>
        <v>833</v>
      </c>
      <c r="F836" s="4">
        <f t="shared" ca="1" si="38"/>
        <v>465000</v>
      </c>
      <c r="G836" s="1" t="s">
        <v>70</v>
      </c>
      <c r="H836" s="26">
        <f t="shared" ref="H836:H899" ca="1" si="39">RAND()</f>
        <v>0.90531694376584682</v>
      </c>
      <c r="I836" s="4">
        <f>IF(G836="Yes",-$C$8,0)</f>
        <v>-5000</v>
      </c>
      <c r="J836" s="4">
        <f>IF(G836="Yes",$C$8-I836,0)</f>
        <v>10000</v>
      </c>
      <c r="K836" s="4">
        <f ca="1">IF(H836&gt;=$C$4,J836+I836,I836)</f>
        <v>5000</v>
      </c>
    </row>
    <row r="837" spans="5:11" x14ac:dyDescent="0.25">
      <c r="E837" s="1">
        <f t="shared" ref="E837:G900" si="40">E836+1</f>
        <v>834</v>
      </c>
      <c r="F837" s="4">
        <f t="shared" ref="F837:F900" ca="1" si="41">F836+K837</f>
        <v>460000</v>
      </c>
      <c r="G837" s="1" t="s">
        <v>70</v>
      </c>
      <c r="H837" s="26">
        <f t="shared" ca="1" si="39"/>
        <v>0.17216940177833373</v>
      </c>
      <c r="I837" s="4">
        <f>IF(G837="Yes",-$C$8,0)</f>
        <v>-5000</v>
      </c>
      <c r="J837" s="4">
        <f>IF(G837="Yes",$C$8-I837,0)</f>
        <v>10000</v>
      </c>
      <c r="K837" s="4">
        <f ca="1">IF(H837&gt;=$C$4,J837+I837,I837)</f>
        <v>-5000</v>
      </c>
    </row>
    <row r="838" spans="5:11" x14ac:dyDescent="0.25">
      <c r="E838" s="1">
        <f t="shared" si="40"/>
        <v>835</v>
      </c>
      <c r="F838" s="4">
        <f t="shared" ca="1" si="41"/>
        <v>465000</v>
      </c>
      <c r="G838" s="1" t="s">
        <v>70</v>
      </c>
      <c r="H838" s="26">
        <f t="shared" ca="1" si="39"/>
        <v>0.74391061955193272</v>
      </c>
      <c r="I838" s="4">
        <f>IF(G838="Yes",-$C$8,0)</f>
        <v>-5000</v>
      </c>
      <c r="J838" s="4">
        <f>IF(G838="Yes",$C$8-I838,0)</f>
        <v>10000</v>
      </c>
      <c r="K838" s="4">
        <f ca="1">IF(H838&gt;=$C$4,J838+I838,I838)</f>
        <v>5000</v>
      </c>
    </row>
    <row r="839" spans="5:11" x14ac:dyDescent="0.25">
      <c r="E839" s="1">
        <f t="shared" si="40"/>
        <v>836</v>
      </c>
      <c r="F839" s="4">
        <f t="shared" ca="1" si="41"/>
        <v>470000</v>
      </c>
      <c r="G839" s="1" t="s">
        <v>70</v>
      </c>
      <c r="H839" s="26">
        <f t="shared" ca="1" si="39"/>
        <v>0.68365818545891666</v>
      </c>
      <c r="I839" s="4">
        <f>IF(G839="Yes",-$C$8,0)</f>
        <v>-5000</v>
      </c>
      <c r="J839" s="4">
        <f>IF(G839="Yes",$C$8-I839,0)</f>
        <v>10000</v>
      </c>
      <c r="K839" s="4">
        <f ca="1">IF(H839&gt;=$C$4,J839+I839,I839)</f>
        <v>5000</v>
      </c>
    </row>
    <row r="840" spans="5:11" x14ac:dyDescent="0.25">
      <c r="E840" s="1">
        <f t="shared" si="40"/>
        <v>837</v>
      </c>
      <c r="F840" s="4">
        <f t="shared" ca="1" si="41"/>
        <v>465000</v>
      </c>
      <c r="G840" s="1" t="s">
        <v>70</v>
      </c>
      <c r="H840" s="26">
        <f t="shared" ca="1" si="39"/>
        <v>0.25697448236553166</v>
      </c>
      <c r="I840" s="4">
        <f>IF(G840="Yes",-$C$8,0)</f>
        <v>-5000</v>
      </c>
      <c r="J840" s="4">
        <f>IF(G840="Yes",$C$8-I840,0)</f>
        <v>10000</v>
      </c>
      <c r="K840" s="4">
        <f ca="1">IF(H840&gt;=$C$4,J840+I840,I840)</f>
        <v>-5000</v>
      </c>
    </row>
    <row r="841" spans="5:11" x14ac:dyDescent="0.25">
      <c r="E841" s="1">
        <f t="shared" si="40"/>
        <v>838</v>
      </c>
      <c r="F841" s="4">
        <f t="shared" ca="1" si="41"/>
        <v>470000</v>
      </c>
      <c r="G841" s="1" t="s">
        <v>70</v>
      </c>
      <c r="H841" s="26">
        <f t="shared" ca="1" si="39"/>
        <v>0.72815290492428408</v>
      </c>
      <c r="I841" s="4">
        <f>IF(G841="Yes",-$C$8,0)</f>
        <v>-5000</v>
      </c>
      <c r="J841" s="4">
        <f>IF(G841="Yes",$C$8-I841,0)</f>
        <v>10000</v>
      </c>
      <c r="K841" s="4">
        <f ca="1">IF(H841&gt;=$C$4,J841+I841,I841)</f>
        <v>5000</v>
      </c>
    </row>
    <row r="842" spans="5:11" x14ac:dyDescent="0.25">
      <c r="E842" s="1">
        <f t="shared" si="40"/>
        <v>839</v>
      </c>
      <c r="F842" s="4">
        <f t="shared" ca="1" si="41"/>
        <v>475000</v>
      </c>
      <c r="G842" s="1" t="s">
        <v>70</v>
      </c>
      <c r="H842" s="26">
        <f t="shared" ca="1" si="39"/>
        <v>0.95499490969933476</v>
      </c>
      <c r="I842" s="4">
        <f>IF(G842="Yes",-$C$8,0)</f>
        <v>-5000</v>
      </c>
      <c r="J842" s="4">
        <f>IF(G842="Yes",$C$8-I842,0)</f>
        <v>10000</v>
      </c>
      <c r="K842" s="4">
        <f ca="1">IF(H842&gt;=$C$4,J842+I842,I842)</f>
        <v>5000</v>
      </c>
    </row>
    <row r="843" spans="5:11" x14ac:dyDescent="0.25">
      <c r="E843" s="1">
        <f t="shared" si="40"/>
        <v>840</v>
      </c>
      <c r="F843" s="4">
        <f t="shared" ca="1" si="41"/>
        <v>470000</v>
      </c>
      <c r="G843" s="1" t="s">
        <v>70</v>
      </c>
      <c r="H843" s="26">
        <f t="shared" ca="1" si="39"/>
        <v>0.31177809614253349</v>
      </c>
      <c r="I843" s="4">
        <f>IF(G843="Yes",-$C$8,0)</f>
        <v>-5000</v>
      </c>
      <c r="J843" s="4">
        <f>IF(G843="Yes",$C$8-I843,0)</f>
        <v>10000</v>
      </c>
      <c r="K843" s="4">
        <f ca="1">IF(H843&gt;=$C$4,J843+I843,I843)</f>
        <v>-5000</v>
      </c>
    </row>
    <row r="844" spans="5:11" x14ac:dyDescent="0.25">
      <c r="E844" s="1">
        <f t="shared" si="40"/>
        <v>841</v>
      </c>
      <c r="F844" s="4">
        <f t="shared" ca="1" si="41"/>
        <v>465000</v>
      </c>
      <c r="G844" s="1" t="s">
        <v>70</v>
      </c>
      <c r="H844" s="26">
        <f t="shared" ca="1" si="39"/>
        <v>0.20891031893410761</v>
      </c>
      <c r="I844" s="4">
        <f>IF(G844="Yes",-$C$8,0)</f>
        <v>-5000</v>
      </c>
      <c r="J844" s="4">
        <f>IF(G844="Yes",$C$8-I844,0)</f>
        <v>10000</v>
      </c>
      <c r="K844" s="4">
        <f ca="1">IF(H844&gt;=$C$4,J844+I844,I844)</f>
        <v>-5000</v>
      </c>
    </row>
    <row r="845" spans="5:11" x14ac:dyDescent="0.25">
      <c r="E845" s="1">
        <f t="shared" si="40"/>
        <v>842</v>
      </c>
      <c r="F845" s="4">
        <f t="shared" ca="1" si="41"/>
        <v>460000</v>
      </c>
      <c r="G845" s="1" t="s">
        <v>70</v>
      </c>
      <c r="H845" s="26">
        <f t="shared" ca="1" si="39"/>
        <v>6.9343322861857848E-2</v>
      </c>
      <c r="I845" s="4">
        <f>IF(G845="Yes",-$C$8,0)</f>
        <v>-5000</v>
      </c>
      <c r="J845" s="4">
        <f>IF(G845="Yes",$C$8-I845,0)</f>
        <v>10000</v>
      </c>
      <c r="K845" s="4">
        <f ca="1">IF(H845&gt;=$C$4,J845+I845,I845)</f>
        <v>-5000</v>
      </c>
    </row>
    <row r="846" spans="5:11" x14ac:dyDescent="0.25">
      <c r="E846" s="1">
        <f t="shared" si="40"/>
        <v>843</v>
      </c>
      <c r="F846" s="4">
        <f t="shared" ca="1" si="41"/>
        <v>465000</v>
      </c>
      <c r="G846" s="1" t="s">
        <v>70</v>
      </c>
      <c r="H846" s="26">
        <f t="shared" ca="1" si="39"/>
        <v>0.71522206097711272</v>
      </c>
      <c r="I846" s="4">
        <f>IF(G846="Yes",-$C$8,0)</f>
        <v>-5000</v>
      </c>
      <c r="J846" s="4">
        <f>IF(G846="Yes",$C$8-I846,0)</f>
        <v>10000</v>
      </c>
      <c r="K846" s="4">
        <f ca="1">IF(H846&gt;=$C$4,J846+I846,I846)</f>
        <v>5000</v>
      </c>
    </row>
    <row r="847" spans="5:11" x14ac:dyDescent="0.25">
      <c r="E847" s="1">
        <f t="shared" si="40"/>
        <v>844</v>
      </c>
      <c r="F847" s="4">
        <f t="shared" ca="1" si="41"/>
        <v>460000</v>
      </c>
      <c r="G847" s="1" t="s">
        <v>70</v>
      </c>
      <c r="H847" s="26">
        <f t="shared" ca="1" si="39"/>
        <v>0.44049885226184804</v>
      </c>
      <c r="I847" s="4">
        <f>IF(G847="Yes",-$C$8,0)</f>
        <v>-5000</v>
      </c>
      <c r="J847" s="4">
        <f>IF(G847="Yes",$C$8-I847,0)</f>
        <v>10000</v>
      </c>
      <c r="K847" s="4">
        <f ca="1">IF(H847&gt;=$C$4,J847+I847,I847)</f>
        <v>-5000</v>
      </c>
    </row>
    <row r="848" spans="5:11" x14ac:dyDescent="0.25">
      <c r="E848" s="1">
        <f t="shared" si="40"/>
        <v>845</v>
      </c>
      <c r="F848" s="4">
        <f t="shared" ca="1" si="41"/>
        <v>465000</v>
      </c>
      <c r="G848" s="1" t="s">
        <v>70</v>
      </c>
      <c r="H848" s="26">
        <f t="shared" ca="1" si="39"/>
        <v>0.87499764360773613</v>
      </c>
      <c r="I848" s="4">
        <f>IF(G848="Yes",-$C$8,0)</f>
        <v>-5000</v>
      </c>
      <c r="J848" s="4">
        <f>IF(G848="Yes",$C$8-I848,0)</f>
        <v>10000</v>
      </c>
      <c r="K848" s="4">
        <f ca="1">IF(H848&gt;=$C$4,J848+I848,I848)</f>
        <v>5000</v>
      </c>
    </row>
    <row r="849" spans="5:11" x14ac:dyDescent="0.25">
      <c r="E849" s="1">
        <f t="shared" si="40"/>
        <v>846</v>
      </c>
      <c r="F849" s="4">
        <f t="shared" ca="1" si="41"/>
        <v>460000</v>
      </c>
      <c r="G849" s="1" t="s">
        <v>70</v>
      </c>
      <c r="H849" s="26">
        <f t="shared" ca="1" si="39"/>
        <v>0.44842368818096867</v>
      </c>
      <c r="I849" s="4">
        <f>IF(G849="Yes",-$C$8,0)</f>
        <v>-5000</v>
      </c>
      <c r="J849" s="4">
        <f>IF(G849="Yes",$C$8-I849,0)</f>
        <v>10000</v>
      </c>
      <c r="K849" s="4">
        <f ca="1">IF(H849&gt;=$C$4,J849+I849,I849)</f>
        <v>-5000</v>
      </c>
    </row>
    <row r="850" spans="5:11" x14ac:dyDescent="0.25">
      <c r="E850" s="1">
        <f t="shared" si="40"/>
        <v>847</v>
      </c>
      <c r="F850" s="4">
        <f t="shared" ca="1" si="41"/>
        <v>455000</v>
      </c>
      <c r="G850" s="1" t="s">
        <v>70</v>
      </c>
      <c r="H850" s="26">
        <f t="shared" ca="1" si="39"/>
        <v>0.41246689372990086</v>
      </c>
      <c r="I850" s="4">
        <f>IF(G850="Yes",-$C$8,0)</f>
        <v>-5000</v>
      </c>
      <c r="J850" s="4">
        <f>IF(G850="Yes",$C$8-I850,0)</f>
        <v>10000</v>
      </c>
      <c r="K850" s="4">
        <f ca="1">IF(H850&gt;=$C$4,J850+I850,I850)</f>
        <v>-5000</v>
      </c>
    </row>
    <row r="851" spans="5:11" x14ac:dyDescent="0.25">
      <c r="E851" s="1">
        <f t="shared" si="40"/>
        <v>848</v>
      </c>
      <c r="F851" s="4">
        <f t="shared" ca="1" si="41"/>
        <v>450000</v>
      </c>
      <c r="G851" s="1" t="s">
        <v>70</v>
      </c>
      <c r="H851" s="26">
        <f t="shared" ca="1" si="39"/>
        <v>8.2581377286808588E-2</v>
      </c>
      <c r="I851" s="4">
        <f>IF(G851="Yes",-$C$8,0)</f>
        <v>-5000</v>
      </c>
      <c r="J851" s="4">
        <f>IF(G851="Yes",$C$8-I851,0)</f>
        <v>10000</v>
      </c>
      <c r="K851" s="4">
        <f ca="1">IF(H851&gt;=$C$4,J851+I851,I851)</f>
        <v>-5000</v>
      </c>
    </row>
    <row r="852" spans="5:11" x14ac:dyDescent="0.25">
      <c r="E852" s="1">
        <f t="shared" si="40"/>
        <v>849</v>
      </c>
      <c r="F852" s="4">
        <f t="shared" ca="1" si="41"/>
        <v>455000</v>
      </c>
      <c r="G852" s="1" t="s">
        <v>70</v>
      </c>
      <c r="H852" s="26">
        <f t="shared" ca="1" si="39"/>
        <v>0.55277408181760623</v>
      </c>
      <c r="I852" s="4">
        <f>IF(G852="Yes",-$C$8,0)</f>
        <v>-5000</v>
      </c>
      <c r="J852" s="4">
        <f>IF(G852="Yes",$C$8-I852,0)</f>
        <v>10000</v>
      </c>
      <c r="K852" s="4">
        <f ca="1">IF(H852&gt;=$C$4,J852+I852,I852)</f>
        <v>5000</v>
      </c>
    </row>
    <row r="853" spans="5:11" x14ac:dyDescent="0.25">
      <c r="E853" s="1">
        <f t="shared" si="40"/>
        <v>850</v>
      </c>
      <c r="F853" s="4">
        <f t="shared" ca="1" si="41"/>
        <v>450000</v>
      </c>
      <c r="G853" s="1" t="s">
        <v>70</v>
      </c>
      <c r="H853" s="26">
        <f t="shared" ca="1" si="39"/>
        <v>0.30282977382711607</v>
      </c>
      <c r="I853" s="4">
        <f>IF(G853="Yes",-$C$8,0)</f>
        <v>-5000</v>
      </c>
      <c r="J853" s="4">
        <f>IF(G853="Yes",$C$8-I853,0)</f>
        <v>10000</v>
      </c>
      <c r="K853" s="4">
        <f ca="1">IF(H853&gt;=$C$4,J853+I853,I853)</f>
        <v>-5000</v>
      </c>
    </row>
    <row r="854" spans="5:11" x14ac:dyDescent="0.25">
      <c r="E854" s="1">
        <f t="shared" si="40"/>
        <v>851</v>
      </c>
      <c r="F854" s="4">
        <f t="shared" ca="1" si="41"/>
        <v>455000</v>
      </c>
      <c r="G854" s="1" t="s">
        <v>70</v>
      </c>
      <c r="H854" s="26">
        <f t="shared" ca="1" si="39"/>
        <v>0.47110872304689788</v>
      </c>
      <c r="I854" s="4">
        <f>IF(G854="Yes",-$C$8,0)</f>
        <v>-5000</v>
      </c>
      <c r="J854" s="4">
        <f>IF(G854="Yes",$C$8-I854,0)</f>
        <v>10000</v>
      </c>
      <c r="K854" s="4">
        <f ca="1">IF(H854&gt;=$C$4,J854+I854,I854)</f>
        <v>5000</v>
      </c>
    </row>
    <row r="855" spans="5:11" x14ac:dyDescent="0.25">
      <c r="E855" s="1">
        <f t="shared" si="40"/>
        <v>852</v>
      </c>
      <c r="F855" s="4">
        <f t="shared" ca="1" si="41"/>
        <v>460000</v>
      </c>
      <c r="G855" s="1" t="s">
        <v>70</v>
      </c>
      <c r="H855" s="26">
        <f t="shared" ca="1" si="39"/>
        <v>0.66732282805024756</v>
      </c>
      <c r="I855" s="4">
        <f>IF(G855="Yes",-$C$8,0)</f>
        <v>-5000</v>
      </c>
      <c r="J855" s="4">
        <f>IF(G855="Yes",$C$8-I855,0)</f>
        <v>10000</v>
      </c>
      <c r="K855" s="4">
        <f ca="1">IF(H855&gt;=$C$4,J855+I855,I855)</f>
        <v>5000</v>
      </c>
    </row>
    <row r="856" spans="5:11" x14ac:dyDescent="0.25">
      <c r="E856" s="1">
        <f t="shared" si="40"/>
        <v>853</v>
      </c>
      <c r="F856" s="4">
        <f t="shared" ca="1" si="41"/>
        <v>465000</v>
      </c>
      <c r="G856" s="1" t="s">
        <v>70</v>
      </c>
      <c r="H856" s="26">
        <f t="shared" ca="1" si="39"/>
        <v>0.50401618176397389</v>
      </c>
      <c r="I856" s="4">
        <f>IF(G856="Yes",-$C$8,0)</f>
        <v>-5000</v>
      </c>
      <c r="J856" s="4">
        <f>IF(G856="Yes",$C$8-I856,0)</f>
        <v>10000</v>
      </c>
      <c r="K856" s="4">
        <f ca="1">IF(H856&gt;=$C$4,J856+I856,I856)</f>
        <v>5000</v>
      </c>
    </row>
    <row r="857" spans="5:11" x14ac:dyDescent="0.25">
      <c r="E857" s="1">
        <f t="shared" si="40"/>
        <v>854</v>
      </c>
      <c r="F857" s="4">
        <f t="shared" ca="1" si="41"/>
        <v>460000</v>
      </c>
      <c r="G857" s="1" t="s">
        <v>70</v>
      </c>
      <c r="H857" s="26">
        <f t="shared" ca="1" si="39"/>
        <v>0.38774399490622868</v>
      </c>
      <c r="I857" s="4">
        <f>IF(G857="Yes",-$C$8,0)</f>
        <v>-5000</v>
      </c>
      <c r="J857" s="4">
        <f>IF(G857="Yes",$C$8-I857,0)</f>
        <v>10000</v>
      </c>
      <c r="K857" s="4">
        <f ca="1">IF(H857&gt;=$C$4,J857+I857,I857)</f>
        <v>-5000</v>
      </c>
    </row>
    <row r="858" spans="5:11" x14ac:dyDescent="0.25">
      <c r="E858" s="1">
        <f t="shared" si="40"/>
        <v>855</v>
      </c>
      <c r="F858" s="4">
        <f t="shared" ca="1" si="41"/>
        <v>465000</v>
      </c>
      <c r="G858" s="1" t="s">
        <v>70</v>
      </c>
      <c r="H858" s="26">
        <f t="shared" ca="1" si="39"/>
        <v>0.79958504209089964</v>
      </c>
      <c r="I858" s="4">
        <f>IF(G858="Yes",-$C$8,0)</f>
        <v>-5000</v>
      </c>
      <c r="J858" s="4">
        <f>IF(G858="Yes",$C$8-I858,0)</f>
        <v>10000</v>
      </c>
      <c r="K858" s="4">
        <f ca="1">IF(H858&gt;=$C$4,J858+I858,I858)</f>
        <v>5000</v>
      </c>
    </row>
    <row r="859" spans="5:11" x14ac:dyDescent="0.25">
      <c r="E859" s="1">
        <f t="shared" si="40"/>
        <v>856</v>
      </c>
      <c r="F859" s="4">
        <f t="shared" ca="1" si="41"/>
        <v>470000</v>
      </c>
      <c r="G859" s="1" t="s">
        <v>70</v>
      </c>
      <c r="H859" s="26">
        <f t="shared" ca="1" si="39"/>
        <v>0.76658190996670972</v>
      </c>
      <c r="I859" s="4">
        <f>IF(G859="Yes",-$C$8,0)</f>
        <v>-5000</v>
      </c>
      <c r="J859" s="4">
        <f>IF(G859="Yes",$C$8-I859,0)</f>
        <v>10000</v>
      </c>
      <c r="K859" s="4">
        <f ca="1">IF(H859&gt;=$C$4,J859+I859,I859)</f>
        <v>5000</v>
      </c>
    </row>
    <row r="860" spans="5:11" x14ac:dyDescent="0.25">
      <c r="E860" s="1">
        <f t="shared" si="40"/>
        <v>857</v>
      </c>
      <c r="F860" s="4">
        <f t="shared" ca="1" si="41"/>
        <v>475000</v>
      </c>
      <c r="G860" s="1" t="s">
        <v>70</v>
      </c>
      <c r="H860" s="26">
        <f t="shared" ca="1" si="39"/>
        <v>0.59137892920805846</v>
      </c>
      <c r="I860" s="4">
        <f>IF(G860="Yes",-$C$8,0)</f>
        <v>-5000</v>
      </c>
      <c r="J860" s="4">
        <f>IF(G860="Yes",$C$8-I860,0)</f>
        <v>10000</v>
      </c>
      <c r="K860" s="4">
        <f ca="1">IF(H860&gt;=$C$4,J860+I860,I860)</f>
        <v>5000</v>
      </c>
    </row>
    <row r="861" spans="5:11" x14ac:dyDescent="0.25">
      <c r="E861" s="1">
        <f t="shared" si="40"/>
        <v>858</v>
      </c>
      <c r="F861" s="4">
        <f t="shared" ca="1" si="41"/>
        <v>480000</v>
      </c>
      <c r="G861" s="1" t="s">
        <v>70</v>
      </c>
      <c r="H861" s="26">
        <f t="shared" ca="1" si="39"/>
        <v>0.67919532117508385</v>
      </c>
      <c r="I861" s="4">
        <f>IF(G861="Yes",-$C$8,0)</f>
        <v>-5000</v>
      </c>
      <c r="J861" s="4">
        <f>IF(G861="Yes",$C$8-I861,0)</f>
        <v>10000</v>
      </c>
      <c r="K861" s="4">
        <f ca="1">IF(H861&gt;=$C$4,J861+I861,I861)</f>
        <v>5000</v>
      </c>
    </row>
    <row r="862" spans="5:11" x14ac:dyDescent="0.25">
      <c r="E862" s="1">
        <f t="shared" si="40"/>
        <v>859</v>
      </c>
      <c r="F862" s="4">
        <f t="shared" ca="1" si="41"/>
        <v>475000</v>
      </c>
      <c r="G862" s="1" t="s">
        <v>70</v>
      </c>
      <c r="H862" s="26">
        <f t="shared" ca="1" si="39"/>
        <v>0.12169326321477225</v>
      </c>
      <c r="I862" s="4">
        <f>IF(G862="Yes",-$C$8,0)</f>
        <v>-5000</v>
      </c>
      <c r="J862" s="4">
        <f>IF(G862="Yes",$C$8-I862,0)</f>
        <v>10000</v>
      </c>
      <c r="K862" s="4">
        <f ca="1">IF(H862&gt;=$C$4,J862+I862,I862)</f>
        <v>-5000</v>
      </c>
    </row>
    <row r="863" spans="5:11" x14ac:dyDescent="0.25">
      <c r="E863" s="1">
        <f t="shared" si="40"/>
        <v>860</v>
      </c>
      <c r="F863" s="4">
        <f t="shared" ca="1" si="41"/>
        <v>480000</v>
      </c>
      <c r="G863" s="1" t="s">
        <v>70</v>
      </c>
      <c r="H863" s="26">
        <f t="shared" ca="1" si="39"/>
        <v>0.97450813806189285</v>
      </c>
      <c r="I863" s="4">
        <f>IF(G863="Yes",-$C$8,0)</f>
        <v>-5000</v>
      </c>
      <c r="J863" s="4">
        <f>IF(G863="Yes",$C$8-I863,0)</f>
        <v>10000</v>
      </c>
      <c r="K863" s="4">
        <f ca="1">IF(H863&gt;=$C$4,J863+I863,I863)</f>
        <v>5000</v>
      </c>
    </row>
    <row r="864" spans="5:11" x14ac:dyDescent="0.25">
      <c r="E864" s="1">
        <f t="shared" si="40"/>
        <v>861</v>
      </c>
      <c r="F864" s="4">
        <f t="shared" ca="1" si="41"/>
        <v>485000</v>
      </c>
      <c r="G864" s="1" t="s">
        <v>70</v>
      </c>
      <c r="H864" s="26">
        <f t="shared" ca="1" si="39"/>
        <v>0.60802477966309398</v>
      </c>
      <c r="I864" s="4">
        <f>IF(G864="Yes",-$C$8,0)</f>
        <v>-5000</v>
      </c>
      <c r="J864" s="4">
        <f>IF(G864="Yes",$C$8-I864,0)</f>
        <v>10000</v>
      </c>
      <c r="K864" s="4">
        <f ca="1">IF(H864&gt;=$C$4,J864+I864,I864)</f>
        <v>5000</v>
      </c>
    </row>
    <row r="865" spans="5:11" x14ac:dyDescent="0.25">
      <c r="E865" s="1">
        <f t="shared" si="40"/>
        <v>862</v>
      </c>
      <c r="F865" s="4">
        <f t="shared" ca="1" si="41"/>
        <v>490000</v>
      </c>
      <c r="G865" s="1" t="s">
        <v>70</v>
      </c>
      <c r="H865" s="26">
        <f t="shared" ca="1" si="39"/>
        <v>0.68291540883013291</v>
      </c>
      <c r="I865" s="4">
        <f>IF(G865="Yes",-$C$8,0)</f>
        <v>-5000</v>
      </c>
      <c r="J865" s="4">
        <f>IF(G865="Yes",$C$8-I865,0)</f>
        <v>10000</v>
      </c>
      <c r="K865" s="4">
        <f ca="1">IF(H865&gt;=$C$4,J865+I865,I865)</f>
        <v>5000</v>
      </c>
    </row>
    <row r="866" spans="5:11" x14ac:dyDescent="0.25">
      <c r="E866" s="1">
        <f t="shared" si="40"/>
        <v>863</v>
      </c>
      <c r="F866" s="4">
        <f t="shared" ca="1" si="41"/>
        <v>485000</v>
      </c>
      <c r="G866" s="1" t="s">
        <v>70</v>
      </c>
      <c r="H866" s="26">
        <f t="shared" ca="1" si="39"/>
        <v>0.42685018070628455</v>
      </c>
      <c r="I866" s="4">
        <f>IF(G866="Yes",-$C$8,0)</f>
        <v>-5000</v>
      </c>
      <c r="J866" s="4">
        <f>IF(G866="Yes",$C$8-I866,0)</f>
        <v>10000</v>
      </c>
      <c r="K866" s="4">
        <f ca="1">IF(H866&gt;=$C$4,J866+I866,I866)</f>
        <v>-5000</v>
      </c>
    </row>
    <row r="867" spans="5:11" x14ac:dyDescent="0.25">
      <c r="E867" s="1">
        <f t="shared" si="40"/>
        <v>864</v>
      </c>
      <c r="F867" s="4">
        <f t="shared" ca="1" si="41"/>
        <v>480000</v>
      </c>
      <c r="G867" s="1" t="s">
        <v>70</v>
      </c>
      <c r="H867" s="26">
        <f t="shared" ca="1" si="39"/>
        <v>5.7639394003839328E-2</v>
      </c>
      <c r="I867" s="4">
        <f>IF(G867="Yes",-$C$8,0)</f>
        <v>-5000</v>
      </c>
      <c r="J867" s="4">
        <f>IF(G867="Yes",$C$8-I867,0)</f>
        <v>10000</v>
      </c>
      <c r="K867" s="4">
        <f ca="1">IF(H867&gt;=$C$4,J867+I867,I867)</f>
        <v>-5000</v>
      </c>
    </row>
    <row r="868" spans="5:11" x14ac:dyDescent="0.25">
      <c r="E868" s="1">
        <f t="shared" si="40"/>
        <v>865</v>
      </c>
      <c r="F868" s="4">
        <f t="shared" ca="1" si="41"/>
        <v>475000</v>
      </c>
      <c r="G868" s="1" t="s">
        <v>70</v>
      </c>
      <c r="H868" s="26">
        <f t="shared" ca="1" si="39"/>
        <v>0.10293026711445308</v>
      </c>
      <c r="I868" s="4">
        <f>IF(G868="Yes",-$C$8,0)</f>
        <v>-5000</v>
      </c>
      <c r="J868" s="4">
        <f>IF(G868="Yes",$C$8-I868,0)</f>
        <v>10000</v>
      </c>
      <c r="K868" s="4">
        <f ca="1">IF(H868&gt;=$C$4,J868+I868,I868)</f>
        <v>-5000</v>
      </c>
    </row>
    <row r="869" spans="5:11" x14ac:dyDescent="0.25">
      <c r="E869" s="1">
        <f t="shared" si="40"/>
        <v>866</v>
      </c>
      <c r="F869" s="4">
        <f t="shared" ca="1" si="41"/>
        <v>470000</v>
      </c>
      <c r="G869" s="1" t="s">
        <v>70</v>
      </c>
      <c r="H869" s="26">
        <f t="shared" ca="1" si="39"/>
        <v>0.37905296893509</v>
      </c>
      <c r="I869" s="4">
        <f>IF(G869="Yes",-$C$8,0)</f>
        <v>-5000</v>
      </c>
      <c r="J869" s="4">
        <f>IF(G869="Yes",$C$8-I869,0)</f>
        <v>10000</v>
      </c>
      <c r="K869" s="4">
        <f ca="1">IF(H869&gt;=$C$4,J869+I869,I869)</f>
        <v>-5000</v>
      </c>
    </row>
    <row r="870" spans="5:11" x14ac:dyDescent="0.25">
      <c r="E870" s="1">
        <f t="shared" si="40"/>
        <v>867</v>
      </c>
      <c r="F870" s="4">
        <f t="shared" ca="1" si="41"/>
        <v>465000</v>
      </c>
      <c r="G870" s="1" t="s">
        <v>70</v>
      </c>
      <c r="H870" s="26">
        <f t="shared" ca="1" si="39"/>
        <v>0.13849504149529235</v>
      </c>
      <c r="I870" s="4">
        <f>IF(G870="Yes",-$C$8,0)</f>
        <v>-5000</v>
      </c>
      <c r="J870" s="4">
        <f>IF(G870="Yes",$C$8-I870,0)</f>
        <v>10000</v>
      </c>
      <c r="K870" s="4">
        <f ca="1">IF(H870&gt;=$C$4,J870+I870,I870)</f>
        <v>-5000</v>
      </c>
    </row>
    <row r="871" spans="5:11" x14ac:dyDescent="0.25">
      <c r="E871" s="1">
        <f t="shared" si="40"/>
        <v>868</v>
      </c>
      <c r="F871" s="4">
        <f t="shared" ca="1" si="41"/>
        <v>470000</v>
      </c>
      <c r="G871" s="1" t="s">
        <v>70</v>
      </c>
      <c r="H871" s="26">
        <f t="shared" ca="1" si="39"/>
        <v>0.9504820437653575</v>
      </c>
      <c r="I871" s="4">
        <f>IF(G871="Yes",-$C$8,0)</f>
        <v>-5000</v>
      </c>
      <c r="J871" s="4">
        <f>IF(G871="Yes",$C$8-I871,0)</f>
        <v>10000</v>
      </c>
      <c r="K871" s="4">
        <f ca="1">IF(H871&gt;=$C$4,J871+I871,I871)</f>
        <v>5000</v>
      </c>
    </row>
    <row r="872" spans="5:11" x14ac:dyDescent="0.25">
      <c r="E872" s="1">
        <f t="shared" si="40"/>
        <v>869</v>
      </c>
      <c r="F872" s="4">
        <f t="shared" ca="1" si="41"/>
        <v>465000</v>
      </c>
      <c r="G872" s="1" t="s">
        <v>70</v>
      </c>
      <c r="H872" s="26">
        <f t="shared" ca="1" si="39"/>
        <v>0.20756794806688261</v>
      </c>
      <c r="I872" s="4">
        <f>IF(G872="Yes",-$C$8,0)</f>
        <v>-5000</v>
      </c>
      <c r="J872" s="4">
        <f>IF(G872="Yes",$C$8-I872,0)</f>
        <v>10000</v>
      </c>
      <c r="K872" s="4">
        <f ca="1">IF(H872&gt;=$C$4,J872+I872,I872)</f>
        <v>-5000</v>
      </c>
    </row>
    <row r="873" spans="5:11" x14ac:dyDescent="0.25">
      <c r="E873" s="1">
        <f t="shared" si="40"/>
        <v>870</v>
      </c>
      <c r="F873" s="4">
        <f t="shared" ca="1" si="41"/>
        <v>470000</v>
      </c>
      <c r="G873" s="1" t="s">
        <v>70</v>
      </c>
      <c r="H873" s="26">
        <f t="shared" ca="1" si="39"/>
        <v>0.47029347623799311</v>
      </c>
      <c r="I873" s="4">
        <f>IF(G873="Yes",-$C$8,0)</f>
        <v>-5000</v>
      </c>
      <c r="J873" s="4">
        <f>IF(G873="Yes",$C$8-I873,0)</f>
        <v>10000</v>
      </c>
      <c r="K873" s="4">
        <f ca="1">IF(H873&gt;=$C$4,J873+I873,I873)</f>
        <v>5000</v>
      </c>
    </row>
    <row r="874" spans="5:11" x14ac:dyDescent="0.25">
      <c r="E874" s="1">
        <f t="shared" si="40"/>
        <v>871</v>
      </c>
      <c r="F874" s="4">
        <f t="shared" ca="1" si="41"/>
        <v>465000</v>
      </c>
      <c r="G874" s="1" t="s">
        <v>70</v>
      </c>
      <c r="H874" s="26">
        <f t="shared" ca="1" si="39"/>
        <v>4.371011927229318E-2</v>
      </c>
      <c r="I874" s="4">
        <f>IF(G874="Yes",-$C$8,0)</f>
        <v>-5000</v>
      </c>
      <c r="J874" s="4">
        <f>IF(G874="Yes",$C$8-I874,0)</f>
        <v>10000</v>
      </c>
      <c r="K874" s="4">
        <f ca="1">IF(H874&gt;=$C$4,J874+I874,I874)</f>
        <v>-5000</v>
      </c>
    </row>
    <row r="875" spans="5:11" x14ac:dyDescent="0.25">
      <c r="E875" s="1">
        <f t="shared" si="40"/>
        <v>872</v>
      </c>
      <c r="F875" s="4">
        <f t="shared" ca="1" si="41"/>
        <v>470000</v>
      </c>
      <c r="G875" s="1" t="s">
        <v>70</v>
      </c>
      <c r="H875" s="26">
        <f t="shared" ca="1" si="39"/>
        <v>0.49451507119891625</v>
      </c>
      <c r="I875" s="4">
        <f>IF(G875="Yes",-$C$8,0)</f>
        <v>-5000</v>
      </c>
      <c r="J875" s="4">
        <f>IF(G875="Yes",$C$8-I875,0)</f>
        <v>10000</v>
      </c>
      <c r="K875" s="4">
        <f ca="1">IF(H875&gt;=$C$4,J875+I875,I875)</f>
        <v>5000</v>
      </c>
    </row>
    <row r="876" spans="5:11" x14ac:dyDescent="0.25">
      <c r="E876" s="1">
        <f t="shared" si="40"/>
        <v>873</v>
      </c>
      <c r="F876" s="4">
        <f t="shared" ca="1" si="41"/>
        <v>475000</v>
      </c>
      <c r="G876" s="1" t="s">
        <v>70</v>
      </c>
      <c r="H876" s="26">
        <f t="shared" ca="1" si="39"/>
        <v>0.6285219728214998</v>
      </c>
      <c r="I876" s="4">
        <f>IF(G876="Yes",-$C$8,0)</f>
        <v>-5000</v>
      </c>
      <c r="J876" s="4">
        <f>IF(G876="Yes",$C$8-I876,0)</f>
        <v>10000</v>
      </c>
      <c r="K876" s="4">
        <f ca="1">IF(H876&gt;=$C$4,J876+I876,I876)</f>
        <v>5000</v>
      </c>
    </row>
    <row r="877" spans="5:11" x14ac:dyDescent="0.25">
      <c r="E877" s="1">
        <f t="shared" si="40"/>
        <v>874</v>
      </c>
      <c r="F877" s="4">
        <f t="shared" ca="1" si="41"/>
        <v>480000</v>
      </c>
      <c r="G877" s="1" t="s">
        <v>70</v>
      </c>
      <c r="H877" s="26">
        <f t="shared" ca="1" si="39"/>
        <v>0.56478019356916043</v>
      </c>
      <c r="I877" s="4">
        <f>IF(G877="Yes",-$C$8,0)</f>
        <v>-5000</v>
      </c>
      <c r="J877" s="4">
        <f>IF(G877="Yes",$C$8-I877,0)</f>
        <v>10000</v>
      </c>
      <c r="K877" s="4">
        <f ca="1">IF(H877&gt;=$C$4,J877+I877,I877)</f>
        <v>5000</v>
      </c>
    </row>
    <row r="878" spans="5:11" x14ac:dyDescent="0.25">
      <c r="E878" s="1">
        <f t="shared" si="40"/>
        <v>875</v>
      </c>
      <c r="F878" s="4">
        <f t="shared" ca="1" si="41"/>
        <v>485000</v>
      </c>
      <c r="G878" s="1" t="s">
        <v>70</v>
      </c>
      <c r="H878" s="26">
        <f t="shared" ca="1" si="39"/>
        <v>0.76875618242347799</v>
      </c>
      <c r="I878" s="4">
        <f>IF(G878="Yes",-$C$8,0)</f>
        <v>-5000</v>
      </c>
      <c r="J878" s="4">
        <f>IF(G878="Yes",$C$8-I878,0)</f>
        <v>10000</v>
      </c>
      <c r="K878" s="4">
        <f ca="1">IF(H878&gt;=$C$4,J878+I878,I878)</f>
        <v>5000</v>
      </c>
    </row>
    <row r="879" spans="5:11" x14ac:dyDescent="0.25">
      <c r="E879" s="1">
        <f t="shared" si="40"/>
        <v>876</v>
      </c>
      <c r="F879" s="4">
        <f t="shared" ca="1" si="41"/>
        <v>480000</v>
      </c>
      <c r="G879" s="1" t="s">
        <v>70</v>
      </c>
      <c r="H879" s="26">
        <f t="shared" ca="1" si="39"/>
        <v>0.21811091490297407</v>
      </c>
      <c r="I879" s="4">
        <f>IF(G879="Yes",-$C$8,0)</f>
        <v>-5000</v>
      </c>
      <c r="J879" s="4">
        <f>IF(G879="Yes",$C$8-I879,0)</f>
        <v>10000</v>
      </c>
      <c r="K879" s="4">
        <f ca="1">IF(H879&gt;=$C$4,J879+I879,I879)</f>
        <v>-5000</v>
      </c>
    </row>
    <row r="880" spans="5:11" x14ac:dyDescent="0.25">
      <c r="E880" s="1">
        <f t="shared" si="40"/>
        <v>877</v>
      </c>
      <c r="F880" s="4">
        <f t="shared" ca="1" si="41"/>
        <v>475000</v>
      </c>
      <c r="G880" s="1" t="s">
        <v>70</v>
      </c>
      <c r="H880" s="26">
        <f t="shared" ca="1" si="39"/>
        <v>0.43401034536212002</v>
      </c>
      <c r="I880" s="4">
        <f>IF(G880="Yes",-$C$8,0)</f>
        <v>-5000</v>
      </c>
      <c r="J880" s="4">
        <f>IF(G880="Yes",$C$8-I880,0)</f>
        <v>10000</v>
      </c>
      <c r="K880" s="4">
        <f ca="1">IF(H880&gt;=$C$4,J880+I880,I880)</f>
        <v>-5000</v>
      </c>
    </row>
    <row r="881" spans="5:11" x14ac:dyDescent="0.25">
      <c r="E881" s="1">
        <f t="shared" si="40"/>
        <v>878</v>
      </c>
      <c r="F881" s="4">
        <f t="shared" ca="1" si="41"/>
        <v>480000</v>
      </c>
      <c r="G881" s="1" t="s">
        <v>70</v>
      </c>
      <c r="H881" s="26">
        <f t="shared" ca="1" si="39"/>
        <v>0.8919145333598012</v>
      </c>
      <c r="I881" s="4">
        <f>IF(G881="Yes",-$C$8,0)</f>
        <v>-5000</v>
      </c>
      <c r="J881" s="4">
        <f>IF(G881="Yes",$C$8-I881,0)</f>
        <v>10000</v>
      </c>
      <c r="K881" s="4">
        <f ca="1">IF(H881&gt;=$C$4,J881+I881,I881)</f>
        <v>5000</v>
      </c>
    </row>
    <row r="882" spans="5:11" x14ac:dyDescent="0.25">
      <c r="E882" s="1">
        <f t="shared" si="40"/>
        <v>879</v>
      </c>
      <c r="F882" s="4">
        <f t="shared" ca="1" si="41"/>
        <v>475000</v>
      </c>
      <c r="G882" s="1" t="s">
        <v>70</v>
      </c>
      <c r="H882" s="26">
        <f t="shared" ca="1" si="39"/>
        <v>2.1020604721588065E-2</v>
      </c>
      <c r="I882" s="4">
        <f>IF(G882="Yes",-$C$8,0)</f>
        <v>-5000</v>
      </c>
      <c r="J882" s="4">
        <f>IF(G882="Yes",$C$8-I882,0)</f>
        <v>10000</v>
      </c>
      <c r="K882" s="4">
        <f ca="1">IF(H882&gt;=$C$4,J882+I882,I882)</f>
        <v>-5000</v>
      </c>
    </row>
    <row r="883" spans="5:11" x14ac:dyDescent="0.25">
      <c r="E883" s="1">
        <f t="shared" si="40"/>
        <v>880</v>
      </c>
      <c r="F883" s="4">
        <f t="shared" ca="1" si="41"/>
        <v>470000</v>
      </c>
      <c r="G883" s="1" t="s">
        <v>70</v>
      </c>
      <c r="H883" s="26">
        <f t="shared" ca="1" si="39"/>
        <v>0.13071813418415035</v>
      </c>
      <c r="I883" s="4">
        <f>IF(G883="Yes",-$C$8,0)</f>
        <v>-5000</v>
      </c>
      <c r="J883" s="4">
        <f>IF(G883="Yes",$C$8-I883,0)</f>
        <v>10000</v>
      </c>
      <c r="K883" s="4">
        <f ca="1">IF(H883&gt;=$C$4,J883+I883,I883)</f>
        <v>-5000</v>
      </c>
    </row>
    <row r="884" spans="5:11" x14ac:dyDescent="0.25">
      <c r="E884" s="1">
        <f t="shared" si="40"/>
        <v>881</v>
      </c>
      <c r="F884" s="4">
        <f t="shared" ca="1" si="41"/>
        <v>475000</v>
      </c>
      <c r="G884" s="1" t="s">
        <v>70</v>
      </c>
      <c r="H884" s="26">
        <f t="shared" ca="1" si="39"/>
        <v>0.62004291839491221</v>
      </c>
      <c r="I884" s="4">
        <f>IF(G884="Yes",-$C$8,0)</f>
        <v>-5000</v>
      </c>
      <c r="J884" s="4">
        <f>IF(G884="Yes",$C$8-I884,0)</f>
        <v>10000</v>
      </c>
      <c r="K884" s="4">
        <f ca="1">IF(H884&gt;=$C$4,J884+I884,I884)</f>
        <v>5000</v>
      </c>
    </row>
    <row r="885" spans="5:11" x14ac:dyDescent="0.25">
      <c r="E885" s="1">
        <f t="shared" si="40"/>
        <v>882</v>
      </c>
      <c r="F885" s="4">
        <f t="shared" ca="1" si="41"/>
        <v>480000</v>
      </c>
      <c r="G885" s="1" t="s">
        <v>70</v>
      </c>
      <c r="H885" s="26">
        <f t="shared" ca="1" si="39"/>
        <v>0.9201645714302078</v>
      </c>
      <c r="I885" s="4">
        <f>IF(G885="Yes",-$C$8,0)</f>
        <v>-5000</v>
      </c>
      <c r="J885" s="4">
        <f>IF(G885="Yes",$C$8-I885,0)</f>
        <v>10000</v>
      </c>
      <c r="K885" s="4">
        <f ca="1">IF(H885&gt;=$C$4,J885+I885,I885)</f>
        <v>5000</v>
      </c>
    </row>
    <row r="886" spans="5:11" x14ac:dyDescent="0.25">
      <c r="E886" s="1">
        <f t="shared" si="40"/>
        <v>883</v>
      </c>
      <c r="F886" s="4">
        <f t="shared" ca="1" si="41"/>
        <v>475000</v>
      </c>
      <c r="G886" s="1" t="s">
        <v>70</v>
      </c>
      <c r="H886" s="26">
        <f t="shared" ca="1" si="39"/>
        <v>5.6830533991077625E-2</v>
      </c>
      <c r="I886" s="4">
        <f>IF(G886="Yes",-$C$8,0)</f>
        <v>-5000</v>
      </c>
      <c r="J886" s="4">
        <f>IF(G886="Yes",$C$8-I886,0)</f>
        <v>10000</v>
      </c>
      <c r="K886" s="4">
        <f ca="1">IF(H886&gt;=$C$4,J886+I886,I886)</f>
        <v>-5000</v>
      </c>
    </row>
    <row r="887" spans="5:11" x14ac:dyDescent="0.25">
      <c r="E887" s="1">
        <f t="shared" si="40"/>
        <v>884</v>
      </c>
      <c r="F887" s="4">
        <f t="shared" ca="1" si="41"/>
        <v>480000</v>
      </c>
      <c r="G887" s="1" t="s">
        <v>70</v>
      </c>
      <c r="H887" s="26">
        <f t="shared" ca="1" si="39"/>
        <v>0.66109650839012024</v>
      </c>
      <c r="I887" s="4">
        <f>IF(G887="Yes",-$C$8,0)</f>
        <v>-5000</v>
      </c>
      <c r="J887" s="4">
        <f>IF(G887="Yes",$C$8-I887,0)</f>
        <v>10000</v>
      </c>
      <c r="K887" s="4">
        <f ca="1">IF(H887&gt;=$C$4,J887+I887,I887)</f>
        <v>5000</v>
      </c>
    </row>
    <row r="888" spans="5:11" x14ac:dyDescent="0.25">
      <c r="E888" s="1">
        <f t="shared" si="40"/>
        <v>885</v>
      </c>
      <c r="F888" s="4">
        <f t="shared" ca="1" si="41"/>
        <v>475000</v>
      </c>
      <c r="G888" s="1" t="s">
        <v>70</v>
      </c>
      <c r="H888" s="26">
        <f t="shared" ca="1" si="39"/>
        <v>9.3486345868080134E-2</v>
      </c>
      <c r="I888" s="4">
        <f>IF(G888="Yes",-$C$8,0)</f>
        <v>-5000</v>
      </c>
      <c r="J888" s="4">
        <f>IF(G888="Yes",$C$8-I888,0)</f>
        <v>10000</v>
      </c>
      <c r="K888" s="4">
        <f ca="1">IF(H888&gt;=$C$4,J888+I888,I888)</f>
        <v>-5000</v>
      </c>
    </row>
    <row r="889" spans="5:11" x14ac:dyDescent="0.25">
      <c r="E889" s="1">
        <f t="shared" si="40"/>
        <v>886</v>
      </c>
      <c r="F889" s="4">
        <f t="shared" ca="1" si="41"/>
        <v>470000</v>
      </c>
      <c r="G889" s="1" t="s">
        <v>70</v>
      </c>
      <c r="H889" s="26">
        <f t="shared" ca="1" si="39"/>
        <v>9.9679070924579505E-2</v>
      </c>
      <c r="I889" s="4">
        <f>IF(G889="Yes",-$C$8,0)</f>
        <v>-5000</v>
      </c>
      <c r="J889" s="4">
        <f>IF(G889="Yes",$C$8-I889,0)</f>
        <v>10000</v>
      </c>
      <c r="K889" s="4">
        <f ca="1">IF(H889&gt;=$C$4,J889+I889,I889)</f>
        <v>-5000</v>
      </c>
    </row>
    <row r="890" spans="5:11" x14ac:dyDescent="0.25">
      <c r="E890" s="1">
        <f t="shared" si="40"/>
        <v>887</v>
      </c>
      <c r="F890" s="4">
        <f t="shared" ca="1" si="41"/>
        <v>465000</v>
      </c>
      <c r="G890" s="1" t="s">
        <v>70</v>
      </c>
      <c r="H890" s="26">
        <f t="shared" ca="1" si="39"/>
        <v>0.1447004280984765</v>
      </c>
      <c r="I890" s="4">
        <f>IF(G890="Yes",-$C$8,0)</f>
        <v>-5000</v>
      </c>
      <c r="J890" s="4">
        <f>IF(G890="Yes",$C$8-I890,0)</f>
        <v>10000</v>
      </c>
      <c r="K890" s="4">
        <f ca="1">IF(H890&gt;=$C$4,J890+I890,I890)</f>
        <v>-5000</v>
      </c>
    </row>
    <row r="891" spans="5:11" x14ac:dyDescent="0.25">
      <c r="E891" s="1">
        <f t="shared" si="40"/>
        <v>888</v>
      </c>
      <c r="F891" s="4">
        <f t="shared" ca="1" si="41"/>
        <v>470000</v>
      </c>
      <c r="G891" s="1" t="s">
        <v>70</v>
      </c>
      <c r="H891" s="26">
        <f t="shared" ca="1" si="39"/>
        <v>0.55281588430785278</v>
      </c>
      <c r="I891" s="4">
        <f>IF(G891="Yes",-$C$8,0)</f>
        <v>-5000</v>
      </c>
      <c r="J891" s="4">
        <f>IF(G891="Yes",$C$8-I891,0)</f>
        <v>10000</v>
      </c>
      <c r="K891" s="4">
        <f ca="1">IF(H891&gt;=$C$4,J891+I891,I891)</f>
        <v>5000</v>
      </c>
    </row>
    <row r="892" spans="5:11" x14ac:dyDescent="0.25">
      <c r="E892" s="1">
        <f t="shared" si="40"/>
        <v>889</v>
      </c>
      <c r="F892" s="4">
        <f t="shared" ca="1" si="41"/>
        <v>475000</v>
      </c>
      <c r="G892" s="1" t="s">
        <v>70</v>
      </c>
      <c r="H892" s="26">
        <f t="shared" ca="1" si="39"/>
        <v>0.54779746042315502</v>
      </c>
      <c r="I892" s="4">
        <f>IF(G892="Yes",-$C$8,0)</f>
        <v>-5000</v>
      </c>
      <c r="J892" s="4">
        <f>IF(G892="Yes",$C$8-I892,0)</f>
        <v>10000</v>
      </c>
      <c r="K892" s="4">
        <f ca="1">IF(H892&gt;=$C$4,J892+I892,I892)</f>
        <v>5000</v>
      </c>
    </row>
    <row r="893" spans="5:11" x14ac:dyDescent="0.25">
      <c r="E893" s="1">
        <f t="shared" si="40"/>
        <v>890</v>
      </c>
      <c r="F893" s="4">
        <f t="shared" ca="1" si="41"/>
        <v>470000</v>
      </c>
      <c r="G893" s="1" t="s">
        <v>70</v>
      </c>
      <c r="H893" s="26">
        <f t="shared" ca="1" si="39"/>
        <v>5.0529644615762814E-2</v>
      </c>
      <c r="I893" s="4">
        <f>IF(G893="Yes",-$C$8,0)</f>
        <v>-5000</v>
      </c>
      <c r="J893" s="4">
        <f>IF(G893="Yes",$C$8-I893,0)</f>
        <v>10000</v>
      </c>
      <c r="K893" s="4">
        <f ca="1">IF(H893&gt;=$C$4,J893+I893,I893)</f>
        <v>-5000</v>
      </c>
    </row>
    <row r="894" spans="5:11" x14ac:dyDescent="0.25">
      <c r="E894" s="1">
        <f t="shared" si="40"/>
        <v>891</v>
      </c>
      <c r="F894" s="4">
        <f t="shared" ca="1" si="41"/>
        <v>465000</v>
      </c>
      <c r="G894" s="1" t="s">
        <v>70</v>
      </c>
      <c r="H894" s="26">
        <f t="shared" ca="1" si="39"/>
        <v>0.22851306245400727</v>
      </c>
      <c r="I894" s="4">
        <f>IF(G894="Yes",-$C$8,0)</f>
        <v>-5000</v>
      </c>
      <c r="J894" s="4">
        <f>IF(G894="Yes",$C$8-I894,0)</f>
        <v>10000</v>
      </c>
      <c r="K894" s="4">
        <f ca="1">IF(H894&gt;=$C$4,J894+I894,I894)</f>
        <v>-5000</v>
      </c>
    </row>
    <row r="895" spans="5:11" x14ac:dyDescent="0.25">
      <c r="E895" s="1">
        <f t="shared" si="40"/>
        <v>892</v>
      </c>
      <c r="F895" s="4">
        <f t="shared" ca="1" si="41"/>
        <v>460000</v>
      </c>
      <c r="G895" s="1" t="s">
        <v>70</v>
      </c>
      <c r="H895" s="26">
        <f t="shared" ca="1" si="39"/>
        <v>0.17334891868872426</v>
      </c>
      <c r="I895" s="4">
        <f>IF(G895="Yes",-$C$8,0)</f>
        <v>-5000</v>
      </c>
      <c r="J895" s="4">
        <f>IF(G895="Yes",$C$8-I895,0)</f>
        <v>10000</v>
      </c>
      <c r="K895" s="4">
        <f ca="1">IF(H895&gt;=$C$4,J895+I895,I895)</f>
        <v>-5000</v>
      </c>
    </row>
    <row r="896" spans="5:11" x14ac:dyDescent="0.25">
      <c r="E896" s="1">
        <f t="shared" si="40"/>
        <v>893</v>
      </c>
      <c r="F896" s="4">
        <f t="shared" ca="1" si="41"/>
        <v>465000</v>
      </c>
      <c r="G896" s="1" t="s">
        <v>70</v>
      </c>
      <c r="H896" s="26">
        <f t="shared" ca="1" si="39"/>
        <v>0.49914405708604948</v>
      </c>
      <c r="I896" s="4">
        <f>IF(G896="Yes",-$C$8,0)</f>
        <v>-5000</v>
      </c>
      <c r="J896" s="4">
        <f>IF(G896="Yes",$C$8-I896,0)</f>
        <v>10000</v>
      </c>
      <c r="K896" s="4">
        <f ca="1">IF(H896&gt;=$C$4,J896+I896,I896)</f>
        <v>5000</v>
      </c>
    </row>
    <row r="897" spans="5:11" x14ac:dyDescent="0.25">
      <c r="E897" s="1">
        <f t="shared" si="40"/>
        <v>894</v>
      </c>
      <c r="F897" s="4">
        <f t="shared" ca="1" si="41"/>
        <v>460000</v>
      </c>
      <c r="G897" s="1" t="s">
        <v>70</v>
      </c>
      <c r="H897" s="26">
        <f t="shared" ca="1" si="39"/>
        <v>0.23399651257572651</v>
      </c>
      <c r="I897" s="4">
        <f>IF(G897="Yes",-$C$8,0)</f>
        <v>-5000</v>
      </c>
      <c r="J897" s="4">
        <f>IF(G897="Yes",$C$8-I897,0)</f>
        <v>10000</v>
      </c>
      <c r="K897" s="4">
        <f ca="1">IF(H897&gt;=$C$4,J897+I897,I897)</f>
        <v>-5000</v>
      </c>
    </row>
    <row r="898" spans="5:11" x14ac:dyDescent="0.25">
      <c r="E898" s="1">
        <f t="shared" si="40"/>
        <v>895</v>
      </c>
      <c r="F898" s="4">
        <f t="shared" ca="1" si="41"/>
        <v>465000</v>
      </c>
      <c r="G898" s="1" t="s">
        <v>70</v>
      </c>
      <c r="H898" s="26">
        <f t="shared" ca="1" si="39"/>
        <v>0.9377412072795932</v>
      </c>
      <c r="I898" s="4">
        <f>IF(G898="Yes",-$C$8,0)</f>
        <v>-5000</v>
      </c>
      <c r="J898" s="4">
        <f>IF(G898="Yes",$C$8-I898,0)</f>
        <v>10000</v>
      </c>
      <c r="K898" s="4">
        <f ca="1">IF(H898&gt;=$C$4,J898+I898,I898)</f>
        <v>5000</v>
      </c>
    </row>
    <row r="899" spans="5:11" x14ac:dyDescent="0.25">
      <c r="E899" s="1">
        <f t="shared" si="40"/>
        <v>896</v>
      </c>
      <c r="F899" s="4">
        <f t="shared" ca="1" si="41"/>
        <v>470000</v>
      </c>
      <c r="G899" s="1" t="s">
        <v>70</v>
      </c>
      <c r="H899" s="26">
        <f t="shared" ca="1" si="39"/>
        <v>0.60999712039112253</v>
      </c>
      <c r="I899" s="4">
        <f>IF(G899="Yes",-$C$8,0)</f>
        <v>-5000</v>
      </c>
      <c r="J899" s="4">
        <f>IF(G899="Yes",$C$8-I899,0)</f>
        <v>10000</v>
      </c>
      <c r="K899" s="4">
        <f ca="1">IF(H899&gt;=$C$4,J899+I899,I899)</f>
        <v>5000</v>
      </c>
    </row>
    <row r="900" spans="5:11" x14ac:dyDescent="0.25">
      <c r="E900" s="1">
        <f t="shared" si="40"/>
        <v>897</v>
      </c>
      <c r="F900" s="4">
        <f t="shared" ca="1" si="41"/>
        <v>475000</v>
      </c>
      <c r="G900" s="1" t="s">
        <v>70</v>
      </c>
      <c r="H900" s="26">
        <f t="shared" ref="H900:H963" ca="1" si="42">RAND()</f>
        <v>0.66520905947531983</v>
      </c>
      <c r="I900" s="4">
        <f>IF(G900="Yes",-$C$8,0)</f>
        <v>-5000</v>
      </c>
      <c r="J900" s="4">
        <f>IF(G900="Yes",$C$8-I900,0)</f>
        <v>10000</v>
      </c>
      <c r="K900" s="4">
        <f ca="1">IF(H900&gt;=$C$4,J900+I900,I900)</f>
        <v>5000</v>
      </c>
    </row>
    <row r="901" spans="5:11" x14ac:dyDescent="0.25">
      <c r="E901" s="1">
        <f t="shared" ref="E901:G964" si="43">E900+1</f>
        <v>898</v>
      </c>
      <c r="F901" s="4">
        <f t="shared" ref="F901:F964" ca="1" si="44">F900+K901</f>
        <v>480000</v>
      </c>
      <c r="G901" s="1" t="s">
        <v>70</v>
      </c>
      <c r="H901" s="26">
        <f t="shared" ca="1" si="42"/>
        <v>0.49119620470262304</v>
      </c>
      <c r="I901" s="4">
        <f>IF(G901="Yes",-$C$8,0)</f>
        <v>-5000</v>
      </c>
      <c r="J901" s="4">
        <f>IF(G901="Yes",$C$8-I901,0)</f>
        <v>10000</v>
      </c>
      <c r="K901" s="4">
        <f ca="1">IF(H901&gt;=$C$4,J901+I901,I901)</f>
        <v>5000</v>
      </c>
    </row>
    <row r="902" spans="5:11" x14ac:dyDescent="0.25">
      <c r="E902" s="1">
        <f t="shared" si="43"/>
        <v>899</v>
      </c>
      <c r="F902" s="4">
        <f t="shared" ca="1" si="44"/>
        <v>475000</v>
      </c>
      <c r="G902" s="1" t="s">
        <v>70</v>
      </c>
      <c r="H902" s="26">
        <f t="shared" ca="1" si="42"/>
        <v>0.172485582560993</v>
      </c>
      <c r="I902" s="4">
        <f>IF(G902="Yes",-$C$8,0)</f>
        <v>-5000</v>
      </c>
      <c r="J902" s="4">
        <f>IF(G902="Yes",$C$8-I902,0)</f>
        <v>10000</v>
      </c>
      <c r="K902" s="4">
        <f ca="1">IF(H902&gt;=$C$4,J902+I902,I902)</f>
        <v>-5000</v>
      </c>
    </row>
    <row r="903" spans="5:11" x14ac:dyDescent="0.25">
      <c r="E903" s="1">
        <f t="shared" si="43"/>
        <v>900</v>
      </c>
      <c r="F903" s="4">
        <f t="shared" ca="1" si="44"/>
        <v>480000</v>
      </c>
      <c r="G903" s="1" t="s">
        <v>70</v>
      </c>
      <c r="H903" s="26">
        <f t="shared" ca="1" si="42"/>
        <v>0.68649782772654333</v>
      </c>
      <c r="I903" s="4">
        <f>IF(G903="Yes",-$C$8,0)</f>
        <v>-5000</v>
      </c>
      <c r="J903" s="4">
        <f>IF(G903="Yes",$C$8-I903,0)</f>
        <v>10000</v>
      </c>
      <c r="K903" s="4">
        <f ca="1">IF(H903&gt;=$C$4,J903+I903,I903)</f>
        <v>5000</v>
      </c>
    </row>
    <row r="904" spans="5:11" x14ac:dyDescent="0.25">
      <c r="E904" s="1">
        <f t="shared" si="43"/>
        <v>901</v>
      </c>
      <c r="F904" s="4">
        <f t="shared" ca="1" si="44"/>
        <v>485000</v>
      </c>
      <c r="G904" s="1" t="s">
        <v>70</v>
      </c>
      <c r="H904" s="26">
        <f t="shared" ca="1" si="42"/>
        <v>0.64012482074307875</v>
      </c>
      <c r="I904" s="4">
        <f>IF(G904="Yes",-$C$8,0)</f>
        <v>-5000</v>
      </c>
      <c r="J904" s="4">
        <f>IF(G904="Yes",$C$8-I904,0)</f>
        <v>10000</v>
      </c>
      <c r="K904" s="4">
        <f ca="1">IF(H904&gt;=$C$4,J904+I904,I904)</f>
        <v>5000</v>
      </c>
    </row>
    <row r="905" spans="5:11" x14ac:dyDescent="0.25">
      <c r="E905" s="1">
        <f t="shared" si="43"/>
        <v>902</v>
      </c>
      <c r="F905" s="4">
        <f t="shared" ca="1" si="44"/>
        <v>490000</v>
      </c>
      <c r="G905" s="1" t="s">
        <v>70</v>
      </c>
      <c r="H905" s="26">
        <f t="shared" ca="1" si="42"/>
        <v>0.83259871825089815</v>
      </c>
      <c r="I905" s="4">
        <f>IF(G905="Yes",-$C$8,0)</f>
        <v>-5000</v>
      </c>
      <c r="J905" s="4">
        <f>IF(G905="Yes",$C$8-I905,0)</f>
        <v>10000</v>
      </c>
      <c r="K905" s="4">
        <f ca="1">IF(H905&gt;=$C$4,J905+I905,I905)</f>
        <v>5000</v>
      </c>
    </row>
    <row r="906" spans="5:11" x14ac:dyDescent="0.25">
      <c r="E906" s="1">
        <f t="shared" si="43"/>
        <v>903</v>
      </c>
      <c r="F906" s="4">
        <f t="shared" ca="1" si="44"/>
        <v>495000</v>
      </c>
      <c r="G906" s="1" t="s">
        <v>70</v>
      </c>
      <c r="H906" s="26">
        <f t="shared" ca="1" si="42"/>
        <v>0.826238558777739</v>
      </c>
      <c r="I906" s="4">
        <f>IF(G906="Yes",-$C$8,0)</f>
        <v>-5000</v>
      </c>
      <c r="J906" s="4">
        <f>IF(G906="Yes",$C$8-I906,0)</f>
        <v>10000</v>
      </c>
      <c r="K906" s="4">
        <f ca="1">IF(H906&gt;=$C$4,J906+I906,I906)</f>
        <v>5000</v>
      </c>
    </row>
    <row r="907" spans="5:11" x14ac:dyDescent="0.25">
      <c r="E907" s="1">
        <f t="shared" si="43"/>
        <v>904</v>
      </c>
      <c r="F907" s="4">
        <f t="shared" ca="1" si="44"/>
        <v>490000</v>
      </c>
      <c r="G907" s="1" t="s">
        <v>70</v>
      </c>
      <c r="H907" s="26">
        <f t="shared" ca="1" si="42"/>
        <v>0.33869438816106157</v>
      </c>
      <c r="I907" s="4">
        <f>IF(G907="Yes",-$C$8,0)</f>
        <v>-5000</v>
      </c>
      <c r="J907" s="4">
        <f>IF(G907="Yes",$C$8-I907,0)</f>
        <v>10000</v>
      </c>
      <c r="K907" s="4">
        <f ca="1">IF(H907&gt;=$C$4,J907+I907,I907)</f>
        <v>-5000</v>
      </c>
    </row>
    <row r="908" spans="5:11" x14ac:dyDescent="0.25">
      <c r="E908" s="1">
        <f t="shared" si="43"/>
        <v>905</v>
      </c>
      <c r="F908" s="4">
        <f t="shared" ca="1" si="44"/>
        <v>495000</v>
      </c>
      <c r="G908" s="1" t="s">
        <v>70</v>
      </c>
      <c r="H908" s="26">
        <f t="shared" ca="1" si="42"/>
        <v>0.66877164652183219</v>
      </c>
      <c r="I908" s="4">
        <f>IF(G908="Yes",-$C$8,0)</f>
        <v>-5000</v>
      </c>
      <c r="J908" s="4">
        <f>IF(G908="Yes",$C$8-I908,0)</f>
        <v>10000</v>
      </c>
      <c r="K908" s="4">
        <f ca="1">IF(H908&gt;=$C$4,J908+I908,I908)</f>
        <v>5000</v>
      </c>
    </row>
    <row r="909" spans="5:11" x14ac:dyDescent="0.25">
      <c r="E909" s="1">
        <f t="shared" si="43"/>
        <v>906</v>
      </c>
      <c r="F909" s="4">
        <f t="shared" ca="1" si="44"/>
        <v>500000</v>
      </c>
      <c r="G909" s="1" t="s">
        <v>70</v>
      </c>
      <c r="H909" s="26">
        <f t="shared" ca="1" si="42"/>
        <v>0.70180193305838301</v>
      </c>
      <c r="I909" s="4">
        <f>IF(G909="Yes",-$C$8,0)</f>
        <v>-5000</v>
      </c>
      <c r="J909" s="4">
        <f>IF(G909="Yes",$C$8-I909,0)</f>
        <v>10000</v>
      </c>
      <c r="K909" s="4">
        <f ca="1">IF(H909&gt;=$C$4,J909+I909,I909)</f>
        <v>5000</v>
      </c>
    </row>
    <row r="910" spans="5:11" x14ac:dyDescent="0.25">
      <c r="E910" s="1">
        <f t="shared" si="43"/>
        <v>907</v>
      </c>
      <c r="F910" s="4">
        <f t="shared" ca="1" si="44"/>
        <v>505000</v>
      </c>
      <c r="G910" s="1" t="s">
        <v>70</v>
      </c>
      <c r="H910" s="26">
        <f t="shared" ca="1" si="42"/>
        <v>0.80492778522837849</v>
      </c>
      <c r="I910" s="4">
        <f>IF(G910="Yes",-$C$8,0)</f>
        <v>-5000</v>
      </c>
      <c r="J910" s="4">
        <f>IF(G910="Yes",$C$8-I910,0)</f>
        <v>10000</v>
      </c>
      <c r="K910" s="4">
        <f ca="1">IF(H910&gt;=$C$4,J910+I910,I910)</f>
        <v>5000</v>
      </c>
    </row>
    <row r="911" spans="5:11" x14ac:dyDescent="0.25">
      <c r="E911" s="1">
        <f t="shared" si="43"/>
        <v>908</v>
      </c>
      <c r="F911" s="4">
        <f t="shared" ca="1" si="44"/>
        <v>510000</v>
      </c>
      <c r="G911" s="1" t="s">
        <v>70</v>
      </c>
      <c r="H911" s="26">
        <f t="shared" ca="1" si="42"/>
        <v>0.71393607907056711</v>
      </c>
      <c r="I911" s="4">
        <f>IF(G911="Yes",-$C$8,0)</f>
        <v>-5000</v>
      </c>
      <c r="J911" s="4">
        <f>IF(G911="Yes",$C$8-I911,0)</f>
        <v>10000</v>
      </c>
      <c r="K911" s="4">
        <f ca="1">IF(H911&gt;=$C$4,J911+I911,I911)</f>
        <v>5000</v>
      </c>
    </row>
    <row r="912" spans="5:11" x14ac:dyDescent="0.25">
      <c r="E912" s="1">
        <f t="shared" si="43"/>
        <v>909</v>
      </c>
      <c r="F912" s="4">
        <f t="shared" ca="1" si="44"/>
        <v>515000</v>
      </c>
      <c r="G912" s="1" t="s">
        <v>70</v>
      </c>
      <c r="H912" s="26">
        <f t="shared" ca="1" si="42"/>
        <v>0.92979690052927189</v>
      </c>
      <c r="I912" s="4">
        <f>IF(G912="Yes",-$C$8,0)</f>
        <v>-5000</v>
      </c>
      <c r="J912" s="4">
        <f>IF(G912="Yes",$C$8-I912,0)</f>
        <v>10000</v>
      </c>
      <c r="K912" s="4">
        <f ca="1">IF(H912&gt;=$C$4,J912+I912,I912)</f>
        <v>5000</v>
      </c>
    </row>
    <row r="913" spans="5:11" x14ac:dyDescent="0.25">
      <c r="E913" s="1">
        <f t="shared" si="43"/>
        <v>910</v>
      </c>
      <c r="F913" s="4">
        <f t="shared" ca="1" si="44"/>
        <v>520000</v>
      </c>
      <c r="G913" s="1" t="s">
        <v>70</v>
      </c>
      <c r="H913" s="26">
        <f t="shared" ca="1" si="42"/>
        <v>0.95231274490906315</v>
      </c>
      <c r="I913" s="4">
        <f>IF(G913="Yes",-$C$8,0)</f>
        <v>-5000</v>
      </c>
      <c r="J913" s="4">
        <f>IF(G913="Yes",$C$8-I913,0)</f>
        <v>10000</v>
      </c>
      <c r="K913" s="4">
        <f ca="1">IF(H913&gt;=$C$4,J913+I913,I913)</f>
        <v>5000</v>
      </c>
    </row>
    <row r="914" spans="5:11" x14ac:dyDescent="0.25">
      <c r="E914" s="1">
        <f t="shared" si="43"/>
        <v>911</v>
      </c>
      <c r="F914" s="4">
        <f t="shared" ca="1" si="44"/>
        <v>525000</v>
      </c>
      <c r="G914" s="1" t="s">
        <v>70</v>
      </c>
      <c r="H914" s="26">
        <f t="shared" ca="1" si="42"/>
        <v>0.89141255114267559</v>
      </c>
      <c r="I914" s="4">
        <f>IF(G914="Yes",-$C$8,0)</f>
        <v>-5000</v>
      </c>
      <c r="J914" s="4">
        <f>IF(G914="Yes",$C$8-I914,0)</f>
        <v>10000</v>
      </c>
      <c r="K914" s="4">
        <f ca="1">IF(H914&gt;=$C$4,J914+I914,I914)</f>
        <v>5000</v>
      </c>
    </row>
    <row r="915" spans="5:11" x14ac:dyDescent="0.25">
      <c r="E915" s="1">
        <f t="shared" si="43"/>
        <v>912</v>
      </c>
      <c r="F915" s="4">
        <f t="shared" ca="1" si="44"/>
        <v>530000</v>
      </c>
      <c r="G915" s="1" t="s">
        <v>70</v>
      </c>
      <c r="H915" s="26">
        <f t="shared" ca="1" si="42"/>
        <v>0.52800731539204848</v>
      </c>
      <c r="I915" s="4">
        <f>IF(G915="Yes",-$C$8,0)</f>
        <v>-5000</v>
      </c>
      <c r="J915" s="4">
        <f>IF(G915="Yes",$C$8-I915,0)</f>
        <v>10000</v>
      </c>
      <c r="K915" s="4">
        <f ca="1">IF(H915&gt;=$C$4,J915+I915,I915)</f>
        <v>5000</v>
      </c>
    </row>
    <row r="916" spans="5:11" x14ac:dyDescent="0.25">
      <c r="E916" s="1">
        <f t="shared" si="43"/>
        <v>913</v>
      </c>
      <c r="F916" s="4">
        <f t="shared" ca="1" si="44"/>
        <v>525000</v>
      </c>
      <c r="G916" s="1" t="s">
        <v>70</v>
      </c>
      <c r="H916" s="26">
        <f t="shared" ca="1" si="42"/>
        <v>0.31912664364297516</v>
      </c>
      <c r="I916" s="4">
        <f>IF(G916="Yes",-$C$8,0)</f>
        <v>-5000</v>
      </c>
      <c r="J916" s="4">
        <f>IF(G916="Yes",$C$8-I916,0)</f>
        <v>10000</v>
      </c>
      <c r="K916" s="4">
        <f ca="1">IF(H916&gt;=$C$4,J916+I916,I916)</f>
        <v>-5000</v>
      </c>
    </row>
    <row r="917" spans="5:11" x14ac:dyDescent="0.25">
      <c r="E917" s="1">
        <f t="shared" si="43"/>
        <v>914</v>
      </c>
      <c r="F917" s="4">
        <f t="shared" ca="1" si="44"/>
        <v>520000</v>
      </c>
      <c r="G917" s="1" t="s">
        <v>70</v>
      </c>
      <c r="H917" s="26">
        <f t="shared" ca="1" si="42"/>
        <v>8.3948634220310847E-2</v>
      </c>
      <c r="I917" s="4">
        <f>IF(G917="Yes",-$C$8,0)</f>
        <v>-5000</v>
      </c>
      <c r="J917" s="4">
        <f>IF(G917="Yes",$C$8-I917,0)</f>
        <v>10000</v>
      </c>
      <c r="K917" s="4">
        <f ca="1">IF(H917&gt;=$C$4,J917+I917,I917)</f>
        <v>-5000</v>
      </c>
    </row>
    <row r="918" spans="5:11" x14ac:dyDescent="0.25">
      <c r="E918" s="1">
        <f t="shared" si="43"/>
        <v>915</v>
      </c>
      <c r="F918" s="4">
        <f t="shared" ca="1" si="44"/>
        <v>515000</v>
      </c>
      <c r="G918" s="1" t="s">
        <v>70</v>
      </c>
      <c r="H918" s="26">
        <f t="shared" ca="1" si="42"/>
        <v>3.8204480646098271E-2</v>
      </c>
      <c r="I918" s="4">
        <f>IF(G918="Yes",-$C$8,0)</f>
        <v>-5000</v>
      </c>
      <c r="J918" s="4">
        <f>IF(G918="Yes",$C$8-I918,0)</f>
        <v>10000</v>
      </c>
      <c r="K918" s="4">
        <f ca="1">IF(H918&gt;=$C$4,J918+I918,I918)</f>
        <v>-5000</v>
      </c>
    </row>
    <row r="919" spans="5:11" x14ac:dyDescent="0.25">
      <c r="E919" s="1">
        <f t="shared" si="43"/>
        <v>916</v>
      </c>
      <c r="F919" s="4">
        <f t="shared" ca="1" si="44"/>
        <v>520000</v>
      </c>
      <c r="G919" s="1" t="s">
        <v>70</v>
      </c>
      <c r="H919" s="26">
        <f t="shared" ca="1" si="42"/>
        <v>0.53925133144743198</v>
      </c>
      <c r="I919" s="4">
        <f>IF(G919="Yes",-$C$8,0)</f>
        <v>-5000</v>
      </c>
      <c r="J919" s="4">
        <f>IF(G919="Yes",$C$8-I919,0)</f>
        <v>10000</v>
      </c>
      <c r="K919" s="4">
        <f ca="1">IF(H919&gt;=$C$4,J919+I919,I919)</f>
        <v>5000</v>
      </c>
    </row>
    <row r="920" spans="5:11" x14ac:dyDescent="0.25">
      <c r="E920" s="1">
        <f t="shared" si="43"/>
        <v>917</v>
      </c>
      <c r="F920" s="4">
        <f t="shared" ca="1" si="44"/>
        <v>515000</v>
      </c>
      <c r="G920" s="1" t="s">
        <v>70</v>
      </c>
      <c r="H920" s="26">
        <f t="shared" ca="1" si="42"/>
        <v>0.24061548942812849</v>
      </c>
      <c r="I920" s="4">
        <f>IF(G920="Yes",-$C$8,0)</f>
        <v>-5000</v>
      </c>
      <c r="J920" s="4">
        <f>IF(G920="Yes",$C$8-I920,0)</f>
        <v>10000</v>
      </c>
      <c r="K920" s="4">
        <f ca="1">IF(H920&gt;=$C$4,J920+I920,I920)</f>
        <v>-5000</v>
      </c>
    </row>
    <row r="921" spans="5:11" x14ac:dyDescent="0.25">
      <c r="E921" s="1">
        <f t="shared" si="43"/>
        <v>918</v>
      </c>
      <c r="F921" s="4">
        <f t="shared" ca="1" si="44"/>
        <v>510000</v>
      </c>
      <c r="G921" s="1" t="s">
        <v>70</v>
      </c>
      <c r="H921" s="26">
        <f t="shared" ca="1" si="42"/>
        <v>0.43347373378877896</v>
      </c>
      <c r="I921" s="4">
        <f>IF(G921="Yes",-$C$8,0)</f>
        <v>-5000</v>
      </c>
      <c r="J921" s="4">
        <f>IF(G921="Yes",$C$8-I921,0)</f>
        <v>10000</v>
      </c>
      <c r="K921" s="4">
        <f ca="1">IF(H921&gt;=$C$4,J921+I921,I921)</f>
        <v>-5000</v>
      </c>
    </row>
    <row r="922" spans="5:11" x14ac:dyDescent="0.25">
      <c r="E922" s="1">
        <f t="shared" si="43"/>
        <v>919</v>
      </c>
      <c r="F922" s="4">
        <f t="shared" ca="1" si="44"/>
        <v>505000</v>
      </c>
      <c r="G922" s="1" t="s">
        <v>70</v>
      </c>
      <c r="H922" s="26">
        <f t="shared" ca="1" si="42"/>
        <v>1.8074920472974543E-2</v>
      </c>
      <c r="I922" s="4">
        <f>IF(G922="Yes",-$C$8,0)</f>
        <v>-5000</v>
      </c>
      <c r="J922" s="4">
        <f>IF(G922="Yes",$C$8-I922,0)</f>
        <v>10000</v>
      </c>
      <c r="K922" s="4">
        <f ca="1">IF(H922&gt;=$C$4,J922+I922,I922)</f>
        <v>-5000</v>
      </c>
    </row>
    <row r="923" spans="5:11" x14ac:dyDescent="0.25">
      <c r="E923" s="1">
        <f t="shared" si="43"/>
        <v>920</v>
      </c>
      <c r="F923" s="4">
        <f t="shared" ca="1" si="44"/>
        <v>510000</v>
      </c>
      <c r="G923" s="1" t="s">
        <v>70</v>
      </c>
      <c r="H923" s="26">
        <f t="shared" ca="1" si="42"/>
        <v>0.69308380755774401</v>
      </c>
      <c r="I923" s="4">
        <f>IF(G923="Yes",-$C$8,0)</f>
        <v>-5000</v>
      </c>
      <c r="J923" s="4">
        <f>IF(G923="Yes",$C$8-I923,0)</f>
        <v>10000</v>
      </c>
      <c r="K923" s="4">
        <f ca="1">IF(H923&gt;=$C$4,J923+I923,I923)</f>
        <v>5000</v>
      </c>
    </row>
    <row r="924" spans="5:11" x14ac:dyDescent="0.25">
      <c r="E924" s="1">
        <f t="shared" si="43"/>
        <v>921</v>
      </c>
      <c r="F924" s="4">
        <f t="shared" ca="1" si="44"/>
        <v>515000</v>
      </c>
      <c r="G924" s="1" t="s">
        <v>70</v>
      </c>
      <c r="H924" s="26">
        <f t="shared" ca="1" si="42"/>
        <v>0.6134584431323139</v>
      </c>
      <c r="I924" s="4">
        <f>IF(G924="Yes",-$C$8,0)</f>
        <v>-5000</v>
      </c>
      <c r="J924" s="4">
        <f>IF(G924="Yes",$C$8-I924,0)</f>
        <v>10000</v>
      </c>
      <c r="K924" s="4">
        <f ca="1">IF(H924&gt;=$C$4,J924+I924,I924)</f>
        <v>5000</v>
      </c>
    </row>
    <row r="925" spans="5:11" x14ac:dyDescent="0.25">
      <c r="E925" s="1">
        <f t="shared" si="43"/>
        <v>922</v>
      </c>
      <c r="F925" s="4">
        <f t="shared" ca="1" si="44"/>
        <v>520000</v>
      </c>
      <c r="G925" s="1" t="s">
        <v>70</v>
      </c>
      <c r="H925" s="26">
        <f t="shared" ca="1" si="42"/>
        <v>0.62258903021694523</v>
      </c>
      <c r="I925" s="4">
        <f>IF(G925="Yes",-$C$8,0)</f>
        <v>-5000</v>
      </c>
      <c r="J925" s="4">
        <f>IF(G925="Yes",$C$8-I925,0)</f>
        <v>10000</v>
      </c>
      <c r="K925" s="4">
        <f ca="1">IF(H925&gt;=$C$4,J925+I925,I925)</f>
        <v>5000</v>
      </c>
    </row>
    <row r="926" spans="5:11" x14ac:dyDescent="0.25">
      <c r="E926" s="1">
        <f t="shared" si="43"/>
        <v>923</v>
      </c>
      <c r="F926" s="4">
        <f t="shared" ca="1" si="44"/>
        <v>525000</v>
      </c>
      <c r="G926" s="1" t="s">
        <v>70</v>
      </c>
      <c r="H926" s="26">
        <f t="shared" ca="1" si="42"/>
        <v>0.46054335348013975</v>
      </c>
      <c r="I926" s="4">
        <f>IF(G926="Yes",-$C$8,0)</f>
        <v>-5000</v>
      </c>
      <c r="J926" s="4">
        <f>IF(G926="Yes",$C$8-I926,0)</f>
        <v>10000</v>
      </c>
      <c r="K926" s="4">
        <f ca="1">IF(H926&gt;=$C$4,J926+I926,I926)</f>
        <v>5000</v>
      </c>
    </row>
    <row r="927" spans="5:11" x14ac:dyDescent="0.25">
      <c r="E927" s="1">
        <f t="shared" si="43"/>
        <v>924</v>
      </c>
      <c r="F927" s="4">
        <f t="shared" ca="1" si="44"/>
        <v>520000</v>
      </c>
      <c r="G927" s="1" t="s">
        <v>70</v>
      </c>
      <c r="H927" s="26">
        <f t="shared" ca="1" si="42"/>
        <v>4.9475940854167622E-2</v>
      </c>
      <c r="I927" s="4">
        <f>IF(G927="Yes",-$C$8,0)</f>
        <v>-5000</v>
      </c>
      <c r="J927" s="4">
        <f>IF(G927="Yes",$C$8-I927,0)</f>
        <v>10000</v>
      </c>
      <c r="K927" s="4">
        <f ca="1">IF(H927&gt;=$C$4,J927+I927,I927)</f>
        <v>-5000</v>
      </c>
    </row>
    <row r="928" spans="5:11" x14ac:dyDescent="0.25">
      <c r="E928" s="1">
        <f t="shared" si="43"/>
        <v>925</v>
      </c>
      <c r="F928" s="4">
        <f t="shared" ca="1" si="44"/>
        <v>525000</v>
      </c>
      <c r="G928" s="1" t="s">
        <v>70</v>
      </c>
      <c r="H928" s="26">
        <f t="shared" ca="1" si="42"/>
        <v>0.72588739045828332</v>
      </c>
      <c r="I928" s="4">
        <f>IF(G928="Yes",-$C$8,0)</f>
        <v>-5000</v>
      </c>
      <c r="J928" s="4">
        <f>IF(G928="Yes",$C$8-I928,0)</f>
        <v>10000</v>
      </c>
      <c r="K928" s="4">
        <f ca="1">IF(H928&gt;=$C$4,J928+I928,I928)</f>
        <v>5000</v>
      </c>
    </row>
    <row r="929" spans="5:11" x14ac:dyDescent="0.25">
      <c r="E929" s="1">
        <f t="shared" si="43"/>
        <v>926</v>
      </c>
      <c r="F929" s="4">
        <f t="shared" ca="1" si="44"/>
        <v>530000</v>
      </c>
      <c r="G929" s="1" t="s">
        <v>70</v>
      </c>
      <c r="H929" s="26">
        <f t="shared" ca="1" si="42"/>
        <v>0.48486937636762495</v>
      </c>
      <c r="I929" s="4">
        <f>IF(G929="Yes",-$C$8,0)</f>
        <v>-5000</v>
      </c>
      <c r="J929" s="4">
        <f>IF(G929="Yes",$C$8-I929,0)</f>
        <v>10000</v>
      </c>
      <c r="K929" s="4">
        <f ca="1">IF(H929&gt;=$C$4,J929+I929,I929)</f>
        <v>5000</v>
      </c>
    </row>
    <row r="930" spans="5:11" x14ac:dyDescent="0.25">
      <c r="E930" s="1">
        <f t="shared" si="43"/>
        <v>927</v>
      </c>
      <c r="F930" s="4">
        <f t="shared" ca="1" si="44"/>
        <v>525000</v>
      </c>
      <c r="G930" s="1" t="s">
        <v>70</v>
      </c>
      <c r="H930" s="26">
        <f t="shared" ca="1" si="42"/>
        <v>0.16839426328064666</v>
      </c>
      <c r="I930" s="4">
        <f>IF(G930="Yes",-$C$8,0)</f>
        <v>-5000</v>
      </c>
      <c r="J930" s="4">
        <f>IF(G930="Yes",$C$8-I930,0)</f>
        <v>10000</v>
      </c>
      <c r="K930" s="4">
        <f ca="1">IF(H930&gt;=$C$4,J930+I930,I930)</f>
        <v>-5000</v>
      </c>
    </row>
    <row r="931" spans="5:11" x14ac:dyDescent="0.25">
      <c r="E931" s="1">
        <f t="shared" si="43"/>
        <v>928</v>
      </c>
      <c r="F931" s="4">
        <f t="shared" ca="1" si="44"/>
        <v>520000</v>
      </c>
      <c r="G931" s="1" t="s">
        <v>70</v>
      </c>
      <c r="H931" s="26">
        <f t="shared" ca="1" si="42"/>
        <v>3.38242973107995E-2</v>
      </c>
      <c r="I931" s="4">
        <f>IF(G931="Yes",-$C$8,0)</f>
        <v>-5000</v>
      </c>
      <c r="J931" s="4">
        <f>IF(G931="Yes",$C$8-I931,0)</f>
        <v>10000</v>
      </c>
      <c r="K931" s="4">
        <f ca="1">IF(H931&gt;=$C$4,J931+I931,I931)</f>
        <v>-5000</v>
      </c>
    </row>
    <row r="932" spans="5:11" x14ac:dyDescent="0.25">
      <c r="E932" s="1">
        <f t="shared" si="43"/>
        <v>929</v>
      </c>
      <c r="F932" s="4">
        <f t="shared" ca="1" si="44"/>
        <v>515000</v>
      </c>
      <c r="G932" s="1" t="s">
        <v>70</v>
      </c>
      <c r="H932" s="26">
        <f t="shared" ca="1" si="42"/>
        <v>0.44722716435669718</v>
      </c>
      <c r="I932" s="4">
        <f>IF(G932="Yes",-$C$8,0)</f>
        <v>-5000</v>
      </c>
      <c r="J932" s="4">
        <f>IF(G932="Yes",$C$8-I932,0)</f>
        <v>10000</v>
      </c>
      <c r="K932" s="4">
        <f ca="1">IF(H932&gt;=$C$4,J932+I932,I932)</f>
        <v>-5000</v>
      </c>
    </row>
    <row r="933" spans="5:11" x14ac:dyDescent="0.25">
      <c r="E933" s="1">
        <f t="shared" si="43"/>
        <v>930</v>
      </c>
      <c r="F933" s="4">
        <f t="shared" ca="1" si="44"/>
        <v>510000</v>
      </c>
      <c r="G933" s="1" t="s">
        <v>70</v>
      </c>
      <c r="H933" s="26">
        <f t="shared" ca="1" si="42"/>
        <v>0.12769119900701931</v>
      </c>
      <c r="I933" s="4">
        <f>IF(G933="Yes",-$C$8,0)</f>
        <v>-5000</v>
      </c>
      <c r="J933" s="4">
        <f>IF(G933="Yes",$C$8-I933,0)</f>
        <v>10000</v>
      </c>
      <c r="K933" s="4">
        <f ca="1">IF(H933&gt;=$C$4,J933+I933,I933)</f>
        <v>-5000</v>
      </c>
    </row>
    <row r="934" spans="5:11" x14ac:dyDescent="0.25">
      <c r="E934" s="1">
        <f t="shared" si="43"/>
        <v>931</v>
      </c>
      <c r="F934" s="4">
        <f t="shared" ca="1" si="44"/>
        <v>515000</v>
      </c>
      <c r="G934" s="1" t="s">
        <v>70</v>
      </c>
      <c r="H934" s="26">
        <f t="shared" ca="1" si="42"/>
        <v>0.72375358055097072</v>
      </c>
      <c r="I934" s="4">
        <f>IF(G934="Yes",-$C$8,0)</f>
        <v>-5000</v>
      </c>
      <c r="J934" s="4">
        <f>IF(G934="Yes",$C$8-I934,0)</f>
        <v>10000</v>
      </c>
      <c r="K934" s="4">
        <f ca="1">IF(H934&gt;=$C$4,J934+I934,I934)</f>
        <v>5000</v>
      </c>
    </row>
    <row r="935" spans="5:11" x14ac:dyDescent="0.25">
      <c r="E935" s="1">
        <f t="shared" si="43"/>
        <v>932</v>
      </c>
      <c r="F935" s="4">
        <f t="shared" ca="1" si="44"/>
        <v>520000</v>
      </c>
      <c r="G935" s="1" t="s">
        <v>70</v>
      </c>
      <c r="H935" s="26">
        <f t="shared" ca="1" si="42"/>
        <v>0.79075422697751918</v>
      </c>
      <c r="I935" s="4">
        <f>IF(G935="Yes",-$C$8,0)</f>
        <v>-5000</v>
      </c>
      <c r="J935" s="4">
        <f>IF(G935="Yes",$C$8-I935,0)</f>
        <v>10000</v>
      </c>
      <c r="K935" s="4">
        <f ca="1">IF(H935&gt;=$C$4,J935+I935,I935)</f>
        <v>5000</v>
      </c>
    </row>
    <row r="936" spans="5:11" x14ac:dyDescent="0.25">
      <c r="E936" s="1">
        <f t="shared" si="43"/>
        <v>933</v>
      </c>
      <c r="F936" s="4">
        <f t="shared" ca="1" si="44"/>
        <v>515000</v>
      </c>
      <c r="G936" s="1" t="s">
        <v>70</v>
      </c>
      <c r="H936" s="26">
        <f t="shared" ca="1" si="42"/>
        <v>0.349929033399624</v>
      </c>
      <c r="I936" s="4">
        <f>IF(G936="Yes",-$C$8,0)</f>
        <v>-5000</v>
      </c>
      <c r="J936" s="4">
        <f>IF(G936="Yes",$C$8-I936,0)</f>
        <v>10000</v>
      </c>
      <c r="K936" s="4">
        <f ca="1">IF(H936&gt;=$C$4,J936+I936,I936)</f>
        <v>-5000</v>
      </c>
    </row>
    <row r="937" spans="5:11" x14ac:dyDescent="0.25">
      <c r="E937" s="1">
        <f t="shared" si="43"/>
        <v>934</v>
      </c>
      <c r="F937" s="4">
        <f t="shared" ca="1" si="44"/>
        <v>510000</v>
      </c>
      <c r="G937" s="1" t="s">
        <v>70</v>
      </c>
      <c r="H937" s="26">
        <f t="shared" ca="1" si="42"/>
        <v>0.3863121117994992</v>
      </c>
      <c r="I937" s="4">
        <f>IF(G937="Yes",-$C$8,0)</f>
        <v>-5000</v>
      </c>
      <c r="J937" s="4">
        <f>IF(G937="Yes",$C$8-I937,0)</f>
        <v>10000</v>
      </c>
      <c r="K937" s="4">
        <f ca="1">IF(H937&gt;=$C$4,J937+I937,I937)</f>
        <v>-5000</v>
      </c>
    </row>
    <row r="938" spans="5:11" x14ac:dyDescent="0.25">
      <c r="E938" s="1">
        <f t="shared" si="43"/>
        <v>935</v>
      </c>
      <c r="F938" s="4">
        <f t="shared" ca="1" si="44"/>
        <v>515000</v>
      </c>
      <c r="G938" s="1" t="s">
        <v>70</v>
      </c>
      <c r="H938" s="26">
        <f t="shared" ca="1" si="42"/>
        <v>0.67832106653460056</v>
      </c>
      <c r="I938" s="4">
        <f>IF(G938="Yes",-$C$8,0)</f>
        <v>-5000</v>
      </c>
      <c r="J938" s="4">
        <f>IF(G938="Yes",$C$8-I938,0)</f>
        <v>10000</v>
      </c>
      <c r="K938" s="4">
        <f ca="1">IF(H938&gt;=$C$4,J938+I938,I938)</f>
        <v>5000</v>
      </c>
    </row>
    <row r="939" spans="5:11" x14ac:dyDescent="0.25">
      <c r="E939" s="1">
        <f t="shared" si="43"/>
        <v>936</v>
      </c>
      <c r="F939" s="4">
        <f t="shared" ca="1" si="44"/>
        <v>520000</v>
      </c>
      <c r="G939" s="1" t="s">
        <v>70</v>
      </c>
      <c r="H939" s="26">
        <f t="shared" ca="1" si="42"/>
        <v>0.66749632796932634</v>
      </c>
      <c r="I939" s="4">
        <f>IF(G939="Yes",-$C$8,0)</f>
        <v>-5000</v>
      </c>
      <c r="J939" s="4">
        <f>IF(G939="Yes",$C$8-I939,0)</f>
        <v>10000</v>
      </c>
      <c r="K939" s="4">
        <f ca="1">IF(H939&gt;=$C$4,J939+I939,I939)</f>
        <v>5000</v>
      </c>
    </row>
    <row r="940" spans="5:11" x14ac:dyDescent="0.25">
      <c r="E940" s="1">
        <f t="shared" si="43"/>
        <v>937</v>
      </c>
      <c r="F940" s="4">
        <f t="shared" ca="1" si="44"/>
        <v>525000</v>
      </c>
      <c r="G940" s="1" t="s">
        <v>70</v>
      </c>
      <c r="H940" s="26">
        <f t="shared" ca="1" si="42"/>
        <v>0.50170973672635111</v>
      </c>
      <c r="I940" s="4">
        <f>IF(G940="Yes",-$C$8,0)</f>
        <v>-5000</v>
      </c>
      <c r="J940" s="4">
        <f>IF(G940="Yes",$C$8-I940,0)</f>
        <v>10000</v>
      </c>
      <c r="K940" s="4">
        <f ca="1">IF(H940&gt;=$C$4,J940+I940,I940)</f>
        <v>5000</v>
      </c>
    </row>
    <row r="941" spans="5:11" x14ac:dyDescent="0.25">
      <c r="E941" s="1">
        <f t="shared" si="43"/>
        <v>938</v>
      </c>
      <c r="F941" s="4">
        <f t="shared" ca="1" si="44"/>
        <v>530000</v>
      </c>
      <c r="G941" s="1" t="s">
        <v>70</v>
      </c>
      <c r="H941" s="26">
        <f t="shared" ca="1" si="42"/>
        <v>0.61168361561649132</v>
      </c>
      <c r="I941" s="4">
        <f>IF(G941="Yes",-$C$8,0)</f>
        <v>-5000</v>
      </c>
      <c r="J941" s="4">
        <f>IF(G941="Yes",$C$8-I941,0)</f>
        <v>10000</v>
      </c>
      <c r="K941" s="4">
        <f ca="1">IF(H941&gt;=$C$4,J941+I941,I941)</f>
        <v>5000</v>
      </c>
    </row>
    <row r="942" spans="5:11" x14ac:dyDescent="0.25">
      <c r="E942" s="1">
        <f t="shared" si="43"/>
        <v>939</v>
      </c>
      <c r="F942" s="4">
        <f t="shared" ca="1" si="44"/>
        <v>525000</v>
      </c>
      <c r="G942" s="1" t="s">
        <v>70</v>
      </c>
      <c r="H942" s="26">
        <f t="shared" ca="1" si="42"/>
        <v>0.155775413050801</v>
      </c>
      <c r="I942" s="4">
        <f>IF(G942="Yes",-$C$8,0)</f>
        <v>-5000</v>
      </c>
      <c r="J942" s="4">
        <f>IF(G942="Yes",$C$8-I942,0)</f>
        <v>10000</v>
      </c>
      <c r="K942" s="4">
        <f ca="1">IF(H942&gt;=$C$4,J942+I942,I942)</f>
        <v>-5000</v>
      </c>
    </row>
    <row r="943" spans="5:11" x14ac:dyDescent="0.25">
      <c r="E943" s="1">
        <f t="shared" si="43"/>
        <v>940</v>
      </c>
      <c r="F943" s="4">
        <f t="shared" ca="1" si="44"/>
        <v>520000</v>
      </c>
      <c r="G943" s="1" t="s">
        <v>70</v>
      </c>
      <c r="H943" s="26">
        <f t="shared" ca="1" si="42"/>
        <v>9.5464979774468439E-2</v>
      </c>
      <c r="I943" s="4">
        <f>IF(G943="Yes",-$C$8,0)</f>
        <v>-5000</v>
      </c>
      <c r="J943" s="4">
        <f>IF(G943="Yes",$C$8-I943,0)</f>
        <v>10000</v>
      </c>
      <c r="K943" s="4">
        <f ca="1">IF(H943&gt;=$C$4,J943+I943,I943)</f>
        <v>-5000</v>
      </c>
    </row>
    <row r="944" spans="5:11" x14ac:dyDescent="0.25">
      <c r="E944" s="1">
        <f t="shared" si="43"/>
        <v>941</v>
      </c>
      <c r="F944" s="4">
        <f t="shared" ca="1" si="44"/>
        <v>515000</v>
      </c>
      <c r="G944" s="1" t="s">
        <v>70</v>
      </c>
      <c r="H944" s="26">
        <f t="shared" ca="1" si="42"/>
        <v>3.969511483191579E-3</v>
      </c>
      <c r="I944" s="4">
        <f>IF(G944="Yes",-$C$8,0)</f>
        <v>-5000</v>
      </c>
      <c r="J944" s="4">
        <f>IF(G944="Yes",$C$8-I944,0)</f>
        <v>10000</v>
      </c>
      <c r="K944" s="4">
        <f ca="1">IF(H944&gt;=$C$4,J944+I944,I944)</f>
        <v>-5000</v>
      </c>
    </row>
    <row r="945" spans="5:11" x14ac:dyDescent="0.25">
      <c r="E945" s="1">
        <f t="shared" si="43"/>
        <v>942</v>
      </c>
      <c r="F945" s="4">
        <f t="shared" ca="1" si="44"/>
        <v>520000</v>
      </c>
      <c r="G945" s="1" t="s">
        <v>70</v>
      </c>
      <c r="H945" s="26">
        <f t="shared" ca="1" si="42"/>
        <v>0.57733965229147166</v>
      </c>
      <c r="I945" s="4">
        <f>IF(G945="Yes",-$C$8,0)</f>
        <v>-5000</v>
      </c>
      <c r="J945" s="4">
        <f>IF(G945="Yes",$C$8-I945,0)</f>
        <v>10000</v>
      </c>
      <c r="K945" s="4">
        <f ca="1">IF(H945&gt;=$C$4,J945+I945,I945)</f>
        <v>5000</v>
      </c>
    </row>
    <row r="946" spans="5:11" x14ac:dyDescent="0.25">
      <c r="E946" s="1">
        <f t="shared" si="43"/>
        <v>943</v>
      </c>
      <c r="F946" s="4">
        <f t="shared" ca="1" si="44"/>
        <v>525000</v>
      </c>
      <c r="G946" s="1" t="s">
        <v>70</v>
      </c>
      <c r="H946" s="26">
        <f t="shared" ca="1" si="42"/>
        <v>0.73045939115717484</v>
      </c>
      <c r="I946" s="4">
        <f>IF(G946="Yes",-$C$8,0)</f>
        <v>-5000</v>
      </c>
      <c r="J946" s="4">
        <f>IF(G946="Yes",$C$8-I946,0)</f>
        <v>10000</v>
      </c>
      <c r="K946" s="4">
        <f ca="1">IF(H946&gt;=$C$4,J946+I946,I946)</f>
        <v>5000</v>
      </c>
    </row>
    <row r="947" spans="5:11" x14ac:dyDescent="0.25">
      <c r="E947" s="1">
        <f t="shared" si="43"/>
        <v>944</v>
      </c>
      <c r="F947" s="4">
        <f t="shared" ca="1" si="44"/>
        <v>530000</v>
      </c>
      <c r="G947" s="1" t="s">
        <v>70</v>
      </c>
      <c r="H947" s="26">
        <f t="shared" ca="1" si="42"/>
        <v>0.60902715740906388</v>
      </c>
      <c r="I947" s="4">
        <f>IF(G947="Yes",-$C$8,0)</f>
        <v>-5000</v>
      </c>
      <c r="J947" s="4">
        <f>IF(G947="Yes",$C$8-I947,0)</f>
        <v>10000</v>
      </c>
      <c r="K947" s="4">
        <f ca="1">IF(H947&gt;=$C$4,J947+I947,I947)</f>
        <v>5000</v>
      </c>
    </row>
    <row r="948" spans="5:11" x14ac:dyDescent="0.25">
      <c r="E948" s="1">
        <f t="shared" si="43"/>
        <v>945</v>
      </c>
      <c r="F948" s="4">
        <f t="shared" ca="1" si="44"/>
        <v>525000</v>
      </c>
      <c r="G948" s="1" t="s">
        <v>70</v>
      </c>
      <c r="H948" s="26">
        <f t="shared" ca="1" si="42"/>
        <v>0.15796439151087227</v>
      </c>
      <c r="I948" s="4">
        <f>IF(G948="Yes",-$C$8,0)</f>
        <v>-5000</v>
      </c>
      <c r="J948" s="4">
        <f>IF(G948="Yes",$C$8-I948,0)</f>
        <v>10000</v>
      </c>
      <c r="K948" s="4">
        <f ca="1">IF(H948&gt;=$C$4,J948+I948,I948)</f>
        <v>-5000</v>
      </c>
    </row>
    <row r="949" spans="5:11" x14ac:dyDescent="0.25">
      <c r="E949" s="1">
        <f t="shared" si="43"/>
        <v>946</v>
      </c>
      <c r="F949" s="4">
        <f t="shared" ca="1" si="44"/>
        <v>530000</v>
      </c>
      <c r="G949" s="1" t="s">
        <v>70</v>
      </c>
      <c r="H949" s="26">
        <f t="shared" ca="1" si="42"/>
        <v>0.66747670414061855</v>
      </c>
      <c r="I949" s="4">
        <f>IF(G949="Yes",-$C$8,0)</f>
        <v>-5000</v>
      </c>
      <c r="J949" s="4">
        <f>IF(G949="Yes",$C$8-I949,0)</f>
        <v>10000</v>
      </c>
      <c r="K949" s="4">
        <f ca="1">IF(H949&gt;=$C$4,J949+I949,I949)</f>
        <v>5000</v>
      </c>
    </row>
    <row r="950" spans="5:11" x14ac:dyDescent="0.25">
      <c r="E950" s="1">
        <f t="shared" si="43"/>
        <v>947</v>
      </c>
      <c r="F950" s="4">
        <f t="shared" ca="1" si="44"/>
        <v>525000</v>
      </c>
      <c r="G950" s="1" t="s">
        <v>70</v>
      </c>
      <c r="H950" s="26">
        <f t="shared" ca="1" si="42"/>
        <v>0.10681178317703233</v>
      </c>
      <c r="I950" s="4">
        <f>IF(G950="Yes",-$C$8,0)</f>
        <v>-5000</v>
      </c>
      <c r="J950" s="4">
        <f>IF(G950="Yes",$C$8-I950,0)</f>
        <v>10000</v>
      </c>
      <c r="K950" s="4">
        <f ca="1">IF(H950&gt;=$C$4,J950+I950,I950)</f>
        <v>-5000</v>
      </c>
    </row>
    <row r="951" spans="5:11" x14ac:dyDescent="0.25">
      <c r="E951" s="1">
        <f t="shared" si="43"/>
        <v>948</v>
      </c>
      <c r="F951" s="4">
        <f t="shared" ca="1" si="44"/>
        <v>520000</v>
      </c>
      <c r="G951" s="1" t="s">
        <v>70</v>
      </c>
      <c r="H951" s="26">
        <f t="shared" ca="1" si="42"/>
        <v>0.24155544203895263</v>
      </c>
      <c r="I951" s="4">
        <f>IF(G951="Yes",-$C$8,0)</f>
        <v>-5000</v>
      </c>
      <c r="J951" s="4">
        <f>IF(G951="Yes",$C$8-I951,0)</f>
        <v>10000</v>
      </c>
      <c r="K951" s="4">
        <f ca="1">IF(H951&gt;=$C$4,J951+I951,I951)</f>
        <v>-5000</v>
      </c>
    </row>
    <row r="952" spans="5:11" x14ac:dyDescent="0.25">
      <c r="E952" s="1">
        <f t="shared" si="43"/>
        <v>949</v>
      </c>
      <c r="F952" s="4">
        <f t="shared" ca="1" si="44"/>
        <v>515000</v>
      </c>
      <c r="G952" s="1" t="s">
        <v>70</v>
      </c>
      <c r="H952" s="26">
        <f t="shared" ca="1" si="42"/>
        <v>9.0841402921163494E-3</v>
      </c>
      <c r="I952" s="4">
        <f>IF(G952="Yes",-$C$8,0)</f>
        <v>-5000</v>
      </c>
      <c r="J952" s="4">
        <f>IF(G952="Yes",$C$8-I952,0)</f>
        <v>10000</v>
      </c>
      <c r="K952" s="4">
        <f ca="1">IF(H952&gt;=$C$4,J952+I952,I952)</f>
        <v>-5000</v>
      </c>
    </row>
    <row r="953" spans="5:11" x14ac:dyDescent="0.25">
      <c r="E953" s="1">
        <f t="shared" si="43"/>
        <v>950</v>
      </c>
      <c r="F953" s="4">
        <f t="shared" ca="1" si="44"/>
        <v>520000</v>
      </c>
      <c r="G953" s="1" t="s">
        <v>70</v>
      </c>
      <c r="H953" s="26">
        <f t="shared" ca="1" si="42"/>
        <v>0.7087283091947294</v>
      </c>
      <c r="I953" s="4">
        <f>IF(G953="Yes",-$C$8,0)</f>
        <v>-5000</v>
      </c>
      <c r="J953" s="4">
        <f>IF(G953="Yes",$C$8-I953,0)</f>
        <v>10000</v>
      </c>
      <c r="K953" s="4">
        <f ca="1">IF(H953&gt;=$C$4,J953+I953,I953)</f>
        <v>5000</v>
      </c>
    </row>
    <row r="954" spans="5:11" x14ac:dyDescent="0.25">
      <c r="E954" s="1">
        <f t="shared" si="43"/>
        <v>951</v>
      </c>
      <c r="F954" s="4">
        <f t="shared" ca="1" si="44"/>
        <v>515000</v>
      </c>
      <c r="G954" s="1" t="s">
        <v>70</v>
      </c>
      <c r="H954" s="26">
        <f t="shared" ca="1" si="42"/>
        <v>0.12799012762276174</v>
      </c>
      <c r="I954" s="4">
        <f>IF(G954="Yes",-$C$8,0)</f>
        <v>-5000</v>
      </c>
      <c r="J954" s="4">
        <f>IF(G954="Yes",$C$8-I954,0)</f>
        <v>10000</v>
      </c>
      <c r="K954" s="4">
        <f ca="1">IF(H954&gt;=$C$4,J954+I954,I954)</f>
        <v>-5000</v>
      </c>
    </row>
    <row r="955" spans="5:11" x14ac:dyDescent="0.25">
      <c r="E955" s="1">
        <f t="shared" si="43"/>
        <v>952</v>
      </c>
      <c r="F955" s="4">
        <f t="shared" ca="1" si="44"/>
        <v>510000</v>
      </c>
      <c r="G955" s="1" t="s">
        <v>70</v>
      </c>
      <c r="H955" s="26">
        <f t="shared" ca="1" si="42"/>
        <v>0.41522278861643658</v>
      </c>
      <c r="I955" s="4">
        <f>IF(G955="Yes",-$C$8,0)</f>
        <v>-5000</v>
      </c>
      <c r="J955" s="4">
        <f>IF(G955="Yes",$C$8-I955,0)</f>
        <v>10000</v>
      </c>
      <c r="K955" s="4">
        <f ca="1">IF(H955&gt;=$C$4,J955+I955,I955)</f>
        <v>-5000</v>
      </c>
    </row>
    <row r="956" spans="5:11" x14ac:dyDescent="0.25">
      <c r="E956" s="1">
        <f t="shared" si="43"/>
        <v>953</v>
      </c>
      <c r="F956" s="4">
        <f t="shared" ca="1" si="44"/>
        <v>505000</v>
      </c>
      <c r="G956" s="1" t="s">
        <v>70</v>
      </c>
      <c r="H956" s="26">
        <f t="shared" ca="1" si="42"/>
        <v>4.9045636845425067E-2</v>
      </c>
      <c r="I956" s="4">
        <f>IF(G956="Yes",-$C$8,0)</f>
        <v>-5000</v>
      </c>
      <c r="J956" s="4">
        <f>IF(G956="Yes",$C$8-I956,0)</f>
        <v>10000</v>
      </c>
      <c r="K956" s="4">
        <f ca="1">IF(H956&gt;=$C$4,J956+I956,I956)</f>
        <v>-5000</v>
      </c>
    </row>
    <row r="957" spans="5:11" x14ac:dyDescent="0.25">
      <c r="E957" s="1">
        <f t="shared" si="43"/>
        <v>954</v>
      </c>
      <c r="F957" s="4">
        <f t="shared" ca="1" si="44"/>
        <v>510000</v>
      </c>
      <c r="G957" s="1" t="s">
        <v>70</v>
      </c>
      <c r="H957" s="26">
        <f t="shared" ca="1" si="42"/>
        <v>0.97707692190993112</v>
      </c>
      <c r="I957" s="4">
        <f>IF(G957="Yes",-$C$8,0)</f>
        <v>-5000</v>
      </c>
      <c r="J957" s="4">
        <f>IF(G957="Yes",$C$8-I957,0)</f>
        <v>10000</v>
      </c>
      <c r="K957" s="4">
        <f ca="1">IF(H957&gt;=$C$4,J957+I957,I957)</f>
        <v>5000</v>
      </c>
    </row>
    <row r="958" spans="5:11" x14ac:dyDescent="0.25">
      <c r="E958" s="1">
        <f t="shared" si="43"/>
        <v>955</v>
      </c>
      <c r="F958" s="4">
        <f t="shared" ca="1" si="44"/>
        <v>515000</v>
      </c>
      <c r="G958" s="1" t="s">
        <v>70</v>
      </c>
      <c r="H958" s="26">
        <f t="shared" ca="1" si="42"/>
        <v>0.95399155272580605</v>
      </c>
      <c r="I958" s="4">
        <f>IF(G958="Yes",-$C$8,0)</f>
        <v>-5000</v>
      </c>
      <c r="J958" s="4">
        <f>IF(G958="Yes",$C$8-I958,0)</f>
        <v>10000</v>
      </c>
      <c r="K958" s="4">
        <f ca="1">IF(H958&gt;=$C$4,J958+I958,I958)</f>
        <v>5000</v>
      </c>
    </row>
    <row r="959" spans="5:11" x14ac:dyDescent="0.25">
      <c r="E959" s="1">
        <f t="shared" si="43"/>
        <v>956</v>
      </c>
      <c r="F959" s="4">
        <f t="shared" ca="1" si="44"/>
        <v>510000</v>
      </c>
      <c r="G959" s="1" t="s">
        <v>70</v>
      </c>
      <c r="H959" s="26">
        <f t="shared" ca="1" si="42"/>
        <v>5.9463962359889377E-2</v>
      </c>
      <c r="I959" s="4">
        <f>IF(G959="Yes",-$C$8,0)</f>
        <v>-5000</v>
      </c>
      <c r="J959" s="4">
        <f>IF(G959="Yes",$C$8-I959,0)</f>
        <v>10000</v>
      </c>
      <c r="K959" s="4">
        <f ca="1">IF(H959&gt;=$C$4,J959+I959,I959)</f>
        <v>-5000</v>
      </c>
    </row>
    <row r="960" spans="5:11" x14ac:dyDescent="0.25">
      <c r="E960" s="1">
        <f t="shared" si="43"/>
        <v>957</v>
      </c>
      <c r="F960" s="4">
        <f t="shared" ca="1" si="44"/>
        <v>505000</v>
      </c>
      <c r="G960" s="1" t="s">
        <v>70</v>
      </c>
      <c r="H960" s="26">
        <f t="shared" ca="1" si="42"/>
        <v>0.41135527011769579</v>
      </c>
      <c r="I960" s="4">
        <f>IF(G960="Yes",-$C$8,0)</f>
        <v>-5000</v>
      </c>
      <c r="J960" s="4">
        <f>IF(G960="Yes",$C$8-I960,0)</f>
        <v>10000</v>
      </c>
      <c r="K960" s="4">
        <f ca="1">IF(H960&gt;=$C$4,J960+I960,I960)</f>
        <v>-5000</v>
      </c>
    </row>
    <row r="961" spans="5:11" x14ac:dyDescent="0.25">
      <c r="E961" s="1">
        <f t="shared" si="43"/>
        <v>958</v>
      </c>
      <c r="F961" s="4">
        <f t="shared" ca="1" si="44"/>
        <v>500000</v>
      </c>
      <c r="G961" s="1" t="s">
        <v>70</v>
      </c>
      <c r="H961" s="26">
        <f t="shared" ca="1" si="42"/>
        <v>4.9929738852597882E-2</v>
      </c>
      <c r="I961" s="4">
        <f>IF(G961="Yes",-$C$8,0)</f>
        <v>-5000</v>
      </c>
      <c r="J961" s="4">
        <f>IF(G961="Yes",$C$8-I961,0)</f>
        <v>10000</v>
      </c>
      <c r="K961" s="4">
        <f ca="1">IF(H961&gt;=$C$4,J961+I961,I961)</f>
        <v>-5000</v>
      </c>
    </row>
    <row r="962" spans="5:11" x14ac:dyDescent="0.25">
      <c r="E962" s="1">
        <f t="shared" si="43"/>
        <v>959</v>
      </c>
      <c r="F962" s="4">
        <f t="shared" ca="1" si="44"/>
        <v>505000</v>
      </c>
      <c r="G962" s="1" t="s">
        <v>70</v>
      </c>
      <c r="H962" s="26">
        <f t="shared" ca="1" si="42"/>
        <v>0.65285614838906614</v>
      </c>
      <c r="I962" s="4">
        <f>IF(G962="Yes",-$C$8,0)</f>
        <v>-5000</v>
      </c>
      <c r="J962" s="4">
        <f>IF(G962="Yes",$C$8-I962,0)</f>
        <v>10000</v>
      </c>
      <c r="K962" s="4">
        <f ca="1">IF(H962&gt;=$C$4,J962+I962,I962)</f>
        <v>5000</v>
      </c>
    </row>
    <row r="963" spans="5:11" x14ac:dyDescent="0.25">
      <c r="E963" s="1">
        <f t="shared" si="43"/>
        <v>960</v>
      </c>
      <c r="F963" s="4">
        <f t="shared" ca="1" si="44"/>
        <v>510000</v>
      </c>
      <c r="G963" s="1" t="s">
        <v>70</v>
      </c>
      <c r="H963" s="26">
        <f t="shared" ca="1" si="42"/>
        <v>0.94292944656619027</v>
      </c>
      <c r="I963" s="4">
        <f>IF(G963="Yes",-$C$8,0)</f>
        <v>-5000</v>
      </c>
      <c r="J963" s="4">
        <f>IF(G963="Yes",$C$8-I963,0)</f>
        <v>10000</v>
      </c>
      <c r="K963" s="4">
        <f ca="1">IF(H963&gt;=$C$4,J963+I963,I963)</f>
        <v>5000</v>
      </c>
    </row>
    <row r="964" spans="5:11" x14ac:dyDescent="0.25">
      <c r="E964" s="1">
        <f t="shared" si="43"/>
        <v>961</v>
      </c>
      <c r="F964" s="4">
        <f t="shared" ca="1" si="44"/>
        <v>505000</v>
      </c>
      <c r="G964" s="1" t="s">
        <v>70</v>
      </c>
      <c r="H964" s="26">
        <f t="shared" ref="H964:H1003" ca="1" si="45">RAND()</f>
        <v>4.2207957276493402E-2</v>
      </c>
      <c r="I964" s="4">
        <f>IF(G964="Yes",-$C$8,0)</f>
        <v>-5000</v>
      </c>
      <c r="J964" s="4">
        <f>IF(G964="Yes",$C$8-I964,0)</f>
        <v>10000</v>
      </c>
      <c r="K964" s="4">
        <f ca="1">IF(H964&gt;=$C$4,J964+I964,I964)</f>
        <v>-5000</v>
      </c>
    </row>
    <row r="965" spans="5:11" x14ac:dyDescent="0.25">
      <c r="E965" s="1">
        <f t="shared" ref="E965:G1003" si="46">E964+1</f>
        <v>962</v>
      </c>
      <c r="F965" s="4">
        <f t="shared" ref="F965:F1003" ca="1" si="47">F964+K965</f>
        <v>500000</v>
      </c>
      <c r="G965" s="1" t="s">
        <v>70</v>
      </c>
      <c r="H965" s="26">
        <f t="shared" ca="1" si="45"/>
        <v>9.0701224125114832E-3</v>
      </c>
      <c r="I965" s="4">
        <f>IF(G965="Yes",-$C$8,0)</f>
        <v>-5000</v>
      </c>
      <c r="J965" s="4">
        <f>IF(G965="Yes",$C$8-I965,0)</f>
        <v>10000</v>
      </c>
      <c r="K965" s="4">
        <f ca="1">IF(H965&gt;=$C$4,J965+I965,I965)</f>
        <v>-5000</v>
      </c>
    </row>
    <row r="966" spans="5:11" x14ac:dyDescent="0.25">
      <c r="E966" s="1">
        <f t="shared" si="46"/>
        <v>963</v>
      </c>
      <c r="F966" s="4">
        <f t="shared" ca="1" si="47"/>
        <v>495000</v>
      </c>
      <c r="G966" s="1" t="s">
        <v>70</v>
      </c>
      <c r="H966" s="26">
        <f t="shared" ca="1" si="45"/>
        <v>0.25800014981053188</v>
      </c>
      <c r="I966" s="4">
        <f>IF(G966="Yes",-$C$8,0)</f>
        <v>-5000</v>
      </c>
      <c r="J966" s="4">
        <f>IF(G966="Yes",$C$8-I966,0)</f>
        <v>10000</v>
      </c>
      <c r="K966" s="4">
        <f ca="1">IF(H966&gt;=$C$4,J966+I966,I966)</f>
        <v>-5000</v>
      </c>
    </row>
    <row r="967" spans="5:11" x14ac:dyDescent="0.25">
      <c r="E967" s="1">
        <f t="shared" si="46"/>
        <v>964</v>
      </c>
      <c r="F967" s="4">
        <f t="shared" ca="1" si="47"/>
        <v>500000</v>
      </c>
      <c r="G967" s="1" t="s">
        <v>70</v>
      </c>
      <c r="H967" s="26">
        <f t="shared" ca="1" si="45"/>
        <v>0.65609950916442883</v>
      </c>
      <c r="I967" s="4">
        <f>IF(G967="Yes",-$C$8,0)</f>
        <v>-5000</v>
      </c>
      <c r="J967" s="4">
        <f>IF(G967="Yes",$C$8-I967,0)</f>
        <v>10000</v>
      </c>
      <c r="K967" s="4">
        <f ca="1">IF(H967&gt;=$C$4,J967+I967,I967)</f>
        <v>5000</v>
      </c>
    </row>
    <row r="968" spans="5:11" x14ac:dyDescent="0.25">
      <c r="E968" s="1">
        <f t="shared" si="46"/>
        <v>965</v>
      </c>
      <c r="F968" s="4">
        <f t="shared" ca="1" si="47"/>
        <v>505000</v>
      </c>
      <c r="G968" s="1" t="s">
        <v>70</v>
      </c>
      <c r="H968" s="26">
        <f t="shared" ca="1" si="45"/>
        <v>0.47341350859356923</v>
      </c>
      <c r="I968" s="4">
        <f>IF(G968="Yes",-$C$8,0)</f>
        <v>-5000</v>
      </c>
      <c r="J968" s="4">
        <f>IF(G968="Yes",$C$8-I968,0)</f>
        <v>10000</v>
      </c>
      <c r="K968" s="4">
        <f ca="1">IF(H968&gt;=$C$4,J968+I968,I968)</f>
        <v>5000</v>
      </c>
    </row>
    <row r="969" spans="5:11" x14ac:dyDescent="0.25">
      <c r="E969" s="1">
        <f t="shared" si="46"/>
        <v>966</v>
      </c>
      <c r="F969" s="4">
        <f t="shared" ca="1" si="47"/>
        <v>510000</v>
      </c>
      <c r="G969" s="1" t="s">
        <v>70</v>
      </c>
      <c r="H969" s="26">
        <f t="shared" ca="1" si="45"/>
        <v>0.73367849726059053</v>
      </c>
      <c r="I969" s="4">
        <f>IF(G969="Yes",-$C$8,0)</f>
        <v>-5000</v>
      </c>
      <c r="J969" s="4">
        <f>IF(G969="Yes",$C$8-I969,0)</f>
        <v>10000</v>
      </c>
      <c r="K969" s="4">
        <f ca="1">IF(H969&gt;=$C$4,J969+I969,I969)</f>
        <v>5000</v>
      </c>
    </row>
    <row r="970" spans="5:11" x14ac:dyDescent="0.25">
      <c r="E970" s="1">
        <f t="shared" si="46"/>
        <v>967</v>
      </c>
      <c r="F970" s="4">
        <f t="shared" ca="1" si="47"/>
        <v>515000</v>
      </c>
      <c r="G970" s="1" t="s">
        <v>70</v>
      </c>
      <c r="H970" s="26">
        <f t="shared" ca="1" si="45"/>
        <v>0.69465098672574987</v>
      </c>
      <c r="I970" s="4">
        <f>IF(G970="Yes",-$C$8,0)</f>
        <v>-5000</v>
      </c>
      <c r="J970" s="4">
        <f>IF(G970="Yes",$C$8-I970,0)</f>
        <v>10000</v>
      </c>
      <c r="K970" s="4">
        <f ca="1">IF(H970&gt;=$C$4,J970+I970,I970)</f>
        <v>5000</v>
      </c>
    </row>
    <row r="971" spans="5:11" x14ac:dyDescent="0.25">
      <c r="E971" s="1">
        <f t="shared" si="46"/>
        <v>968</v>
      </c>
      <c r="F971" s="4">
        <f t="shared" ca="1" si="47"/>
        <v>520000</v>
      </c>
      <c r="G971" s="1" t="s">
        <v>70</v>
      </c>
      <c r="H971" s="26">
        <f t="shared" ca="1" si="45"/>
        <v>0.72836518356517699</v>
      </c>
      <c r="I971" s="4">
        <f>IF(G971="Yes",-$C$8,0)</f>
        <v>-5000</v>
      </c>
      <c r="J971" s="4">
        <f>IF(G971="Yes",$C$8-I971,0)</f>
        <v>10000</v>
      </c>
      <c r="K971" s="4">
        <f ca="1">IF(H971&gt;=$C$4,J971+I971,I971)</f>
        <v>5000</v>
      </c>
    </row>
    <row r="972" spans="5:11" x14ac:dyDescent="0.25">
      <c r="E972" s="1">
        <f t="shared" si="46"/>
        <v>969</v>
      </c>
      <c r="F972" s="4">
        <f t="shared" ca="1" si="47"/>
        <v>515000</v>
      </c>
      <c r="G972" s="1" t="s">
        <v>70</v>
      </c>
      <c r="H972" s="26">
        <f t="shared" ca="1" si="45"/>
        <v>0.24161769059118943</v>
      </c>
      <c r="I972" s="4">
        <f>IF(G972="Yes",-$C$8,0)</f>
        <v>-5000</v>
      </c>
      <c r="J972" s="4">
        <f>IF(G972="Yes",$C$8-I972,0)</f>
        <v>10000</v>
      </c>
      <c r="K972" s="4">
        <f ca="1">IF(H972&gt;=$C$4,J972+I972,I972)</f>
        <v>-5000</v>
      </c>
    </row>
    <row r="973" spans="5:11" x14ac:dyDescent="0.25">
      <c r="E973" s="1">
        <f t="shared" si="46"/>
        <v>970</v>
      </c>
      <c r="F973" s="4">
        <f t="shared" ca="1" si="47"/>
        <v>510000</v>
      </c>
      <c r="G973" s="1" t="s">
        <v>70</v>
      </c>
      <c r="H973" s="26">
        <f t="shared" ca="1" si="45"/>
        <v>0.27695080610992273</v>
      </c>
      <c r="I973" s="4">
        <f>IF(G973="Yes",-$C$8,0)</f>
        <v>-5000</v>
      </c>
      <c r="J973" s="4">
        <f>IF(G973="Yes",$C$8-I973,0)</f>
        <v>10000</v>
      </c>
      <c r="K973" s="4">
        <f ca="1">IF(H973&gt;=$C$4,J973+I973,I973)</f>
        <v>-5000</v>
      </c>
    </row>
    <row r="974" spans="5:11" x14ac:dyDescent="0.25">
      <c r="E974" s="1">
        <f t="shared" si="46"/>
        <v>971</v>
      </c>
      <c r="F974" s="4">
        <f t="shared" ca="1" si="47"/>
        <v>505000</v>
      </c>
      <c r="G974" s="1" t="s">
        <v>70</v>
      </c>
      <c r="H974" s="26">
        <f t="shared" ca="1" si="45"/>
        <v>0.26919301504806714</v>
      </c>
      <c r="I974" s="4">
        <f>IF(G974="Yes",-$C$8,0)</f>
        <v>-5000</v>
      </c>
      <c r="J974" s="4">
        <f>IF(G974="Yes",$C$8-I974,0)</f>
        <v>10000</v>
      </c>
      <c r="K974" s="4">
        <f ca="1">IF(H974&gt;=$C$4,J974+I974,I974)</f>
        <v>-5000</v>
      </c>
    </row>
    <row r="975" spans="5:11" x14ac:dyDescent="0.25">
      <c r="E975" s="1">
        <f t="shared" si="46"/>
        <v>972</v>
      </c>
      <c r="F975" s="4">
        <f t="shared" ca="1" si="47"/>
        <v>510000</v>
      </c>
      <c r="G975" s="1" t="s">
        <v>70</v>
      </c>
      <c r="H975" s="26">
        <f t="shared" ca="1" si="45"/>
        <v>0.80589592076552286</v>
      </c>
      <c r="I975" s="4">
        <f>IF(G975="Yes",-$C$8,0)</f>
        <v>-5000</v>
      </c>
      <c r="J975" s="4">
        <f>IF(G975="Yes",$C$8-I975,0)</f>
        <v>10000</v>
      </c>
      <c r="K975" s="4">
        <f ca="1">IF(H975&gt;=$C$4,J975+I975,I975)</f>
        <v>5000</v>
      </c>
    </row>
    <row r="976" spans="5:11" x14ac:dyDescent="0.25">
      <c r="E976" s="1">
        <f t="shared" si="46"/>
        <v>973</v>
      </c>
      <c r="F976" s="4">
        <f t="shared" ca="1" si="47"/>
        <v>505000</v>
      </c>
      <c r="G976" s="1" t="s">
        <v>70</v>
      </c>
      <c r="H976" s="26">
        <f t="shared" ca="1" si="45"/>
        <v>0.20086995604754476</v>
      </c>
      <c r="I976" s="4">
        <f>IF(G976="Yes",-$C$8,0)</f>
        <v>-5000</v>
      </c>
      <c r="J976" s="4">
        <f>IF(G976="Yes",$C$8-I976,0)</f>
        <v>10000</v>
      </c>
      <c r="K976" s="4">
        <f ca="1">IF(H976&gt;=$C$4,J976+I976,I976)</f>
        <v>-5000</v>
      </c>
    </row>
    <row r="977" spans="5:11" x14ac:dyDescent="0.25">
      <c r="E977" s="1">
        <f t="shared" si="46"/>
        <v>974</v>
      </c>
      <c r="F977" s="4">
        <f t="shared" ca="1" si="47"/>
        <v>500000</v>
      </c>
      <c r="G977" s="1" t="s">
        <v>70</v>
      </c>
      <c r="H977" s="26">
        <f t="shared" ca="1" si="45"/>
        <v>0.42662121630568162</v>
      </c>
      <c r="I977" s="4">
        <f>IF(G977="Yes",-$C$8,0)</f>
        <v>-5000</v>
      </c>
      <c r="J977" s="4">
        <f>IF(G977="Yes",$C$8-I977,0)</f>
        <v>10000</v>
      </c>
      <c r="K977" s="4">
        <f ca="1">IF(H977&gt;=$C$4,J977+I977,I977)</f>
        <v>-5000</v>
      </c>
    </row>
    <row r="978" spans="5:11" x14ac:dyDescent="0.25">
      <c r="E978" s="1">
        <f t="shared" si="46"/>
        <v>975</v>
      </c>
      <c r="F978" s="4">
        <f t="shared" ca="1" si="47"/>
        <v>505000</v>
      </c>
      <c r="G978" s="1" t="s">
        <v>70</v>
      </c>
      <c r="H978" s="26">
        <f t="shared" ca="1" si="45"/>
        <v>0.64126911157238642</v>
      </c>
      <c r="I978" s="4">
        <f>IF(G978="Yes",-$C$8,0)</f>
        <v>-5000</v>
      </c>
      <c r="J978" s="4">
        <f>IF(G978="Yes",$C$8-I978,0)</f>
        <v>10000</v>
      </c>
      <c r="K978" s="4">
        <f ca="1">IF(H978&gt;=$C$4,J978+I978,I978)</f>
        <v>5000</v>
      </c>
    </row>
    <row r="979" spans="5:11" x14ac:dyDescent="0.25">
      <c r="E979" s="1">
        <f t="shared" si="46"/>
        <v>976</v>
      </c>
      <c r="F979" s="4">
        <f t="shared" ca="1" si="47"/>
        <v>500000</v>
      </c>
      <c r="G979" s="1" t="s">
        <v>70</v>
      </c>
      <c r="H979" s="26">
        <f t="shared" ca="1" si="45"/>
        <v>0.14285821820166078</v>
      </c>
      <c r="I979" s="4">
        <f>IF(G979="Yes",-$C$8,0)</f>
        <v>-5000</v>
      </c>
      <c r="J979" s="4">
        <f>IF(G979="Yes",$C$8-I979,0)</f>
        <v>10000</v>
      </c>
      <c r="K979" s="4">
        <f ca="1">IF(H979&gt;=$C$4,J979+I979,I979)</f>
        <v>-5000</v>
      </c>
    </row>
    <row r="980" spans="5:11" x14ac:dyDescent="0.25">
      <c r="E980" s="1">
        <f t="shared" si="46"/>
        <v>977</v>
      </c>
      <c r="F980" s="4">
        <f t="shared" ca="1" si="47"/>
        <v>495000</v>
      </c>
      <c r="G980" s="1" t="s">
        <v>70</v>
      </c>
      <c r="H980" s="26">
        <f t="shared" ca="1" si="45"/>
        <v>0.44744443348173213</v>
      </c>
      <c r="I980" s="4">
        <f>IF(G980="Yes",-$C$8,0)</f>
        <v>-5000</v>
      </c>
      <c r="J980" s="4">
        <f>IF(G980="Yes",$C$8-I980,0)</f>
        <v>10000</v>
      </c>
      <c r="K980" s="4">
        <f ca="1">IF(H980&gt;=$C$4,J980+I980,I980)</f>
        <v>-5000</v>
      </c>
    </row>
    <row r="981" spans="5:11" x14ac:dyDescent="0.25">
      <c r="E981" s="1">
        <f t="shared" si="46"/>
        <v>978</v>
      </c>
      <c r="F981" s="4">
        <f t="shared" ca="1" si="47"/>
        <v>490000</v>
      </c>
      <c r="G981" s="1" t="s">
        <v>70</v>
      </c>
      <c r="H981" s="26">
        <f t="shared" ca="1" si="45"/>
        <v>1.2943839096490106E-2</v>
      </c>
      <c r="I981" s="4">
        <f>IF(G981="Yes",-$C$8,0)</f>
        <v>-5000</v>
      </c>
      <c r="J981" s="4">
        <f>IF(G981="Yes",$C$8-I981,0)</f>
        <v>10000</v>
      </c>
      <c r="K981" s="4">
        <f ca="1">IF(H981&gt;=$C$4,J981+I981,I981)</f>
        <v>-5000</v>
      </c>
    </row>
    <row r="982" spans="5:11" x14ac:dyDescent="0.25">
      <c r="E982" s="1">
        <f t="shared" si="46"/>
        <v>979</v>
      </c>
      <c r="F982" s="4">
        <f t="shared" ca="1" si="47"/>
        <v>485000</v>
      </c>
      <c r="G982" s="1" t="s">
        <v>70</v>
      </c>
      <c r="H982" s="26">
        <f t="shared" ca="1" si="45"/>
        <v>5.9541319571715712E-2</v>
      </c>
      <c r="I982" s="4">
        <f>IF(G982="Yes",-$C$8,0)</f>
        <v>-5000</v>
      </c>
      <c r="J982" s="4">
        <f>IF(G982="Yes",$C$8-I982,0)</f>
        <v>10000</v>
      </c>
      <c r="K982" s="4">
        <f ca="1">IF(H982&gt;=$C$4,J982+I982,I982)</f>
        <v>-5000</v>
      </c>
    </row>
    <row r="983" spans="5:11" x14ac:dyDescent="0.25">
      <c r="E983" s="1">
        <f t="shared" si="46"/>
        <v>980</v>
      </c>
      <c r="F983" s="4">
        <f t="shared" ca="1" si="47"/>
        <v>480000</v>
      </c>
      <c r="G983" s="1" t="s">
        <v>70</v>
      </c>
      <c r="H983" s="26">
        <f t="shared" ca="1" si="45"/>
        <v>0.13910955164591099</v>
      </c>
      <c r="I983" s="4">
        <f>IF(G983="Yes",-$C$8,0)</f>
        <v>-5000</v>
      </c>
      <c r="J983" s="4">
        <f>IF(G983="Yes",$C$8-I983,0)</f>
        <v>10000</v>
      </c>
      <c r="K983" s="4">
        <f ca="1">IF(H983&gt;=$C$4,J983+I983,I983)</f>
        <v>-5000</v>
      </c>
    </row>
    <row r="984" spans="5:11" x14ac:dyDescent="0.25">
      <c r="E984" s="1">
        <f t="shared" si="46"/>
        <v>981</v>
      </c>
      <c r="F984" s="4">
        <f t="shared" ca="1" si="47"/>
        <v>485000</v>
      </c>
      <c r="G984" s="1" t="s">
        <v>70</v>
      </c>
      <c r="H984" s="26">
        <f t="shared" ca="1" si="45"/>
        <v>0.77155639700721657</v>
      </c>
      <c r="I984" s="4">
        <f>IF(G984="Yes",-$C$8,0)</f>
        <v>-5000</v>
      </c>
      <c r="J984" s="4">
        <f>IF(G984="Yes",$C$8-I984,0)</f>
        <v>10000</v>
      </c>
      <c r="K984" s="4">
        <f ca="1">IF(H984&gt;=$C$4,J984+I984,I984)</f>
        <v>5000</v>
      </c>
    </row>
    <row r="985" spans="5:11" x14ac:dyDescent="0.25">
      <c r="E985" s="1">
        <f t="shared" si="46"/>
        <v>982</v>
      </c>
      <c r="F985" s="4">
        <f t="shared" ca="1" si="47"/>
        <v>490000</v>
      </c>
      <c r="G985" s="1" t="s">
        <v>70</v>
      </c>
      <c r="H985" s="26">
        <f t="shared" ca="1" si="45"/>
        <v>0.81181767688350026</v>
      </c>
      <c r="I985" s="4">
        <f>IF(G985="Yes",-$C$8,0)</f>
        <v>-5000</v>
      </c>
      <c r="J985" s="4">
        <f>IF(G985="Yes",$C$8-I985,0)</f>
        <v>10000</v>
      </c>
      <c r="K985" s="4">
        <f ca="1">IF(H985&gt;=$C$4,J985+I985,I985)</f>
        <v>5000</v>
      </c>
    </row>
    <row r="986" spans="5:11" x14ac:dyDescent="0.25">
      <c r="E986" s="1">
        <f t="shared" si="46"/>
        <v>983</v>
      </c>
      <c r="F986" s="4">
        <f t="shared" ca="1" si="47"/>
        <v>495000</v>
      </c>
      <c r="G986" s="1" t="s">
        <v>70</v>
      </c>
      <c r="H986" s="26">
        <f t="shared" ca="1" si="45"/>
        <v>0.79271429159404938</v>
      </c>
      <c r="I986" s="4">
        <f>IF(G986="Yes",-$C$8,0)</f>
        <v>-5000</v>
      </c>
      <c r="J986" s="4">
        <f>IF(G986="Yes",$C$8-I986,0)</f>
        <v>10000</v>
      </c>
      <c r="K986" s="4">
        <f ca="1">IF(H986&gt;=$C$4,J986+I986,I986)</f>
        <v>5000</v>
      </c>
    </row>
    <row r="987" spans="5:11" x14ac:dyDescent="0.25">
      <c r="E987" s="1">
        <f t="shared" si="46"/>
        <v>984</v>
      </c>
      <c r="F987" s="4">
        <f t="shared" ca="1" si="47"/>
        <v>490000</v>
      </c>
      <c r="G987" s="1" t="s">
        <v>70</v>
      </c>
      <c r="H987" s="26">
        <f t="shared" ca="1" si="45"/>
        <v>0.28342532356104877</v>
      </c>
      <c r="I987" s="4">
        <f>IF(G987="Yes",-$C$8,0)</f>
        <v>-5000</v>
      </c>
      <c r="J987" s="4">
        <f>IF(G987="Yes",$C$8-I987,0)</f>
        <v>10000</v>
      </c>
      <c r="K987" s="4">
        <f ca="1">IF(H987&gt;=$C$4,J987+I987,I987)</f>
        <v>-5000</v>
      </c>
    </row>
    <row r="988" spans="5:11" x14ac:dyDescent="0.25">
      <c r="E988" s="1">
        <f t="shared" si="46"/>
        <v>985</v>
      </c>
      <c r="F988" s="4">
        <f t="shared" ca="1" si="47"/>
        <v>485000</v>
      </c>
      <c r="G988" s="1" t="s">
        <v>70</v>
      </c>
      <c r="H988" s="26">
        <f t="shared" ca="1" si="45"/>
        <v>0.15694308716781191</v>
      </c>
      <c r="I988" s="4">
        <f>IF(G988="Yes",-$C$8,0)</f>
        <v>-5000</v>
      </c>
      <c r="J988" s="4">
        <f>IF(G988="Yes",$C$8-I988,0)</f>
        <v>10000</v>
      </c>
      <c r="K988" s="4">
        <f ca="1">IF(H988&gt;=$C$4,J988+I988,I988)</f>
        <v>-5000</v>
      </c>
    </row>
    <row r="989" spans="5:11" x14ac:dyDescent="0.25">
      <c r="E989" s="1">
        <f t="shared" si="46"/>
        <v>986</v>
      </c>
      <c r="F989" s="4">
        <f t="shared" ca="1" si="47"/>
        <v>490000</v>
      </c>
      <c r="G989" s="1" t="s">
        <v>70</v>
      </c>
      <c r="H989" s="26">
        <f t="shared" ca="1" si="45"/>
        <v>0.61261556283759977</v>
      </c>
      <c r="I989" s="4">
        <f>IF(G989="Yes",-$C$8,0)</f>
        <v>-5000</v>
      </c>
      <c r="J989" s="4">
        <f>IF(G989="Yes",$C$8-I989,0)</f>
        <v>10000</v>
      </c>
      <c r="K989" s="4">
        <f ca="1">IF(H989&gt;=$C$4,J989+I989,I989)</f>
        <v>5000</v>
      </c>
    </row>
    <row r="990" spans="5:11" x14ac:dyDescent="0.25">
      <c r="E990" s="1">
        <f t="shared" si="46"/>
        <v>987</v>
      </c>
      <c r="F990" s="4">
        <f t="shared" ca="1" si="47"/>
        <v>495000</v>
      </c>
      <c r="G990" s="1" t="s">
        <v>70</v>
      </c>
      <c r="H990" s="26">
        <f t="shared" ca="1" si="45"/>
        <v>0.47133204482699631</v>
      </c>
      <c r="I990" s="4">
        <f>IF(G990="Yes",-$C$8,0)</f>
        <v>-5000</v>
      </c>
      <c r="J990" s="4">
        <f>IF(G990="Yes",$C$8-I990,0)</f>
        <v>10000</v>
      </c>
      <c r="K990" s="4">
        <f ca="1">IF(H990&gt;=$C$4,J990+I990,I990)</f>
        <v>5000</v>
      </c>
    </row>
    <row r="991" spans="5:11" x14ac:dyDescent="0.25">
      <c r="E991" s="1">
        <f t="shared" si="46"/>
        <v>988</v>
      </c>
      <c r="F991" s="4">
        <f t="shared" ca="1" si="47"/>
        <v>490000</v>
      </c>
      <c r="G991" s="1" t="s">
        <v>70</v>
      </c>
      <c r="H991" s="26">
        <f t="shared" ca="1" si="45"/>
        <v>2.9685577245741057E-2</v>
      </c>
      <c r="I991" s="4">
        <f>IF(G991="Yes",-$C$8,0)</f>
        <v>-5000</v>
      </c>
      <c r="J991" s="4">
        <f>IF(G991="Yes",$C$8-I991,0)</f>
        <v>10000</v>
      </c>
      <c r="K991" s="4">
        <f ca="1">IF(H991&gt;=$C$4,J991+I991,I991)</f>
        <v>-5000</v>
      </c>
    </row>
    <row r="992" spans="5:11" x14ac:dyDescent="0.25">
      <c r="E992" s="1">
        <f t="shared" si="46"/>
        <v>989</v>
      </c>
      <c r="F992" s="4">
        <f t="shared" ca="1" si="47"/>
        <v>485000</v>
      </c>
      <c r="G992" s="1" t="s">
        <v>70</v>
      </c>
      <c r="H992" s="26">
        <f t="shared" ca="1" si="45"/>
        <v>0.23275437535064991</v>
      </c>
      <c r="I992" s="4">
        <f>IF(G992="Yes",-$C$8,0)</f>
        <v>-5000</v>
      </c>
      <c r="J992" s="4">
        <f>IF(G992="Yes",$C$8-I992,0)</f>
        <v>10000</v>
      </c>
      <c r="K992" s="4">
        <f ca="1">IF(H992&gt;=$C$4,J992+I992,I992)</f>
        <v>-5000</v>
      </c>
    </row>
    <row r="993" spans="5:11" x14ac:dyDescent="0.25">
      <c r="E993" s="1">
        <f t="shared" si="46"/>
        <v>990</v>
      </c>
      <c r="F993" s="4">
        <f t="shared" ca="1" si="47"/>
        <v>480000</v>
      </c>
      <c r="G993" s="1" t="s">
        <v>70</v>
      </c>
      <c r="H993" s="26">
        <f t="shared" ca="1" si="45"/>
        <v>9.7904348374474703E-2</v>
      </c>
      <c r="I993" s="4">
        <f>IF(G993="Yes",-$C$8,0)</f>
        <v>-5000</v>
      </c>
      <c r="J993" s="4">
        <f>IF(G993="Yes",$C$8-I993,0)</f>
        <v>10000</v>
      </c>
      <c r="K993" s="4">
        <f ca="1">IF(H993&gt;=$C$4,J993+I993,I993)</f>
        <v>-5000</v>
      </c>
    </row>
    <row r="994" spans="5:11" x14ac:dyDescent="0.25">
      <c r="E994" s="1">
        <f t="shared" si="46"/>
        <v>991</v>
      </c>
      <c r="F994" s="4">
        <f t="shared" ca="1" si="47"/>
        <v>485000</v>
      </c>
      <c r="G994" s="1" t="s">
        <v>70</v>
      </c>
      <c r="H994" s="26">
        <f t="shared" ca="1" si="45"/>
        <v>0.57259904395954186</v>
      </c>
      <c r="I994" s="4">
        <f>IF(G994="Yes",-$C$8,0)</f>
        <v>-5000</v>
      </c>
      <c r="J994" s="4">
        <f>IF(G994="Yes",$C$8-I994,0)</f>
        <v>10000</v>
      </c>
      <c r="K994" s="4">
        <f ca="1">IF(H994&gt;=$C$4,J994+I994,I994)</f>
        <v>5000</v>
      </c>
    </row>
    <row r="995" spans="5:11" x14ac:dyDescent="0.25">
      <c r="E995" s="1">
        <f t="shared" si="46"/>
        <v>992</v>
      </c>
      <c r="F995" s="4">
        <f t="shared" ca="1" si="47"/>
        <v>490000</v>
      </c>
      <c r="G995" s="1" t="s">
        <v>70</v>
      </c>
      <c r="H995" s="26">
        <f t="shared" ca="1" si="45"/>
        <v>0.9599204822303179</v>
      </c>
      <c r="I995" s="4">
        <f>IF(G995="Yes",-$C$8,0)</f>
        <v>-5000</v>
      </c>
      <c r="J995" s="4">
        <f>IF(G995="Yes",$C$8-I995,0)</f>
        <v>10000</v>
      </c>
      <c r="K995" s="4">
        <f ca="1">IF(H995&gt;=$C$4,J995+I995,I995)</f>
        <v>5000</v>
      </c>
    </row>
    <row r="996" spans="5:11" x14ac:dyDescent="0.25">
      <c r="E996" s="1">
        <f t="shared" si="46"/>
        <v>993</v>
      </c>
      <c r="F996" s="4">
        <f t="shared" ca="1" si="47"/>
        <v>485000</v>
      </c>
      <c r="G996" s="1" t="s">
        <v>70</v>
      </c>
      <c r="H996" s="26">
        <f t="shared" ca="1" si="45"/>
        <v>2.2354210444074818E-2</v>
      </c>
      <c r="I996" s="4">
        <f>IF(G996="Yes",-$C$8,0)</f>
        <v>-5000</v>
      </c>
      <c r="J996" s="4">
        <f>IF(G996="Yes",$C$8-I996,0)</f>
        <v>10000</v>
      </c>
      <c r="K996" s="4">
        <f ca="1">IF(H996&gt;=$C$4,J996+I996,I996)</f>
        <v>-5000</v>
      </c>
    </row>
    <row r="997" spans="5:11" x14ac:dyDescent="0.25">
      <c r="E997" s="1">
        <f t="shared" si="46"/>
        <v>994</v>
      </c>
      <c r="F997" s="4">
        <f t="shared" ca="1" si="47"/>
        <v>490000</v>
      </c>
      <c r="G997" s="1" t="s">
        <v>70</v>
      </c>
      <c r="H997" s="26">
        <f t="shared" ca="1" si="45"/>
        <v>0.86272763136253461</v>
      </c>
      <c r="I997" s="4">
        <f>IF(G997="Yes",-$C$8,0)</f>
        <v>-5000</v>
      </c>
      <c r="J997" s="4">
        <f>IF(G997="Yes",$C$8-I997,0)</f>
        <v>10000</v>
      </c>
      <c r="K997" s="4">
        <f ca="1">IF(H997&gt;=$C$4,J997+I997,I997)</f>
        <v>5000</v>
      </c>
    </row>
    <row r="998" spans="5:11" x14ac:dyDescent="0.25">
      <c r="E998" s="1">
        <f t="shared" si="46"/>
        <v>995</v>
      </c>
      <c r="F998" s="4">
        <f t="shared" ca="1" si="47"/>
        <v>485000</v>
      </c>
      <c r="G998" s="1" t="s">
        <v>70</v>
      </c>
      <c r="H998" s="26">
        <f t="shared" ca="1" si="45"/>
        <v>6.4077042967901177E-2</v>
      </c>
      <c r="I998" s="4">
        <f>IF(G998="Yes",-$C$8,0)</f>
        <v>-5000</v>
      </c>
      <c r="J998" s="4">
        <f>IF(G998="Yes",$C$8-I998,0)</f>
        <v>10000</v>
      </c>
      <c r="K998" s="4">
        <f ca="1">IF(H998&gt;=$C$4,J998+I998,I998)</f>
        <v>-5000</v>
      </c>
    </row>
    <row r="999" spans="5:11" x14ac:dyDescent="0.25">
      <c r="E999" s="1">
        <f t="shared" si="46"/>
        <v>996</v>
      </c>
      <c r="F999" s="4">
        <f t="shared" ca="1" si="47"/>
        <v>480000</v>
      </c>
      <c r="G999" s="1" t="s">
        <v>70</v>
      </c>
      <c r="H999" s="26">
        <f t="shared" ca="1" si="45"/>
        <v>8.0184368510192061E-2</v>
      </c>
      <c r="I999" s="4">
        <f>IF(G999="Yes",-$C$8,0)</f>
        <v>-5000</v>
      </c>
      <c r="J999" s="4">
        <f>IF(G999="Yes",$C$8-I999,0)</f>
        <v>10000</v>
      </c>
      <c r="K999" s="4">
        <f ca="1">IF(H999&gt;=$C$4,J999+I999,I999)</f>
        <v>-5000</v>
      </c>
    </row>
    <row r="1000" spans="5:11" x14ac:dyDescent="0.25">
      <c r="E1000" s="1">
        <f t="shared" si="46"/>
        <v>997</v>
      </c>
      <c r="F1000" s="4">
        <f t="shared" ca="1" si="47"/>
        <v>485000</v>
      </c>
      <c r="G1000" s="1" t="s">
        <v>70</v>
      </c>
      <c r="H1000" s="26">
        <f t="shared" ca="1" si="45"/>
        <v>0.82465117882774541</v>
      </c>
      <c r="I1000" s="4">
        <f>IF(G1000="Yes",-$C$8,0)</f>
        <v>-5000</v>
      </c>
      <c r="J1000" s="4">
        <f>IF(G1000="Yes",$C$8-I1000,0)</f>
        <v>10000</v>
      </c>
      <c r="K1000" s="4">
        <f ca="1">IF(H1000&gt;=$C$4,J1000+I1000,I1000)</f>
        <v>5000</v>
      </c>
    </row>
    <row r="1001" spans="5:11" x14ac:dyDescent="0.25">
      <c r="E1001" s="1">
        <f t="shared" si="46"/>
        <v>998</v>
      </c>
      <c r="F1001" s="4">
        <f t="shared" ca="1" si="47"/>
        <v>490000</v>
      </c>
      <c r="G1001" s="1" t="s">
        <v>70</v>
      </c>
      <c r="H1001" s="26">
        <f t="shared" ca="1" si="45"/>
        <v>0.79624128779385639</v>
      </c>
      <c r="I1001" s="4">
        <f>IF(G1001="Yes",-$C$8,0)</f>
        <v>-5000</v>
      </c>
      <c r="J1001" s="4">
        <f>IF(G1001="Yes",$C$8-I1001,0)</f>
        <v>10000</v>
      </c>
      <c r="K1001" s="4">
        <f ca="1">IF(H1001&gt;=$C$4,J1001+I1001,I1001)</f>
        <v>5000</v>
      </c>
    </row>
    <row r="1002" spans="5:11" x14ac:dyDescent="0.25">
      <c r="E1002" s="1">
        <f t="shared" si="46"/>
        <v>999</v>
      </c>
      <c r="F1002" s="4">
        <f t="shared" ca="1" si="47"/>
        <v>485000</v>
      </c>
      <c r="G1002" s="1" t="s">
        <v>70</v>
      </c>
      <c r="H1002" s="26">
        <f t="shared" ca="1" si="45"/>
        <v>0.394895398753911</v>
      </c>
      <c r="I1002" s="4">
        <f>IF(G1002="Yes",-$C$8,0)</f>
        <v>-5000</v>
      </c>
      <c r="J1002" s="4">
        <f>IF(G1002="Yes",$C$8-I1002,0)</f>
        <v>10000</v>
      </c>
      <c r="K1002" s="4">
        <f ca="1">IF(H1002&gt;=$C$4,J1002+I1002,I1002)</f>
        <v>-5000</v>
      </c>
    </row>
    <row r="1003" spans="5:11" x14ac:dyDescent="0.25">
      <c r="E1003" s="1">
        <f t="shared" si="46"/>
        <v>1000</v>
      </c>
      <c r="F1003" s="4">
        <f t="shared" ca="1" si="47"/>
        <v>490000</v>
      </c>
      <c r="G1003" s="1" t="s">
        <v>70</v>
      </c>
      <c r="H1003" s="26">
        <f t="shared" ca="1" si="45"/>
        <v>0.89575640489517339</v>
      </c>
      <c r="I1003" s="4">
        <f>IF(G1003="Yes",-$C$8,0)</f>
        <v>-5000</v>
      </c>
      <c r="J1003" s="4">
        <f>IF(G1003="Yes",$C$8-I1003,0)</f>
        <v>10000</v>
      </c>
      <c r="K1003" s="4">
        <f ca="1">IF(H1003&gt;=$C$4,J1003+I1003,I1003)</f>
        <v>5000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R1003"/>
  <sheetViews>
    <sheetView showGridLines="0" zoomScale="150" zoomScaleNormal="150" workbookViewId="0">
      <selection activeCell="C4" sqref="C4"/>
    </sheetView>
  </sheetViews>
  <sheetFormatPr defaultRowHeight="15" x14ac:dyDescent="0.25"/>
  <cols>
    <col min="1" max="1" width="2.140625" customWidth="1"/>
    <col min="2" max="2" width="21.140625" bestFit="1" customWidth="1"/>
    <col min="3" max="3" width="12.28515625" customWidth="1"/>
    <col min="5" max="5" width="11.28515625" bestFit="1" customWidth="1"/>
    <col min="6" max="6" width="10.85546875" style="2" customWidth="1"/>
    <col min="7" max="7" width="12" customWidth="1"/>
    <col min="8" max="8" width="11.85546875" style="1" customWidth="1"/>
    <col min="9" max="9" width="10" style="2" customWidth="1"/>
    <col min="10" max="10" width="14.5703125" style="2" customWidth="1"/>
    <col min="11" max="11" width="12.42578125" style="2" customWidth="1"/>
    <col min="13" max="13" width="11.28515625" customWidth="1"/>
    <col min="15" max="18" width="11.5703125" customWidth="1"/>
  </cols>
  <sheetData>
    <row r="2" spans="2:18" ht="30.75" thickBot="1" x14ac:dyDescent="0.3">
      <c r="E2" s="49" t="s">
        <v>65</v>
      </c>
      <c r="F2" s="50" t="s">
        <v>64</v>
      </c>
      <c r="G2" s="54" t="s">
        <v>69</v>
      </c>
      <c r="H2" s="56" t="s">
        <v>66</v>
      </c>
      <c r="I2" s="50" t="s">
        <v>67</v>
      </c>
      <c r="J2" s="55" t="s">
        <v>71</v>
      </c>
      <c r="K2" s="55" t="s">
        <v>72</v>
      </c>
      <c r="M2" s="55" t="s">
        <v>74</v>
      </c>
      <c r="N2" s="55" t="s">
        <v>75</v>
      </c>
      <c r="O2" s="55" t="s">
        <v>76</v>
      </c>
      <c r="P2" s="55" t="s">
        <v>77</v>
      </c>
      <c r="Q2" s="55" t="s">
        <v>78</v>
      </c>
      <c r="R2" s="55" t="s">
        <v>79</v>
      </c>
    </row>
    <row r="3" spans="2:18" x14ac:dyDescent="0.25">
      <c r="B3" s="44" t="s">
        <v>60</v>
      </c>
      <c r="C3" s="47">
        <v>0.8</v>
      </c>
      <c r="E3" s="1">
        <v>0</v>
      </c>
      <c r="F3" s="4">
        <f>C7</f>
        <v>100000</v>
      </c>
      <c r="G3" s="57"/>
      <c r="H3" s="58"/>
      <c r="I3" s="59"/>
      <c r="J3" s="59"/>
      <c r="K3" s="59"/>
      <c r="R3" s="4">
        <f>$C$7+Q3</f>
        <v>100000</v>
      </c>
    </row>
    <row r="4" spans="2:18" x14ac:dyDescent="0.25">
      <c r="B4" s="45" t="s">
        <v>61</v>
      </c>
      <c r="C4" s="48">
        <f>1-C3</f>
        <v>0.19999999999999996</v>
      </c>
      <c r="E4" s="1">
        <f>E3+1</f>
        <v>1</v>
      </c>
      <c r="F4" s="4">
        <f ca="1">F3+K4</f>
        <v>100500</v>
      </c>
      <c r="G4" s="1" t="s">
        <v>70</v>
      </c>
      <c r="H4" s="26">
        <f t="shared" ref="H4:H67" ca="1" si="0">RAND()</f>
        <v>0.88445937613222181</v>
      </c>
      <c r="I4" s="4">
        <f>IF(G4="Yes",-$C$8,0)</f>
        <v>-500</v>
      </c>
      <c r="J4" s="4">
        <f>IF(G4="Yes",$C$8-I4,0)</f>
        <v>1000</v>
      </c>
      <c r="K4" s="4">
        <f ca="1">IF(H4&gt;=$C$4,J4+I4,I4)</f>
        <v>500</v>
      </c>
      <c r="M4" s="61">
        <f>E4*$C$3</f>
        <v>0.8</v>
      </c>
      <c r="N4" s="61">
        <f>E4-M4</f>
        <v>0.19999999999999996</v>
      </c>
      <c r="O4" s="4">
        <f>M4*$C$8</f>
        <v>400</v>
      </c>
      <c r="P4" s="4">
        <f>N4*(-$C$8)</f>
        <v>-99.999999999999972</v>
      </c>
      <c r="Q4" s="4">
        <f>O4+P4</f>
        <v>300</v>
      </c>
      <c r="R4" s="4">
        <f>$C$7+Q4</f>
        <v>100300</v>
      </c>
    </row>
    <row r="5" spans="2:18" x14ac:dyDescent="0.25">
      <c r="B5" s="45" t="s">
        <v>62</v>
      </c>
      <c r="C5" s="48">
        <f>C3-C4</f>
        <v>0.60000000000000009</v>
      </c>
      <c r="E5" s="1">
        <f t="shared" ref="E5:E68" si="1">E4+1</f>
        <v>2</v>
      </c>
      <c r="F5" s="4">
        <f t="shared" ref="F5:F68" ca="1" si="2">F4+K5</f>
        <v>101000</v>
      </c>
      <c r="G5" s="1" t="s">
        <v>70</v>
      </c>
      <c r="H5" s="26">
        <f t="shared" ca="1" si="0"/>
        <v>0.88627024557277612</v>
      </c>
      <c r="I5" s="4">
        <f>IF(G5="Yes",-$C$8,0)</f>
        <v>-500</v>
      </c>
      <c r="J5" s="4">
        <f>IF(G5="Yes",$C$8-I5,0)</f>
        <v>1000</v>
      </c>
      <c r="K5" s="4">
        <f ca="1">IF(H5&gt;=$C$4,J5+I5,I5)</f>
        <v>500</v>
      </c>
      <c r="M5" s="61">
        <f>E5*$C$3</f>
        <v>1.6</v>
      </c>
      <c r="N5" s="61">
        <f>E5-M5</f>
        <v>0.39999999999999991</v>
      </c>
      <c r="O5" s="4">
        <f t="shared" ref="O5:O68" si="3">M5*$C$8</f>
        <v>800</v>
      </c>
      <c r="P5" s="4">
        <f t="shared" ref="P5:P68" si="4">N5*(-$C$8)</f>
        <v>-199.99999999999994</v>
      </c>
      <c r="Q5" s="4">
        <f t="shared" ref="Q5:Q68" si="5">O5+P5</f>
        <v>600</v>
      </c>
      <c r="R5" s="4">
        <f t="shared" ref="R5:R68" si="6">$C$7+Q5</f>
        <v>100600</v>
      </c>
    </row>
    <row r="6" spans="2:18" ht="15.75" thickBot="1" x14ac:dyDescent="0.3">
      <c r="B6" s="45" t="s">
        <v>63</v>
      </c>
      <c r="C6" s="48">
        <f>C3-0.5</f>
        <v>0.30000000000000004</v>
      </c>
      <c r="E6" s="1">
        <f t="shared" si="1"/>
        <v>3</v>
      </c>
      <c r="F6" s="4">
        <f t="shared" ca="1" si="2"/>
        <v>101500</v>
      </c>
      <c r="G6" s="1" t="s">
        <v>70</v>
      </c>
      <c r="H6" s="26">
        <f t="shared" ca="1" si="0"/>
        <v>0.22221645841691862</v>
      </c>
      <c r="I6" s="4">
        <f>IF(G6="Yes",-$C$8,0)</f>
        <v>-500</v>
      </c>
      <c r="J6" s="4">
        <f>IF(G6="Yes",$C$8-I6,0)</f>
        <v>1000</v>
      </c>
      <c r="K6" s="4">
        <f ca="1">IF(H6&gt;=$C$4,J6+I6,I6)</f>
        <v>500</v>
      </c>
      <c r="M6" s="61">
        <f>E6*$C$3</f>
        <v>2.4000000000000004</v>
      </c>
      <c r="N6" s="61">
        <f>E6-M6</f>
        <v>0.59999999999999964</v>
      </c>
      <c r="O6" s="4">
        <f t="shared" si="3"/>
        <v>1200.0000000000002</v>
      </c>
      <c r="P6" s="4">
        <f t="shared" si="4"/>
        <v>-299.99999999999983</v>
      </c>
      <c r="Q6" s="4">
        <f t="shared" si="5"/>
        <v>900.00000000000045</v>
      </c>
      <c r="R6" s="4">
        <f t="shared" si="6"/>
        <v>100900</v>
      </c>
    </row>
    <row r="7" spans="2:18" x14ac:dyDescent="0.25">
      <c r="B7" s="44" t="s">
        <v>40</v>
      </c>
      <c r="C7" s="51">
        <v>100000</v>
      </c>
      <c r="E7" s="1">
        <f t="shared" si="1"/>
        <v>4</v>
      </c>
      <c r="F7" s="4">
        <f t="shared" ca="1" si="2"/>
        <v>101000</v>
      </c>
      <c r="G7" s="1" t="s">
        <v>70</v>
      </c>
      <c r="H7" s="26">
        <f t="shared" ca="1" si="0"/>
        <v>7.8252044877715421E-2</v>
      </c>
      <c r="I7" s="4">
        <f>IF(G7="Yes",-$C$8,0)</f>
        <v>-500</v>
      </c>
      <c r="J7" s="4">
        <f>IF(G7="Yes",$C$8-I7,0)</f>
        <v>1000</v>
      </c>
      <c r="K7" s="4">
        <f ca="1">IF(H7&gt;=$C$4,J7+I7,I7)</f>
        <v>-500</v>
      </c>
      <c r="M7" s="61">
        <f>E7*$C$3</f>
        <v>3.2</v>
      </c>
      <c r="N7" s="61">
        <f>E7-M7</f>
        <v>0.79999999999999982</v>
      </c>
      <c r="O7" s="4">
        <f t="shared" si="3"/>
        <v>1600</v>
      </c>
      <c r="P7" s="4">
        <f t="shared" si="4"/>
        <v>-399.99999999999989</v>
      </c>
      <c r="Q7" s="4">
        <f t="shared" si="5"/>
        <v>1200</v>
      </c>
      <c r="R7" s="4">
        <f t="shared" si="6"/>
        <v>101200</v>
      </c>
    </row>
    <row r="8" spans="2:18" x14ac:dyDescent="0.25">
      <c r="B8" s="45" t="s">
        <v>67</v>
      </c>
      <c r="C8" s="52">
        <v>500</v>
      </c>
      <c r="E8" s="1">
        <f t="shared" si="1"/>
        <v>5</v>
      </c>
      <c r="F8" s="4">
        <f t="shared" ca="1" si="2"/>
        <v>100500</v>
      </c>
      <c r="G8" s="1" t="s">
        <v>70</v>
      </c>
      <c r="H8" s="26">
        <f t="shared" ca="1" si="0"/>
        <v>3.2182165416901776E-2</v>
      </c>
      <c r="I8" s="4">
        <f>IF(G8="Yes",-$C$8,0)</f>
        <v>-500</v>
      </c>
      <c r="J8" s="4">
        <f>IF(G8="Yes",$C$8-I8,0)</f>
        <v>1000</v>
      </c>
      <c r="K8" s="4">
        <f ca="1">IF(H8&gt;=$C$4,J8+I8,I8)</f>
        <v>-500</v>
      </c>
      <c r="M8" s="61">
        <f>E8*$C$3</f>
        <v>4</v>
      </c>
      <c r="N8" s="61">
        <f>E8-M8</f>
        <v>1</v>
      </c>
      <c r="O8" s="4">
        <f t="shared" si="3"/>
        <v>2000</v>
      </c>
      <c r="P8" s="4">
        <f t="shared" si="4"/>
        <v>-500</v>
      </c>
      <c r="Q8" s="4">
        <f t="shared" si="5"/>
        <v>1500</v>
      </c>
      <c r="R8" s="4">
        <f t="shared" si="6"/>
        <v>101500</v>
      </c>
    </row>
    <row r="9" spans="2:18" ht="15.75" thickBot="1" x14ac:dyDescent="0.3">
      <c r="B9" s="45" t="s">
        <v>68</v>
      </c>
      <c r="C9" s="60">
        <f>C8/C7</f>
        <v>5.0000000000000001E-3</v>
      </c>
      <c r="E9" s="1">
        <f t="shared" si="1"/>
        <v>6</v>
      </c>
      <c r="F9" s="4">
        <f t="shared" ca="1" si="2"/>
        <v>101000</v>
      </c>
      <c r="G9" s="1" t="s">
        <v>70</v>
      </c>
      <c r="H9" s="26">
        <f t="shared" ca="1" si="0"/>
        <v>0.6819994321133046</v>
      </c>
      <c r="I9" s="4">
        <f>IF(G9="Yes",-$C$8,0)</f>
        <v>-500</v>
      </c>
      <c r="J9" s="4">
        <f>IF(G9="Yes",$C$8-I9,0)</f>
        <v>1000</v>
      </c>
      <c r="K9" s="4">
        <f ca="1">IF(H9&gt;=$C$4,J9+I9,I9)</f>
        <v>500</v>
      </c>
      <c r="M9" s="61">
        <f>E9*$C$3</f>
        <v>4.8000000000000007</v>
      </c>
      <c r="N9" s="61">
        <f>E9-M9</f>
        <v>1.1999999999999993</v>
      </c>
      <c r="O9" s="4">
        <f t="shared" si="3"/>
        <v>2400.0000000000005</v>
      </c>
      <c r="P9" s="4">
        <f t="shared" si="4"/>
        <v>-599.99999999999966</v>
      </c>
      <c r="Q9" s="4">
        <f t="shared" si="5"/>
        <v>1800.0000000000009</v>
      </c>
      <c r="R9" s="4">
        <f t="shared" si="6"/>
        <v>101800</v>
      </c>
    </row>
    <row r="10" spans="2:18" x14ac:dyDescent="0.25">
      <c r="B10" s="44" t="s">
        <v>18</v>
      </c>
      <c r="C10" s="51">
        <f ca="1">$F$1003</f>
        <v>391000</v>
      </c>
      <c r="E10" s="1">
        <f t="shared" si="1"/>
        <v>7</v>
      </c>
      <c r="F10" s="4">
        <f t="shared" ca="1" si="2"/>
        <v>101500</v>
      </c>
      <c r="G10" s="1" t="s">
        <v>70</v>
      </c>
      <c r="H10" s="26">
        <f t="shared" ca="1" si="0"/>
        <v>0.2799066773390686</v>
      </c>
      <c r="I10" s="4">
        <f>IF(G10="Yes",-$C$8,0)</f>
        <v>-500</v>
      </c>
      <c r="J10" s="4">
        <f>IF(G10="Yes",$C$8-I10,0)</f>
        <v>1000</v>
      </c>
      <c r="K10" s="4">
        <f ca="1">IF(H10&gt;=$C$4,J10+I10,I10)</f>
        <v>500</v>
      </c>
      <c r="M10" s="61">
        <f>E10*$C$3</f>
        <v>5.6000000000000005</v>
      </c>
      <c r="N10" s="61">
        <f>E10-M10</f>
        <v>1.3999999999999995</v>
      </c>
      <c r="O10" s="4">
        <f t="shared" si="3"/>
        <v>2800.0000000000005</v>
      </c>
      <c r="P10" s="4">
        <f t="shared" si="4"/>
        <v>-699.99999999999977</v>
      </c>
      <c r="Q10" s="4">
        <f t="shared" si="5"/>
        <v>2100.0000000000009</v>
      </c>
      <c r="R10" s="4">
        <f t="shared" si="6"/>
        <v>102100</v>
      </c>
    </row>
    <row r="11" spans="2:18" x14ac:dyDescent="0.25">
      <c r="B11" s="45" t="s">
        <v>37</v>
      </c>
      <c r="C11" s="52">
        <f ca="1">C10-C7</f>
        <v>291000</v>
      </c>
      <c r="E11" s="1">
        <f t="shared" si="1"/>
        <v>8</v>
      </c>
      <c r="F11" s="4">
        <f t="shared" ca="1" si="2"/>
        <v>102000</v>
      </c>
      <c r="G11" s="1" t="s">
        <v>70</v>
      </c>
      <c r="H11" s="26">
        <f t="shared" ca="1" si="0"/>
        <v>0.68677605137442999</v>
      </c>
      <c r="I11" s="4">
        <f>IF(G11="Yes",-$C$8,0)</f>
        <v>-500</v>
      </c>
      <c r="J11" s="4">
        <f>IF(G11="Yes",$C$8-I11,0)</f>
        <v>1000</v>
      </c>
      <c r="K11" s="4">
        <f ca="1">IF(H11&gt;=$C$4,J11+I11,I11)</f>
        <v>500</v>
      </c>
      <c r="M11" s="61">
        <f>E11*$C$3</f>
        <v>6.4</v>
      </c>
      <c r="N11" s="61">
        <f>E11-M11</f>
        <v>1.5999999999999996</v>
      </c>
      <c r="O11" s="4">
        <f t="shared" si="3"/>
        <v>3200</v>
      </c>
      <c r="P11" s="4">
        <f t="shared" si="4"/>
        <v>-799.99999999999977</v>
      </c>
      <c r="Q11" s="4">
        <f t="shared" si="5"/>
        <v>2400</v>
      </c>
      <c r="R11" s="4">
        <f t="shared" si="6"/>
        <v>102400</v>
      </c>
    </row>
    <row r="12" spans="2:18" ht="15.75" thickBot="1" x14ac:dyDescent="0.3">
      <c r="B12" s="46" t="s">
        <v>73</v>
      </c>
      <c r="C12" s="53">
        <f ca="1">C11/C7</f>
        <v>2.91</v>
      </c>
      <c r="E12" s="1">
        <f t="shared" si="1"/>
        <v>9</v>
      </c>
      <c r="F12" s="4">
        <f t="shared" ca="1" si="2"/>
        <v>101500</v>
      </c>
      <c r="G12" s="1" t="s">
        <v>70</v>
      </c>
      <c r="H12" s="26">
        <f t="shared" ca="1" si="0"/>
        <v>0.1818052120143886</v>
      </c>
      <c r="I12" s="4">
        <f>IF(G12="Yes",-$C$8,0)</f>
        <v>-500</v>
      </c>
      <c r="J12" s="4">
        <f>IF(G12="Yes",$C$8-I12,0)</f>
        <v>1000</v>
      </c>
      <c r="K12" s="4">
        <f ca="1">IF(H12&gt;=$C$4,J12+I12,I12)</f>
        <v>-500</v>
      </c>
      <c r="M12" s="61">
        <f>E12*$C$3</f>
        <v>7.2</v>
      </c>
      <c r="N12" s="61">
        <f>E12-M12</f>
        <v>1.7999999999999998</v>
      </c>
      <c r="O12" s="4">
        <f t="shared" si="3"/>
        <v>3600</v>
      </c>
      <c r="P12" s="4">
        <f t="shared" si="4"/>
        <v>-899.99999999999989</v>
      </c>
      <c r="Q12" s="4">
        <f t="shared" si="5"/>
        <v>2700</v>
      </c>
      <c r="R12" s="4">
        <f t="shared" si="6"/>
        <v>102700</v>
      </c>
    </row>
    <row r="13" spans="2:18" x14ac:dyDescent="0.25">
      <c r="E13" s="1">
        <f t="shared" si="1"/>
        <v>10</v>
      </c>
      <c r="F13" s="4">
        <f t="shared" ca="1" si="2"/>
        <v>102000</v>
      </c>
      <c r="G13" s="1" t="s">
        <v>70</v>
      </c>
      <c r="H13" s="26">
        <f t="shared" ca="1" si="0"/>
        <v>0.27436278089866351</v>
      </c>
      <c r="I13" s="4">
        <f>IF(G13="Yes",-$C$8,0)</f>
        <v>-500</v>
      </c>
      <c r="J13" s="4">
        <f>IF(G13="Yes",$C$8-I13,0)</f>
        <v>1000</v>
      </c>
      <c r="K13" s="4">
        <f ca="1">IF(H13&gt;=$C$4,J13+I13,I13)</f>
        <v>500</v>
      </c>
      <c r="M13" s="61">
        <f>E13*$C$3</f>
        <v>8</v>
      </c>
      <c r="N13" s="61">
        <f>E13-M13</f>
        <v>2</v>
      </c>
      <c r="O13" s="4">
        <f t="shared" si="3"/>
        <v>4000</v>
      </c>
      <c r="P13" s="4">
        <f t="shared" si="4"/>
        <v>-1000</v>
      </c>
      <c r="Q13" s="4">
        <f t="shared" si="5"/>
        <v>3000</v>
      </c>
      <c r="R13" s="4">
        <f t="shared" si="6"/>
        <v>103000</v>
      </c>
    </row>
    <row r="14" spans="2:18" x14ac:dyDescent="0.25">
      <c r="E14" s="1">
        <f t="shared" si="1"/>
        <v>11</v>
      </c>
      <c r="F14" s="4">
        <f t="shared" ca="1" si="2"/>
        <v>102500</v>
      </c>
      <c r="G14" s="1" t="s">
        <v>70</v>
      </c>
      <c r="H14" s="26">
        <f t="shared" ca="1" si="0"/>
        <v>0.632328687833137</v>
      </c>
      <c r="I14" s="4">
        <f>IF(G14="Yes",-$C$8,0)</f>
        <v>-500</v>
      </c>
      <c r="J14" s="4">
        <f>IF(G14="Yes",$C$8-I14,0)</f>
        <v>1000</v>
      </c>
      <c r="K14" s="4">
        <f ca="1">IF(H14&gt;=$C$4,J14+I14,I14)</f>
        <v>500</v>
      </c>
      <c r="M14" s="61">
        <f t="shared" ref="M14:M77" si="7">E14*$C$3</f>
        <v>8.8000000000000007</v>
      </c>
      <c r="N14" s="61">
        <f t="shared" ref="N14:N77" si="8">E14-M14</f>
        <v>2.1999999999999993</v>
      </c>
      <c r="O14" s="4">
        <f t="shared" si="3"/>
        <v>4400</v>
      </c>
      <c r="P14" s="4">
        <f t="shared" si="4"/>
        <v>-1099.9999999999995</v>
      </c>
      <c r="Q14" s="4">
        <f t="shared" si="5"/>
        <v>3300.0000000000005</v>
      </c>
      <c r="R14" s="4">
        <f t="shared" si="6"/>
        <v>103300</v>
      </c>
    </row>
    <row r="15" spans="2:18" x14ac:dyDescent="0.25">
      <c r="E15" s="1">
        <f t="shared" si="1"/>
        <v>12</v>
      </c>
      <c r="F15" s="4">
        <f t="shared" ca="1" si="2"/>
        <v>103000</v>
      </c>
      <c r="G15" s="1" t="s">
        <v>70</v>
      </c>
      <c r="H15" s="26">
        <f t="shared" ca="1" si="0"/>
        <v>0.41817784493975307</v>
      </c>
      <c r="I15" s="4">
        <f>IF(G15="Yes",-$C$8,0)</f>
        <v>-500</v>
      </c>
      <c r="J15" s="4">
        <f>IF(G15="Yes",$C$8-I15,0)</f>
        <v>1000</v>
      </c>
      <c r="K15" s="4">
        <f ca="1">IF(H15&gt;=$C$4,J15+I15,I15)</f>
        <v>500</v>
      </c>
      <c r="M15" s="61">
        <f t="shared" si="7"/>
        <v>9.6000000000000014</v>
      </c>
      <c r="N15" s="61">
        <f t="shared" si="8"/>
        <v>2.3999999999999986</v>
      </c>
      <c r="O15" s="4">
        <f t="shared" si="3"/>
        <v>4800.0000000000009</v>
      </c>
      <c r="P15" s="4">
        <f t="shared" si="4"/>
        <v>-1199.9999999999993</v>
      </c>
      <c r="Q15" s="4">
        <f t="shared" si="5"/>
        <v>3600.0000000000018</v>
      </c>
      <c r="R15" s="4">
        <f t="shared" si="6"/>
        <v>103600</v>
      </c>
    </row>
    <row r="16" spans="2:18" x14ac:dyDescent="0.25">
      <c r="E16" s="1">
        <f t="shared" si="1"/>
        <v>13</v>
      </c>
      <c r="F16" s="4">
        <f t="shared" ca="1" si="2"/>
        <v>103500</v>
      </c>
      <c r="G16" s="1" t="s">
        <v>70</v>
      </c>
      <c r="H16" s="26">
        <f t="shared" ca="1" si="0"/>
        <v>0.89634851355145173</v>
      </c>
      <c r="I16" s="4">
        <f>IF(G16="Yes",-$C$8,0)</f>
        <v>-500</v>
      </c>
      <c r="J16" s="4">
        <f>IF(G16="Yes",$C$8-I16,0)</f>
        <v>1000</v>
      </c>
      <c r="K16" s="4">
        <f ca="1">IF(H16&gt;=$C$4,J16+I16,I16)</f>
        <v>500</v>
      </c>
      <c r="M16" s="61">
        <f t="shared" si="7"/>
        <v>10.4</v>
      </c>
      <c r="N16" s="61">
        <f t="shared" si="8"/>
        <v>2.5999999999999996</v>
      </c>
      <c r="O16" s="4">
        <f t="shared" si="3"/>
        <v>5200</v>
      </c>
      <c r="P16" s="4">
        <f t="shared" si="4"/>
        <v>-1299.9999999999998</v>
      </c>
      <c r="Q16" s="4">
        <f t="shared" si="5"/>
        <v>3900</v>
      </c>
      <c r="R16" s="4">
        <f t="shared" si="6"/>
        <v>103900</v>
      </c>
    </row>
    <row r="17" spans="5:18" x14ac:dyDescent="0.25">
      <c r="E17" s="1">
        <f t="shared" si="1"/>
        <v>14</v>
      </c>
      <c r="F17" s="4">
        <f t="shared" ca="1" si="2"/>
        <v>104000</v>
      </c>
      <c r="G17" s="1" t="s">
        <v>70</v>
      </c>
      <c r="H17" s="26">
        <f t="shared" ca="1" si="0"/>
        <v>0.57854497411618966</v>
      </c>
      <c r="I17" s="4">
        <f>IF(G17="Yes",-$C$8,0)</f>
        <v>-500</v>
      </c>
      <c r="J17" s="4">
        <f>IF(G17="Yes",$C$8-I17,0)</f>
        <v>1000</v>
      </c>
      <c r="K17" s="4">
        <f ca="1">IF(H17&gt;=$C$4,J17+I17,I17)</f>
        <v>500</v>
      </c>
      <c r="M17" s="61">
        <f t="shared" si="7"/>
        <v>11.200000000000001</v>
      </c>
      <c r="N17" s="61">
        <f t="shared" si="8"/>
        <v>2.7999999999999989</v>
      </c>
      <c r="O17" s="4">
        <f t="shared" si="3"/>
        <v>5600.0000000000009</v>
      </c>
      <c r="P17" s="4">
        <f t="shared" si="4"/>
        <v>-1399.9999999999995</v>
      </c>
      <c r="Q17" s="4">
        <f t="shared" si="5"/>
        <v>4200.0000000000018</v>
      </c>
      <c r="R17" s="4">
        <f t="shared" si="6"/>
        <v>104200</v>
      </c>
    </row>
    <row r="18" spans="5:18" x14ac:dyDescent="0.25">
      <c r="E18" s="1">
        <f t="shared" si="1"/>
        <v>15</v>
      </c>
      <c r="F18" s="4">
        <f t="shared" ca="1" si="2"/>
        <v>104500</v>
      </c>
      <c r="G18" s="1" t="s">
        <v>70</v>
      </c>
      <c r="H18" s="26">
        <f t="shared" ca="1" si="0"/>
        <v>0.86443046651957511</v>
      </c>
      <c r="I18" s="4">
        <f>IF(G18="Yes",-$C$8,0)</f>
        <v>-500</v>
      </c>
      <c r="J18" s="4">
        <f>IF(G18="Yes",$C$8-I18,0)</f>
        <v>1000</v>
      </c>
      <c r="K18" s="4">
        <f ca="1">IF(H18&gt;=$C$4,J18+I18,I18)</f>
        <v>500</v>
      </c>
      <c r="M18" s="61">
        <f t="shared" si="7"/>
        <v>12</v>
      </c>
      <c r="N18" s="61">
        <f t="shared" si="8"/>
        <v>3</v>
      </c>
      <c r="O18" s="4">
        <f t="shared" si="3"/>
        <v>6000</v>
      </c>
      <c r="P18" s="4">
        <f t="shared" si="4"/>
        <v>-1500</v>
      </c>
      <c r="Q18" s="4">
        <f t="shared" si="5"/>
        <v>4500</v>
      </c>
      <c r="R18" s="4">
        <f t="shared" si="6"/>
        <v>104500</v>
      </c>
    </row>
    <row r="19" spans="5:18" x14ac:dyDescent="0.25">
      <c r="E19" s="1">
        <f t="shared" si="1"/>
        <v>16</v>
      </c>
      <c r="F19" s="4">
        <f t="shared" ca="1" si="2"/>
        <v>105000</v>
      </c>
      <c r="G19" s="1" t="s">
        <v>70</v>
      </c>
      <c r="H19" s="26">
        <f t="shared" ca="1" si="0"/>
        <v>0.55101934228356464</v>
      </c>
      <c r="I19" s="4">
        <f>IF(G19="Yes",-$C$8,0)</f>
        <v>-500</v>
      </c>
      <c r="J19" s="4">
        <f>IF(G19="Yes",$C$8-I19,0)</f>
        <v>1000</v>
      </c>
      <c r="K19" s="4">
        <f ca="1">IF(H19&gt;=$C$4,J19+I19,I19)</f>
        <v>500</v>
      </c>
      <c r="M19" s="61">
        <f t="shared" si="7"/>
        <v>12.8</v>
      </c>
      <c r="N19" s="61">
        <f t="shared" si="8"/>
        <v>3.1999999999999993</v>
      </c>
      <c r="O19" s="4">
        <f t="shared" si="3"/>
        <v>6400</v>
      </c>
      <c r="P19" s="4">
        <f t="shared" si="4"/>
        <v>-1599.9999999999995</v>
      </c>
      <c r="Q19" s="4">
        <f t="shared" si="5"/>
        <v>4800</v>
      </c>
      <c r="R19" s="4">
        <f t="shared" si="6"/>
        <v>104800</v>
      </c>
    </row>
    <row r="20" spans="5:18" x14ac:dyDescent="0.25">
      <c r="E20" s="1">
        <f t="shared" si="1"/>
        <v>17</v>
      </c>
      <c r="F20" s="4">
        <f t="shared" ca="1" si="2"/>
        <v>105500</v>
      </c>
      <c r="G20" s="1" t="s">
        <v>70</v>
      </c>
      <c r="H20" s="26">
        <f t="shared" ca="1" si="0"/>
        <v>0.45395895411684595</v>
      </c>
      <c r="I20" s="4">
        <f>IF(G20="Yes",-$C$8,0)</f>
        <v>-500</v>
      </c>
      <c r="J20" s="4">
        <f>IF(G20="Yes",$C$8-I20,0)</f>
        <v>1000</v>
      </c>
      <c r="K20" s="4">
        <f ca="1">IF(H20&gt;=$C$4,J20+I20,I20)</f>
        <v>500</v>
      </c>
      <c r="M20" s="61">
        <f t="shared" si="7"/>
        <v>13.600000000000001</v>
      </c>
      <c r="N20" s="61">
        <f t="shared" si="8"/>
        <v>3.3999999999999986</v>
      </c>
      <c r="O20" s="4">
        <f t="shared" si="3"/>
        <v>6800.0000000000009</v>
      </c>
      <c r="P20" s="4">
        <f t="shared" si="4"/>
        <v>-1699.9999999999993</v>
      </c>
      <c r="Q20" s="4">
        <f t="shared" si="5"/>
        <v>5100.0000000000018</v>
      </c>
      <c r="R20" s="4">
        <f t="shared" si="6"/>
        <v>105100</v>
      </c>
    </row>
    <row r="21" spans="5:18" x14ac:dyDescent="0.25">
      <c r="E21" s="1">
        <f t="shared" si="1"/>
        <v>18</v>
      </c>
      <c r="F21" s="4">
        <f t="shared" ca="1" si="2"/>
        <v>106000</v>
      </c>
      <c r="G21" s="1" t="s">
        <v>70</v>
      </c>
      <c r="H21" s="26">
        <f t="shared" ca="1" si="0"/>
        <v>0.42232872991175208</v>
      </c>
      <c r="I21" s="4">
        <f>IF(G21="Yes",-$C$8,0)</f>
        <v>-500</v>
      </c>
      <c r="J21" s="4">
        <f>IF(G21="Yes",$C$8-I21,0)</f>
        <v>1000</v>
      </c>
      <c r="K21" s="4">
        <f ca="1">IF(H21&gt;=$C$4,J21+I21,I21)</f>
        <v>500</v>
      </c>
      <c r="M21" s="61">
        <f t="shared" si="7"/>
        <v>14.4</v>
      </c>
      <c r="N21" s="61">
        <f t="shared" si="8"/>
        <v>3.5999999999999996</v>
      </c>
      <c r="O21" s="4">
        <f t="shared" si="3"/>
        <v>7200</v>
      </c>
      <c r="P21" s="4">
        <f t="shared" si="4"/>
        <v>-1799.9999999999998</v>
      </c>
      <c r="Q21" s="4">
        <f t="shared" si="5"/>
        <v>5400</v>
      </c>
      <c r="R21" s="4">
        <f t="shared" si="6"/>
        <v>105400</v>
      </c>
    </row>
    <row r="22" spans="5:18" x14ac:dyDescent="0.25">
      <c r="E22" s="1">
        <f t="shared" si="1"/>
        <v>19</v>
      </c>
      <c r="F22" s="4">
        <f t="shared" ca="1" si="2"/>
        <v>106500</v>
      </c>
      <c r="G22" s="1" t="s">
        <v>70</v>
      </c>
      <c r="H22" s="26">
        <f t="shared" ca="1" si="0"/>
        <v>0.65147324412655949</v>
      </c>
      <c r="I22" s="4">
        <f>IF(G22="Yes",-$C$8,0)</f>
        <v>-500</v>
      </c>
      <c r="J22" s="4">
        <f>IF(G22="Yes",$C$8-I22,0)</f>
        <v>1000</v>
      </c>
      <c r="K22" s="4">
        <f ca="1">IF(H22&gt;=$C$4,J22+I22,I22)</f>
        <v>500</v>
      </c>
      <c r="M22" s="61">
        <f t="shared" si="7"/>
        <v>15.200000000000001</v>
      </c>
      <c r="N22" s="61">
        <f t="shared" si="8"/>
        <v>3.7999999999999989</v>
      </c>
      <c r="O22" s="4">
        <f t="shared" si="3"/>
        <v>7600.0000000000009</v>
      </c>
      <c r="P22" s="4">
        <f t="shared" si="4"/>
        <v>-1899.9999999999995</v>
      </c>
      <c r="Q22" s="4">
        <f t="shared" si="5"/>
        <v>5700.0000000000018</v>
      </c>
      <c r="R22" s="4">
        <f t="shared" si="6"/>
        <v>105700</v>
      </c>
    </row>
    <row r="23" spans="5:18" x14ac:dyDescent="0.25">
      <c r="E23" s="1">
        <f t="shared" si="1"/>
        <v>20</v>
      </c>
      <c r="F23" s="4">
        <f t="shared" ca="1" si="2"/>
        <v>106000</v>
      </c>
      <c r="G23" s="1" t="s">
        <v>70</v>
      </c>
      <c r="H23" s="26">
        <f t="shared" ca="1" si="0"/>
        <v>0.13890303037648288</v>
      </c>
      <c r="I23" s="4">
        <f>IF(G23="Yes",-$C$8,0)</f>
        <v>-500</v>
      </c>
      <c r="J23" s="4">
        <f>IF(G23="Yes",$C$8-I23,0)</f>
        <v>1000</v>
      </c>
      <c r="K23" s="4">
        <f ca="1">IF(H23&gt;=$C$4,J23+I23,I23)</f>
        <v>-500</v>
      </c>
      <c r="M23" s="61">
        <f t="shared" si="7"/>
        <v>16</v>
      </c>
      <c r="N23" s="61">
        <f t="shared" si="8"/>
        <v>4</v>
      </c>
      <c r="O23" s="4">
        <f t="shared" si="3"/>
        <v>8000</v>
      </c>
      <c r="P23" s="4">
        <f t="shared" si="4"/>
        <v>-2000</v>
      </c>
      <c r="Q23" s="4">
        <f t="shared" si="5"/>
        <v>6000</v>
      </c>
      <c r="R23" s="4">
        <f t="shared" si="6"/>
        <v>106000</v>
      </c>
    </row>
    <row r="24" spans="5:18" x14ac:dyDescent="0.25">
      <c r="E24" s="1">
        <f t="shared" si="1"/>
        <v>21</v>
      </c>
      <c r="F24" s="4">
        <f t="shared" ca="1" si="2"/>
        <v>106500</v>
      </c>
      <c r="G24" s="1" t="s">
        <v>70</v>
      </c>
      <c r="H24" s="26">
        <f t="shared" ca="1" si="0"/>
        <v>0.6990535967646041</v>
      </c>
      <c r="I24" s="4">
        <f>IF(G24="Yes",-$C$8,0)</f>
        <v>-500</v>
      </c>
      <c r="J24" s="4">
        <f>IF(G24="Yes",$C$8-I24,0)</f>
        <v>1000</v>
      </c>
      <c r="K24" s="4">
        <f ca="1">IF(H24&gt;=$C$4,J24+I24,I24)</f>
        <v>500</v>
      </c>
      <c r="M24" s="61">
        <f t="shared" si="7"/>
        <v>16.8</v>
      </c>
      <c r="N24" s="61">
        <f t="shared" si="8"/>
        <v>4.1999999999999993</v>
      </c>
      <c r="O24" s="4">
        <f t="shared" si="3"/>
        <v>8400</v>
      </c>
      <c r="P24" s="4">
        <f t="shared" si="4"/>
        <v>-2099.9999999999995</v>
      </c>
      <c r="Q24" s="4">
        <f t="shared" si="5"/>
        <v>6300</v>
      </c>
      <c r="R24" s="4">
        <f t="shared" si="6"/>
        <v>106300</v>
      </c>
    </row>
    <row r="25" spans="5:18" x14ac:dyDescent="0.25">
      <c r="E25" s="1">
        <f t="shared" si="1"/>
        <v>22</v>
      </c>
      <c r="F25" s="4">
        <f t="shared" ca="1" si="2"/>
        <v>106000</v>
      </c>
      <c r="G25" s="1" t="s">
        <v>70</v>
      </c>
      <c r="H25" s="26">
        <f t="shared" ca="1" si="0"/>
        <v>3.202471224410175E-2</v>
      </c>
      <c r="I25" s="4">
        <f>IF(G25="Yes",-$C$8,0)</f>
        <v>-500</v>
      </c>
      <c r="J25" s="4">
        <f>IF(G25="Yes",$C$8-I25,0)</f>
        <v>1000</v>
      </c>
      <c r="K25" s="4">
        <f ca="1">IF(H25&gt;=$C$4,J25+I25,I25)</f>
        <v>-500</v>
      </c>
      <c r="M25" s="61">
        <f t="shared" si="7"/>
        <v>17.600000000000001</v>
      </c>
      <c r="N25" s="61">
        <f t="shared" si="8"/>
        <v>4.3999999999999986</v>
      </c>
      <c r="O25" s="4">
        <f t="shared" si="3"/>
        <v>8800</v>
      </c>
      <c r="P25" s="4">
        <f t="shared" si="4"/>
        <v>-2199.9999999999991</v>
      </c>
      <c r="Q25" s="4">
        <f t="shared" si="5"/>
        <v>6600.0000000000009</v>
      </c>
      <c r="R25" s="4">
        <f t="shared" si="6"/>
        <v>106600</v>
      </c>
    </row>
    <row r="26" spans="5:18" x14ac:dyDescent="0.25">
      <c r="E26" s="1">
        <f t="shared" si="1"/>
        <v>23</v>
      </c>
      <c r="F26" s="4">
        <f t="shared" ca="1" si="2"/>
        <v>105500</v>
      </c>
      <c r="G26" s="1" t="s">
        <v>70</v>
      </c>
      <c r="H26" s="26">
        <f t="shared" ca="1" si="0"/>
        <v>5.948851296798674E-2</v>
      </c>
      <c r="I26" s="4">
        <f>IF(G26="Yes",-$C$8,0)</f>
        <v>-500</v>
      </c>
      <c r="J26" s="4">
        <f>IF(G26="Yes",$C$8-I26,0)</f>
        <v>1000</v>
      </c>
      <c r="K26" s="4">
        <f ca="1">IF(H26&gt;=$C$4,J26+I26,I26)</f>
        <v>-500</v>
      </c>
      <c r="M26" s="61">
        <f t="shared" si="7"/>
        <v>18.400000000000002</v>
      </c>
      <c r="N26" s="61">
        <f t="shared" si="8"/>
        <v>4.5999999999999979</v>
      </c>
      <c r="O26" s="4">
        <f t="shared" si="3"/>
        <v>9200.0000000000018</v>
      </c>
      <c r="P26" s="4">
        <f t="shared" si="4"/>
        <v>-2299.9999999999991</v>
      </c>
      <c r="Q26" s="4">
        <f t="shared" si="5"/>
        <v>6900.0000000000027</v>
      </c>
      <c r="R26" s="4">
        <f t="shared" si="6"/>
        <v>106900</v>
      </c>
    </row>
    <row r="27" spans="5:18" x14ac:dyDescent="0.25">
      <c r="E27" s="1">
        <f t="shared" si="1"/>
        <v>24</v>
      </c>
      <c r="F27" s="4">
        <f t="shared" ca="1" si="2"/>
        <v>106000</v>
      </c>
      <c r="G27" s="1" t="s">
        <v>70</v>
      </c>
      <c r="H27" s="26">
        <f t="shared" ca="1" si="0"/>
        <v>0.74436647923592059</v>
      </c>
      <c r="I27" s="4">
        <f>IF(G27="Yes",-$C$8,0)</f>
        <v>-500</v>
      </c>
      <c r="J27" s="4">
        <f>IF(G27="Yes",$C$8-I27,0)</f>
        <v>1000</v>
      </c>
      <c r="K27" s="4">
        <f ca="1">IF(H27&gt;=$C$4,J27+I27,I27)</f>
        <v>500</v>
      </c>
      <c r="M27" s="61">
        <f t="shared" si="7"/>
        <v>19.200000000000003</v>
      </c>
      <c r="N27" s="61">
        <f t="shared" si="8"/>
        <v>4.7999999999999972</v>
      </c>
      <c r="O27" s="4">
        <f t="shared" si="3"/>
        <v>9600.0000000000018</v>
      </c>
      <c r="P27" s="4">
        <f t="shared" si="4"/>
        <v>-2399.9999999999986</v>
      </c>
      <c r="Q27" s="4">
        <f t="shared" si="5"/>
        <v>7200.0000000000036</v>
      </c>
      <c r="R27" s="4">
        <f t="shared" si="6"/>
        <v>107200</v>
      </c>
    </row>
    <row r="28" spans="5:18" x14ac:dyDescent="0.25">
      <c r="E28" s="1">
        <f t="shared" si="1"/>
        <v>25</v>
      </c>
      <c r="F28" s="4">
        <f t="shared" ca="1" si="2"/>
        <v>106500</v>
      </c>
      <c r="G28" s="1" t="s">
        <v>70</v>
      </c>
      <c r="H28" s="26">
        <f t="shared" ca="1" si="0"/>
        <v>0.61684335575709748</v>
      </c>
      <c r="I28" s="4">
        <f>IF(G28="Yes",-$C$8,0)</f>
        <v>-500</v>
      </c>
      <c r="J28" s="4">
        <f>IF(G28="Yes",$C$8-I28,0)</f>
        <v>1000</v>
      </c>
      <c r="K28" s="4">
        <f ca="1">IF(H28&gt;=$C$4,J28+I28,I28)</f>
        <v>500</v>
      </c>
      <c r="M28" s="61">
        <f t="shared" si="7"/>
        <v>20</v>
      </c>
      <c r="N28" s="61">
        <f t="shared" si="8"/>
        <v>5</v>
      </c>
      <c r="O28" s="4">
        <f t="shared" si="3"/>
        <v>10000</v>
      </c>
      <c r="P28" s="4">
        <f t="shared" si="4"/>
        <v>-2500</v>
      </c>
      <c r="Q28" s="4">
        <f t="shared" si="5"/>
        <v>7500</v>
      </c>
      <c r="R28" s="4">
        <f t="shared" si="6"/>
        <v>107500</v>
      </c>
    </row>
    <row r="29" spans="5:18" x14ac:dyDescent="0.25">
      <c r="E29" s="1">
        <f t="shared" si="1"/>
        <v>26</v>
      </c>
      <c r="F29" s="4">
        <f t="shared" ca="1" si="2"/>
        <v>107000</v>
      </c>
      <c r="G29" s="1" t="s">
        <v>70</v>
      </c>
      <c r="H29" s="26">
        <f t="shared" ca="1" si="0"/>
        <v>0.99661788233146431</v>
      </c>
      <c r="I29" s="4">
        <f>IF(G29="Yes",-$C$8,0)</f>
        <v>-500</v>
      </c>
      <c r="J29" s="4">
        <f>IF(G29="Yes",$C$8-I29,0)</f>
        <v>1000</v>
      </c>
      <c r="K29" s="4">
        <f ca="1">IF(H29&gt;=$C$4,J29+I29,I29)</f>
        <v>500</v>
      </c>
      <c r="M29" s="61">
        <f t="shared" si="7"/>
        <v>20.8</v>
      </c>
      <c r="N29" s="61">
        <f t="shared" si="8"/>
        <v>5.1999999999999993</v>
      </c>
      <c r="O29" s="4">
        <f t="shared" si="3"/>
        <v>10400</v>
      </c>
      <c r="P29" s="4">
        <f t="shared" si="4"/>
        <v>-2599.9999999999995</v>
      </c>
      <c r="Q29" s="4">
        <f t="shared" si="5"/>
        <v>7800</v>
      </c>
      <c r="R29" s="4">
        <f t="shared" si="6"/>
        <v>107800</v>
      </c>
    </row>
    <row r="30" spans="5:18" x14ac:dyDescent="0.25">
      <c r="E30" s="1">
        <f t="shared" si="1"/>
        <v>27</v>
      </c>
      <c r="F30" s="4">
        <f t="shared" ca="1" si="2"/>
        <v>106500</v>
      </c>
      <c r="G30" s="1" t="s">
        <v>70</v>
      </c>
      <c r="H30" s="26">
        <f t="shared" ca="1" si="0"/>
        <v>5.8717207671647786E-2</v>
      </c>
      <c r="I30" s="4">
        <f>IF(G30="Yes",-$C$8,0)</f>
        <v>-500</v>
      </c>
      <c r="J30" s="4">
        <f>IF(G30="Yes",$C$8-I30,0)</f>
        <v>1000</v>
      </c>
      <c r="K30" s="4">
        <f ca="1">IF(H30&gt;=$C$4,J30+I30,I30)</f>
        <v>-500</v>
      </c>
      <c r="M30" s="61">
        <f t="shared" si="7"/>
        <v>21.6</v>
      </c>
      <c r="N30" s="61">
        <f t="shared" si="8"/>
        <v>5.3999999999999986</v>
      </c>
      <c r="O30" s="4">
        <f t="shared" si="3"/>
        <v>10800</v>
      </c>
      <c r="P30" s="4">
        <f t="shared" si="4"/>
        <v>-2699.9999999999991</v>
      </c>
      <c r="Q30" s="4">
        <f t="shared" si="5"/>
        <v>8100.0000000000009</v>
      </c>
      <c r="R30" s="4">
        <f t="shared" si="6"/>
        <v>108100</v>
      </c>
    </row>
    <row r="31" spans="5:18" x14ac:dyDescent="0.25">
      <c r="E31" s="1">
        <f t="shared" si="1"/>
        <v>28</v>
      </c>
      <c r="F31" s="4">
        <f t="shared" ca="1" si="2"/>
        <v>107000</v>
      </c>
      <c r="G31" s="1" t="s">
        <v>70</v>
      </c>
      <c r="H31" s="26">
        <f t="shared" ca="1" si="0"/>
        <v>0.26326695396105815</v>
      </c>
      <c r="I31" s="4">
        <f>IF(G31="Yes",-$C$8,0)</f>
        <v>-500</v>
      </c>
      <c r="J31" s="4">
        <f>IF(G31="Yes",$C$8-I31,0)</f>
        <v>1000</v>
      </c>
      <c r="K31" s="4">
        <f ca="1">IF(H31&gt;=$C$4,J31+I31,I31)</f>
        <v>500</v>
      </c>
      <c r="M31" s="61">
        <f t="shared" si="7"/>
        <v>22.400000000000002</v>
      </c>
      <c r="N31" s="61">
        <f t="shared" si="8"/>
        <v>5.5999999999999979</v>
      </c>
      <c r="O31" s="4">
        <f t="shared" si="3"/>
        <v>11200.000000000002</v>
      </c>
      <c r="P31" s="4">
        <f t="shared" si="4"/>
        <v>-2799.9999999999991</v>
      </c>
      <c r="Q31" s="4">
        <f t="shared" si="5"/>
        <v>8400.0000000000036</v>
      </c>
      <c r="R31" s="4">
        <f t="shared" si="6"/>
        <v>108400</v>
      </c>
    </row>
    <row r="32" spans="5:18" x14ac:dyDescent="0.25">
      <c r="E32" s="1">
        <f t="shared" si="1"/>
        <v>29</v>
      </c>
      <c r="F32" s="4">
        <f t="shared" ca="1" si="2"/>
        <v>107500</v>
      </c>
      <c r="G32" s="1" t="s">
        <v>70</v>
      </c>
      <c r="H32" s="26">
        <f t="shared" ca="1" si="0"/>
        <v>0.58269778808623862</v>
      </c>
      <c r="I32" s="4">
        <f>IF(G32="Yes",-$C$8,0)</f>
        <v>-500</v>
      </c>
      <c r="J32" s="4">
        <f>IF(G32="Yes",$C$8-I32,0)</f>
        <v>1000</v>
      </c>
      <c r="K32" s="4">
        <f ca="1">IF(H32&gt;=$C$4,J32+I32,I32)</f>
        <v>500</v>
      </c>
      <c r="M32" s="61">
        <f t="shared" si="7"/>
        <v>23.200000000000003</v>
      </c>
      <c r="N32" s="61">
        <f t="shared" si="8"/>
        <v>5.7999999999999972</v>
      </c>
      <c r="O32" s="4">
        <f t="shared" si="3"/>
        <v>11600.000000000002</v>
      </c>
      <c r="P32" s="4">
        <f t="shared" si="4"/>
        <v>-2899.9999999999986</v>
      </c>
      <c r="Q32" s="4">
        <f t="shared" si="5"/>
        <v>8700.0000000000036</v>
      </c>
      <c r="R32" s="4">
        <f t="shared" si="6"/>
        <v>108700</v>
      </c>
    </row>
    <row r="33" spans="5:18" x14ac:dyDescent="0.25">
      <c r="E33" s="1">
        <f t="shared" si="1"/>
        <v>30</v>
      </c>
      <c r="F33" s="4">
        <f t="shared" ca="1" si="2"/>
        <v>108000</v>
      </c>
      <c r="G33" s="1" t="s">
        <v>70</v>
      </c>
      <c r="H33" s="26">
        <f t="shared" ca="1" si="0"/>
        <v>0.40777445589435513</v>
      </c>
      <c r="I33" s="4">
        <f>IF(G33="Yes",-$C$8,0)</f>
        <v>-500</v>
      </c>
      <c r="J33" s="4">
        <f>IF(G33="Yes",$C$8-I33,0)</f>
        <v>1000</v>
      </c>
      <c r="K33" s="4">
        <f ca="1">IF(H33&gt;=$C$4,J33+I33,I33)</f>
        <v>500</v>
      </c>
      <c r="M33" s="61">
        <f t="shared" si="7"/>
        <v>24</v>
      </c>
      <c r="N33" s="61">
        <f t="shared" si="8"/>
        <v>6</v>
      </c>
      <c r="O33" s="4">
        <f t="shared" si="3"/>
        <v>12000</v>
      </c>
      <c r="P33" s="4">
        <f t="shared" si="4"/>
        <v>-3000</v>
      </c>
      <c r="Q33" s="4">
        <f t="shared" si="5"/>
        <v>9000</v>
      </c>
      <c r="R33" s="4">
        <f t="shared" si="6"/>
        <v>109000</v>
      </c>
    </row>
    <row r="34" spans="5:18" x14ac:dyDescent="0.25">
      <c r="E34" s="1">
        <f t="shared" si="1"/>
        <v>31</v>
      </c>
      <c r="F34" s="4">
        <f t="shared" ca="1" si="2"/>
        <v>107500</v>
      </c>
      <c r="G34" s="1" t="s">
        <v>70</v>
      </c>
      <c r="H34" s="26">
        <f t="shared" ca="1" si="0"/>
        <v>8.6718234690285056E-3</v>
      </c>
      <c r="I34" s="4">
        <f>IF(G34="Yes",-$C$8,0)</f>
        <v>-500</v>
      </c>
      <c r="J34" s="4">
        <f>IF(G34="Yes",$C$8-I34,0)</f>
        <v>1000</v>
      </c>
      <c r="K34" s="4">
        <f ca="1">IF(H34&gt;=$C$4,J34+I34,I34)</f>
        <v>-500</v>
      </c>
      <c r="M34" s="61">
        <f t="shared" si="7"/>
        <v>24.8</v>
      </c>
      <c r="N34" s="61">
        <f t="shared" si="8"/>
        <v>6.1999999999999993</v>
      </c>
      <c r="O34" s="4">
        <f t="shared" si="3"/>
        <v>12400</v>
      </c>
      <c r="P34" s="4">
        <f t="shared" si="4"/>
        <v>-3099.9999999999995</v>
      </c>
      <c r="Q34" s="4">
        <f t="shared" si="5"/>
        <v>9300</v>
      </c>
      <c r="R34" s="4">
        <f t="shared" si="6"/>
        <v>109300</v>
      </c>
    </row>
    <row r="35" spans="5:18" x14ac:dyDescent="0.25">
      <c r="E35" s="1">
        <f t="shared" si="1"/>
        <v>32</v>
      </c>
      <c r="F35" s="4">
        <f t="shared" ca="1" si="2"/>
        <v>108000</v>
      </c>
      <c r="G35" s="1" t="s">
        <v>70</v>
      </c>
      <c r="H35" s="26">
        <f t="shared" ca="1" si="0"/>
        <v>0.85613955011746512</v>
      </c>
      <c r="I35" s="4">
        <f>IF(G35="Yes",-$C$8,0)</f>
        <v>-500</v>
      </c>
      <c r="J35" s="4">
        <f>IF(G35="Yes",$C$8-I35,0)</f>
        <v>1000</v>
      </c>
      <c r="K35" s="4">
        <f ca="1">IF(H35&gt;=$C$4,J35+I35,I35)</f>
        <v>500</v>
      </c>
      <c r="M35" s="61">
        <f t="shared" si="7"/>
        <v>25.6</v>
      </c>
      <c r="N35" s="61">
        <f t="shared" si="8"/>
        <v>6.3999999999999986</v>
      </c>
      <c r="O35" s="4">
        <f t="shared" si="3"/>
        <v>12800</v>
      </c>
      <c r="P35" s="4">
        <f t="shared" si="4"/>
        <v>-3199.9999999999991</v>
      </c>
      <c r="Q35" s="4">
        <f t="shared" si="5"/>
        <v>9600</v>
      </c>
      <c r="R35" s="4">
        <f t="shared" si="6"/>
        <v>109600</v>
      </c>
    </row>
    <row r="36" spans="5:18" x14ac:dyDescent="0.25">
      <c r="E36" s="1">
        <f t="shared" si="1"/>
        <v>33</v>
      </c>
      <c r="F36" s="4">
        <f t="shared" ca="1" si="2"/>
        <v>108500</v>
      </c>
      <c r="G36" s="1" t="s">
        <v>70</v>
      </c>
      <c r="H36" s="26">
        <f t="shared" ca="1" si="0"/>
        <v>0.55622047730611224</v>
      </c>
      <c r="I36" s="4">
        <f>IF(G36="Yes",-$C$8,0)</f>
        <v>-500</v>
      </c>
      <c r="J36" s="4">
        <f>IF(G36="Yes",$C$8-I36,0)</f>
        <v>1000</v>
      </c>
      <c r="K36" s="4">
        <f ca="1">IF(H36&gt;=$C$4,J36+I36,I36)</f>
        <v>500</v>
      </c>
      <c r="M36" s="61">
        <f t="shared" si="7"/>
        <v>26.400000000000002</v>
      </c>
      <c r="N36" s="61">
        <f t="shared" si="8"/>
        <v>6.5999999999999979</v>
      </c>
      <c r="O36" s="4">
        <f t="shared" si="3"/>
        <v>13200.000000000002</v>
      </c>
      <c r="P36" s="4">
        <f t="shared" si="4"/>
        <v>-3299.9999999999991</v>
      </c>
      <c r="Q36" s="4">
        <f t="shared" si="5"/>
        <v>9900.0000000000036</v>
      </c>
      <c r="R36" s="4">
        <f t="shared" si="6"/>
        <v>109900</v>
      </c>
    </row>
    <row r="37" spans="5:18" x14ac:dyDescent="0.25">
      <c r="E37" s="1">
        <f t="shared" si="1"/>
        <v>34</v>
      </c>
      <c r="F37" s="4">
        <f t="shared" ca="1" si="2"/>
        <v>109000</v>
      </c>
      <c r="G37" s="1" t="s">
        <v>70</v>
      </c>
      <c r="H37" s="26">
        <f t="shared" ca="1" si="0"/>
        <v>0.58190164078043094</v>
      </c>
      <c r="I37" s="4">
        <f>IF(G37="Yes",-$C$8,0)</f>
        <v>-500</v>
      </c>
      <c r="J37" s="4">
        <f>IF(G37="Yes",$C$8-I37,0)</f>
        <v>1000</v>
      </c>
      <c r="K37" s="4">
        <f ca="1">IF(H37&gt;=$C$4,J37+I37,I37)</f>
        <v>500</v>
      </c>
      <c r="M37" s="61">
        <f t="shared" si="7"/>
        <v>27.200000000000003</v>
      </c>
      <c r="N37" s="61">
        <f t="shared" si="8"/>
        <v>6.7999999999999972</v>
      </c>
      <c r="O37" s="4">
        <f t="shared" si="3"/>
        <v>13600.000000000002</v>
      </c>
      <c r="P37" s="4">
        <f t="shared" si="4"/>
        <v>-3399.9999999999986</v>
      </c>
      <c r="Q37" s="4">
        <f t="shared" si="5"/>
        <v>10200.000000000004</v>
      </c>
      <c r="R37" s="4">
        <f t="shared" si="6"/>
        <v>110200</v>
      </c>
    </row>
    <row r="38" spans="5:18" x14ac:dyDescent="0.25">
      <c r="E38" s="1">
        <f t="shared" si="1"/>
        <v>35</v>
      </c>
      <c r="F38" s="4">
        <f t="shared" ca="1" si="2"/>
        <v>109500</v>
      </c>
      <c r="G38" s="1" t="s">
        <v>70</v>
      </c>
      <c r="H38" s="26">
        <f t="shared" ca="1" si="0"/>
        <v>0.92248766423778339</v>
      </c>
      <c r="I38" s="4">
        <f>IF(G38="Yes",-$C$8,0)</f>
        <v>-500</v>
      </c>
      <c r="J38" s="4">
        <f>IF(G38="Yes",$C$8-I38,0)</f>
        <v>1000</v>
      </c>
      <c r="K38" s="4">
        <f ca="1">IF(H38&gt;=$C$4,J38+I38,I38)</f>
        <v>500</v>
      </c>
      <c r="M38" s="61">
        <f t="shared" si="7"/>
        <v>28</v>
      </c>
      <c r="N38" s="61">
        <f t="shared" si="8"/>
        <v>7</v>
      </c>
      <c r="O38" s="4">
        <f t="shared" si="3"/>
        <v>14000</v>
      </c>
      <c r="P38" s="4">
        <f t="shared" si="4"/>
        <v>-3500</v>
      </c>
      <c r="Q38" s="4">
        <f t="shared" si="5"/>
        <v>10500</v>
      </c>
      <c r="R38" s="4">
        <f t="shared" si="6"/>
        <v>110500</v>
      </c>
    </row>
    <row r="39" spans="5:18" x14ac:dyDescent="0.25">
      <c r="E39" s="1">
        <f t="shared" si="1"/>
        <v>36</v>
      </c>
      <c r="F39" s="4">
        <f t="shared" ca="1" si="2"/>
        <v>110000</v>
      </c>
      <c r="G39" s="1" t="s">
        <v>70</v>
      </c>
      <c r="H39" s="26">
        <f t="shared" ca="1" si="0"/>
        <v>0.24175427675348338</v>
      </c>
      <c r="I39" s="4">
        <f>IF(G39="Yes",-$C$8,0)</f>
        <v>-500</v>
      </c>
      <c r="J39" s="4">
        <f>IF(G39="Yes",$C$8-I39,0)</f>
        <v>1000</v>
      </c>
      <c r="K39" s="4">
        <f ca="1">IF(H39&gt;=$C$4,J39+I39,I39)</f>
        <v>500</v>
      </c>
      <c r="M39" s="61">
        <f t="shared" si="7"/>
        <v>28.8</v>
      </c>
      <c r="N39" s="61">
        <f t="shared" si="8"/>
        <v>7.1999999999999993</v>
      </c>
      <c r="O39" s="4">
        <f t="shared" si="3"/>
        <v>14400</v>
      </c>
      <c r="P39" s="4">
        <f t="shared" si="4"/>
        <v>-3599.9999999999995</v>
      </c>
      <c r="Q39" s="4">
        <f t="shared" si="5"/>
        <v>10800</v>
      </c>
      <c r="R39" s="4">
        <f t="shared" si="6"/>
        <v>110800</v>
      </c>
    </row>
    <row r="40" spans="5:18" x14ac:dyDescent="0.25">
      <c r="E40" s="1">
        <f t="shared" si="1"/>
        <v>37</v>
      </c>
      <c r="F40" s="4">
        <f t="shared" ca="1" si="2"/>
        <v>110500</v>
      </c>
      <c r="G40" s="1" t="s">
        <v>70</v>
      </c>
      <c r="H40" s="26">
        <f t="shared" ca="1" si="0"/>
        <v>0.35838923062380346</v>
      </c>
      <c r="I40" s="4">
        <f>IF(G40="Yes",-$C$8,0)</f>
        <v>-500</v>
      </c>
      <c r="J40" s="4">
        <f>IF(G40="Yes",$C$8-I40,0)</f>
        <v>1000</v>
      </c>
      <c r="K40" s="4">
        <f ca="1">IF(H40&gt;=$C$4,J40+I40,I40)</f>
        <v>500</v>
      </c>
      <c r="M40" s="61">
        <f t="shared" si="7"/>
        <v>29.6</v>
      </c>
      <c r="N40" s="61">
        <f t="shared" si="8"/>
        <v>7.3999999999999986</v>
      </c>
      <c r="O40" s="4">
        <f t="shared" si="3"/>
        <v>14800</v>
      </c>
      <c r="P40" s="4">
        <f t="shared" si="4"/>
        <v>-3699.9999999999991</v>
      </c>
      <c r="Q40" s="4">
        <f t="shared" si="5"/>
        <v>11100</v>
      </c>
      <c r="R40" s="4">
        <f t="shared" si="6"/>
        <v>111100</v>
      </c>
    </row>
    <row r="41" spans="5:18" x14ac:dyDescent="0.25">
      <c r="E41" s="1">
        <f t="shared" si="1"/>
        <v>38</v>
      </c>
      <c r="F41" s="4">
        <f t="shared" ca="1" si="2"/>
        <v>111000</v>
      </c>
      <c r="G41" s="1" t="s">
        <v>70</v>
      </c>
      <c r="H41" s="26">
        <f t="shared" ca="1" si="0"/>
        <v>0.75410647108892448</v>
      </c>
      <c r="I41" s="4">
        <f>IF(G41="Yes",-$C$8,0)</f>
        <v>-500</v>
      </c>
      <c r="J41" s="4">
        <f>IF(G41="Yes",$C$8-I41,0)</f>
        <v>1000</v>
      </c>
      <c r="K41" s="4">
        <f ca="1">IF(H41&gt;=$C$4,J41+I41,I41)</f>
        <v>500</v>
      </c>
      <c r="M41" s="61">
        <f t="shared" si="7"/>
        <v>30.400000000000002</v>
      </c>
      <c r="N41" s="61">
        <f t="shared" si="8"/>
        <v>7.5999999999999979</v>
      </c>
      <c r="O41" s="4">
        <f t="shared" si="3"/>
        <v>15200.000000000002</v>
      </c>
      <c r="P41" s="4">
        <f t="shared" si="4"/>
        <v>-3799.9999999999991</v>
      </c>
      <c r="Q41" s="4">
        <f t="shared" si="5"/>
        <v>11400.000000000004</v>
      </c>
      <c r="R41" s="4">
        <f t="shared" si="6"/>
        <v>111400</v>
      </c>
    </row>
    <row r="42" spans="5:18" x14ac:dyDescent="0.25">
      <c r="E42" s="1">
        <f t="shared" si="1"/>
        <v>39</v>
      </c>
      <c r="F42" s="4">
        <f t="shared" ca="1" si="2"/>
        <v>111500</v>
      </c>
      <c r="G42" s="1" t="s">
        <v>70</v>
      </c>
      <c r="H42" s="26">
        <f t="shared" ca="1" si="0"/>
        <v>0.79430945593652147</v>
      </c>
      <c r="I42" s="4">
        <f>IF(G42="Yes",-$C$8,0)</f>
        <v>-500</v>
      </c>
      <c r="J42" s="4">
        <f>IF(G42="Yes",$C$8-I42,0)</f>
        <v>1000</v>
      </c>
      <c r="K42" s="4">
        <f ca="1">IF(H42&gt;=$C$4,J42+I42,I42)</f>
        <v>500</v>
      </c>
      <c r="M42" s="61">
        <f t="shared" si="7"/>
        <v>31.200000000000003</v>
      </c>
      <c r="N42" s="61">
        <f t="shared" si="8"/>
        <v>7.7999999999999972</v>
      </c>
      <c r="O42" s="4">
        <f t="shared" si="3"/>
        <v>15600.000000000002</v>
      </c>
      <c r="P42" s="4">
        <f t="shared" si="4"/>
        <v>-3899.9999999999986</v>
      </c>
      <c r="Q42" s="4">
        <f t="shared" si="5"/>
        <v>11700.000000000004</v>
      </c>
      <c r="R42" s="4">
        <f t="shared" si="6"/>
        <v>111700</v>
      </c>
    </row>
    <row r="43" spans="5:18" x14ac:dyDescent="0.25">
      <c r="E43" s="1">
        <f t="shared" si="1"/>
        <v>40</v>
      </c>
      <c r="F43" s="4">
        <f t="shared" ca="1" si="2"/>
        <v>112000</v>
      </c>
      <c r="G43" s="1" t="s">
        <v>70</v>
      </c>
      <c r="H43" s="26">
        <f t="shared" ca="1" si="0"/>
        <v>0.38210457111331142</v>
      </c>
      <c r="I43" s="4">
        <f>IF(G43="Yes",-$C$8,0)</f>
        <v>-500</v>
      </c>
      <c r="J43" s="4">
        <f>IF(G43="Yes",$C$8-I43,0)</f>
        <v>1000</v>
      </c>
      <c r="K43" s="4">
        <f ca="1">IF(H43&gt;=$C$4,J43+I43,I43)</f>
        <v>500</v>
      </c>
      <c r="M43" s="61">
        <f t="shared" si="7"/>
        <v>32</v>
      </c>
      <c r="N43" s="61">
        <f t="shared" si="8"/>
        <v>8</v>
      </c>
      <c r="O43" s="4">
        <f t="shared" si="3"/>
        <v>16000</v>
      </c>
      <c r="P43" s="4">
        <f t="shared" si="4"/>
        <v>-4000</v>
      </c>
      <c r="Q43" s="4">
        <f t="shared" si="5"/>
        <v>12000</v>
      </c>
      <c r="R43" s="4">
        <f t="shared" si="6"/>
        <v>112000</v>
      </c>
    </row>
    <row r="44" spans="5:18" x14ac:dyDescent="0.25">
      <c r="E44" s="1">
        <f t="shared" si="1"/>
        <v>41</v>
      </c>
      <c r="F44" s="4">
        <f t="shared" ca="1" si="2"/>
        <v>112500</v>
      </c>
      <c r="G44" s="1" t="s">
        <v>70</v>
      </c>
      <c r="H44" s="26">
        <f t="shared" ca="1" si="0"/>
        <v>0.31960624085638156</v>
      </c>
      <c r="I44" s="4">
        <f>IF(G44="Yes",-$C$8,0)</f>
        <v>-500</v>
      </c>
      <c r="J44" s="4">
        <f>IF(G44="Yes",$C$8-I44,0)</f>
        <v>1000</v>
      </c>
      <c r="K44" s="4">
        <f ca="1">IF(H44&gt;=$C$4,J44+I44,I44)</f>
        <v>500</v>
      </c>
      <c r="M44" s="61">
        <f t="shared" si="7"/>
        <v>32.800000000000004</v>
      </c>
      <c r="N44" s="61">
        <f t="shared" si="8"/>
        <v>8.1999999999999957</v>
      </c>
      <c r="O44" s="4">
        <f t="shared" si="3"/>
        <v>16400.000000000004</v>
      </c>
      <c r="P44" s="4">
        <f t="shared" si="4"/>
        <v>-4099.9999999999982</v>
      </c>
      <c r="Q44" s="4">
        <f t="shared" si="5"/>
        <v>12300.000000000005</v>
      </c>
      <c r="R44" s="4">
        <f t="shared" si="6"/>
        <v>112300</v>
      </c>
    </row>
    <row r="45" spans="5:18" x14ac:dyDescent="0.25">
      <c r="E45" s="1">
        <f t="shared" si="1"/>
        <v>42</v>
      </c>
      <c r="F45" s="4">
        <f t="shared" ca="1" si="2"/>
        <v>113000</v>
      </c>
      <c r="G45" s="1" t="s">
        <v>70</v>
      </c>
      <c r="H45" s="26">
        <f t="shared" ca="1" si="0"/>
        <v>0.42122772644658901</v>
      </c>
      <c r="I45" s="4">
        <f>IF(G45="Yes",-$C$8,0)</f>
        <v>-500</v>
      </c>
      <c r="J45" s="4">
        <f>IF(G45="Yes",$C$8-I45,0)</f>
        <v>1000</v>
      </c>
      <c r="K45" s="4">
        <f ca="1">IF(H45&gt;=$C$4,J45+I45,I45)</f>
        <v>500</v>
      </c>
      <c r="M45" s="61">
        <f t="shared" si="7"/>
        <v>33.6</v>
      </c>
      <c r="N45" s="61">
        <f t="shared" si="8"/>
        <v>8.3999999999999986</v>
      </c>
      <c r="O45" s="4">
        <f t="shared" si="3"/>
        <v>16800</v>
      </c>
      <c r="P45" s="4">
        <f t="shared" si="4"/>
        <v>-4199.9999999999991</v>
      </c>
      <c r="Q45" s="4">
        <f t="shared" si="5"/>
        <v>12600</v>
      </c>
      <c r="R45" s="4">
        <f t="shared" si="6"/>
        <v>112600</v>
      </c>
    </row>
    <row r="46" spans="5:18" x14ac:dyDescent="0.25">
      <c r="E46" s="1">
        <f t="shared" si="1"/>
        <v>43</v>
      </c>
      <c r="F46" s="4">
        <f t="shared" ca="1" si="2"/>
        <v>112500</v>
      </c>
      <c r="G46" s="1" t="s">
        <v>70</v>
      </c>
      <c r="H46" s="26">
        <f t="shared" ca="1" si="0"/>
        <v>7.6237822011904099E-2</v>
      </c>
      <c r="I46" s="4">
        <f>IF(G46="Yes",-$C$8,0)</f>
        <v>-500</v>
      </c>
      <c r="J46" s="4">
        <f>IF(G46="Yes",$C$8-I46,0)</f>
        <v>1000</v>
      </c>
      <c r="K46" s="4">
        <f ca="1">IF(H46&gt;=$C$4,J46+I46,I46)</f>
        <v>-500</v>
      </c>
      <c r="M46" s="61">
        <f t="shared" si="7"/>
        <v>34.4</v>
      </c>
      <c r="N46" s="61">
        <f t="shared" si="8"/>
        <v>8.6000000000000014</v>
      </c>
      <c r="O46" s="4">
        <f t="shared" si="3"/>
        <v>17200</v>
      </c>
      <c r="P46" s="4">
        <f t="shared" si="4"/>
        <v>-4300.0000000000009</v>
      </c>
      <c r="Q46" s="4">
        <f t="shared" si="5"/>
        <v>12900</v>
      </c>
      <c r="R46" s="4">
        <f t="shared" si="6"/>
        <v>112900</v>
      </c>
    </row>
    <row r="47" spans="5:18" x14ac:dyDescent="0.25">
      <c r="E47" s="1">
        <f t="shared" si="1"/>
        <v>44</v>
      </c>
      <c r="F47" s="4">
        <f t="shared" ca="1" si="2"/>
        <v>113000</v>
      </c>
      <c r="G47" s="1" t="s">
        <v>70</v>
      </c>
      <c r="H47" s="26">
        <f t="shared" ca="1" si="0"/>
        <v>0.96558983181486624</v>
      </c>
      <c r="I47" s="4">
        <f>IF(G47="Yes",-$C$8,0)</f>
        <v>-500</v>
      </c>
      <c r="J47" s="4">
        <f>IF(G47="Yes",$C$8-I47,0)</f>
        <v>1000</v>
      </c>
      <c r="K47" s="4">
        <f ca="1">IF(H47&gt;=$C$4,J47+I47,I47)</f>
        <v>500</v>
      </c>
      <c r="M47" s="61">
        <f t="shared" si="7"/>
        <v>35.200000000000003</v>
      </c>
      <c r="N47" s="61">
        <f t="shared" si="8"/>
        <v>8.7999999999999972</v>
      </c>
      <c r="O47" s="4">
        <f t="shared" si="3"/>
        <v>17600</v>
      </c>
      <c r="P47" s="4">
        <f t="shared" si="4"/>
        <v>-4399.9999999999982</v>
      </c>
      <c r="Q47" s="4">
        <f t="shared" si="5"/>
        <v>13200.000000000002</v>
      </c>
      <c r="R47" s="4">
        <f t="shared" si="6"/>
        <v>113200</v>
      </c>
    </row>
    <row r="48" spans="5:18" x14ac:dyDescent="0.25">
      <c r="E48" s="1">
        <f t="shared" si="1"/>
        <v>45</v>
      </c>
      <c r="F48" s="4">
        <f t="shared" ca="1" si="2"/>
        <v>113500</v>
      </c>
      <c r="G48" s="1" t="s">
        <v>70</v>
      </c>
      <c r="H48" s="26">
        <f t="shared" ca="1" si="0"/>
        <v>0.58710751503161707</v>
      </c>
      <c r="I48" s="4">
        <f>IF(G48="Yes",-$C$8,0)</f>
        <v>-500</v>
      </c>
      <c r="J48" s="4">
        <f>IF(G48="Yes",$C$8-I48,0)</f>
        <v>1000</v>
      </c>
      <c r="K48" s="4">
        <f ca="1">IF(H48&gt;=$C$4,J48+I48,I48)</f>
        <v>500</v>
      </c>
      <c r="M48" s="61">
        <f t="shared" si="7"/>
        <v>36</v>
      </c>
      <c r="N48" s="61">
        <f t="shared" si="8"/>
        <v>9</v>
      </c>
      <c r="O48" s="4">
        <f t="shared" si="3"/>
        <v>18000</v>
      </c>
      <c r="P48" s="4">
        <f t="shared" si="4"/>
        <v>-4500</v>
      </c>
      <c r="Q48" s="4">
        <f t="shared" si="5"/>
        <v>13500</v>
      </c>
      <c r="R48" s="4">
        <f t="shared" si="6"/>
        <v>113500</v>
      </c>
    </row>
    <row r="49" spans="5:18" x14ac:dyDescent="0.25">
      <c r="E49" s="1">
        <f t="shared" si="1"/>
        <v>46</v>
      </c>
      <c r="F49" s="4">
        <f t="shared" ca="1" si="2"/>
        <v>113000</v>
      </c>
      <c r="G49" s="1" t="s">
        <v>70</v>
      </c>
      <c r="H49" s="26">
        <f t="shared" ca="1" si="0"/>
        <v>3.5196765786854711E-2</v>
      </c>
      <c r="I49" s="4">
        <f>IF(G49="Yes",-$C$8,0)</f>
        <v>-500</v>
      </c>
      <c r="J49" s="4">
        <f>IF(G49="Yes",$C$8-I49,0)</f>
        <v>1000</v>
      </c>
      <c r="K49" s="4">
        <f ca="1">IF(H49&gt;=$C$4,J49+I49,I49)</f>
        <v>-500</v>
      </c>
      <c r="M49" s="61">
        <f t="shared" si="7"/>
        <v>36.800000000000004</v>
      </c>
      <c r="N49" s="61">
        <f t="shared" si="8"/>
        <v>9.1999999999999957</v>
      </c>
      <c r="O49" s="4">
        <f t="shared" si="3"/>
        <v>18400.000000000004</v>
      </c>
      <c r="P49" s="4">
        <f t="shared" si="4"/>
        <v>-4599.9999999999982</v>
      </c>
      <c r="Q49" s="4">
        <f t="shared" si="5"/>
        <v>13800.000000000005</v>
      </c>
      <c r="R49" s="4">
        <f t="shared" si="6"/>
        <v>113800</v>
      </c>
    </row>
    <row r="50" spans="5:18" x14ac:dyDescent="0.25">
      <c r="E50" s="1">
        <f t="shared" si="1"/>
        <v>47</v>
      </c>
      <c r="F50" s="4">
        <f t="shared" ca="1" si="2"/>
        <v>112500</v>
      </c>
      <c r="G50" s="1" t="s">
        <v>70</v>
      </c>
      <c r="H50" s="26">
        <f t="shared" ca="1" si="0"/>
        <v>0.11140453990490884</v>
      </c>
      <c r="I50" s="4">
        <f>IF(G50="Yes",-$C$8,0)</f>
        <v>-500</v>
      </c>
      <c r="J50" s="4">
        <f>IF(G50="Yes",$C$8-I50,0)</f>
        <v>1000</v>
      </c>
      <c r="K50" s="4">
        <f ca="1">IF(H50&gt;=$C$4,J50+I50,I50)</f>
        <v>-500</v>
      </c>
      <c r="M50" s="61">
        <f t="shared" si="7"/>
        <v>37.6</v>
      </c>
      <c r="N50" s="61">
        <f t="shared" si="8"/>
        <v>9.3999999999999986</v>
      </c>
      <c r="O50" s="4">
        <f t="shared" si="3"/>
        <v>18800</v>
      </c>
      <c r="P50" s="4">
        <f t="shared" si="4"/>
        <v>-4699.9999999999991</v>
      </c>
      <c r="Q50" s="4">
        <f t="shared" si="5"/>
        <v>14100</v>
      </c>
      <c r="R50" s="4">
        <f t="shared" si="6"/>
        <v>114100</v>
      </c>
    </row>
    <row r="51" spans="5:18" x14ac:dyDescent="0.25">
      <c r="E51" s="1">
        <f t="shared" si="1"/>
        <v>48</v>
      </c>
      <c r="F51" s="4">
        <f t="shared" ca="1" si="2"/>
        <v>112000</v>
      </c>
      <c r="G51" s="1" t="s">
        <v>70</v>
      </c>
      <c r="H51" s="26">
        <f t="shared" ca="1" si="0"/>
        <v>1.0153037465096326E-2</v>
      </c>
      <c r="I51" s="4">
        <f>IF(G51="Yes",-$C$8,0)</f>
        <v>-500</v>
      </c>
      <c r="J51" s="4">
        <f>IF(G51="Yes",$C$8-I51,0)</f>
        <v>1000</v>
      </c>
      <c r="K51" s="4">
        <f ca="1">IF(H51&gt;=$C$4,J51+I51,I51)</f>
        <v>-500</v>
      </c>
      <c r="M51" s="61">
        <f t="shared" si="7"/>
        <v>38.400000000000006</v>
      </c>
      <c r="N51" s="61">
        <f t="shared" si="8"/>
        <v>9.5999999999999943</v>
      </c>
      <c r="O51" s="4">
        <f t="shared" si="3"/>
        <v>19200.000000000004</v>
      </c>
      <c r="P51" s="4">
        <f t="shared" si="4"/>
        <v>-4799.9999999999973</v>
      </c>
      <c r="Q51" s="4">
        <f t="shared" si="5"/>
        <v>14400.000000000007</v>
      </c>
      <c r="R51" s="4">
        <f t="shared" si="6"/>
        <v>114400</v>
      </c>
    </row>
    <row r="52" spans="5:18" x14ac:dyDescent="0.25">
      <c r="E52" s="1">
        <f t="shared" si="1"/>
        <v>49</v>
      </c>
      <c r="F52" s="4">
        <f t="shared" ca="1" si="2"/>
        <v>112500</v>
      </c>
      <c r="G52" s="1" t="s">
        <v>70</v>
      </c>
      <c r="H52" s="26">
        <f t="shared" ca="1" si="0"/>
        <v>0.47632592819029917</v>
      </c>
      <c r="I52" s="4">
        <f>IF(G52="Yes",-$C$8,0)</f>
        <v>-500</v>
      </c>
      <c r="J52" s="4">
        <f>IF(G52="Yes",$C$8-I52,0)</f>
        <v>1000</v>
      </c>
      <c r="K52" s="4">
        <f ca="1">IF(H52&gt;=$C$4,J52+I52,I52)</f>
        <v>500</v>
      </c>
      <c r="M52" s="61">
        <f t="shared" si="7"/>
        <v>39.200000000000003</v>
      </c>
      <c r="N52" s="61">
        <f t="shared" si="8"/>
        <v>9.7999999999999972</v>
      </c>
      <c r="O52" s="4">
        <f t="shared" si="3"/>
        <v>19600</v>
      </c>
      <c r="P52" s="4">
        <f t="shared" si="4"/>
        <v>-4899.9999999999982</v>
      </c>
      <c r="Q52" s="4">
        <f t="shared" si="5"/>
        <v>14700.000000000002</v>
      </c>
      <c r="R52" s="4">
        <f t="shared" si="6"/>
        <v>114700</v>
      </c>
    </row>
    <row r="53" spans="5:18" x14ac:dyDescent="0.25">
      <c r="E53" s="1">
        <f t="shared" si="1"/>
        <v>50</v>
      </c>
      <c r="F53" s="4">
        <f t="shared" ca="1" si="2"/>
        <v>113000</v>
      </c>
      <c r="G53" s="1" t="s">
        <v>70</v>
      </c>
      <c r="H53" s="26">
        <f t="shared" ca="1" si="0"/>
        <v>0.83474098763947335</v>
      </c>
      <c r="I53" s="4">
        <f>IF(G53="Yes",-$C$8,0)</f>
        <v>-500</v>
      </c>
      <c r="J53" s="4">
        <f>IF(G53="Yes",$C$8-I53,0)</f>
        <v>1000</v>
      </c>
      <c r="K53" s="4">
        <f ca="1">IF(H53&gt;=$C$4,J53+I53,I53)</f>
        <v>500</v>
      </c>
      <c r="M53" s="61">
        <f t="shared" si="7"/>
        <v>40</v>
      </c>
      <c r="N53" s="61">
        <f t="shared" si="8"/>
        <v>10</v>
      </c>
      <c r="O53" s="4">
        <f t="shared" si="3"/>
        <v>20000</v>
      </c>
      <c r="P53" s="4">
        <f t="shared" si="4"/>
        <v>-5000</v>
      </c>
      <c r="Q53" s="4">
        <f t="shared" si="5"/>
        <v>15000</v>
      </c>
      <c r="R53" s="4">
        <f t="shared" si="6"/>
        <v>115000</v>
      </c>
    </row>
    <row r="54" spans="5:18" x14ac:dyDescent="0.25">
      <c r="E54" s="1">
        <f t="shared" si="1"/>
        <v>51</v>
      </c>
      <c r="F54" s="4">
        <f t="shared" ca="1" si="2"/>
        <v>113500</v>
      </c>
      <c r="G54" s="1" t="s">
        <v>70</v>
      </c>
      <c r="H54" s="26">
        <f t="shared" ca="1" si="0"/>
        <v>0.96335186451991195</v>
      </c>
      <c r="I54" s="4">
        <f>IF(G54="Yes",-$C$8,0)</f>
        <v>-500</v>
      </c>
      <c r="J54" s="4">
        <f>IF(G54="Yes",$C$8-I54,0)</f>
        <v>1000</v>
      </c>
      <c r="K54" s="4">
        <f ca="1">IF(H54&gt;=$C$4,J54+I54,I54)</f>
        <v>500</v>
      </c>
      <c r="M54" s="61">
        <f t="shared" si="7"/>
        <v>40.800000000000004</v>
      </c>
      <c r="N54" s="61">
        <f t="shared" si="8"/>
        <v>10.199999999999996</v>
      </c>
      <c r="O54" s="4">
        <f t="shared" si="3"/>
        <v>20400.000000000004</v>
      </c>
      <c r="P54" s="4">
        <f t="shared" si="4"/>
        <v>-5099.9999999999982</v>
      </c>
      <c r="Q54" s="4">
        <f t="shared" si="5"/>
        <v>15300.000000000005</v>
      </c>
      <c r="R54" s="4">
        <f t="shared" si="6"/>
        <v>115300</v>
      </c>
    </row>
    <row r="55" spans="5:18" x14ac:dyDescent="0.25">
      <c r="E55" s="1">
        <f t="shared" si="1"/>
        <v>52</v>
      </c>
      <c r="F55" s="4">
        <f t="shared" ca="1" si="2"/>
        <v>114000</v>
      </c>
      <c r="G55" s="1" t="s">
        <v>70</v>
      </c>
      <c r="H55" s="26">
        <f t="shared" ca="1" si="0"/>
        <v>0.9636089257103313</v>
      </c>
      <c r="I55" s="4">
        <f>IF(G55="Yes",-$C$8,0)</f>
        <v>-500</v>
      </c>
      <c r="J55" s="4">
        <f>IF(G55="Yes",$C$8-I55,0)</f>
        <v>1000</v>
      </c>
      <c r="K55" s="4">
        <f ca="1">IF(H55&gt;=$C$4,J55+I55,I55)</f>
        <v>500</v>
      </c>
      <c r="M55" s="61">
        <f t="shared" si="7"/>
        <v>41.6</v>
      </c>
      <c r="N55" s="61">
        <f t="shared" si="8"/>
        <v>10.399999999999999</v>
      </c>
      <c r="O55" s="4">
        <f t="shared" si="3"/>
        <v>20800</v>
      </c>
      <c r="P55" s="4">
        <f t="shared" si="4"/>
        <v>-5199.9999999999991</v>
      </c>
      <c r="Q55" s="4">
        <f t="shared" si="5"/>
        <v>15600</v>
      </c>
      <c r="R55" s="4">
        <f t="shared" si="6"/>
        <v>115600</v>
      </c>
    </row>
    <row r="56" spans="5:18" x14ac:dyDescent="0.25">
      <c r="E56" s="1">
        <f t="shared" si="1"/>
        <v>53</v>
      </c>
      <c r="F56" s="4">
        <f t="shared" ca="1" si="2"/>
        <v>114500</v>
      </c>
      <c r="G56" s="1" t="s">
        <v>70</v>
      </c>
      <c r="H56" s="26">
        <f t="shared" ca="1" si="0"/>
        <v>0.88320870154683029</v>
      </c>
      <c r="I56" s="4">
        <f>IF(G56="Yes",-$C$8,0)</f>
        <v>-500</v>
      </c>
      <c r="J56" s="4">
        <f>IF(G56="Yes",$C$8-I56,0)</f>
        <v>1000</v>
      </c>
      <c r="K56" s="4">
        <f ca="1">IF(H56&gt;=$C$4,J56+I56,I56)</f>
        <v>500</v>
      </c>
      <c r="M56" s="61">
        <f t="shared" si="7"/>
        <v>42.400000000000006</v>
      </c>
      <c r="N56" s="61">
        <f t="shared" si="8"/>
        <v>10.599999999999994</v>
      </c>
      <c r="O56" s="4">
        <f t="shared" si="3"/>
        <v>21200.000000000004</v>
      </c>
      <c r="P56" s="4">
        <f t="shared" si="4"/>
        <v>-5299.9999999999973</v>
      </c>
      <c r="Q56" s="4">
        <f t="shared" si="5"/>
        <v>15900.000000000007</v>
      </c>
      <c r="R56" s="4">
        <f t="shared" si="6"/>
        <v>115900</v>
      </c>
    </row>
    <row r="57" spans="5:18" x14ac:dyDescent="0.25">
      <c r="E57" s="1">
        <f t="shared" si="1"/>
        <v>54</v>
      </c>
      <c r="F57" s="4">
        <f t="shared" ca="1" si="2"/>
        <v>115000</v>
      </c>
      <c r="G57" s="1" t="s">
        <v>70</v>
      </c>
      <c r="H57" s="26">
        <f t="shared" ca="1" si="0"/>
        <v>0.7038409350447834</v>
      </c>
      <c r="I57" s="4">
        <f>IF(G57="Yes",-$C$8,0)</f>
        <v>-500</v>
      </c>
      <c r="J57" s="4">
        <f>IF(G57="Yes",$C$8-I57,0)</f>
        <v>1000</v>
      </c>
      <c r="K57" s="4">
        <f ca="1">IF(H57&gt;=$C$4,J57+I57,I57)</f>
        <v>500</v>
      </c>
      <c r="M57" s="61">
        <f t="shared" si="7"/>
        <v>43.2</v>
      </c>
      <c r="N57" s="61">
        <f t="shared" si="8"/>
        <v>10.799999999999997</v>
      </c>
      <c r="O57" s="4">
        <f t="shared" si="3"/>
        <v>21600</v>
      </c>
      <c r="P57" s="4">
        <f t="shared" si="4"/>
        <v>-5399.9999999999982</v>
      </c>
      <c r="Q57" s="4">
        <f t="shared" si="5"/>
        <v>16200.000000000002</v>
      </c>
      <c r="R57" s="4">
        <f t="shared" si="6"/>
        <v>116200</v>
      </c>
    </row>
    <row r="58" spans="5:18" x14ac:dyDescent="0.25">
      <c r="E58" s="1">
        <f t="shared" si="1"/>
        <v>55</v>
      </c>
      <c r="F58" s="4">
        <f t="shared" ca="1" si="2"/>
        <v>114500</v>
      </c>
      <c r="G58" s="1" t="s">
        <v>70</v>
      </c>
      <c r="H58" s="26">
        <f t="shared" ca="1" si="0"/>
        <v>9.5954795188262443E-2</v>
      </c>
      <c r="I58" s="4">
        <f>IF(G58="Yes",-$C$8,0)</f>
        <v>-500</v>
      </c>
      <c r="J58" s="4">
        <f>IF(G58="Yes",$C$8-I58,0)</f>
        <v>1000</v>
      </c>
      <c r="K58" s="4">
        <f ca="1">IF(H58&gt;=$C$4,J58+I58,I58)</f>
        <v>-500</v>
      </c>
      <c r="M58" s="61">
        <f t="shared" si="7"/>
        <v>44</v>
      </c>
      <c r="N58" s="61">
        <f t="shared" si="8"/>
        <v>11</v>
      </c>
      <c r="O58" s="4">
        <f t="shared" si="3"/>
        <v>22000</v>
      </c>
      <c r="P58" s="4">
        <f t="shared" si="4"/>
        <v>-5500</v>
      </c>
      <c r="Q58" s="4">
        <f t="shared" si="5"/>
        <v>16500</v>
      </c>
      <c r="R58" s="4">
        <f t="shared" si="6"/>
        <v>116500</v>
      </c>
    </row>
    <row r="59" spans="5:18" x14ac:dyDescent="0.25">
      <c r="E59" s="1">
        <f t="shared" si="1"/>
        <v>56</v>
      </c>
      <c r="F59" s="4">
        <f t="shared" ca="1" si="2"/>
        <v>115000</v>
      </c>
      <c r="G59" s="1" t="s">
        <v>70</v>
      </c>
      <c r="H59" s="26">
        <f t="shared" ca="1" si="0"/>
        <v>0.74074719219390073</v>
      </c>
      <c r="I59" s="4">
        <f>IF(G59="Yes",-$C$8,0)</f>
        <v>-500</v>
      </c>
      <c r="J59" s="4">
        <f>IF(G59="Yes",$C$8-I59,0)</f>
        <v>1000</v>
      </c>
      <c r="K59" s="4">
        <f ca="1">IF(H59&gt;=$C$4,J59+I59,I59)</f>
        <v>500</v>
      </c>
      <c r="M59" s="61">
        <f t="shared" si="7"/>
        <v>44.800000000000004</v>
      </c>
      <c r="N59" s="61">
        <f t="shared" si="8"/>
        <v>11.199999999999996</v>
      </c>
      <c r="O59" s="4">
        <f t="shared" si="3"/>
        <v>22400.000000000004</v>
      </c>
      <c r="P59" s="4">
        <f t="shared" si="4"/>
        <v>-5599.9999999999982</v>
      </c>
      <c r="Q59" s="4">
        <f t="shared" si="5"/>
        <v>16800.000000000007</v>
      </c>
      <c r="R59" s="4">
        <f t="shared" si="6"/>
        <v>116800</v>
      </c>
    </row>
    <row r="60" spans="5:18" x14ac:dyDescent="0.25">
      <c r="E60" s="1">
        <f t="shared" si="1"/>
        <v>57</v>
      </c>
      <c r="F60" s="4">
        <f t="shared" ca="1" si="2"/>
        <v>115500</v>
      </c>
      <c r="G60" s="1" t="s">
        <v>70</v>
      </c>
      <c r="H60" s="26">
        <f t="shared" ca="1" si="0"/>
        <v>0.31786933547922192</v>
      </c>
      <c r="I60" s="4">
        <f>IF(G60="Yes",-$C$8,0)</f>
        <v>-500</v>
      </c>
      <c r="J60" s="4">
        <f>IF(G60="Yes",$C$8-I60,0)</f>
        <v>1000</v>
      </c>
      <c r="K60" s="4">
        <f ca="1">IF(H60&gt;=$C$4,J60+I60,I60)</f>
        <v>500</v>
      </c>
      <c r="M60" s="61">
        <f t="shared" si="7"/>
        <v>45.6</v>
      </c>
      <c r="N60" s="61">
        <f t="shared" si="8"/>
        <v>11.399999999999999</v>
      </c>
      <c r="O60" s="4">
        <f t="shared" si="3"/>
        <v>22800</v>
      </c>
      <c r="P60" s="4">
        <f t="shared" si="4"/>
        <v>-5699.9999999999991</v>
      </c>
      <c r="Q60" s="4">
        <f t="shared" si="5"/>
        <v>17100</v>
      </c>
      <c r="R60" s="4">
        <f t="shared" si="6"/>
        <v>117100</v>
      </c>
    </row>
    <row r="61" spans="5:18" x14ac:dyDescent="0.25">
      <c r="E61" s="1">
        <f t="shared" si="1"/>
        <v>58</v>
      </c>
      <c r="F61" s="4">
        <f t="shared" ca="1" si="2"/>
        <v>116000</v>
      </c>
      <c r="G61" s="1" t="s">
        <v>70</v>
      </c>
      <c r="H61" s="26">
        <f t="shared" ca="1" si="0"/>
        <v>0.93284389940879464</v>
      </c>
      <c r="I61" s="4">
        <f>IF(G61="Yes",-$C$8,0)</f>
        <v>-500</v>
      </c>
      <c r="J61" s="4">
        <f>IF(G61="Yes",$C$8-I61,0)</f>
        <v>1000</v>
      </c>
      <c r="K61" s="4">
        <f ca="1">IF(H61&gt;=$C$4,J61+I61,I61)</f>
        <v>500</v>
      </c>
      <c r="M61" s="61">
        <f t="shared" si="7"/>
        <v>46.400000000000006</v>
      </c>
      <c r="N61" s="61">
        <f t="shared" si="8"/>
        <v>11.599999999999994</v>
      </c>
      <c r="O61" s="4">
        <f t="shared" si="3"/>
        <v>23200.000000000004</v>
      </c>
      <c r="P61" s="4">
        <f t="shared" si="4"/>
        <v>-5799.9999999999973</v>
      </c>
      <c r="Q61" s="4">
        <f t="shared" si="5"/>
        <v>17400.000000000007</v>
      </c>
      <c r="R61" s="4">
        <f t="shared" si="6"/>
        <v>117400</v>
      </c>
    </row>
    <row r="62" spans="5:18" x14ac:dyDescent="0.25">
      <c r="E62" s="1">
        <f t="shared" si="1"/>
        <v>59</v>
      </c>
      <c r="F62" s="4">
        <f t="shared" ca="1" si="2"/>
        <v>116500</v>
      </c>
      <c r="G62" s="1" t="s">
        <v>70</v>
      </c>
      <c r="H62" s="26">
        <f t="shared" ca="1" si="0"/>
        <v>0.88855259004392473</v>
      </c>
      <c r="I62" s="4">
        <f>IF(G62="Yes",-$C$8,0)</f>
        <v>-500</v>
      </c>
      <c r="J62" s="4">
        <f>IF(G62="Yes",$C$8-I62,0)</f>
        <v>1000</v>
      </c>
      <c r="K62" s="4">
        <f ca="1">IF(H62&gt;=$C$4,J62+I62,I62)</f>
        <v>500</v>
      </c>
      <c r="M62" s="61">
        <f t="shared" si="7"/>
        <v>47.2</v>
      </c>
      <c r="N62" s="61">
        <f t="shared" si="8"/>
        <v>11.799999999999997</v>
      </c>
      <c r="O62" s="4">
        <f t="shared" si="3"/>
        <v>23600</v>
      </c>
      <c r="P62" s="4">
        <f t="shared" si="4"/>
        <v>-5899.9999999999982</v>
      </c>
      <c r="Q62" s="4">
        <f t="shared" si="5"/>
        <v>17700</v>
      </c>
      <c r="R62" s="4">
        <f t="shared" si="6"/>
        <v>117700</v>
      </c>
    </row>
    <row r="63" spans="5:18" x14ac:dyDescent="0.25">
      <c r="E63" s="1">
        <f t="shared" si="1"/>
        <v>60</v>
      </c>
      <c r="F63" s="4">
        <f t="shared" ca="1" si="2"/>
        <v>116000</v>
      </c>
      <c r="G63" s="1" t="s">
        <v>70</v>
      </c>
      <c r="H63" s="26">
        <f t="shared" ca="1" si="0"/>
        <v>5.3813153637490174E-2</v>
      </c>
      <c r="I63" s="4">
        <f>IF(G63="Yes",-$C$8,0)</f>
        <v>-500</v>
      </c>
      <c r="J63" s="4">
        <f>IF(G63="Yes",$C$8-I63,0)</f>
        <v>1000</v>
      </c>
      <c r="K63" s="4">
        <f ca="1">IF(H63&gt;=$C$4,J63+I63,I63)</f>
        <v>-500</v>
      </c>
      <c r="M63" s="61">
        <f t="shared" si="7"/>
        <v>48</v>
      </c>
      <c r="N63" s="61">
        <f t="shared" si="8"/>
        <v>12</v>
      </c>
      <c r="O63" s="4">
        <f t="shared" si="3"/>
        <v>24000</v>
      </c>
      <c r="P63" s="4">
        <f t="shared" si="4"/>
        <v>-6000</v>
      </c>
      <c r="Q63" s="4">
        <f t="shared" si="5"/>
        <v>18000</v>
      </c>
      <c r="R63" s="4">
        <f t="shared" si="6"/>
        <v>118000</v>
      </c>
    </row>
    <row r="64" spans="5:18" x14ac:dyDescent="0.25">
      <c r="E64" s="1">
        <f t="shared" si="1"/>
        <v>61</v>
      </c>
      <c r="F64" s="4">
        <f t="shared" ca="1" si="2"/>
        <v>116500</v>
      </c>
      <c r="G64" s="1" t="s">
        <v>70</v>
      </c>
      <c r="H64" s="26">
        <f t="shared" ca="1" si="0"/>
        <v>0.50768059278428634</v>
      </c>
      <c r="I64" s="4">
        <f>IF(G64="Yes",-$C$8,0)</f>
        <v>-500</v>
      </c>
      <c r="J64" s="4">
        <f>IF(G64="Yes",$C$8-I64,0)</f>
        <v>1000</v>
      </c>
      <c r="K64" s="4">
        <f ca="1">IF(H64&gt;=$C$4,J64+I64,I64)</f>
        <v>500</v>
      </c>
      <c r="M64" s="61">
        <f t="shared" si="7"/>
        <v>48.800000000000004</v>
      </c>
      <c r="N64" s="61">
        <f t="shared" si="8"/>
        <v>12.199999999999996</v>
      </c>
      <c r="O64" s="4">
        <f t="shared" si="3"/>
        <v>24400.000000000004</v>
      </c>
      <c r="P64" s="4">
        <f t="shared" si="4"/>
        <v>-6099.9999999999982</v>
      </c>
      <c r="Q64" s="4">
        <f t="shared" si="5"/>
        <v>18300.000000000007</v>
      </c>
      <c r="R64" s="4">
        <f t="shared" si="6"/>
        <v>118300</v>
      </c>
    </row>
    <row r="65" spans="5:18" x14ac:dyDescent="0.25">
      <c r="E65" s="1">
        <f t="shared" si="1"/>
        <v>62</v>
      </c>
      <c r="F65" s="4">
        <f t="shared" ca="1" si="2"/>
        <v>116000</v>
      </c>
      <c r="G65" s="1" t="s">
        <v>70</v>
      </c>
      <c r="H65" s="26">
        <f t="shared" ca="1" si="0"/>
        <v>1.8235421081405412E-2</v>
      </c>
      <c r="I65" s="4">
        <f>IF(G65="Yes",-$C$8,0)</f>
        <v>-500</v>
      </c>
      <c r="J65" s="4">
        <f>IF(G65="Yes",$C$8-I65,0)</f>
        <v>1000</v>
      </c>
      <c r="K65" s="4">
        <f ca="1">IF(H65&gt;=$C$4,J65+I65,I65)</f>
        <v>-500</v>
      </c>
      <c r="M65" s="61">
        <f t="shared" si="7"/>
        <v>49.6</v>
      </c>
      <c r="N65" s="61">
        <f t="shared" si="8"/>
        <v>12.399999999999999</v>
      </c>
      <c r="O65" s="4">
        <f t="shared" si="3"/>
        <v>24800</v>
      </c>
      <c r="P65" s="4">
        <f t="shared" si="4"/>
        <v>-6199.9999999999991</v>
      </c>
      <c r="Q65" s="4">
        <f t="shared" si="5"/>
        <v>18600</v>
      </c>
      <c r="R65" s="4">
        <f t="shared" si="6"/>
        <v>118600</v>
      </c>
    </row>
    <row r="66" spans="5:18" x14ac:dyDescent="0.25">
      <c r="E66" s="1">
        <f t="shared" si="1"/>
        <v>63</v>
      </c>
      <c r="F66" s="4">
        <f t="shared" ca="1" si="2"/>
        <v>116500</v>
      </c>
      <c r="G66" s="1" t="s">
        <v>70</v>
      </c>
      <c r="H66" s="26">
        <f t="shared" ca="1" si="0"/>
        <v>0.81458079966697727</v>
      </c>
      <c r="I66" s="4">
        <f>IF(G66="Yes",-$C$8,0)</f>
        <v>-500</v>
      </c>
      <c r="J66" s="4">
        <f>IF(G66="Yes",$C$8-I66,0)</f>
        <v>1000</v>
      </c>
      <c r="K66" s="4">
        <f ca="1">IF(H66&gt;=$C$4,J66+I66,I66)</f>
        <v>500</v>
      </c>
      <c r="M66" s="61">
        <f t="shared" si="7"/>
        <v>50.400000000000006</v>
      </c>
      <c r="N66" s="61">
        <f t="shared" si="8"/>
        <v>12.599999999999994</v>
      </c>
      <c r="O66" s="4">
        <f t="shared" si="3"/>
        <v>25200.000000000004</v>
      </c>
      <c r="P66" s="4">
        <f t="shared" si="4"/>
        <v>-6299.9999999999973</v>
      </c>
      <c r="Q66" s="4">
        <f t="shared" si="5"/>
        <v>18900.000000000007</v>
      </c>
      <c r="R66" s="4">
        <f t="shared" si="6"/>
        <v>118900</v>
      </c>
    </row>
    <row r="67" spans="5:18" x14ac:dyDescent="0.25">
      <c r="E67" s="1">
        <f t="shared" si="1"/>
        <v>64</v>
      </c>
      <c r="F67" s="4">
        <f t="shared" ca="1" si="2"/>
        <v>117000</v>
      </c>
      <c r="G67" s="1" t="s">
        <v>70</v>
      </c>
      <c r="H67" s="26">
        <f t="shared" ca="1" si="0"/>
        <v>0.94018234680665425</v>
      </c>
      <c r="I67" s="4">
        <f>IF(G67="Yes",-$C$8,0)</f>
        <v>-500</v>
      </c>
      <c r="J67" s="4">
        <f>IF(G67="Yes",$C$8-I67,0)</f>
        <v>1000</v>
      </c>
      <c r="K67" s="4">
        <f ca="1">IF(H67&gt;=$C$4,J67+I67,I67)</f>
        <v>500</v>
      </c>
      <c r="M67" s="61">
        <f t="shared" si="7"/>
        <v>51.2</v>
      </c>
      <c r="N67" s="61">
        <f t="shared" si="8"/>
        <v>12.799999999999997</v>
      </c>
      <c r="O67" s="4">
        <f t="shared" si="3"/>
        <v>25600</v>
      </c>
      <c r="P67" s="4">
        <f t="shared" si="4"/>
        <v>-6399.9999999999982</v>
      </c>
      <c r="Q67" s="4">
        <f t="shared" si="5"/>
        <v>19200</v>
      </c>
      <c r="R67" s="4">
        <f t="shared" si="6"/>
        <v>119200</v>
      </c>
    </row>
    <row r="68" spans="5:18" x14ac:dyDescent="0.25">
      <c r="E68" s="1">
        <f t="shared" si="1"/>
        <v>65</v>
      </c>
      <c r="F68" s="4">
        <f t="shared" ca="1" si="2"/>
        <v>117500</v>
      </c>
      <c r="G68" s="1" t="s">
        <v>70</v>
      </c>
      <c r="H68" s="26">
        <f t="shared" ref="H68:H131" ca="1" si="9">RAND()</f>
        <v>0.65908092448428468</v>
      </c>
      <c r="I68" s="4">
        <f>IF(G68="Yes",-$C$8,0)</f>
        <v>-500</v>
      </c>
      <c r="J68" s="4">
        <f>IF(G68="Yes",$C$8-I68,0)</f>
        <v>1000</v>
      </c>
      <c r="K68" s="4">
        <f ca="1">IF(H68&gt;=$C$4,J68+I68,I68)</f>
        <v>500</v>
      </c>
      <c r="M68" s="61">
        <f t="shared" si="7"/>
        <v>52</v>
      </c>
      <c r="N68" s="61">
        <f t="shared" si="8"/>
        <v>13</v>
      </c>
      <c r="O68" s="4">
        <f t="shared" si="3"/>
        <v>26000</v>
      </c>
      <c r="P68" s="4">
        <f t="shared" si="4"/>
        <v>-6500</v>
      </c>
      <c r="Q68" s="4">
        <f t="shared" si="5"/>
        <v>19500</v>
      </c>
      <c r="R68" s="4">
        <f t="shared" si="6"/>
        <v>119500</v>
      </c>
    </row>
    <row r="69" spans="5:18" x14ac:dyDescent="0.25">
      <c r="E69" s="1">
        <f t="shared" ref="E69:E132" si="10">E68+1</f>
        <v>66</v>
      </c>
      <c r="F69" s="4">
        <f t="shared" ref="F69:F132" ca="1" si="11">F68+K69</f>
        <v>118000</v>
      </c>
      <c r="G69" s="1" t="s">
        <v>70</v>
      </c>
      <c r="H69" s="26">
        <f t="shared" ca="1" si="9"/>
        <v>0.8561841884735697</v>
      </c>
      <c r="I69" s="4">
        <f>IF(G69="Yes",-$C$8,0)</f>
        <v>-500</v>
      </c>
      <c r="J69" s="4">
        <f>IF(G69="Yes",$C$8-I69,0)</f>
        <v>1000</v>
      </c>
      <c r="K69" s="4">
        <f ca="1">IF(H69&gt;=$C$4,J69+I69,I69)</f>
        <v>500</v>
      </c>
      <c r="M69" s="61">
        <f t="shared" si="7"/>
        <v>52.800000000000004</v>
      </c>
      <c r="N69" s="61">
        <f t="shared" si="8"/>
        <v>13.199999999999996</v>
      </c>
      <c r="O69" s="4">
        <f t="shared" ref="O69:O132" si="12">M69*$C$8</f>
        <v>26400.000000000004</v>
      </c>
      <c r="P69" s="4">
        <f t="shared" ref="P69:P132" si="13">N69*(-$C$8)</f>
        <v>-6599.9999999999982</v>
      </c>
      <c r="Q69" s="4">
        <f t="shared" ref="Q69:Q132" si="14">O69+P69</f>
        <v>19800.000000000007</v>
      </c>
      <c r="R69" s="4">
        <f t="shared" ref="R69:R132" si="15">$C$7+Q69</f>
        <v>119800</v>
      </c>
    </row>
    <row r="70" spans="5:18" x14ac:dyDescent="0.25">
      <c r="E70" s="1">
        <f t="shared" si="10"/>
        <v>67</v>
      </c>
      <c r="F70" s="4">
        <f t="shared" ca="1" si="11"/>
        <v>117500</v>
      </c>
      <c r="G70" s="1" t="s">
        <v>70</v>
      </c>
      <c r="H70" s="26">
        <f t="shared" ca="1" si="9"/>
        <v>4.768033480169831E-2</v>
      </c>
      <c r="I70" s="4">
        <f>IF(G70="Yes",-$C$8,0)</f>
        <v>-500</v>
      </c>
      <c r="J70" s="4">
        <f>IF(G70="Yes",$C$8-I70,0)</f>
        <v>1000</v>
      </c>
      <c r="K70" s="4">
        <f ca="1">IF(H70&gt;=$C$4,J70+I70,I70)</f>
        <v>-500</v>
      </c>
      <c r="M70" s="61">
        <f t="shared" si="7"/>
        <v>53.6</v>
      </c>
      <c r="N70" s="61">
        <f t="shared" si="8"/>
        <v>13.399999999999999</v>
      </c>
      <c r="O70" s="4">
        <f t="shared" si="12"/>
        <v>26800</v>
      </c>
      <c r="P70" s="4">
        <f t="shared" si="13"/>
        <v>-6699.9999999999991</v>
      </c>
      <c r="Q70" s="4">
        <f t="shared" si="14"/>
        <v>20100</v>
      </c>
      <c r="R70" s="4">
        <f t="shared" si="15"/>
        <v>120100</v>
      </c>
    </row>
    <row r="71" spans="5:18" x14ac:dyDescent="0.25">
      <c r="E71" s="1">
        <f t="shared" si="10"/>
        <v>68</v>
      </c>
      <c r="F71" s="4">
        <f t="shared" ca="1" si="11"/>
        <v>118000</v>
      </c>
      <c r="G71" s="1" t="s">
        <v>70</v>
      </c>
      <c r="H71" s="26">
        <f t="shared" ca="1" si="9"/>
        <v>0.76169970634312212</v>
      </c>
      <c r="I71" s="4">
        <f>IF(G71="Yes",-$C$8,0)</f>
        <v>-500</v>
      </c>
      <c r="J71" s="4">
        <f>IF(G71="Yes",$C$8-I71,0)</f>
        <v>1000</v>
      </c>
      <c r="K71" s="4">
        <f ca="1">IF(H71&gt;=$C$4,J71+I71,I71)</f>
        <v>500</v>
      </c>
      <c r="M71" s="61">
        <f t="shared" si="7"/>
        <v>54.400000000000006</v>
      </c>
      <c r="N71" s="61">
        <f t="shared" si="8"/>
        <v>13.599999999999994</v>
      </c>
      <c r="O71" s="4">
        <f t="shared" si="12"/>
        <v>27200.000000000004</v>
      </c>
      <c r="P71" s="4">
        <f t="shared" si="13"/>
        <v>-6799.9999999999973</v>
      </c>
      <c r="Q71" s="4">
        <f t="shared" si="14"/>
        <v>20400.000000000007</v>
      </c>
      <c r="R71" s="4">
        <f t="shared" si="15"/>
        <v>120400</v>
      </c>
    </row>
    <row r="72" spans="5:18" x14ac:dyDescent="0.25">
      <c r="E72" s="1">
        <f t="shared" si="10"/>
        <v>69</v>
      </c>
      <c r="F72" s="4">
        <f t="shared" ca="1" si="11"/>
        <v>117500</v>
      </c>
      <c r="G72" s="1" t="s">
        <v>70</v>
      </c>
      <c r="H72" s="26">
        <f t="shared" ca="1" si="9"/>
        <v>0.11696817412866933</v>
      </c>
      <c r="I72" s="4">
        <f>IF(G72="Yes",-$C$8,0)</f>
        <v>-500</v>
      </c>
      <c r="J72" s="4">
        <f>IF(G72="Yes",$C$8-I72,0)</f>
        <v>1000</v>
      </c>
      <c r="K72" s="4">
        <f ca="1">IF(H72&gt;=$C$4,J72+I72,I72)</f>
        <v>-500</v>
      </c>
      <c r="M72" s="61">
        <f t="shared" si="7"/>
        <v>55.2</v>
      </c>
      <c r="N72" s="61">
        <f t="shared" si="8"/>
        <v>13.799999999999997</v>
      </c>
      <c r="O72" s="4">
        <f t="shared" si="12"/>
        <v>27600</v>
      </c>
      <c r="P72" s="4">
        <f t="shared" si="13"/>
        <v>-6899.9999999999982</v>
      </c>
      <c r="Q72" s="4">
        <f t="shared" si="14"/>
        <v>20700</v>
      </c>
      <c r="R72" s="4">
        <f t="shared" si="15"/>
        <v>120700</v>
      </c>
    </row>
    <row r="73" spans="5:18" x14ac:dyDescent="0.25">
      <c r="E73" s="1">
        <f t="shared" si="10"/>
        <v>70</v>
      </c>
      <c r="F73" s="4">
        <f t="shared" ca="1" si="11"/>
        <v>117000</v>
      </c>
      <c r="G73" s="1" t="s">
        <v>70</v>
      </c>
      <c r="H73" s="26">
        <f t="shared" ca="1" si="9"/>
        <v>5.4876470767650787E-4</v>
      </c>
      <c r="I73" s="4">
        <f>IF(G73="Yes",-$C$8,0)</f>
        <v>-500</v>
      </c>
      <c r="J73" s="4">
        <f>IF(G73="Yes",$C$8-I73,0)</f>
        <v>1000</v>
      </c>
      <c r="K73" s="4">
        <f ca="1">IF(H73&gt;=$C$4,J73+I73,I73)</f>
        <v>-500</v>
      </c>
      <c r="M73" s="61">
        <f t="shared" si="7"/>
        <v>56</v>
      </c>
      <c r="N73" s="61">
        <f t="shared" si="8"/>
        <v>14</v>
      </c>
      <c r="O73" s="4">
        <f t="shared" si="12"/>
        <v>28000</v>
      </c>
      <c r="P73" s="4">
        <f t="shared" si="13"/>
        <v>-7000</v>
      </c>
      <c r="Q73" s="4">
        <f t="shared" si="14"/>
        <v>21000</v>
      </c>
      <c r="R73" s="4">
        <f t="shared" si="15"/>
        <v>121000</v>
      </c>
    </row>
    <row r="74" spans="5:18" x14ac:dyDescent="0.25">
      <c r="E74" s="1">
        <f t="shared" si="10"/>
        <v>71</v>
      </c>
      <c r="F74" s="4">
        <f t="shared" ca="1" si="11"/>
        <v>117500</v>
      </c>
      <c r="G74" s="1" t="s">
        <v>70</v>
      </c>
      <c r="H74" s="26">
        <f t="shared" ca="1" si="9"/>
        <v>0.88205726112076199</v>
      </c>
      <c r="I74" s="4">
        <f>IF(G74="Yes",-$C$8,0)</f>
        <v>-500</v>
      </c>
      <c r="J74" s="4">
        <f>IF(G74="Yes",$C$8-I74,0)</f>
        <v>1000</v>
      </c>
      <c r="K74" s="4">
        <f ca="1">IF(H74&gt;=$C$4,J74+I74,I74)</f>
        <v>500</v>
      </c>
      <c r="M74" s="61">
        <f t="shared" si="7"/>
        <v>56.800000000000004</v>
      </c>
      <c r="N74" s="61">
        <f t="shared" si="8"/>
        <v>14.199999999999996</v>
      </c>
      <c r="O74" s="4">
        <f t="shared" si="12"/>
        <v>28400.000000000004</v>
      </c>
      <c r="P74" s="4">
        <f t="shared" si="13"/>
        <v>-7099.9999999999982</v>
      </c>
      <c r="Q74" s="4">
        <f t="shared" si="14"/>
        <v>21300.000000000007</v>
      </c>
      <c r="R74" s="4">
        <f t="shared" si="15"/>
        <v>121300</v>
      </c>
    </row>
    <row r="75" spans="5:18" x14ac:dyDescent="0.25">
      <c r="E75" s="1">
        <f t="shared" si="10"/>
        <v>72</v>
      </c>
      <c r="F75" s="4">
        <f t="shared" ca="1" si="11"/>
        <v>117000</v>
      </c>
      <c r="G75" s="1" t="s">
        <v>70</v>
      </c>
      <c r="H75" s="26">
        <f t="shared" ca="1" si="9"/>
        <v>3.0070584192662286E-2</v>
      </c>
      <c r="I75" s="4">
        <f>IF(G75="Yes",-$C$8,0)</f>
        <v>-500</v>
      </c>
      <c r="J75" s="4">
        <f>IF(G75="Yes",$C$8-I75,0)</f>
        <v>1000</v>
      </c>
      <c r="K75" s="4">
        <f ca="1">IF(H75&gt;=$C$4,J75+I75,I75)</f>
        <v>-500</v>
      </c>
      <c r="M75" s="61">
        <f t="shared" si="7"/>
        <v>57.6</v>
      </c>
      <c r="N75" s="61">
        <f t="shared" si="8"/>
        <v>14.399999999999999</v>
      </c>
      <c r="O75" s="4">
        <f t="shared" si="12"/>
        <v>28800</v>
      </c>
      <c r="P75" s="4">
        <f t="shared" si="13"/>
        <v>-7199.9999999999991</v>
      </c>
      <c r="Q75" s="4">
        <f t="shared" si="14"/>
        <v>21600</v>
      </c>
      <c r="R75" s="4">
        <f t="shared" si="15"/>
        <v>121600</v>
      </c>
    </row>
    <row r="76" spans="5:18" x14ac:dyDescent="0.25">
      <c r="E76" s="1">
        <f t="shared" si="10"/>
        <v>73</v>
      </c>
      <c r="F76" s="4">
        <f t="shared" ca="1" si="11"/>
        <v>117500</v>
      </c>
      <c r="G76" s="1" t="s">
        <v>70</v>
      </c>
      <c r="H76" s="26">
        <f t="shared" ca="1" si="9"/>
        <v>0.52870401385113031</v>
      </c>
      <c r="I76" s="4">
        <f>IF(G76="Yes",-$C$8,0)</f>
        <v>-500</v>
      </c>
      <c r="J76" s="4">
        <f>IF(G76="Yes",$C$8-I76,0)</f>
        <v>1000</v>
      </c>
      <c r="K76" s="4">
        <f ca="1">IF(H76&gt;=$C$4,J76+I76,I76)</f>
        <v>500</v>
      </c>
      <c r="M76" s="61">
        <f t="shared" si="7"/>
        <v>58.400000000000006</v>
      </c>
      <c r="N76" s="61">
        <f t="shared" si="8"/>
        <v>14.599999999999994</v>
      </c>
      <c r="O76" s="4">
        <f t="shared" si="12"/>
        <v>29200.000000000004</v>
      </c>
      <c r="P76" s="4">
        <f t="shared" si="13"/>
        <v>-7299.9999999999973</v>
      </c>
      <c r="Q76" s="4">
        <f t="shared" si="14"/>
        <v>21900.000000000007</v>
      </c>
      <c r="R76" s="4">
        <f t="shared" si="15"/>
        <v>121900</v>
      </c>
    </row>
    <row r="77" spans="5:18" x14ac:dyDescent="0.25">
      <c r="E77" s="1">
        <f t="shared" si="10"/>
        <v>74</v>
      </c>
      <c r="F77" s="4">
        <f t="shared" ca="1" si="11"/>
        <v>118000</v>
      </c>
      <c r="G77" s="1" t="s">
        <v>70</v>
      </c>
      <c r="H77" s="26">
        <f t="shared" ca="1" si="9"/>
        <v>0.61434473831173764</v>
      </c>
      <c r="I77" s="4">
        <f>IF(G77="Yes",-$C$8,0)</f>
        <v>-500</v>
      </c>
      <c r="J77" s="4">
        <f>IF(G77="Yes",$C$8-I77,0)</f>
        <v>1000</v>
      </c>
      <c r="K77" s="4">
        <f ca="1">IF(H77&gt;=$C$4,J77+I77,I77)</f>
        <v>500</v>
      </c>
      <c r="M77" s="61">
        <f t="shared" si="7"/>
        <v>59.2</v>
      </c>
      <c r="N77" s="61">
        <f t="shared" si="8"/>
        <v>14.799999999999997</v>
      </c>
      <c r="O77" s="4">
        <f t="shared" si="12"/>
        <v>29600</v>
      </c>
      <c r="P77" s="4">
        <f t="shared" si="13"/>
        <v>-7399.9999999999982</v>
      </c>
      <c r="Q77" s="4">
        <f t="shared" si="14"/>
        <v>22200</v>
      </c>
      <c r="R77" s="4">
        <f t="shared" si="15"/>
        <v>122200</v>
      </c>
    </row>
    <row r="78" spans="5:18" x14ac:dyDescent="0.25">
      <c r="E78" s="1">
        <f t="shared" si="10"/>
        <v>75</v>
      </c>
      <c r="F78" s="4">
        <f t="shared" ca="1" si="11"/>
        <v>118500</v>
      </c>
      <c r="G78" s="1" t="s">
        <v>70</v>
      </c>
      <c r="H78" s="26">
        <f t="shared" ca="1" si="9"/>
        <v>0.397138089879009</v>
      </c>
      <c r="I78" s="4">
        <f>IF(G78="Yes",-$C$8,0)</f>
        <v>-500</v>
      </c>
      <c r="J78" s="4">
        <f>IF(G78="Yes",$C$8-I78,0)</f>
        <v>1000</v>
      </c>
      <c r="K78" s="4">
        <f ca="1">IF(H78&gt;=$C$4,J78+I78,I78)</f>
        <v>500</v>
      </c>
      <c r="M78" s="61">
        <f t="shared" ref="M78:M141" si="16">E78*$C$3</f>
        <v>60</v>
      </c>
      <c r="N78" s="61">
        <f t="shared" ref="N78:N141" si="17">E78-M78</f>
        <v>15</v>
      </c>
      <c r="O78" s="4">
        <f t="shared" si="12"/>
        <v>30000</v>
      </c>
      <c r="P78" s="4">
        <f t="shared" si="13"/>
        <v>-7500</v>
      </c>
      <c r="Q78" s="4">
        <f t="shared" si="14"/>
        <v>22500</v>
      </c>
      <c r="R78" s="4">
        <f t="shared" si="15"/>
        <v>122500</v>
      </c>
    </row>
    <row r="79" spans="5:18" x14ac:dyDescent="0.25">
      <c r="E79" s="1">
        <f t="shared" si="10"/>
        <v>76</v>
      </c>
      <c r="F79" s="4">
        <f t="shared" ca="1" si="11"/>
        <v>119000</v>
      </c>
      <c r="G79" s="1" t="s">
        <v>70</v>
      </c>
      <c r="H79" s="26">
        <f t="shared" ca="1" si="9"/>
        <v>0.26749008608543179</v>
      </c>
      <c r="I79" s="4">
        <f>IF(G79="Yes",-$C$8,0)</f>
        <v>-500</v>
      </c>
      <c r="J79" s="4">
        <f>IF(G79="Yes",$C$8-I79,0)</f>
        <v>1000</v>
      </c>
      <c r="K79" s="4">
        <f ca="1">IF(H79&gt;=$C$4,J79+I79,I79)</f>
        <v>500</v>
      </c>
      <c r="M79" s="61">
        <f t="shared" si="16"/>
        <v>60.800000000000004</v>
      </c>
      <c r="N79" s="61">
        <f t="shared" si="17"/>
        <v>15.199999999999996</v>
      </c>
      <c r="O79" s="4">
        <f t="shared" si="12"/>
        <v>30400.000000000004</v>
      </c>
      <c r="P79" s="4">
        <f t="shared" si="13"/>
        <v>-7599.9999999999982</v>
      </c>
      <c r="Q79" s="4">
        <f t="shared" si="14"/>
        <v>22800.000000000007</v>
      </c>
      <c r="R79" s="4">
        <f t="shared" si="15"/>
        <v>122800</v>
      </c>
    </row>
    <row r="80" spans="5:18" x14ac:dyDescent="0.25">
      <c r="E80" s="1">
        <f t="shared" si="10"/>
        <v>77</v>
      </c>
      <c r="F80" s="4">
        <f t="shared" ca="1" si="11"/>
        <v>119500</v>
      </c>
      <c r="G80" s="1" t="s">
        <v>70</v>
      </c>
      <c r="H80" s="26">
        <f t="shared" ca="1" si="9"/>
        <v>0.8268085674171316</v>
      </c>
      <c r="I80" s="4">
        <f>IF(G80="Yes",-$C$8,0)</f>
        <v>-500</v>
      </c>
      <c r="J80" s="4">
        <f>IF(G80="Yes",$C$8-I80,0)</f>
        <v>1000</v>
      </c>
      <c r="K80" s="4">
        <f ca="1">IF(H80&gt;=$C$4,J80+I80,I80)</f>
        <v>500</v>
      </c>
      <c r="M80" s="61">
        <f t="shared" si="16"/>
        <v>61.6</v>
      </c>
      <c r="N80" s="61">
        <f t="shared" si="17"/>
        <v>15.399999999999999</v>
      </c>
      <c r="O80" s="4">
        <f t="shared" si="12"/>
        <v>30800</v>
      </c>
      <c r="P80" s="4">
        <f t="shared" si="13"/>
        <v>-7699.9999999999991</v>
      </c>
      <c r="Q80" s="4">
        <f t="shared" si="14"/>
        <v>23100</v>
      </c>
      <c r="R80" s="4">
        <f t="shared" si="15"/>
        <v>123100</v>
      </c>
    </row>
    <row r="81" spans="5:18" x14ac:dyDescent="0.25">
      <c r="E81" s="1">
        <f t="shared" si="10"/>
        <v>78</v>
      </c>
      <c r="F81" s="4">
        <f t="shared" ca="1" si="11"/>
        <v>120000</v>
      </c>
      <c r="G81" s="1" t="s">
        <v>70</v>
      </c>
      <c r="H81" s="26">
        <f t="shared" ca="1" si="9"/>
        <v>0.91243637950867784</v>
      </c>
      <c r="I81" s="4">
        <f>IF(G81="Yes",-$C$8,0)</f>
        <v>-500</v>
      </c>
      <c r="J81" s="4">
        <f>IF(G81="Yes",$C$8-I81,0)</f>
        <v>1000</v>
      </c>
      <c r="K81" s="4">
        <f ca="1">IF(H81&gt;=$C$4,J81+I81,I81)</f>
        <v>500</v>
      </c>
      <c r="M81" s="61">
        <f t="shared" si="16"/>
        <v>62.400000000000006</v>
      </c>
      <c r="N81" s="61">
        <f t="shared" si="17"/>
        <v>15.599999999999994</v>
      </c>
      <c r="O81" s="4">
        <f t="shared" si="12"/>
        <v>31200.000000000004</v>
      </c>
      <c r="P81" s="4">
        <f t="shared" si="13"/>
        <v>-7799.9999999999973</v>
      </c>
      <c r="Q81" s="4">
        <f t="shared" si="14"/>
        <v>23400.000000000007</v>
      </c>
      <c r="R81" s="4">
        <f t="shared" si="15"/>
        <v>123400</v>
      </c>
    </row>
    <row r="82" spans="5:18" x14ac:dyDescent="0.25">
      <c r="E82" s="1">
        <f t="shared" si="10"/>
        <v>79</v>
      </c>
      <c r="F82" s="4">
        <f t="shared" ca="1" si="11"/>
        <v>119500</v>
      </c>
      <c r="G82" s="1" t="s">
        <v>70</v>
      </c>
      <c r="H82" s="26">
        <f t="shared" ca="1" si="9"/>
        <v>7.4746082884107667E-2</v>
      </c>
      <c r="I82" s="4">
        <f>IF(G82="Yes",-$C$8,0)</f>
        <v>-500</v>
      </c>
      <c r="J82" s="4">
        <f>IF(G82="Yes",$C$8-I82,0)</f>
        <v>1000</v>
      </c>
      <c r="K82" s="4">
        <f ca="1">IF(H82&gt;=$C$4,J82+I82,I82)</f>
        <v>-500</v>
      </c>
      <c r="M82" s="61">
        <f t="shared" si="16"/>
        <v>63.2</v>
      </c>
      <c r="N82" s="61">
        <f t="shared" si="17"/>
        <v>15.799999999999997</v>
      </c>
      <c r="O82" s="4">
        <f t="shared" si="12"/>
        <v>31600</v>
      </c>
      <c r="P82" s="4">
        <f t="shared" si="13"/>
        <v>-7899.9999999999982</v>
      </c>
      <c r="Q82" s="4">
        <f t="shared" si="14"/>
        <v>23700</v>
      </c>
      <c r="R82" s="4">
        <f t="shared" si="15"/>
        <v>123700</v>
      </c>
    </row>
    <row r="83" spans="5:18" x14ac:dyDescent="0.25">
      <c r="E83" s="1">
        <f t="shared" si="10"/>
        <v>80</v>
      </c>
      <c r="F83" s="4">
        <f t="shared" ca="1" si="11"/>
        <v>120000</v>
      </c>
      <c r="G83" s="1" t="s">
        <v>70</v>
      </c>
      <c r="H83" s="26">
        <f t="shared" ca="1" si="9"/>
        <v>0.97915884653089025</v>
      </c>
      <c r="I83" s="4">
        <f>IF(G83="Yes",-$C$8,0)</f>
        <v>-500</v>
      </c>
      <c r="J83" s="4">
        <f>IF(G83="Yes",$C$8-I83,0)</f>
        <v>1000</v>
      </c>
      <c r="K83" s="4">
        <f ca="1">IF(H83&gt;=$C$4,J83+I83,I83)</f>
        <v>500</v>
      </c>
      <c r="M83" s="61">
        <f t="shared" si="16"/>
        <v>64</v>
      </c>
      <c r="N83" s="61">
        <f t="shared" si="17"/>
        <v>16</v>
      </c>
      <c r="O83" s="4">
        <f t="shared" si="12"/>
        <v>32000</v>
      </c>
      <c r="P83" s="4">
        <f t="shared" si="13"/>
        <v>-8000</v>
      </c>
      <c r="Q83" s="4">
        <f t="shared" si="14"/>
        <v>24000</v>
      </c>
      <c r="R83" s="4">
        <f t="shared" si="15"/>
        <v>124000</v>
      </c>
    </row>
    <row r="84" spans="5:18" x14ac:dyDescent="0.25">
      <c r="E84" s="1">
        <f t="shared" si="10"/>
        <v>81</v>
      </c>
      <c r="F84" s="4">
        <f t="shared" ca="1" si="11"/>
        <v>120500</v>
      </c>
      <c r="G84" s="1" t="s">
        <v>70</v>
      </c>
      <c r="H84" s="26">
        <f t="shared" ca="1" si="9"/>
        <v>0.68772524826070591</v>
      </c>
      <c r="I84" s="4">
        <f>IF(G84="Yes",-$C$8,0)</f>
        <v>-500</v>
      </c>
      <c r="J84" s="4">
        <f>IF(G84="Yes",$C$8-I84,0)</f>
        <v>1000</v>
      </c>
      <c r="K84" s="4">
        <f ca="1">IF(H84&gt;=$C$4,J84+I84,I84)</f>
        <v>500</v>
      </c>
      <c r="M84" s="61">
        <f t="shared" si="16"/>
        <v>64.8</v>
      </c>
      <c r="N84" s="61">
        <f t="shared" si="17"/>
        <v>16.200000000000003</v>
      </c>
      <c r="O84" s="4">
        <f t="shared" si="12"/>
        <v>32400</v>
      </c>
      <c r="P84" s="4">
        <f t="shared" si="13"/>
        <v>-8100.0000000000018</v>
      </c>
      <c r="Q84" s="4">
        <f t="shared" si="14"/>
        <v>24300</v>
      </c>
      <c r="R84" s="4">
        <f t="shared" si="15"/>
        <v>124300</v>
      </c>
    </row>
    <row r="85" spans="5:18" x14ac:dyDescent="0.25">
      <c r="E85" s="1">
        <f t="shared" si="10"/>
        <v>82</v>
      </c>
      <c r="F85" s="4">
        <f t="shared" ca="1" si="11"/>
        <v>120000</v>
      </c>
      <c r="G85" s="1" t="s">
        <v>70</v>
      </c>
      <c r="H85" s="26">
        <f t="shared" ca="1" si="9"/>
        <v>0.19427996176094342</v>
      </c>
      <c r="I85" s="4">
        <f>IF(G85="Yes",-$C$8,0)</f>
        <v>-500</v>
      </c>
      <c r="J85" s="4">
        <f>IF(G85="Yes",$C$8-I85,0)</f>
        <v>1000</v>
      </c>
      <c r="K85" s="4">
        <f ca="1">IF(H85&gt;=$C$4,J85+I85,I85)</f>
        <v>-500</v>
      </c>
      <c r="M85" s="61">
        <f t="shared" si="16"/>
        <v>65.600000000000009</v>
      </c>
      <c r="N85" s="61">
        <f t="shared" si="17"/>
        <v>16.399999999999991</v>
      </c>
      <c r="O85" s="4">
        <f t="shared" si="12"/>
        <v>32800.000000000007</v>
      </c>
      <c r="P85" s="4">
        <f t="shared" si="13"/>
        <v>-8199.9999999999964</v>
      </c>
      <c r="Q85" s="4">
        <f t="shared" si="14"/>
        <v>24600.000000000011</v>
      </c>
      <c r="R85" s="4">
        <f t="shared" si="15"/>
        <v>124600.00000000001</v>
      </c>
    </row>
    <row r="86" spans="5:18" x14ac:dyDescent="0.25">
      <c r="E86" s="1">
        <f t="shared" si="10"/>
        <v>83</v>
      </c>
      <c r="F86" s="4">
        <f t="shared" ca="1" si="11"/>
        <v>120500</v>
      </c>
      <c r="G86" s="1" t="s">
        <v>70</v>
      </c>
      <c r="H86" s="26">
        <f t="shared" ca="1" si="9"/>
        <v>0.38731128159493955</v>
      </c>
      <c r="I86" s="4">
        <f>IF(G86="Yes",-$C$8,0)</f>
        <v>-500</v>
      </c>
      <c r="J86" s="4">
        <f>IF(G86="Yes",$C$8-I86,0)</f>
        <v>1000</v>
      </c>
      <c r="K86" s="4">
        <f ca="1">IF(H86&gt;=$C$4,J86+I86,I86)</f>
        <v>500</v>
      </c>
      <c r="M86" s="61">
        <f t="shared" si="16"/>
        <v>66.400000000000006</v>
      </c>
      <c r="N86" s="61">
        <f t="shared" si="17"/>
        <v>16.599999999999994</v>
      </c>
      <c r="O86" s="4">
        <f t="shared" si="12"/>
        <v>33200</v>
      </c>
      <c r="P86" s="4">
        <f t="shared" si="13"/>
        <v>-8299.9999999999964</v>
      </c>
      <c r="Q86" s="4">
        <f t="shared" si="14"/>
        <v>24900.000000000004</v>
      </c>
      <c r="R86" s="4">
        <f t="shared" si="15"/>
        <v>124900</v>
      </c>
    </row>
    <row r="87" spans="5:18" x14ac:dyDescent="0.25">
      <c r="E87" s="1">
        <f t="shared" si="10"/>
        <v>84</v>
      </c>
      <c r="F87" s="4">
        <f t="shared" ca="1" si="11"/>
        <v>121000</v>
      </c>
      <c r="G87" s="1" t="s">
        <v>70</v>
      </c>
      <c r="H87" s="26">
        <f t="shared" ca="1" si="9"/>
        <v>0.84455489718620846</v>
      </c>
      <c r="I87" s="4">
        <f>IF(G87="Yes",-$C$8,0)</f>
        <v>-500</v>
      </c>
      <c r="J87" s="4">
        <f>IF(G87="Yes",$C$8-I87,0)</f>
        <v>1000</v>
      </c>
      <c r="K87" s="4">
        <f ca="1">IF(H87&gt;=$C$4,J87+I87,I87)</f>
        <v>500</v>
      </c>
      <c r="M87" s="61">
        <f t="shared" si="16"/>
        <v>67.2</v>
      </c>
      <c r="N87" s="61">
        <f t="shared" si="17"/>
        <v>16.799999999999997</v>
      </c>
      <c r="O87" s="4">
        <f t="shared" si="12"/>
        <v>33600</v>
      </c>
      <c r="P87" s="4">
        <f t="shared" si="13"/>
        <v>-8399.9999999999982</v>
      </c>
      <c r="Q87" s="4">
        <f t="shared" si="14"/>
        <v>25200</v>
      </c>
      <c r="R87" s="4">
        <f t="shared" si="15"/>
        <v>125200</v>
      </c>
    </row>
    <row r="88" spans="5:18" x14ac:dyDescent="0.25">
      <c r="E88" s="1">
        <f t="shared" si="10"/>
        <v>85</v>
      </c>
      <c r="F88" s="4">
        <f t="shared" ca="1" si="11"/>
        <v>121500</v>
      </c>
      <c r="G88" s="1" t="s">
        <v>70</v>
      </c>
      <c r="H88" s="26">
        <f t="shared" ca="1" si="9"/>
        <v>0.98574805479890371</v>
      </c>
      <c r="I88" s="4">
        <f>IF(G88="Yes",-$C$8,0)</f>
        <v>-500</v>
      </c>
      <c r="J88" s="4">
        <f>IF(G88="Yes",$C$8-I88,0)</f>
        <v>1000</v>
      </c>
      <c r="K88" s="4">
        <f ca="1">IF(H88&gt;=$C$4,J88+I88,I88)</f>
        <v>500</v>
      </c>
      <c r="M88" s="61">
        <f t="shared" si="16"/>
        <v>68</v>
      </c>
      <c r="N88" s="61">
        <f t="shared" si="17"/>
        <v>17</v>
      </c>
      <c r="O88" s="4">
        <f t="shared" si="12"/>
        <v>34000</v>
      </c>
      <c r="P88" s="4">
        <f t="shared" si="13"/>
        <v>-8500</v>
      </c>
      <c r="Q88" s="4">
        <f t="shared" si="14"/>
        <v>25500</v>
      </c>
      <c r="R88" s="4">
        <f t="shared" si="15"/>
        <v>125500</v>
      </c>
    </row>
    <row r="89" spans="5:18" x14ac:dyDescent="0.25">
      <c r="E89" s="1">
        <f t="shared" si="10"/>
        <v>86</v>
      </c>
      <c r="F89" s="4">
        <f t="shared" ca="1" si="11"/>
        <v>122000</v>
      </c>
      <c r="G89" s="1" t="s">
        <v>70</v>
      </c>
      <c r="H89" s="26">
        <f t="shared" ca="1" si="9"/>
        <v>0.81339548437286169</v>
      </c>
      <c r="I89" s="4">
        <f>IF(G89="Yes",-$C$8,0)</f>
        <v>-500</v>
      </c>
      <c r="J89" s="4">
        <f>IF(G89="Yes",$C$8-I89,0)</f>
        <v>1000</v>
      </c>
      <c r="K89" s="4">
        <f ca="1">IF(H89&gt;=$C$4,J89+I89,I89)</f>
        <v>500</v>
      </c>
      <c r="M89" s="61">
        <f t="shared" si="16"/>
        <v>68.8</v>
      </c>
      <c r="N89" s="61">
        <f t="shared" si="17"/>
        <v>17.200000000000003</v>
      </c>
      <c r="O89" s="4">
        <f t="shared" si="12"/>
        <v>34400</v>
      </c>
      <c r="P89" s="4">
        <f t="shared" si="13"/>
        <v>-8600.0000000000018</v>
      </c>
      <c r="Q89" s="4">
        <f t="shared" si="14"/>
        <v>25800</v>
      </c>
      <c r="R89" s="4">
        <f t="shared" si="15"/>
        <v>125800</v>
      </c>
    </row>
    <row r="90" spans="5:18" x14ac:dyDescent="0.25">
      <c r="E90" s="1">
        <f t="shared" si="10"/>
        <v>87</v>
      </c>
      <c r="F90" s="4">
        <f t="shared" ca="1" si="11"/>
        <v>121500</v>
      </c>
      <c r="G90" s="1" t="s">
        <v>70</v>
      </c>
      <c r="H90" s="26">
        <f t="shared" ca="1" si="9"/>
        <v>5.5017330829320366E-2</v>
      </c>
      <c r="I90" s="4">
        <f>IF(G90="Yes",-$C$8,0)</f>
        <v>-500</v>
      </c>
      <c r="J90" s="4">
        <f>IF(G90="Yes",$C$8-I90,0)</f>
        <v>1000</v>
      </c>
      <c r="K90" s="4">
        <f ca="1">IF(H90&gt;=$C$4,J90+I90,I90)</f>
        <v>-500</v>
      </c>
      <c r="M90" s="61">
        <f t="shared" si="16"/>
        <v>69.600000000000009</v>
      </c>
      <c r="N90" s="61">
        <f t="shared" si="17"/>
        <v>17.399999999999991</v>
      </c>
      <c r="O90" s="4">
        <f t="shared" si="12"/>
        <v>34800.000000000007</v>
      </c>
      <c r="P90" s="4">
        <f t="shared" si="13"/>
        <v>-8699.9999999999964</v>
      </c>
      <c r="Q90" s="4">
        <f t="shared" si="14"/>
        <v>26100.000000000011</v>
      </c>
      <c r="R90" s="4">
        <f t="shared" si="15"/>
        <v>126100.00000000001</v>
      </c>
    </row>
    <row r="91" spans="5:18" x14ac:dyDescent="0.25">
      <c r="E91" s="1">
        <f t="shared" si="10"/>
        <v>88</v>
      </c>
      <c r="F91" s="4">
        <f t="shared" ca="1" si="11"/>
        <v>122000</v>
      </c>
      <c r="G91" s="1" t="s">
        <v>70</v>
      </c>
      <c r="H91" s="26">
        <f t="shared" ca="1" si="9"/>
        <v>0.90688670733748999</v>
      </c>
      <c r="I91" s="4">
        <f>IF(G91="Yes",-$C$8,0)</f>
        <v>-500</v>
      </c>
      <c r="J91" s="4">
        <f>IF(G91="Yes",$C$8-I91,0)</f>
        <v>1000</v>
      </c>
      <c r="K91" s="4">
        <f ca="1">IF(H91&gt;=$C$4,J91+I91,I91)</f>
        <v>500</v>
      </c>
      <c r="M91" s="61">
        <f t="shared" si="16"/>
        <v>70.400000000000006</v>
      </c>
      <c r="N91" s="61">
        <f t="shared" si="17"/>
        <v>17.599999999999994</v>
      </c>
      <c r="O91" s="4">
        <f t="shared" si="12"/>
        <v>35200</v>
      </c>
      <c r="P91" s="4">
        <f t="shared" si="13"/>
        <v>-8799.9999999999964</v>
      </c>
      <c r="Q91" s="4">
        <f t="shared" si="14"/>
        <v>26400.000000000004</v>
      </c>
      <c r="R91" s="4">
        <f t="shared" si="15"/>
        <v>126400</v>
      </c>
    </row>
    <row r="92" spans="5:18" x14ac:dyDescent="0.25">
      <c r="E92" s="1">
        <f t="shared" si="10"/>
        <v>89</v>
      </c>
      <c r="F92" s="4">
        <f t="shared" ca="1" si="11"/>
        <v>122500</v>
      </c>
      <c r="G92" s="1" t="s">
        <v>70</v>
      </c>
      <c r="H92" s="26">
        <f t="shared" ca="1" si="9"/>
        <v>0.78287183456613418</v>
      </c>
      <c r="I92" s="4">
        <f>IF(G92="Yes",-$C$8,0)</f>
        <v>-500</v>
      </c>
      <c r="J92" s="4">
        <f>IF(G92="Yes",$C$8-I92,0)</f>
        <v>1000</v>
      </c>
      <c r="K92" s="4">
        <f ca="1">IF(H92&gt;=$C$4,J92+I92,I92)</f>
        <v>500</v>
      </c>
      <c r="M92" s="61">
        <f t="shared" si="16"/>
        <v>71.2</v>
      </c>
      <c r="N92" s="61">
        <f t="shared" si="17"/>
        <v>17.799999999999997</v>
      </c>
      <c r="O92" s="4">
        <f t="shared" si="12"/>
        <v>35600</v>
      </c>
      <c r="P92" s="4">
        <f t="shared" si="13"/>
        <v>-8899.9999999999982</v>
      </c>
      <c r="Q92" s="4">
        <f t="shared" si="14"/>
        <v>26700</v>
      </c>
      <c r="R92" s="4">
        <f t="shared" si="15"/>
        <v>126700</v>
      </c>
    </row>
    <row r="93" spans="5:18" x14ac:dyDescent="0.25">
      <c r="E93" s="1">
        <f t="shared" si="10"/>
        <v>90</v>
      </c>
      <c r="F93" s="4">
        <f t="shared" ca="1" si="11"/>
        <v>123000</v>
      </c>
      <c r="G93" s="1" t="s">
        <v>70</v>
      </c>
      <c r="H93" s="26">
        <f t="shared" ca="1" si="9"/>
        <v>0.74306556795435985</v>
      </c>
      <c r="I93" s="4">
        <f>IF(G93="Yes",-$C$8,0)</f>
        <v>-500</v>
      </c>
      <c r="J93" s="4">
        <f>IF(G93="Yes",$C$8-I93,0)</f>
        <v>1000</v>
      </c>
      <c r="K93" s="4">
        <f ca="1">IF(H93&gt;=$C$4,J93+I93,I93)</f>
        <v>500</v>
      </c>
      <c r="M93" s="61">
        <f t="shared" si="16"/>
        <v>72</v>
      </c>
      <c r="N93" s="61">
        <f t="shared" si="17"/>
        <v>18</v>
      </c>
      <c r="O93" s="4">
        <f t="shared" si="12"/>
        <v>36000</v>
      </c>
      <c r="P93" s="4">
        <f t="shared" si="13"/>
        <v>-9000</v>
      </c>
      <c r="Q93" s="4">
        <f t="shared" si="14"/>
        <v>27000</v>
      </c>
      <c r="R93" s="4">
        <f t="shared" si="15"/>
        <v>127000</v>
      </c>
    </row>
    <row r="94" spans="5:18" x14ac:dyDescent="0.25">
      <c r="E94" s="1">
        <f t="shared" si="10"/>
        <v>91</v>
      </c>
      <c r="F94" s="4">
        <f t="shared" ca="1" si="11"/>
        <v>123500</v>
      </c>
      <c r="G94" s="1" t="s">
        <v>70</v>
      </c>
      <c r="H94" s="26">
        <f t="shared" ca="1" si="9"/>
        <v>0.52532957856386786</v>
      </c>
      <c r="I94" s="4">
        <f>IF(G94="Yes",-$C$8,0)</f>
        <v>-500</v>
      </c>
      <c r="J94" s="4">
        <f>IF(G94="Yes",$C$8-I94,0)</f>
        <v>1000</v>
      </c>
      <c r="K94" s="4">
        <f ca="1">IF(H94&gt;=$C$4,J94+I94,I94)</f>
        <v>500</v>
      </c>
      <c r="M94" s="61">
        <f t="shared" si="16"/>
        <v>72.8</v>
      </c>
      <c r="N94" s="61">
        <f t="shared" si="17"/>
        <v>18.200000000000003</v>
      </c>
      <c r="O94" s="4">
        <f t="shared" si="12"/>
        <v>36400</v>
      </c>
      <c r="P94" s="4">
        <f t="shared" si="13"/>
        <v>-9100.0000000000018</v>
      </c>
      <c r="Q94" s="4">
        <f t="shared" si="14"/>
        <v>27300</v>
      </c>
      <c r="R94" s="4">
        <f t="shared" si="15"/>
        <v>127300</v>
      </c>
    </row>
    <row r="95" spans="5:18" x14ac:dyDescent="0.25">
      <c r="E95" s="1">
        <f t="shared" si="10"/>
        <v>92</v>
      </c>
      <c r="F95" s="4">
        <f t="shared" ca="1" si="11"/>
        <v>124000</v>
      </c>
      <c r="G95" s="1" t="s">
        <v>70</v>
      </c>
      <c r="H95" s="26">
        <f t="shared" ca="1" si="9"/>
        <v>0.96108368379847431</v>
      </c>
      <c r="I95" s="4">
        <f>IF(G95="Yes",-$C$8,0)</f>
        <v>-500</v>
      </c>
      <c r="J95" s="4">
        <f>IF(G95="Yes",$C$8-I95,0)</f>
        <v>1000</v>
      </c>
      <c r="K95" s="4">
        <f ca="1">IF(H95&gt;=$C$4,J95+I95,I95)</f>
        <v>500</v>
      </c>
      <c r="M95" s="61">
        <f t="shared" si="16"/>
        <v>73.600000000000009</v>
      </c>
      <c r="N95" s="61">
        <f t="shared" si="17"/>
        <v>18.399999999999991</v>
      </c>
      <c r="O95" s="4">
        <f t="shared" si="12"/>
        <v>36800.000000000007</v>
      </c>
      <c r="P95" s="4">
        <f t="shared" si="13"/>
        <v>-9199.9999999999964</v>
      </c>
      <c r="Q95" s="4">
        <f t="shared" si="14"/>
        <v>27600.000000000011</v>
      </c>
      <c r="R95" s="4">
        <f t="shared" si="15"/>
        <v>127600.00000000001</v>
      </c>
    </row>
    <row r="96" spans="5:18" x14ac:dyDescent="0.25">
      <c r="E96" s="1">
        <f t="shared" si="10"/>
        <v>93</v>
      </c>
      <c r="F96" s="4">
        <f t="shared" ca="1" si="11"/>
        <v>124500</v>
      </c>
      <c r="G96" s="1" t="s">
        <v>70</v>
      </c>
      <c r="H96" s="26">
        <f t="shared" ca="1" si="9"/>
        <v>0.74144684452427601</v>
      </c>
      <c r="I96" s="4">
        <f>IF(G96="Yes",-$C$8,0)</f>
        <v>-500</v>
      </c>
      <c r="J96" s="4">
        <f>IF(G96="Yes",$C$8-I96,0)</f>
        <v>1000</v>
      </c>
      <c r="K96" s="4">
        <f ca="1">IF(H96&gt;=$C$4,J96+I96,I96)</f>
        <v>500</v>
      </c>
      <c r="M96" s="61">
        <f t="shared" si="16"/>
        <v>74.400000000000006</v>
      </c>
      <c r="N96" s="61">
        <f t="shared" si="17"/>
        <v>18.599999999999994</v>
      </c>
      <c r="O96" s="4">
        <f t="shared" si="12"/>
        <v>37200</v>
      </c>
      <c r="P96" s="4">
        <f t="shared" si="13"/>
        <v>-9299.9999999999964</v>
      </c>
      <c r="Q96" s="4">
        <f t="shared" si="14"/>
        <v>27900.000000000004</v>
      </c>
      <c r="R96" s="4">
        <f t="shared" si="15"/>
        <v>127900</v>
      </c>
    </row>
    <row r="97" spans="5:18" x14ac:dyDescent="0.25">
      <c r="E97" s="1">
        <f t="shared" si="10"/>
        <v>94</v>
      </c>
      <c r="F97" s="4">
        <f t="shared" ca="1" si="11"/>
        <v>125000</v>
      </c>
      <c r="G97" s="1" t="s">
        <v>70</v>
      </c>
      <c r="H97" s="26">
        <f t="shared" ca="1" si="9"/>
        <v>0.85757323751719294</v>
      </c>
      <c r="I97" s="4">
        <f>IF(G97="Yes",-$C$8,0)</f>
        <v>-500</v>
      </c>
      <c r="J97" s="4">
        <f>IF(G97="Yes",$C$8-I97,0)</f>
        <v>1000</v>
      </c>
      <c r="K97" s="4">
        <f ca="1">IF(H97&gt;=$C$4,J97+I97,I97)</f>
        <v>500</v>
      </c>
      <c r="M97" s="61">
        <f t="shared" si="16"/>
        <v>75.2</v>
      </c>
      <c r="N97" s="61">
        <f t="shared" si="17"/>
        <v>18.799999999999997</v>
      </c>
      <c r="O97" s="4">
        <f t="shared" si="12"/>
        <v>37600</v>
      </c>
      <c r="P97" s="4">
        <f t="shared" si="13"/>
        <v>-9399.9999999999982</v>
      </c>
      <c r="Q97" s="4">
        <f t="shared" si="14"/>
        <v>28200</v>
      </c>
      <c r="R97" s="4">
        <f t="shared" si="15"/>
        <v>128200</v>
      </c>
    </row>
    <row r="98" spans="5:18" x14ac:dyDescent="0.25">
      <c r="E98" s="1">
        <f t="shared" si="10"/>
        <v>95</v>
      </c>
      <c r="F98" s="4">
        <f t="shared" ca="1" si="11"/>
        <v>125500</v>
      </c>
      <c r="G98" s="1" t="s">
        <v>70</v>
      </c>
      <c r="H98" s="26">
        <f t="shared" ca="1" si="9"/>
        <v>0.30545654634973296</v>
      </c>
      <c r="I98" s="4">
        <f>IF(G98="Yes",-$C$8,0)</f>
        <v>-500</v>
      </c>
      <c r="J98" s="4">
        <f>IF(G98="Yes",$C$8-I98,0)</f>
        <v>1000</v>
      </c>
      <c r="K98" s="4">
        <f ca="1">IF(H98&gt;=$C$4,J98+I98,I98)</f>
        <v>500</v>
      </c>
      <c r="M98" s="61">
        <f t="shared" si="16"/>
        <v>76</v>
      </c>
      <c r="N98" s="61">
        <f t="shared" si="17"/>
        <v>19</v>
      </c>
      <c r="O98" s="4">
        <f t="shared" si="12"/>
        <v>38000</v>
      </c>
      <c r="P98" s="4">
        <f t="shared" si="13"/>
        <v>-9500</v>
      </c>
      <c r="Q98" s="4">
        <f t="shared" si="14"/>
        <v>28500</v>
      </c>
      <c r="R98" s="4">
        <f t="shared" si="15"/>
        <v>128500</v>
      </c>
    </row>
    <row r="99" spans="5:18" x14ac:dyDescent="0.25">
      <c r="E99" s="1">
        <f t="shared" si="10"/>
        <v>96</v>
      </c>
      <c r="F99" s="4">
        <f t="shared" ca="1" si="11"/>
        <v>126000</v>
      </c>
      <c r="G99" s="1" t="s">
        <v>70</v>
      </c>
      <c r="H99" s="26">
        <f t="shared" ca="1" si="9"/>
        <v>0.8465729056524598</v>
      </c>
      <c r="I99" s="4">
        <f>IF(G99="Yes",-$C$8,0)</f>
        <v>-500</v>
      </c>
      <c r="J99" s="4">
        <f>IF(G99="Yes",$C$8-I99,0)</f>
        <v>1000</v>
      </c>
      <c r="K99" s="4">
        <f ca="1">IF(H99&gt;=$C$4,J99+I99,I99)</f>
        <v>500</v>
      </c>
      <c r="M99" s="61">
        <f t="shared" si="16"/>
        <v>76.800000000000011</v>
      </c>
      <c r="N99" s="61">
        <f t="shared" si="17"/>
        <v>19.199999999999989</v>
      </c>
      <c r="O99" s="4">
        <f t="shared" si="12"/>
        <v>38400.000000000007</v>
      </c>
      <c r="P99" s="4">
        <f t="shared" si="13"/>
        <v>-9599.9999999999945</v>
      </c>
      <c r="Q99" s="4">
        <f t="shared" si="14"/>
        <v>28800.000000000015</v>
      </c>
      <c r="R99" s="4">
        <f t="shared" si="15"/>
        <v>128800.00000000001</v>
      </c>
    </row>
    <row r="100" spans="5:18" x14ac:dyDescent="0.25">
      <c r="E100" s="1">
        <f t="shared" si="10"/>
        <v>97</v>
      </c>
      <c r="F100" s="4">
        <f t="shared" ca="1" si="11"/>
        <v>126500</v>
      </c>
      <c r="G100" s="1" t="s">
        <v>70</v>
      </c>
      <c r="H100" s="26">
        <f t="shared" ca="1" si="9"/>
        <v>0.45183878038959024</v>
      </c>
      <c r="I100" s="4">
        <f>IF(G100="Yes",-$C$8,0)</f>
        <v>-500</v>
      </c>
      <c r="J100" s="4">
        <f>IF(G100="Yes",$C$8-I100,0)</f>
        <v>1000</v>
      </c>
      <c r="K100" s="4">
        <f ca="1">IF(H100&gt;=$C$4,J100+I100,I100)</f>
        <v>500</v>
      </c>
      <c r="M100" s="61">
        <f t="shared" si="16"/>
        <v>77.600000000000009</v>
      </c>
      <c r="N100" s="61">
        <f t="shared" si="17"/>
        <v>19.399999999999991</v>
      </c>
      <c r="O100" s="4">
        <f t="shared" si="12"/>
        <v>38800.000000000007</v>
      </c>
      <c r="P100" s="4">
        <f t="shared" si="13"/>
        <v>-9699.9999999999964</v>
      </c>
      <c r="Q100" s="4">
        <f t="shared" si="14"/>
        <v>29100.000000000011</v>
      </c>
      <c r="R100" s="4">
        <f t="shared" si="15"/>
        <v>129100.00000000001</v>
      </c>
    </row>
    <row r="101" spans="5:18" x14ac:dyDescent="0.25">
      <c r="E101" s="1">
        <f t="shared" si="10"/>
        <v>98</v>
      </c>
      <c r="F101" s="4">
        <f t="shared" ca="1" si="11"/>
        <v>127000</v>
      </c>
      <c r="G101" s="1" t="s">
        <v>70</v>
      </c>
      <c r="H101" s="26">
        <f t="shared" ca="1" si="9"/>
        <v>0.43903384856186345</v>
      </c>
      <c r="I101" s="4">
        <f>IF(G101="Yes",-$C$8,0)</f>
        <v>-500</v>
      </c>
      <c r="J101" s="4">
        <f>IF(G101="Yes",$C$8-I101,0)</f>
        <v>1000</v>
      </c>
      <c r="K101" s="4">
        <f ca="1">IF(H101&gt;=$C$4,J101+I101,I101)</f>
        <v>500</v>
      </c>
      <c r="M101" s="61">
        <f t="shared" si="16"/>
        <v>78.400000000000006</v>
      </c>
      <c r="N101" s="61">
        <f t="shared" si="17"/>
        <v>19.599999999999994</v>
      </c>
      <c r="O101" s="4">
        <f t="shared" si="12"/>
        <v>39200</v>
      </c>
      <c r="P101" s="4">
        <f t="shared" si="13"/>
        <v>-9799.9999999999964</v>
      </c>
      <c r="Q101" s="4">
        <f t="shared" si="14"/>
        <v>29400.000000000004</v>
      </c>
      <c r="R101" s="4">
        <f t="shared" si="15"/>
        <v>129400</v>
      </c>
    </row>
    <row r="102" spans="5:18" x14ac:dyDescent="0.25">
      <c r="E102" s="1">
        <f t="shared" si="10"/>
        <v>99</v>
      </c>
      <c r="F102" s="4">
        <f t="shared" ca="1" si="11"/>
        <v>127500</v>
      </c>
      <c r="G102" s="1" t="s">
        <v>70</v>
      </c>
      <c r="H102" s="26">
        <f t="shared" ca="1" si="9"/>
        <v>0.81961189906051779</v>
      </c>
      <c r="I102" s="4">
        <f>IF(G102="Yes",-$C$8,0)</f>
        <v>-500</v>
      </c>
      <c r="J102" s="4">
        <f>IF(G102="Yes",$C$8-I102,0)</f>
        <v>1000</v>
      </c>
      <c r="K102" s="4">
        <f ca="1">IF(H102&gt;=$C$4,J102+I102,I102)</f>
        <v>500</v>
      </c>
      <c r="M102" s="61">
        <f t="shared" si="16"/>
        <v>79.2</v>
      </c>
      <c r="N102" s="61">
        <f t="shared" si="17"/>
        <v>19.799999999999997</v>
      </c>
      <c r="O102" s="4">
        <f t="shared" si="12"/>
        <v>39600</v>
      </c>
      <c r="P102" s="4">
        <f t="shared" si="13"/>
        <v>-9899.9999999999982</v>
      </c>
      <c r="Q102" s="4">
        <f t="shared" si="14"/>
        <v>29700</v>
      </c>
      <c r="R102" s="4">
        <f t="shared" si="15"/>
        <v>129700</v>
      </c>
    </row>
    <row r="103" spans="5:18" x14ac:dyDescent="0.25">
      <c r="E103" s="1">
        <f t="shared" si="10"/>
        <v>100</v>
      </c>
      <c r="F103" s="4">
        <f t="shared" ca="1" si="11"/>
        <v>128000</v>
      </c>
      <c r="G103" s="1" t="s">
        <v>70</v>
      </c>
      <c r="H103" s="26">
        <f t="shared" ca="1" si="9"/>
        <v>0.9069892938646561</v>
      </c>
      <c r="I103" s="4">
        <f>IF(G103="Yes",-$C$8,0)</f>
        <v>-500</v>
      </c>
      <c r="J103" s="4">
        <f>IF(G103="Yes",$C$8-I103,0)</f>
        <v>1000</v>
      </c>
      <c r="K103" s="4">
        <f ca="1">IF(H103&gt;=$C$4,J103+I103,I103)</f>
        <v>500</v>
      </c>
      <c r="M103" s="61">
        <f t="shared" si="16"/>
        <v>80</v>
      </c>
      <c r="N103" s="61">
        <f t="shared" si="17"/>
        <v>20</v>
      </c>
      <c r="O103" s="4">
        <f t="shared" si="12"/>
        <v>40000</v>
      </c>
      <c r="P103" s="4">
        <f t="shared" si="13"/>
        <v>-10000</v>
      </c>
      <c r="Q103" s="4">
        <f t="shared" si="14"/>
        <v>30000</v>
      </c>
      <c r="R103" s="4">
        <f t="shared" si="15"/>
        <v>130000</v>
      </c>
    </row>
    <row r="104" spans="5:18" x14ac:dyDescent="0.25">
      <c r="E104" s="1">
        <f t="shared" si="10"/>
        <v>101</v>
      </c>
      <c r="F104" s="4">
        <f t="shared" ca="1" si="11"/>
        <v>128500</v>
      </c>
      <c r="G104" s="1" t="s">
        <v>70</v>
      </c>
      <c r="H104" s="26">
        <f t="shared" ca="1" si="9"/>
        <v>0.73828989251154942</v>
      </c>
      <c r="I104" s="4">
        <f>IF(G104="Yes",-$C$8,0)</f>
        <v>-500</v>
      </c>
      <c r="J104" s="4">
        <f>IF(G104="Yes",$C$8-I104,0)</f>
        <v>1000</v>
      </c>
      <c r="K104" s="4">
        <f ca="1">IF(H104&gt;=$C$4,J104+I104,I104)</f>
        <v>500</v>
      </c>
      <c r="M104" s="61">
        <f t="shared" si="16"/>
        <v>80.800000000000011</v>
      </c>
      <c r="N104" s="61">
        <f t="shared" si="17"/>
        <v>20.199999999999989</v>
      </c>
      <c r="O104" s="4">
        <f t="shared" si="12"/>
        <v>40400.000000000007</v>
      </c>
      <c r="P104" s="4">
        <f t="shared" si="13"/>
        <v>-10099.999999999995</v>
      </c>
      <c r="Q104" s="4">
        <f t="shared" si="14"/>
        <v>30300.000000000015</v>
      </c>
      <c r="R104" s="4">
        <f t="shared" si="15"/>
        <v>130300.00000000001</v>
      </c>
    </row>
    <row r="105" spans="5:18" x14ac:dyDescent="0.25">
      <c r="E105" s="1">
        <f t="shared" si="10"/>
        <v>102</v>
      </c>
      <c r="F105" s="4">
        <f t="shared" ca="1" si="11"/>
        <v>128000</v>
      </c>
      <c r="G105" s="1" t="s">
        <v>70</v>
      </c>
      <c r="H105" s="26">
        <f t="shared" ca="1" si="9"/>
        <v>0.15770811263659346</v>
      </c>
      <c r="I105" s="4">
        <f>IF(G105="Yes",-$C$8,0)</f>
        <v>-500</v>
      </c>
      <c r="J105" s="4">
        <f>IF(G105="Yes",$C$8-I105,0)</f>
        <v>1000</v>
      </c>
      <c r="K105" s="4">
        <f ca="1">IF(H105&gt;=$C$4,J105+I105,I105)</f>
        <v>-500</v>
      </c>
      <c r="M105" s="61">
        <f t="shared" si="16"/>
        <v>81.600000000000009</v>
      </c>
      <c r="N105" s="61">
        <f t="shared" si="17"/>
        <v>20.399999999999991</v>
      </c>
      <c r="O105" s="4">
        <f t="shared" si="12"/>
        <v>40800.000000000007</v>
      </c>
      <c r="P105" s="4">
        <f t="shared" si="13"/>
        <v>-10199.999999999996</v>
      </c>
      <c r="Q105" s="4">
        <f t="shared" si="14"/>
        <v>30600.000000000011</v>
      </c>
      <c r="R105" s="4">
        <f t="shared" si="15"/>
        <v>130600.00000000001</v>
      </c>
    </row>
    <row r="106" spans="5:18" x14ac:dyDescent="0.25">
      <c r="E106" s="1">
        <f t="shared" si="10"/>
        <v>103</v>
      </c>
      <c r="F106" s="4">
        <f t="shared" ca="1" si="11"/>
        <v>127500</v>
      </c>
      <c r="G106" s="1" t="s">
        <v>70</v>
      </c>
      <c r="H106" s="26">
        <f t="shared" ca="1" si="9"/>
        <v>5.2986714819694969E-3</v>
      </c>
      <c r="I106" s="4">
        <f>IF(G106="Yes",-$C$8,0)</f>
        <v>-500</v>
      </c>
      <c r="J106" s="4">
        <f>IF(G106="Yes",$C$8-I106,0)</f>
        <v>1000</v>
      </c>
      <c r="K106" s="4">
        <f ca="1">IF(H106&gt;=$C$4,J106+I106,I106)</f>
        <v>-500</v>
      </c>
      <c r="M106" s="61">
        <f t="shared" si="16"/>
        <v>82.4</v>
      </c>
      <c r="N106" s="61">
        <f t="shared" si="17"/>
        <v>20.599999999999994</v>
      </c>
      <c r="O106" s="4">
        <f t="shared" si="12"/>
        <v>41200</v>
      </c>
      <c r="P106" s="4">
        <f t="shared" si="13"/>
        <v>-10299.999999999996</v>
      </c>
      <c r="Q106" s="4">
        <f t="shared" si="14"/>
        <v>30900.000000000004</v>
      </c>
      <c r="R106" s="4">
        <f t="shared" si="15"/>
        <v>130900</v>
      </c>
    </row>
    <row r="107" spans="5:18" x14ac:dyDescent="0.25">
      <c r="E107" s="1">
        <f t="shared" si="10"/>
        <v>104</v>
      </c>
      <c r="F107" s="4">
        <f t="shared" ca="1" si="11"/>
        <v>128000</v>
      </c>
      <c r="G107" s="1" t="s">
        <v>70</v>
      </c>
      <c r="H107" s="26">
        <f t="shared" ca="1" si="9"/>
        <v>0.72969738432734699</v>
      </c>
      <c r="I107" s="4">
        <f>IF(G107="Yes",-$C$8,0)</f>
        <v>-500</v>
      </c>
      <c r="J107" s="4">
        <f>IF(G107="Yes",$C$8-I107,0)</f>
        <v>1000</v>
      </c>
      <c r="K107" s="4">
        <f ca="1">IF(H107&gt;=$C$4,J107+I107,I107)</f>
        <v>500</v>
      </c>
      <c r="M107" s="61">
        <f t="shared" si="16"/>
        <v>83.2</v>
      </c>
      <c r="N107" s="61">
        <f t="shared" si="17"/>
        <v>20.799999999999997</v>
      </c>
      <c r="O107" s="4">
        <f t="shared" si="12"/>
        <v>41600</v>
      </c>
      <c r="P107" s="4">
        <f t="shared" si="13"/>
        <v>-10399.999999999998</v>
      </c>
      <c r="Q107" s="4">
        <f t="shared" si="14"/>
        <v>31200</v>
      </c>
      <c r="R107" s="4">
        <f t="shared" si="15"/>
        <v>131200</v>
      </c>
    </row>
    <row r="108" spans="5:18" x14ac:dyDescent="0.25">
      <c r="E108" s="1">
        <f t="shared" si="10"/>
        <v>105</v>
      </c>
      <c r="F108" s="4">
        <f t="shared" ca="1" si="11"/>
        <v>128500</v>
      </c>
      <c r="G108" s="1" t="s">
        <v>70</v>
      </c>
      <c r="H108" s="26">
        <f t="shared" ca="1" si="9"/>
        <v>0.2168130339378963</v>
      </c>
      <c r="I108" s="4">
        <f>IF(G108="Yes",-$C$8,0)</f>
        <v>-500</v>
      </c>
      <c r="J108" s="4">
        <f>IF(G108="Yes",$C$8-I108,0)</f>
        <v>1000</v>
      </c>
      <c r="K108" s="4">
        <f ca="1">IF(H108&gt;=$C$4,J108+I108,I108)</f>
        <v>500</v>
      </c>
      <c r="M108" s="61">
        <f t="shared" si="16"/>
        <v>84</v>
      </c>
      <c r="N108" s="61">
        <f t="shared" si="17"/>
        <v>21</v>
      </c>
      <c r="O108" s="4">
        <f t="shared" si="12"/>
        <v>42000</v>
      </c>
      <c r="P108" s="4">
        <f t="shared" si="13"/>
        <v>-10500</v>
      </c>
      <c r="Q108" s="4">
        <f t="shared" si="14"/>
        <v>31500</v>
      </c>
      <c r="R108" s="4">
        <f t="shared" si="15"/>
        <v>131500</v>
      </c>
    </row>
    <row r="109" spans="5:18" x14ac:dyDescent="0.25">
      <c r="E109" s="1">
        <f t="shared" si="10"/>
        <v>106</v>
      </c>
      <c r="F109" s="4">
        <f t="shared" ca="1" si="11"/>
        <v>129000</v>
      </c>
      <c r="G109" s="1" t="s">
        <v>70</v>
      </c>
      <c r="H109" s="26">
        <f t="shared" ca="1" si="9"/>
        <v>0.58504397092136162</v>
      </c>
      <c r="I109" s="4">
        <f>IF(G109="Yes",-$C$8,0)</f>
        <v>-500</v>
      </c>
      <c r="J109" s="4">
        <f>IF(G109="Yes",$C$8-I109,0)</f>
        <v>1000</v>
      </c>
      <c r="K109" s="4">
        <f ca="1">IF(H109&gt;=$C$4,J109+I109,I109)</f>
        <v>500</v>
      </c>
      <c r="M109" s="61">
        <f t="shared" si="16"/>
        <v>84.800000000000011</v>
      </c>
      <c r="N109" s="61">
        <f t="shared" si="17"/>
        <v>21.199999999999989</v>
      </c>
      <c r="O109" s="4">
        <f t="shared" si="12"/>
        <v>42400.000000000007</v>
      </c>
      <c r="P109" s="4">
        <f t="shared" si="13"/>
        <v>-10599.999999999995</v>
      </c>
      <c r="Q109" s="4">
        <f t="shared" si="14"/>
        <v>31800.000000000015</v>
      </c>
      <c r="R109" s="4">
        <f t="shared" si="15"/>
        <v>131800</v>
      </c>
    </row>
    <row r="110" spans="5:18" x14ac:dyDescent="0.25">
      <c r="E110" s="1">
        <f t="shared" si="10"/>
        <v>107</v>
      </c>
      <c r="F110" s="4">
        <f t="shared" ca="1" si="11"/>
        <v>129500</v>
      </c>
      <c r="G110" s="1" t="s">
        <v>70</v>
      </c>
      <c r="H110" s="26">
        <f t="shared" ca="1" si="9"/>
        <v>0.86907559108594157</v>
      </c>
      <c r="I110" s="4">
        <f>IF(G110="Yes",-$C$8,0)</f>
        <v>-500</v>
      </c>
      <c r="J110" s="4">
        <f>IF(G110="Yes",$C$8-I110,0)</f>
        <v>1000</v>
      </c>
      <c r="K110" s="4">
        <f ca="1">IF(H110&gt;=$C$4,J110+I110,I110)</f>
        <v>500</v>
      </c>
      <c r="M110" s="61">
        <f t="shared" si="16"/>
        <v>85.600000000000009</v>
      </c>
      <c r="N110" s="61">
        <f t="shared" si="17"/>
        <v>21.399999999999991</v>
      </c>
      <c r="O110" s="4">
        <f t="shared" si="12"/>
        <v>42800.000000000007</v>
      </c>
      <c r="P110" s="4">
        <f t="shared" si="13"/>
        <v>-10699.999999999996</v>
      </c>
      <c r="Q110" s="4">
        <f t="shared" si="14"/>
        <v>32100.000000000011</v>
      </c>
      <c r="R110" s="4">
        <f t="shared" si="15"/>
        <v>132100</v>
      </c>
    </row>
    <row r="111" spans="5:18" x14ac:dyDescent="0.25">
      <c r="E111" s="1">
        <f t="shared" si="10"/>
        <v>108</v>
      </c>
      <c r="F111" s="4">
        <f t="shared" ca="1" si="11"/>
        <v>130000</v>
      </c>
      <c r="G111" s="1" t="s">
        <v>70</v>
      </c>
      <c r="H111" s="26">
        <f t="shared" ca="1" si="9"/>
        <v>0.77281709502355411</v>
      </c>
      <c r="I111" s="4">
        <f>IF(G111="Yes",-$C$8,0)</f>
        <v>-500</v>
      </c>
      <c r="J111" s="4">
        <f>IF(G111="Yes",$C$8-I111,0)</f>
        <v>1000</v>
      </c>
      <c r="K111" s="4">
        <f ca="1">IF(H111&gt;=$C$4,J111+I111,I111)</f>
        <v>500</v>
      </c>
      <c r="M111" s="61">
        <f t="shared" si="16"/>
        <v>86.4</v>
      </c>
      <c r="N111" s="61">
        <f t="shared" si="17"/>
        <v>21.599999999999994</v>
      </c>
      <c r="O111" s="4">
        <f t="shared" si="12"/>
        <v>43200</v>
      </c>
      <c r="P111" s="4">
        <f t="shared" si="13"/>
        <v>-10799.999999999996</v>
      </c>
      <c r="Q111" s="4">
        <f t="shared" si="14"/>
        <v>32400.000000000004</v>
      </c>
      <c r="R111" s="4">
        <f t="shared" si="15"/>
        <v>132400</v>
      </c>
    </row>
    <row r="112" spans="5:18" x14ac:dyDescent="0.25">
      <c r="E112" s="1">
        <f t="shared" si="10"/>
        <v>109</v>
      </c>
      <c r="F112" s="4">
        <f t="shared" ca="1" si="11"/>
        <v>130500</v>
      </c>
      <c r="G112" s="1" t="s">
        <v>70</v>
      </c>
      <c r="H112" s="26">
        <f t="shared" ca="1" si="9"/>
        <v>0.83661442390002494</v>
      </c>
      <c r="I112" s="4">
        <f>IF(G112="Yes",-$C$8,0)</f>
        <v>-500</v>
      </c>
      <c r="J112" s="4">
        <f>IF(G112="Yes",$C$8-I112,0)</f>
        <v>1000</v>
      </c>
      <c r="K112" s="4">
        <f ca="1">IF(H112&gt;=$C$4,J112+I112,I112)</f>
        <v>500</v>
      </c>
      <c r="M112" s="61">
        <f t="shared" si="16"/>
        <v>87.2</v>
      </c>
      <c r="N112" s="61">
        <f t="shared" si="17"/>
        <v>21.799999999999997</v>
      </c>
      <c r="O112" s="4">
        <f t="shared" si="12"/>
        <v>43600</v>
      </c>
      <c r="P112" s="4">
        <f t="shared" si="13"/>
        <v>-10899.999999999998</v>
      </c>
      <c r="Q112" s="4">
        <f t="shared" si="14"/>
        <v>32700</v>
      </c>
      <c r="R112" s="4">
        <f t="shared" si="15"/>
        <v>132700</v>
      </c>
    </row>
    <row r="113" spans="5:18" x14ac:dyDescent="0.25">
      <c r="E113" s="1">
        <f t="shared" si="10"/>
        <v>110</v>
      </c>
      <c r="F113" s="4">
        <f t="shared" ca="1" si="11"/>
        <v>131000</v>
      </c>
      <c r="G113" s="1" t="s">
        <v>70</v>
      </c>
      <c r="H113" s="26">
        <f t="shared" ca="1" si="9"/>
        <v>0.97933004229116349</v>
      </c>
      <c r="I113" s="4">
        <f>IF(G113="Yes",-$C$8,0)</f>
        <v>-500</v>
      </c>
      <c r="J113" s="4">
        <f>IF(G113="Yes",$C$8-I113,0)</f>
        <v>1000</v>
      </c>
      <c r="K113" s="4">
        <f ca="1">IF(H113&gt;=$C$4,J113+I113,I113)</f>
        <v>500</v>
      </c>
      <c r="M113" s="61">
        <f t="shared" si="16"/>
        <v>88</v>
      </c>
      <c r="N113" s="61">
        <f t="shared" si="17"/>
        <v>22</v>
      </c>
      <c r="O113" s="4">
        <f t="shared" si="12"/>
        <v>44000</v>
      </c>
      <c r="P113" s="4">
        <f t="shared" si="13"/>
        <v>-11000</v>
      </c>
      <c r="Q113" s="4">
        <f t="shared" si="14"/>
        <v>33000</v>
      </c>
      <c r="R113" s="4">
        <f t="shared" si="15"/>
        <v>133000</v>
      </c>
    </row>
    <row r="114" spans="5:18" x14ac:dyDescent="0.25">
      <c r="E114" s="1">
        <f t="shared" si="10"/>
        <v>111</v>
      </c>
      <c r="F114" s="4">
        <f t="shared" ca="1" si="11"/>
        <v>131500</v>
      </c>
      <c r="G114" s="1" t="s">
        <v>70</v>
      </c>
      <c r="H114" s="26">
        <f t="shared" ca="1" si="9"/>
        <v>0.32966622420521297</v>
      </c>
      <c r="I114" s="4">
        <f>IF(G114="Yes",-$C$8,0)</f>
        <v>-500</v>
      </c>
      <c r="J114" s="4">
        <f>IF(G114="Yes",$C$8-I114,0)</f>
        <v>1000</v>
      </c>
      <c r="K114" s="4">
        <f ca="1">IF(H114&gt;=$C$4,J114+I114,I114)</f>
        <v>500</v>
      </c>
      <c r="M114" s="61">
        <f t="shared" si="16"/>
        <v>88.800000000000011</v>
      </c>
      <c r="N114" s="61">
        <f t="shared" si="17"/>
        <v>22.199999999999989</v>
      </c>
      <c r="O114" s="4">
        <f t="shared" si="12"/>
        <v>44400.000000000007</v>
      </c>
      <c r="P114" s="4">
        <f t="shared" si="13"/>
        <v>-11099.999999999995</v>
      </c>
      <c r="Q114" s="4">
        <f t="shared" si="14"/>
        <v>33300.000000000015</v>
      </c>
      <c r="R114" s="4">
        <f t="shared" si="15"/>
        <v>133300</v>
      </c>
    </row>
    <row r="115" spans="5:18" x14ac:dyDescent="0.25">
      <c r="E115" s="1">
        <f t="shared" si="10"/>
        <v>112</v>
      </c>
      <c r="F115" s="4">
        <f t="shared" ca="1" si="11"/>
        <v>132000</v>
      </c>
      <c r="G115" s="1" t="s">
        <v>70</v>
      </c>
      <c r="H115" s="26">
        <f t="shared" ca="1" si="9"/>
        <v>0.74165133029876351</v>
      </c>
      <c r="I115" s="4">
        <f>IF(G115="Yes",-$C$8,0)</f>
        <v>-500</v>
      </c>
      <c r="J115" s="4">
        <f>IF(G115="Yes",$C$8-I115,0)</f>
        <v>1000</v>
      </c>
      <c r="K115" s="4">
        <f ca="1">IF(H115&gt;=$C$4,J115+I115,I115)</f>
        <v>500</v>
      </c>
      <c r="M115" s="61">
        <f t="shared" si="16"/>
        <v>89.600000000000009</v>
      </c>
      <c r="N115" s="61">
        <f t="shared" si="17"/>
        <v>22.399999999999991</v>
      </c>
      <c r="O115" s="4">
        <f t="shared" si="12"/>
        <v>44800.000000000007</v>
      </c>
      <c r="P115" s="4">
        <f t="shared" si="13"/>
        <v>-11199.999999999996</v>
      </c>
      <c r="Q115" s="4">
        <f t="shared" si="14"/>
        <v>33600.000000000015</v>
      </c>
      <c r="R115" s="4">
        <f t="shared" si="15"/>
        <v>133600</v>
      </c>
    </row>
    <row r="116" spans="5:18" x14ac:dyDescent="0.25">
      <c r="E116" s="1">
        <f t="shared" si="10"/>
        <v>113</v>
      </c>
      <c r="F116" s="4">
        <f t="shared" ca="1" si="11"/>
        <v>132500</v>
      </c>
      <c r="G116" s="1" t="s">
        <v>70</v>
      </c>
      <c r="H116" s="26">
        <f t="shared" ca="1" si="9"/>
        <v>0.58360478335847366</v>
      </c>
      <c r="I116" s="4">
        <f>IF(G116="Yes",-$C$8,0)</f>
        <v>-500</v>
      </c>
      <c r="J116" s="4">
        <f>IF(G116="Yes",$C$8-I116,0)</f>
        <v>1000</v>
      </c>
      <c r="K116" s="4">
        <f ca="1">IF(H116&gt;=$C$4,J116+I116,I116)</f>
        <v>500</v>
      </c>
      <c r="M116" s="61">
        <f t="shared" si="16"/>
        <v>90.4</v>
      </c>
      <c r="N116" s="61">
        <f t="shared" si="17"/>
        <v>22.599999999999994</v>
      </c>
      <c r="O116" s="4">
        <f t="shared" si="12"/>
        <v>45200</v>
      </c>
      <c r="P116" s="4">
        <f t="shared" si="13"/>
        <v>-11299.999999999996</v>
      </c>
      <c r="Q116" s="4">
        <f t="shared" si="14"/>
        <v>33900</v>
      </c>
      <c r="R116" s="4">
        <f t="shared" si="15"/>
        <v>133900</v>
      </c>
    </row>
    <row r="117" spans="5:18" x14ac:dyDescent="0.25">
      <c r="E117" s="1">
        <f t="shared" si="10"/>
        <v>114</v>
      </c>
      <c r="F117" s="4">
        <f t="shared" ca="1" si="11"/>
        <v>133000</v>
      </c>
      <c r="G117" s="1" t="s">
        <v>70</v>
      </c>
      <c r="H117" s="26">
        <f t="shared" ca="1" si="9"/>
        <v>0.54487042451938383</v>
      </c>
      <c r="I117" s="4">
        <f>IF(G117="Yes",-$C$8,0)</f>
        <v>-500</v>
      </c>
      <c r="J117" s="4">
        <f>IF(G117="Yes",$C$8-I117,0)</f>
        <v>1000</v>
      </c>
      <c r="K117" s="4">
        <f ca="1">IF(H117&gt;=$C$4,J117+I117,I117)</f>
        <v>500</v>
      </c>
      <c r="M117" s="61">
        <f t="shared" si="16"/>
        <v>91.2</v>
      </c>
      <c r="N117" s="61">
        <f t="shared" si="17"/>
        <v>22.799999999999997</v>
      </c>
      <c r="O117" s="4">
        <f t="shared" si="12"/>
        <v>45600</v>
      </c>
      <c r="P117" s="4">
        <f t="shared" si="13"/>
        <v>-11399.999999999998</v>
      </c>
      <c r="Q117" s="4">
        <f t="shared" si="14"/>
        <v>34200</v>
      </c>
      <c r="R117" s="4">
        <f t="shared" si="15"/>
        <v>134200</v>
      </c>
    </row>
    <row r="118" spans="5:18" x14ac:dyDescent="0.25">
      <c r="E118" s="1">
        <f t="shared" si="10"/>
        <v>115</v>
      </c>
      <c r="F118" s="4">
        <f t="shared" ca="1" si="11"/>
        <v>133500</v>
      </c>
      <c r="G118" s="1" t="s">
        <v>70</v>
      </c>
      <c r="H118" s="26">
        <f t="shared" ca="1" si="9"/>
        <v>0.3285496901990842</v>
      </c>
      <c r="I118" s="4">
        <f>IF(G118="Yes",-$C$8,0)</f>
        <v>-500</v>
      </c>
      <c r="J118" s="4">
        <f>IF(G118="Yes",$C$8-I118,0)</f>
        <v>1000</v>
      </c>
      <c r="K118" s="4">
        <f ca="1">IF(H118&gt;=$C$4,J118+I118,I118)</f>
        <v>500</v>
      </c>
      <c r="M118" s="61">
        <f t="shared" si="16"/>
        <v>92</v>
      </c>
      <c r="N118" s="61">
        <f t="shared" si="17"/>
        <v>23</v>
      </c>
      <c r="O118" s="4">
        <f t="shared" si="12"/>
        <v>46000</v>
      </c>
      <c r="P118" s="4">
        <f t="shared" si="13"/>
        <v>-11500</v>
      </c>
      <c r="Q118" s="4">
        <f t="shared" si="14"/>
        <v>34500</v>
      </c>
      <c r="R118" s="4">
        <f t="shared" si="15"/>
        <v>134500</v>
      </c>
    </row>
    <row r="119" spans="5:18" x14ac:dyDescent="0.25">
      <c r="E119" s="1">
        <f t="shared" si="10"/>
        <v>116</v>
      </c>
      <c r="F119" s="4">
        <f t="shared" ca="1" si="11"/>
        <v>133000</v>
      </c>
      <c r="G119" s="1" t="s">
        <v>70</v>
      </c>
      <c r="H119" s="26">
        <f t="shared" ca="1" si="9"/>
        <v>0.18453122523683996</v>
      </c>
      <c r="I119" s="4">
        <f>IF(G119="Yes",-$C$8,0)</f>
        <v>-500</v>
      </c>
      <c r="J119" s="4">
        <f>IF(G119="Yes",$C$8-I119,0)</f>
        <v>1000</v>
      </c>
      <c r="K119" s="4">
        <f ca="1">IF(H119&gt;=$C$4,J119+I119,I119)</f>
        <v>-500</v>
      </c>
      <c r="M119" s="61">
        <f t="shared" si="16"/>
        <v>92.800000000000011</v>
      </c>
      <c r="N119" s="61">
        <f t="shared" si="17"/>
        <v>23.199999999999989</v>
      </c>
      <c r="O119" s="4">
        <f t="shared" si="12"/>
        <v>46400.000000000007</v>
      </c>
      <c r="P119" s="4">
        <f t="shared" si="13"/>
        <v>-11599.999999999995</v>
      </c>
      <c r="Q119" s="4">
        <f t="shared" si="14"/>
        <v>34800.000000000015</v>
      </c>
      <c r="R119" s="4">
        <f t="shared" si="15"/>
        <v>134800</v>
      </c>
    </row>
    <row r="120" spans="5:18" x14ac:dyDescent="0.25">
      <c r="E120" s="1">
        <f t="shared" si="10"/>
        <v>117</v>
      </c>
      <c r="F120" s="4">
        <f t="shared" ca="1" si="11"/>
        <v>133500</v>
      </c>
      <c r="G120" s="1" t="s">
        <v>70</v>
      </c>
      <c r="H120" s="26">
        <f t="shared" ca="1" si="9"/>
        <v>0.938071119336785</v>
      </c>
      <c r="I120" s="4">
        <f>IF(G120="Yes",-$C$8,0)</f>
        <v>-500</v>
      </c>
      <c r="J120" s="4">
        <f>IF(G120="Yes",$C$8-I120,0)</f>
        <v>1000</v>
      </c>
      <c r="K120" s="4">
        <f ca="1">IF(H120&gt;=$C$4,J120+I120,I120)</f>
        <v>500</v>
      </c>
      <c r="M120" s="61">
        <f t="shared" si="16"/>
        <v>93.600000000000009</v>
      </c>
      <c r="N120" s="61">
        <f t="shared" si="17"/>
        <v>23.399999999999991</v>
      </c>
      <c r="O120" s="4">
        <f t="shared" si="12"/>
        <v>46800.000000000007</v>
      </c>
      <c r="P120" s="4">
        <f t="shared" si="13"/>
        <v>-11699.999999999996</v>
      </c>
      <c r="Q120" s="4">
        <f t="shared" si="14"/>
        <v>35100.000000000015</v>
      </c>
      <c r="R120" s="4">
        <f t="shared" si="15"/>
        <v>135100</v>
      </c>
    </row>
    <row r="121" spans="5:18" x14ac:dyDescent="0.25">
      <c r="E121" s="1">
        <f t="shared" si="10"/>
        <v>118</v>
      </c>
      <c r="F121" s="4">
        <f t="shared" ca="1" si="11"/>
        <v>133000</v>
      </c>
      <c r="G121" s="1" t="s">
        <v>70</v>
      </c>
      <c r="H121" s="26">
        <f t="shared" ca="1" si="9"/>
        <v>2.4551276647146847E-2</v>
      </c>
      <c r="I121" s="4">
        <f>IF(G121="Yes",-$C$8,0)</f>
        <v>-500</v>
      </c>
      <c r="J121" s="4">
        <f>IF(G121="Yes",$C$8-I121,0)</f>
        <v>1000</v>
      </c>
      <c r="K121" s="4">
        <f ca="1">IF(H121&gt;=$C$4,J121+I121,I121)</f>
        <v>-500</v>
      </c>
      <c r="M121" s="61">
        <f t="shared" si="16"/>
        <v>94.4</v>
      </c>
      <c r="N121" s="61">
        <f t="shared" si="17"/>
        <v>23.599999999999994</v>
      </c>
      <c r="O121" s="4">
        <f t="shared" si="12"/>
        <v>47200</v>
      </c>
      <c r="P121" s="4">
        <f t="shared" si="13"/>
        <v>-11799.999999999996</v>
      </c>
      <c r="Q121" s="4">
        <f t="shared" si="14"/>
        <v>35400</v>
      </c>
      <c r="R121" s="4">
        <f t="shared" si="15"/>
        <v>135400</v>
      </c>
    </row>
    <row r="122" spans="5:18" x14ac:dyDescent="0.25">
      <c r="E122" s="1">
        <f t="shared" si="10"/>
        <v>119</v>
      </c>
      <c r="F122" s="4">
        <f t="shared" ca="1" si="11"/>
        <v>133500</v>
      </c>
      <c r="G122" s="1" t="s">
        <v>70</v>
      </c>
      <c r="H122" s="26">
        <f t="shared" ca="1" si="9"/>
        <v>0.21689896243897777</v>
      </c>
      <c r="I122" s="4">
        <f>IF(G122="Yes",-$C$8,0)</f>
        <v>-500</v>
      </c>
      <c r="J122" s="4">
        <f>IF(G122="Yes",$C$8-I122,0)</f>
        <v>1000</v>
      </c>
      <c r="K122" s="4">
        <f ca="1">IF(H122&gt;=$C$4,J122+I122,I122)</f>
        <v>500</v>
      </c>
      <c r="M122" s="61">
        <f t="shared" si="16"/>
        <v>95.2</v>
      </c>
      <c r="N122" s="61">
        <f t="shared" si="17"/>
        <v>23.799999999999997</v>
      </c>
      <c r="O122" s="4">
        <f t="shared" si="12"/>
        <v>47600</v>
      </c>
      <c r="P122" s="4">
        <f t="shared" si="13"/>
        <v>-11899.999999999998</v>
      </c>
      <c r="Q122" s="4">
        <f t="shared" si="14"/>
        <v>35700</v>
      </c>
      <c r="R122" s="4">
        <f t="shared" si="15"/>
        <v>135700</v>
      </c>
    </row>
    <row r="123" spans="5:18" x14ac:dyDescent="0.25">
      <c r="E123" s="1">
        <f t="shared" si="10"/>
        <v>120</v>
      </c>
      <c r="F123" s="4">
        <f t="shared" ca="1" si="11"/>
        <v>134000</v>
      </c>
      <c r="G123" s="1" t="s">
        <v>70</v>
      </c>
      <c r="H123" s="26">
        <f t="shared" ca="1" si="9"/>
        <v>0.50413249947574823</v>
      </c>
      <c r="I123" s="4">
        <f>IF(G123="Yes",-$C$8,0)</f>
        <v>-500</v>
      </c>
      <c r="J123" s="4">
        <f>IF(G123="Yes",$C$8-I123,0)</f>
        <v>1000</v>
      </c>
      <c r="K123" s="4">
        <f ca="1">IF(H123&gt;=$C$4,J123+I123,I123)</f>
        <v>500</v>
      </c>
      <c r="M123" s="61">
        <f t="shared" si="16"/>
        <v>96</v>
      </c>
      <c r="N123" s="61">
        <f t="shared" si="17"/>
        <v>24</v>
      </c>
      <c r="O123" s="4">
        <f t="shared" si="12"/>
        <v>48000</v>
      </c>
      <c r="P123" s="4">
        <f t="shared" si="13"/>
        <v>-12000</v>
      </c>
      <c r="Q123" s="4">
        <f t="shared" si="14"/>
        <v>36000</v>
      </c>
      <c r="R123" s="4">
        <f t="shared" si="15"/>
        <v>136000</v>
      </c>
    </row>
    <row r="124" spans="5:18" x14ac:dyDescent="0.25">
      <c r="E124" s="1">
        <f t="shared" si="10"/>
        <v>121</v>
      </c>
      <c r="F124" s="4">
        <f t="shared" ca="1" si="11"/>
        <v>133500</v>
      </c>
      <c r="G124" s="1" t="s">
        <v>70</v>
      </c>
      <c r="H124" s="26">
        <f t="shared" ca="1" si="9"/>
        <v>0.1692177442627546</v>
      </c>
      <c r="I124" s="4">
        <f>IF(G124="Yes",-$C$8,0)</f>
        <v>-500</v>
      </c>
      <c r="J124" s="4">
        <f>IF(G124="Yes",$C$8-I124,0)</f>
        <v>1000</v>
      </c>
      <c r="K124" s="4">
        <f ca="1">IF(H124&gt;=$C$4,J124+I124,I124)</f>
        <v>-500</v>
      </c>
      <c r="M124" s="61">
        <f t="shared" si="16"/>
        <v>96.800000000000011</v>
      </c>
      <c r="N124" s="61">
        <f t="shared" si="17"/>
        <v>24.199999999999989</v>
      </c>
      <c r="O124" s="4">
        <f t="shared" si="12"/>
        <v>48400.000000000007</v>
      </c>
      <c r="P124" s="4">
        <f t="shared" si="13"/>
        <v>-12099.999999999995</v>
      </c>
      <c r="Q124" s="4">
        <f t="shared" si="14"/>
        <v>36300.000000000015</v>
      </c>
      <c r="R124" s="4">
        <f t="shared" si="15"/>
        <v>136300</v>
      </c>
    </row>
    <row r="125" spans="5:18" x14ac:dyDescent="0.25">
      <c r="E125" s="1">
        <f t="shared" si="10"/>
        <v>122</v>
      </c>
      <c r="F125" s="4">
        <f t="shared" ca="1" si="11"/>
        <v>134000</v>
      </c>
      <c r="G125" s="1" t="s">
        <v>70</v>
      </c>
      <c r="H125" s="26">
        <f t="shared" ca="1" si="9"/>
        <v>0.85141326406397411</v>
      </c>
      <c r="I125" s="4">
        <f>IF(G125="Yes",-$C$8,0)</f>
        <v>-500</v>
      </c>
      <c r="J125" s="4">
        <f>IF(G125="Yes",$C$8-I125,0)</f>
        <v>1000</v>
      </c>
      <c r="K125" s="4">
        <f ca="1">IF(H125&gt;=$C$4,J125+I125,I125)</f>
        <v>500</v>
      </c>
      <c r="M125" s="61">
        <f t="shared" si="16"/>
        <v>97.600000000000009</v>
      </c>
      <c r="N125" s="61">
        <f t="shared" si="17"/>
        <v>24.399999999999991</v>
      </c>
      <c r="O125" s="4">
        <f t="shared" si="12"/>
        <v>48800.000000000007</v>
      </c>
      <c r="P125" s="4">
        <f t="shared" si="13"/>
        <v>-12199.999999999996</v>
      </c>
      <c r="Q125" s="4">
        <f t="shared" si="14"/>
        <v>36600.000000000015</v>
      </c>
      <c r="R125" s="4">
        <f t="shared" si="15"/>
        <v>136600</v>
      </c>
    </row>
    <row r="126" spans="5:18" x14ac:dyDescent="0.25">
      <c r="E126" s="1">
        <f t="shared" si="10"/>
        <v>123</v>
      </c>
      <c r="F126" s="4">
        <f t="shared" ca="1" si="11"/>
        <v>133500</v>
      </c>
      <c r="G126" s="1" t="s">
        <v>70</v>
      </c>
      <c r="H126" s="26">
        <f t="shared" ca="1" si="9"/>
        <v>9.2446161717047115E-2</v>
      </c>
      <c r="I126" s="4">
        <f>IF(G126="Yes",-$C$8,0)</f>
        <v>-500</v>
      </c>
      <c r="J126" s="4">
        <f>IF(G126="Yes",$C$8-I126,0)</f>
        <v>1000</v>
      </c>
      <c r="K126" s="4">
        <f ca="1">IF(H126&gt;=$C$4,J126+I126,I126)</f>
        <v>-500</v>
      </c>
      <c r="M126" s="61">
        <f t="shared" si="16"/>
        <v>98.4</v>
      </c>
      <c r="N126" s="61">
        <f t="shared" si="17"/>
        <v>24.599999999999994</v>
      </c>
      <c r="O126" s="4">
        <f t="shared" si="12"/>
        <v>49200</v>
      </c>
      <c r="P126" s="4">
        <f t="shared" si="13"/>
        <v>-12299.999999999996</v>
      </c>
      <c r="Q126" s="4">
        <f t="shared" si="14"/>
        <v>36900</v>
      </c>
      <c r="R126" s="4">
        <f t="shared" si="15"/>
        <v>136900</v>
      </c>
    </row>
    <row r="127" spans="5:18" x14ac:dyDescent="0.25">
      <c r="E127" s="1">
        <f t="shared" si="10"/>
        <v>124</v>
      </c>
      <c r="F127" s="4">
        <f t="shared" ca="1" si="11"/>
        <v>133000</v>
      </c>
      <c r="G127" s="1" t="s">
        <v>70</v>
      </c>
      <c r="H127" s="26">
        <f t="shared" ca="1" si="9"/>
        <v>0.11766613584511987</v>
      </c>
      <c r="I127" s="4">
        <f>IF(G127="Yes",-$C$8,0)</f>
        <v>-500</v>
      </c>
      <c r="J127" s="4">
        <f>IF(G127="Yes",$C$8-I127,0)</f>
        <v>1000</v>
      </c>
      <c r="K127" s="4">
        <f ca="1">IF(H127&gt;=$C$4,J127+I127,I127)</f>
        <v>-500</v>
      </c>
      <c r="M127" s="61">
        <f t="shared" si="16"/>
        <v>99.2</v>
      </c>
      <c r="N127" s="61">
        <f t="shared" si="17"/>
        <v>24.799999999999997</v>
      </c>
      <c r="O127" s="4">
        <f t="shared" si="12"/>
        <v>49600</v>
      </c>
      <c r="P127" s="4">
        <f t="shared" si="13"/>
        <v>-12399.999999999998</v>
      </c>
      <c r="Q127" s="4">
        <f t="shared" si="14"/>
        <v>37200</v>
      </c>
      <c r="R127" s="4">
        <f t="shared" si="15"/>
        <v>137200</v>
      </c>
    </row>
    <row r="128" spans="5:18" x14ac:dyDescent="0.25">
      <c r="E128" s="1">
        <f t="shared" si="10"/>
        <v>125</v>
      </c>
      <c r="F128" s="4">
        <f t="shared" ca="1" si="11"/>
        <v>133500</v>
      </c>
      <c r="G128" s="1" t="s">
        <v>70</v>
      </c>
      <c r="H128" s="26">
        <f t="shared" ca="1" si="9"/>
        <v>0.38765044537604831</v>
      </c>
      <c r="I128" s="4">
        <f>IF(G128="Yes",-$C$8,0)</f>
        <v>-500</v>
      </c>
      <c r="J128" s="4">
        <f>IF(G128="Yes",$C$8-I128,0)</f>
        <v>1000</v>
      </c>
      <c r="K128" s="4">
        <f ca="1">IF(H128&gt;=$C$4,J128+I128,I128)</f>
        <v>500</v>
      </c>
      <c r="M128" s="61">
        <f t="shared" si="16"/>
        <v>100</v>
      </c>
      <c r="N128" s="61">
        <f t="shared" si="17"/>
        <v>25</v>
      </c>
      <c r="O128" s="4">
        <f t="shared" si="12"/>
        <v>50000</v>
      </c>
      <c r="P128" s="4">
        <f t="shared" si="13"/>
        <v>-12500</v>
      </c>
      <c r="Q128" s="4">
        <f t="shared" si="14"/>
        <v>37500</v>
      </c>
      <c r="R128" s="4">
        <f t="shared" si="15"/>
        <v>137500</v>
      </c>
    </row>
    <row r="129" spans="5:18" x14ac:dyDescent="0.25">
      <c r="E129" s="1">
        <f t="shared" si="10"/>
        <v>126</v>
      </c>
      <c r="F129" s="4">
        <f t="shared" ca="1" si="11"/>
        <v>133000</v>
      </c>
      <c r="G129" s="1" t="s">
        <v>70</v>
      </c>
      <c r="H129" s="26">
        <f t="shared" ca="1" si="9"/>
        <v>0.13055400266239614</v>
      </c>
      <c r="I129" s="4">
        <f>IF(G129="Yes",-$C$8,0)</f>
        <v>-500</v>
      </c>
      <c r="J129" s="4">
        <f>IF(G129="Yes",$C$8-I129,0)</f>
        <v>1000</v>
      </c>
      <c r="K129" s="4">
        <f ca="1">IF(H129&gt;=$C$4,J129+I129,I129)</f>
        <v>-500</v>
      </c>
      <c r="M129" s="61">
        <f t="shared" si="16"/>
        <v>100.80000000000001</v>
      </c>
      <c r="N129" s="61">
        <f t="shared" si="17"/>
        <v>25.199999999999989</v>
      </c>
      <c r="O129" s="4">
        <f t="shared" si="12"/>
        <v>50400.000000000007</v>
      </c>
      <c r="P129" s="4">
        <f t="shared" si="13"/>
        <v>-12599.999999999995</v>
      </c>
      <c r="Q129" s="4">
        <f t="shared" si="14"/>
        <v>37800.000000000015</v>
      </c>
      <c r="R129" s="4">
        <f t="shared" si="15"/>
        <v>137800</v>
      </c>
    </row>
    <row r="130" spans="5:18" x14ac:dyDescent="0.25">
      <c r="E130" s="1">
        <f t="shared" si="10"/>
        <v>127</v>
      </c>
      <c r="F130" s="4">
        <f t="shared" ca="1" si="11"/>
        <v>133500</v>
      </c>
      <c r="G130" s="1" t="s">
        <v>70</v>
      </c>
      <c r="H130" s="26">
        <f t="shared" ca="1" si="9"/>
        <v>0.90255144565030621</v>
      </c>
      <c r="I130" s="4">
        <f>IF(G130="Yes",-$C$8,0)</f>
        <v>-500</v>
      </c>
      <c r="J130" s="4">
        <f>IF(G130="Yes",$C$8-I130,0)</f>
        <v>1000</v>
      </c>
      <c r="K130" s="4">
        <f ca="1">IF(H130&gt;=$C$4,J130+I130,I130)</f>
        <v>500</v>
      </c>
      <c r="M130" s="61">
        <f t="shared" si="16"/>
        <v>101.60000000000001</v>
      </c>
      <c r="N130" s="61">
        <f t="shared" si="17"/>
        <v>25.399999999999991</v>
      </c>
      <c r="O130" s="4">
        <f t="shared" si="12"/>
        <v>50800.000000000007</v>
      </c>
      <c r="P130" s="4">
        <f t="shared" si="13"/>
        <v>-12699.999999999996</v>
      </c>
      <c r="Q130" s="4">
        <f t="shared" si="14"/>
        <v>38100.000000000015</v>
      </c>
      <c r="R130" s="4">
        <f t="shared" si="15"/>
        <v>138100</v>
      </c>
    </row>
    <row r="131" spans="5:18" x14ac:dyDescent="0.25">
      <c r="E131" s="1">
        <f t="shared" si="10"/>
        <v>128</v>
      </c>
      <c r="F131" s="4">
        <f t="shared" ca="1" si="11"/>
        <v>133000</v>
      </c>
      <c r="G131" s="1" t="s">
        <v>70</v>
      </c>
      <c r="H131" s="26">
        <f t="shared" ca="1" si="9"/>
        <v>0.19663597778092912</v>
      </c>
      <c r="I131" s="4">
        <f>IF(G131="Yes",-$C$8,0)</f>
        <v>-500</v>
      </c>
      <c r="J131" s="4">
        <f>IF(G131="Yes",$C$8-I131,0)</f>
        <v>1000</v>
      </c>
      <c r="K131" s="4">
        <f ca="1">IF(H131&gt;=$C$4,J131+I131,I131)</f>
        <v>-500</v>
      </c>
      <c r="M131" s="61">
        <f t="shared" si="16"/>
        <v>102.4</v>
      </c>
      <c r="N131" s="61">
        <f t="shared" si="17"/>
        <v>25.599999999999994</v>
      </c>
      <c r="O131" s="4">
        <f t="shared" si="12"/>
        <v>51200</v>
      </c>
      <c r="P131" s="4">
        <f t="shared" si="13"/>
        <v>-12799.999999999996</v>
      </c>
      <c r="Q131" s="4">
        <f t="shared" si="14"/>
        <v>38400</v>
      </c>
      <c r="R131" s="4">
        <f t="shared" si="15"/>
        <v>138400</v>
      </c>
    </row>
    <row r="132" spans="5:18" x14ac:dyDescent="0.25">
      <c r="E132" s="1">
        <f t="shared" si="10"/>
        <v>129</v>
      </c>
      <c r="F132" s="4">
        <f t="shared" ca="1" si="11"/>
        <v>133500</v>
      </c>
      <c r="G132" s="1" t="s">
        <v>70</v>
      </c>
      <c r="H132" s="26">
        <f t="shared" ref="H132:H195" ca="1" si="18">RAND()</f>
        <v>0.74603284864787167</v>
      </c>
      <c r="I132" s="4">
        <f>IF(G132="Yes",-$C$8,0)</f>
        <v>-500</v>
      </c>
      <c r="J132" s="4">
        <f>IF(G132="Yes",$C$8-I132,0)</f>
        <v>1000</v>
      </c>
      <c r="K132" s="4">
        <f ca="1">IF(H132&gt;=$C$4,J132+I132,I132)</f>
        <v>500</v>
      </c>
      <c r="M132" s="61">
        <f t="shared" si="16"/>
        <v>103.2</v>
      </c>
      <c r="N132" s="61">
        <f t="shared" si="17"/>
        <v>25.799999999999997</v>
      </c>
      <c r="O132" s="4">
        <f t="shared" si="12"/>
        <v>51600</v>
      </c>
      <c r="P132" s="4">
        <f t="shared" si="13"/>
        <v>-12899.999999999998</v>
      </c>
      <c r="Q132" s="4">
        <f t="shared" si="14"/>
        <v>38700</v>
      </c>
      <c r="R132" s="4">
        <f t="shared" si="15"/>
        <v>138700</v>
      </c>
    </row>
    <row r="133" spans="5:18" x14ac:dyDescent="0.25">
      <c r="E133" s="1">
        <f t="shared" ref="E133:E196" si="19">E132+1</f>
        <v>130</v>
      </c>
      <c r="F133" s="4">
        <f t="shared" ref="F133:F196" ca="1" si="20">F132+K133</f>
        <v>134000</v>
      </c>
      <c r="G133" s="1" t="s">
        <v>70</v>
      </c>
      <c r="H133" s="26">
        <f t="shared" ca="1" si="18"/>
        <v>0.91029460995563738</v>
      </c>
      <c r="I133" s="4">
        <f>IF(G133="Yes",-$C$8,0)</f>
        <v>-500</v>
      </c>
      <c r="J133" s="4">
        <f>IF(G133="Yes",$C$8-I133,0)</f>
        <v>1000</v>
      </c>
      <c r="K133" s="4">
        <f ca="1">IF(H133&gt;=$C$4,J133+I133,I133)</f>
        <v>500</v>
      </c>
      <c r="M133" s="61">
        <f t="shared" si="16"/>
        <v>104</v>
      </c>
      <c r="N133" s="61">
        <f t="shared" si="17"/>
        <v>26</v>
      </c>
      <c r="O133" s="4">
        <f t="shared" ref="O133:O196" si="21">M133*$C$8</f>
        <v>52000</v>
      </c>
      <c r="P133" s="4">
        <f t="shared" ref="P133:P196" si="22">N133*(-$C$8)</f>
        <v>-13000</v>
      </c>
      <c r="Q133" s="4">
        <f t="shared" ref="Q133:Q196" si="23">O133+P133</f>
        <v>39000</v>
      </c>
      <c r="R133" s="4">
        <f t="shared" ref="R133:R196" si="24">$C$7+Q133</f>
        <v>139000</v>
      </c>
    </row>
    <row r="134" spans="5:18" x14ac:dyDescent="0.25">
      <c r="E134" s="1">
        <f t="shared" si="19"/>
        <v>131</v>
      </c>
      <c r="F134" s="4">
        <f t="shared" ca="1" si="20"/>
        <v>134500</v>
      </c>
      <c r="G134" s="1" t="s">
        <v>70</v>
      </c>
      <c r="H134" s="26">
        <f t="shared" ca="1" si="18"/>
        <v>0.57465425556067717</v>
      </c>
      <c r="I134" s="4">
        <f>IF(G134="Yes",-$C$8,0)</f>
        <v>-500</v>
      </c>
      <c r="J134" s="4">
        <f>IF(G134="Yes",$C$8-I134,0)</f>
        <v>1000</v>
      </c>
      <c r="K134" s="4">
        <f ca="1">IF(H134&gt;=$C$4,J134+I134,I134)</f>
        <v>500</v>
      </c>
      <c r="M134" s="61">
        <f t="shared" si="16"/>
        <v>104.80000000000001</v>
      </c>
      <c r="N134" s="61">
        <f t="shared" si="17"/>
        <v>26.199999999999989</v>
      </c>
      <c r="O134" s="4">
        <f t="shared" si="21"/>
        <v>52400.000000000007</v>
      </c>
      <c r="P134" s="4">
        <f t="shared" si="22"/>
        <v>-13099.999999999995</v>
      </c>
      <c r="Q134" s="4">
        <f t="shared" si="23"/>
        <v>39300.000000000015</v>
      </c>
      <c r="R134" s="4">
        <f t="shared" si="24"/>
        <v>139300</v>
      </c>
    </row>
    <row r="135" spans="5:18" x14ac:dyDescent="0.25">
      <c r="E135" s="1">
        <f t="shared" si="19"/>
        <v>132</v>
      </c>
      <c r="F135" s="4">
        <f t="shared" ca="1" si="20"/>
        <v>135000</v>
      </c>
      <c r="G135" s="1" t="s">
        <v>70</v>
      </c>
      <c r="H135" s="26">
        <f t="shared" ca="1" si="18"/>
        <v>0.27393128308814996</v>
      </c>
      <c r="I135" s="4">
        <f>IF(G135="Yes",-$C$8,0)</f>
        <v>-500</v>
      </c>
      <c r="J135" s="4">
        <f>IF(G135="Yes",$C$8-I135,0)</f>
        <v>1000</v>
      </c>
      <c r="K135" s="4">
        <f ca="1">IF(H135&gt;=$C$4,J135+I135,I135)</f>
        <v>500</v>
      </c>
      <c r="M135" s="61">
        <f t="shared" si="16"/>
        <v>105.60000000000001</v>
      </c>
      <c r="N135" s="61">
        <f t="shared" si="17"/>
        <v>26.399999999999991</v>
      </c>
      <c r="O135" s="4">
        <f t="shared" si="21"/>
        <v>52800.000000000007</v>
      </c>
      <c r="P135" s="4">
        <f t="shared" si="22"/>
        <v>-13199.999999999996</v>
      </c>
      <c r="Q135" s="4">
        <f t="shared" si="23"/>
        <v>39600.000000000015</v>
      </c>
      <c r="R135" s="4">
        <f t="shared" si="24"/>
        <v>139600</v>
      </c>
    </row>
    <row r="136" spans="5:18" x14ac:dyDescent="0.25">
      <c r="E136" s="1">
        <f t="shared" si="19"/>
        <v>133</v>
      </c>
      <c r="F136" s="4">
        <f t="shared" ca="1" si="20"/>
        <v>135500</v>
      </c>
      <c r="G136" s="1" t="s">
        <v>70</v>
      </c>
      <c r="H136" s="26">
        <f t="shared" ca="1" si="18"/>
        <v>0.85688269436644127</v>
      </c>
      <c r="I136" s="4">
        <f>IF(G136="Yes",-$C$8,0)</f>
        <v>-500</v>
      </c>
      <c r="J136" s="4">
        <f>IF(G136="Yes",$C$8-I136,0)</f>
        <v>1000</v>
      </c>
      <c r="K136" s="4">
        <f ca="1">IF(H136&gt;=$C$4,J136+I136,I136)</f>
        <v>500</v>
      </c>
      <c r="M136" s="61">
        <f t="shared" si="16"/>
        <v>106.4</v>
      </c>
      <c r="N136" s="61">
        <f t="shared" si="17"/>
        <v>26.599999999999994</v>
      </c>
      <c r="O136" s="4">
        <f t="shared" si="21"/>
        <v>53200</v>
      </c>
      <c r="P136" s="4">
        <f t="shared" si="22"/>
        <v>-13299.999999999996</v>
      </c>
      <c r="Q136" s="4">
        <f t="shared" si="23"/>
        <v>39900</v>
      </c>
      <c r="R136" s="4">
        <f t="shared" si="24"/>
        <v>139900</v>
      </c>
    </row>
    <row r="137" spans="5:18" x14ac:dyDescent="0.25">
      <c r="E137" s="1">
        <f t="shared" si="19"/>
        <v>134</v>
      </c>
      <c r="F137" s="4">
        <f t="shared" ca="1" si="20"/>
        <v>136000</v>
      </c>
      <c r="G137" s="1" t="s">
        <v>70</v>
      </c>
      <c r="H137" s="26">
        <f t="shared" ca="1" si="18"/>
        <v>0.88822752012746697</v>
      </c>
      <c r="I137" s="4">
        <f>IF(G137="Yes",-$C$8,0)</f>
        <v>-500</v>
      </c>
      <c r="J137" s="4">
        <f>IF(G137="Yes",$C$8-I137,0)</f>
        <v>1000</v>
      </c>
      <c r="K137" s="4">
        <f ca="1">IF(H137&gt;=$C$4,J137+I137,I137)</f>
        <v>500</v>
      </c>
      <c r="M137" s="61">
        <f t="shared" si="16"/>
        <v>107.2</v>
      </c>
      <c r="N137" s="61">
        <f t="shared" si="17"/>
        <v>26.799999999999997</v>
      </c>
      <c r="O137" s="4">
        <f t="shared" si="21"/>
        <v>53600</v>
      </c>
      <c r="P137" s="4">
        <f t="shared" si="22"/>
        <v>-13399.999999999998</v>
      </c>
      <c r="Q137" s="4">
        <f t="shared" si="23"/>
        <v>40200</v>
      </c>
      <c r="R137" s="4">
        <f t="shared" si="24"/>
        <v>140200</v>
      </c>
    </row>
    <row r="138" spans="5:18" x14ac:dyDescent="0.25">
      <c r="E138" s="1">
        <f t="shared" si="19"/>
        <v>135</v>
      </c>
      <c r="F138" s="4">
        <f t="shared" ca="1" si="20"/>
        <v>136500</v>
      </c>
      <c r="G138" s="1" t="s">
        <v>70</v>
      </c>
      <c r="H138" s="26">
        <f t="shared" ca="1" si="18"/>
        <v>0.39981147069860901</v>
      </c>
      <c r="I138" s="4">
        <f>IF(G138="Yes",-$C$8,0)</f>
        <v>-500</v>
      </c>
      <c r="J138" s="4">
        <f>IF(G138="Yes",$C$8-I138,0)</f>
        <v>1000</v>
      </c>
      <c r="K138" s="4">
        <f ca="1">IF(H138&gt;=$C$4,J138+I138,I138)</f>
        <v>500</v>
      </c>
      <c r="M138" s="61">
        <f t="shared" si="16"/>
        <v>108</v>
      </c>
      <c r="N138" s="61">
        <f t="shared" si="17"/>
        <v>27</v>
      </c>
      <c r="O138" s="4">
        <f t="shared" si="21"/>
        <v>54000</v>
      </c>
      <c r="P138" s="4">
        <f t="shared" si="22"/>
        <v>-13500</v>
      </c>
      <c r="Q138" s="4">
        <f t="shared" si="23"/>
        <v>40500</v>
      </c>
      <c r="R138" s="4">
        <f t="shared" si="24"/>
        <v>140500</v>
      </c>
    </row>
    <row r="139" spans="5:18" x14ac:dyDescent="0.25">
      <c r="E139" s="1">
        <f t="shared" si="19"/>
        <v>136</v>
      </c>
      <c r="F139" s="4">
        <f t="shared" ca="1" si="20"/>
        <v>137000</v>
      </c>
      <c r="G139" s="1" t="s">
        <v>70</v>
      </c>
      <c r="H139" s="26">
        <f t="shared" ca="1" si="18"/>
        <v>0.2967261809389854</v>
      </c>
      <c r="I139" s="4">
        <f>IF(G139="Yes",-$C$8,0)</f>
        <v>-500</v>
      </c>
      <c r="J139" s="4">
        <f>IF(G139="Yes",$C$8-I139,0)</f>
        <v>1000</v>
      </c>
      <c r="K139" s="4">
        <f ca="1">IF(H139&gt;=$C$4,J139+I139,I139)</f>
        <v>500</v>
      </c>
      <c r="M139" s="61">
        <f t="shared" si="16"/>
        <v>108.80000000000001</v>
      </c>
      <c r="N139" s="61">
        <f t="shared" si="17"/>
        <v>27.199999999999989</v>
      </c>
      <c r="O139" s="4">
        <f t="shared" si="21"/>
        <v>54400.000000000007</v>
      </c>
      <c r="P139" s="4">
        <f t="shared" si="22"/>
        <v>-13599.999999999995</v>
      </c>
      <c r="Q139" s="4">
        <f t="shared" si="23"/>
        <v>40800.000000000015</v>
      </c>
      <c r="R139" s="4">
        <f t="shared" si="24"/>
        <v>140800</v>
      </c>
    </row>
    <row r="140" spans="5:18" x14ac:dyDescent="0.25">
      <c r="E140" s="1">
        <f t="shared" si="19"/>
        <v>137</v>
      </c>
      <c r="F140" s="4">
        <f t="shared" ca="1" si="20"/>
        <v>137500</v>
      </c>
      <c r="G140" s="1" t="s">
        <v>70</v>
      </c>
      <c r="H140" s="26">
        <f t="shared" ca="1" si="18"/>
        <v>0.54207264768549002</v>
      </c>
      <c r="I140" s="4">
        <f>IF(G140="Yes",-$C$8,0)</f>
        <v>-500</v>
      </c>
      <c r="J140" s="4">
        <f>IF(G140="Yes",$C$8-I140,0)</f>
        <v>1000</v>
      </c>
      <c r="K140" s="4">
        <f ca="1">IF(H140&gt;=$C$4,J140+I140,I140)</f>
        <v>500</v>
      </c>
      <c r="M140" s="61">
        <f t="shared" si="16"/>
        <v>109.60000000000001</v>
      </c>
      <c r="N140" s="61">
        <f t="shared" si="17"/>
        <v>27.399999999999991</v>
      </c>
      <c r="O140" s="4">
        <f t="shared" si="21"/>
        <v>54800.000000000007</v>
      </c>
      <c r="P140" s="4">
        <f t="shared" si="22"/>
        <v>-13699.999999999996</v>
      </c>
      <c r="Q140" s="4">
        <f t="shared" si="23"/>
        <v>41100.000000000015</v>
      </c>
      <c r="R140" s="4">
        <f t="shared" si="24"/>
        <v>141100</v>
      </c>
    </row>
    <row r="141" spans="5:18" x14ac:dyDescent="0.25">
      <c r="E141" s="1">
        <f t="shared" si="19"/>
        <v>138</v>
      </c>
      <c r="F141" s="4">
        <f t="shared" ca="1" si="20"/>
        <v>138000</v>
      </c>
      <c r="G141" s="1" t="s">
        <v>70</v>
      </c>
      <c r="H141" s="26">
        <f t="shared" ca="1" si="18"/>
        <v>0.7546049316506459</v>
      </c>
      <c r="I141" s="4">
        <f>IF(G141="Yes",-$C$8,0)</f>
        <v>-500</v>
      </c>
      <c r="J141" s="4">
        <f>IF(G141="Yes",$C$8-I141,0)</f>
        <v>1000</v>
      </c>
      <c r="K141" s="4">
        <f ca="1">IF(H141&gt;=$C$4,J141+I141,I141)</f>
        <v>500</v>
      </c>
      <c r="M141" s="61">
        <f t="shared" si="16"/>
        <v>110.4</v>
      </c>
      <c r="N141" s="61">
        <f t="shared" si="17"/>
        <v>27.599999999999994</v>
      </c>
      <c r="O141" s="4">
        <f t="shared" si="21"/>
        <v>55200</v>
      </c>
      <c r="P141" s="4">
        <f t="shared" si="22"/>
        <v>-13799.999999999996</v>
      </c>
      <c r="Q141" s="4">
        <f t="shared" si="23"/>
        <v>41400</v>
      </c>
      <c r="R141" s="4">
        <f t="shared" si="24"/>
        <v>141400</v>
      </c>
    </row>
    <row r="142" spans="5:18" x14ac:dyDescent="0.25">
      <c r="E142" s="1">
        <f t="shared" si="19"/>
        <v>139</v>
      </c>
      <c r="F142" s="4">
        <f t="shared" ca="1" si="20"/>
        <v>138500</v>
      </c>
      <c r="G142" s="1" t="s">
        <v>70</v>
      </c>
      <c r="H142" s="26">
        <f t="shared" ca="1" si="18"/>
        <v>0.20780046661215112</v>
      </c>
      <c r="I142" s="4">
        <f>IF(G142="Yes",-$C$8,0)</f>
        <v>-500</v>
      </c>
      <c r="J142" s="4">
        <f>IF(G142="Yes",$C$8-I142,0)</f>
        <v>1000</v>
      </c>
      <c r="K142" s="4">
        <f ca="1">IF(H142&gt;=$C$4,J142+I142,I142)</f>
        <v>500</v>
      </c>
      <c r="M142" s="61">
        <f t="shared" ref="M142:M205" si="25">E142*$C$3</f>
        <v>111.2</v>
      </c>
      <c r="N142" s="61">
        <f t="shared" ref="N142:N205" si="26">E142-M142</f>
        <v>27.799999999999997</v>
      </c>
      <c r="O142" s="4">
        <f t="shared" si="21"/>
        <v>55600</v>
      </c>
      <c r="P142" s="4">
        <f t="shared" si="22"/>
        <v>-13899.999999999998</v>
      </c>
      <c r="Q142" s="4">
        <f t="shared" si="23"/>
        <v>41700</v>
      </c>
      <c r="R142" s="4">
        <f t="shared" si="24"/>
        <v>141700</v>
      </c>
    </row>
    <row r="143" spans="5:18" x14ac:dyDescent="0.25">
      <c r="E143" s="1">
        <f t="shared" si="19"/>
        <v>140</v>
      </c>
      <c r="F143" s="4">
        <f t="shared" ca="1" si="20"/>
        <v>139000</v>
      </c>
      <c r="G143" s="1" t="s">
        <v>70</v>
      </c>
      <c r="H143" s="26">
        <f t="shared" ca="1" si="18"/>
        <v>0.20668409225359752</v>
      </c>
      <c r="I143" s="4">
        <f>IF(G143="Yes",-$C$8,0)</f>
        <v>-500</v>
      </c>
      <c r="J143" s="4">
        <f>IF(G143="Yes",$C$8-I143,0)</f>
        <v>1000</v>
      </c>
      <c r="K143" s="4">
        <f ca="1">IF(H143&gt;=$C$4,J143+I143,I143)</f>
        <v>500</v>
      </c>
      <c r="M143" s="61">
        <f t="shared" si="25"/>
        <v>112</v>
      </c>
      <c r="N143" s="61">
        <f t="shared" si="26"/>
        <v>28</v>
      </c>
      <c r="O143" s="4">
        <f t="shared" si="21"/>
        <v>56000</v>
      </c>
      <c r="P143" s="4">
        <f t="shared" si="22"/>
        <v>-14000</v>
      </c>
      <c r="Q143" s="4">
        <f t="shared" si="23"/>
        <v>42000</v>
      </c>
      <c r="R143" s="4">
        <f t="shared" si="24"/>
        <v>142000</v>
      </c>
    </row>
    <row r="144" spans="5:18" x14ac:dyDescent="0.25">
      <c r="E144" s="1">
        <f t="shared" si="19"/>
        <v>141</v>
      </c>
      <c r="F144" s="4">
        <f t="shared" ca="1" si="20"/>
        <v>139500</v>
      </c>
      <c r="G144" s="1" t="s">
        <v>70</v>
      </c>
      <c r="H144" s="26">
        <f t="shared" ca="1" si="18"/>
        <v>0.40437767615677445</v>
      </c>
      <c r="I144" s="4">
        <f>IF(G144="Yes",-$C$8,0)</f>
        <v>-500</v>
      </c>
      <c r="J144" s="4">
        <f>IF(G144="Yes",$C$8-I144,0)</f>
        <v>1000</v>
      </c>
      <c r="K144" s="4">
        <f ca="1">IF(H144&gt;=$C$4,J144+I144,I144)</f>
        <v>500</v>
      </c>
      <c r="M144" s="61">
        <f t="shared" si="25"/>
        <v>112.80000000000001</v>
      </c>
      <c r="N144" s="61">
        <f t="shared" si="26"/>
        <v>28.199999999999989</v>
      </c>
      <c r="O144" s="4">
        <f t="shared" si="21"/>
        <v>56400.000000000007</v>
      </c>
      <c r="P144" s="4">
        <f t="shared" si="22"/>
        <v>-14099.999999999995</v>
      </c>
      <c r="Q144" s="4">
        <f t="shared" si="23"/>
        <v>42300.000000000015</v>
      </c>
      <c r="R144" s="4">
        <f t="shared" si="24"/>
        <v>142300</v>
      </c>
    </row>
    <row r="145" spans="5:18" x14ac:dyDescent="0.25">
      <c r="E145" s="1">
        <f t="shared" si="19"/>
        <v>142</v>
      </c>
      <c r="F145" s="4">
        <f t="shared" ca="1" si="20"/>
        <v>140000</v>
      </c>
      <c r="G145" s="1" t="s">
        <v>70</v>
      </c>
      <c r="H145" s="26">
        <f t="shared" ca="1" si="18"/>
        <v>0.611005991762821</v>
      </c>
      <c r="I145" s="4">
        <f>IF(G145="Yes",-$C$8,0)</f>
        <v>-500</v>
      </c>
      <c r="J145" s="4">
        <f>IF(G145="Yes",$C$8-I145,0)</f>
        <v>1000</v>
      </c>
      <c r="K145" s="4">
        <f ca="1">IF(H145&gt;=$C$4,J145+I145,I145)</f>
        <v>500</v>
      </c>
      <c r="M145" s="61">
        <f t="shared" si="25"/>
        <v>113.60000000000001</v>
      </c>
      <c r="N145" s="61">
        <f t="shared" si="26"/>
        <v>28.399999999999991</v>
      </c>
      <c r="O145" s="4">
        <f t="shared" si="21"/>
        <v>56800.000000000007</v>
      </c>
      <c r="P145" s="4">
        <f t="shared" si="22"/>
        <v>-14199.999999999996</v>
      </c>
      <c r="Q145" s="4">
        <f t="shared" si="23"/>
        <v>42600.000000000015</v>
      </c>
      <c r="R145" s="4">
        <f t="shared" si="24"/>
        <v>142600</v>
      </c>
    </row>
    <row r="146" spans="5:18" x14ac:dyDescent="0.25">
      <c r="E146" s="1">
        <f t="shared" si="19"/>
        <v>143</v>
      </c>
      <c r="F146" s="4">
        <f t="shared" ca="1" si="20"/>
        <v>140500</v>
      </c>
      <c r="G146" s="1" t="s">
        <v>70</v>
      </c>
      <c r="H146" s="26">
        <f t="shared" ca="1" si="18"/>
        <v>0.96500290338549799</v>
      </c>
      <c r="I146" s="4">
        <f>IF(G146="Yes",-$C$8,0)</f>
        <v>-500</v>
      </c>
      <c r="J146" s="4">
        <f>IF(G146="Yes",$C$8-I146,0)</f>
        <v>1000</v>
      </c>
      <c r="K146" s="4">
        <f ca="1">IF(H146&gt;=$C$4,J146+I146,I146)</f>
        <v>500</v>
      </c>
      <c r="M146" s="61">
        <f t="shared" si="25"/>
        <v>114.4</v>
      </c>
      <c r="N146" s="61">
        <f t="shared" si="26"/>
        <v>28.599999999999994</v>
      </c>
      <c r="O146" s="4">
        <f t="shared" si="21"/>
        <v>57200</v>
      </c>
      <c r="P146" s="4">
        <f t="shared" si="22"/>
        <v>-14299.999999999996</v>
      </c>
      <c r="Q146" s="4">
        <f t="shared" si="23"/>
        <v>42900</v>
      </c>
      <c r="R146" s="4">
        <f t="shared" si="24"/>
        <v>142900</v>
      </c>
    </row>
    <row r="147" spans="5:18" x14ac:dyDescent="0.25">
      <c r="E147" s="1">
        <f t="shared" si="19"/>
        <v>144</v>
      </c>
      <c r="F147" s="4">
        <f t="shared" ca="1" si="20"/>
        <v>141000</v>
      </c>
      <c r="G147" s="1" t="s">
        <v>70</v>
      </c>
      <c r="H147" s="26">
        <f t="shared" ca="1" si="18"/>
        <v>0.52590986534155759</v>
      </c>
      <c r="I147" s="4">
        <f>IF(G147="Yes",-$C$8,0)</f>
        <v>-500</v>
      </c>
      <c r="J147" s="4">
        <f>IF(G147="Yes",$C$8-I147,0)</f>
        <v>1000</v>
      </c>
      <c r="K147" s="4">
        <f ca="1">IF(H147&gt;=$C$4,J147+I147,I147)</f>
        <v>500</v>
      </c>
      <c r="M147" s="61">
        <f t="shared" si="25"/>
        <v>115.2</v>
      </c>
      <c r="N147" s="61">
        <f t="shared" si="26"/>
        <v>28.799999999999997</v>
      </c>
      <c r="O147" s="4">
        <f t="shared" si="21"/>
        <v>57600</v>
      </c>
      <c r="P147" s="4">
        <f t="shared" si="22"/>
        <v>-14399.999999999998</v>
      </c>
      <c r="Q147" s="4">
        <f t="shared" si="23"/>
        <v>43200</v>
      </c>
      <c r="R147" s="4">
        <f t="shared" si="24"/>
        <v>143200</v>
      </c>
    </row>
    <row r="148" spans="5:18" x14ac:dyDescent="0.25">
      <c r="E148" s="1">
        <f t="shared" si="19"/>
        <v>145</v>
      </c>
      <c r="F148" s="4">
        <f t="shared" ca="1" si="20"/>
        <v>141500</v>
      </c>
      <c r="G148" s="1" t="s">
        <v>70</v>
      </c>
      <c r="H148" s="26">
        <f t="shared" ca="1" si="18"/>
        <v>0.74228133015909326</v>
      </c>
      <c r="I148" s="4">
        <f>IF(G148="Yes",-$C$8,0)</f>
        <v>-500</v>
      </c>
      <c r="J148" s="4">
        <f>IF(G148="Yes",$C$8-I148,0)</f>
        <v>1000</v>
      </c>
      <c r="K148" s="4">
        <f ca="1">IF(H148&gt;=$C$4,J148+I148,I148)</f>
        <v>500</v>
      </c>
      <c r="M148" s="61">
        <f t="shared" si="25"/>
        <v>116</v>
      </c>
      <c r="N148" s="61">
        <f t="shared" si="26"/>
        <v>29</v>
      </c>
      <c r="O148" s="4">
        <f t="shared" si="21"/>
        <v>58000</v>
      </c>
      <c r="P148" s="4">
        <f t="shared" si="22"/>
        <v>-14500</v>
      </c>
      <c r="Q148" s="4">
        <f t="shared" si="23"/>
        <v>43500</v>
      </c>
      <c r="R148" s="4">
        <f t="shared" si="24"/>
        <v>143500</v>
      </c>
    </row>
    <row r="149" spans="5:18" x14ac:dyDescent="0.25">
      <c r="E149" s="1">
        <f t="shared" si="19"/>
        <v>146</v>
      </c>
      <c r="F149" s="4">
        <f t="shared" ca="1" si="20"/>
        <v>141000</v>
      </c>
      <c r="G149" s="1" t="s">
        <v>70</v>
      </c>
      <c r="H149" s="26">
        <f t="shared" ca="1" si="18"/>
        <v>7.4486587132594817E-2</v>
      </c>
      <c r="I149" s="4">
        <f>IF(G149="Yes",-$C$8,0)</f>
        <v>-500</v>
      </c>
      <c r="J149" s="4">
        <f>IF(G149="Yes",$C$8-I149,0)</f>
        <v>1000</v>
      </c>
      <c r="K149" s="4">
        <f ca="1">IF(H149&gt;=$C$4,J149+I149,I149)</f>
        <v>-500</v>
      </c>
      <c r="M149" s="61">
        <f t="shared" si="25"/>
        <v>116.80000000000001</v>
      </c>
      <c r="N149" s="61">
        <f t="shared" si="26"/>
        <v>29.199999999999989</v>
      </c>
      <c r="O149" s="4">
        <f t="shared" si="21"/>
        <v>58400.000000000007</v>
      </c>
      <c r="P149" s="4">
        <f t="shared" si="22"/>
        <v>-14599.999999999995</v>
      </c>
      <c r="Q149" s="4">
        <f t="shared" si="23"/>
        <v>43800.000000000015</v>
      </c>
      <c r="R149" s="4">
        <f t="shared" si="24"/>
        <v>143800</v>
      </c>
    </row>
    <row r="150" spans="5:18" x14ac:dyDescent="0.25">
      <c r="E150" s="1">
        <f t="shared" si="19"/>
        <v>147</v>
      </c>
      <c r="F150" s="4">
        <f t="shared" ca="1" si="20"/>
        <v>141500</v>
      </c>
      <c r="G150" s="1" t="s">
        <v>70</v>
      </c>
      <c r="H150" s="26">
        <f t="shared" ca="1" si="18"/>
        <v>0.98972957820330587</v>
      </c>
      <c r="I150" s="4">
        <f>IF(G150="Yes",-$C$8,0)</f>
        <v>-500</v>
      </c>
      <c r="J150" s="4">
        <f>IF(G150="Yes",$C$8-I150,0)</f>
        <v>1000</v>
      </c>
      <c r="K150" s="4">
        <f ca="1">IF(H150&gt;=$C$4,J150+I150,I150)</f>
        <v>500</v>
      </c>
      <c r="M150" s="61">
        <f t="shared" si="25"/>
        <v>117.60000000000001</v>
      </c>
      <c r="N150" s="61">
        <f t="shared" si="26"/>
        <v>29.399999999999991</v>
      </c>
      <c r="O150" s="4">
        <f t="shared" si="21"/>
        <v>58800.000000000007</v>
      </c>
      <c r="P150" s="4">
        <f t="shared" si="22"/>
        <v>-14699.999999999996</v>
      </c>
      <c r="Q150" s="4">
        <f t="shared" si="23"/>
        <v>44100.000000000015</v>
      </c>
      <c r="R150" s="4">
        <f t="shared" si="24"/>
        <v>144100</v>
      </c>
    </row>
    <row r="151" spans="5:18" x14ac:dyDescent="0.25">
      <c r="E151" s="1">
        <f t="shared" si="19"/>
        <v>148</v>
      </c>
      <c r="F151" s="4">
        <f t="shared" ca="1" si="20"/>
        <v>142000</v>
      </c>
      <c r="G151" s="1" t="s">
        <v>70</v>
      </c>
      <c r="H151" s="26">
        <f t="shared" ca="1" si="18"/>
        <v>0.33365142135072945</v>
      </c>
      <c r="I151" s="4">
        <f>IF(G151="Yes",-$C$8,0)</f>
        <v>-500</v>
      </c>
      <c r="J151" s="4">
        <f>IF(G151="Yes",$C$8-I151,0)</f>
        <v>1000</v>
      </c>
      <c r="K151" s="4">
        <f ca="1">IF(H151&gt;=$C$4,J151+I151,I151)</f>
        <v>500</v>
      </c>
      <c r="M151" s="61">
        <f t="shared" si="25"/>
        <v>118.4</v>
      </c>
      <c r="N151" s="61">
        <f t="shared" si="26"/>
        <v>29.599999999999994</v>
      </c>
      <c r="O151" s="4">
        <f t="shared" si="21"/>
        <v>59200</v>
      </c>
      <c r="P151" s="4">
        <f t="shared" si="22"/>
        <v>-14799.999999999996</v>
      </c>
      <c r="Q151" s="4">
        <f t="shared" si="23"/>
        <v>44400</v>
      </c>
      <c r="R151" s="4">
        <f t="shared" si="24"/>
        <v>144400</v>
      </c>
    </row>
    <row r="152" spans="5:18" x14ac:dyDescent="0.25">
      <c r="E152" s="1">
        <f t="shared" si="19"/>
        <v>149</v>
      </c>
      <c r="F152" s="4">
        <f t="shared" ca="1" si="20"/>
        <v>142500</v>
      </c>
      <c r="G152" s="1" t="s">
        <v>70</v>
      </c>
      <c r="H152" s="26">
        <f t="shared" ca="1" si="18"/>
        <v>0.46755176877506577</v>
      </c>
      <c r="I152" s="4">
        <f>IF(G152="Yes",-$C$8,0)</f>
        <v>-500</v>
      </c>
      <c r="J152" s="4">
        <f>IF(G152="Yes",$C$8-I152,0)</f>
        <v>1000</v>
      </c>
      <c r="K152" s="4">
        <f ca="1">IF(H152&gt;=$C$4,J152+I152,I152)</f>
        <v>500</v>
      </c>
      <c r="M152" s="61">
        <f t="shared" si="25"/>
        <v>119.2</v>
      </c>
      <c r="N152" s="61">
        <f t="shared" si="26"/>
        <v>29.799999999999997</v>
      </c>
      <c r="O152" s="4">
        <f t="shared" si="21"/>
        <v>59600</v>
      </c>
      <c r="P152" s="4">
        <f t="shared" si="22"/>
        <v>-14899.999999999998</v>
      </c>
      <c r="Q152" s="4">
        <f t="shared" si="23"/>
        <v>44700</v>
      </c>
      <c r="R152" s="4">
        <f t="shared" si="24"/>
        <v>144700</v>
      </c>
    </row>
    <row r="153" spans="5:18" x14ac:dyDescent="0.25">
      <c r="E153" s="1">
        <f t="shared" si="19"/>
        <v>150</v>
      </c>
      <c r="F153" s="4">
        <f t="shared" ca="1" si="20"/>
        <v>143000</v>
      </c>
      <c r="G153" s="1" t="s">
        <v>70</v>
      </c>
      <c r="H153" s="26">
        <f t="shared" ca="1" si="18"/>
        <v>0.22440768474324169</v>
      </c>
      <c r="I153" s="4">
        <f>IF(G153="Yes",-$C$8,0)</f>
        <v>-500</v>
      </c>
      <c r="J153" s="4">
        <f>IF(G153="Yes",$C$8-I153,0)</f>
        <v>1000</v>
      </c>
      <c r="K153" s="4">
        <f ca="1">IF(H153&gt;=$C$4,J153+I153,I153)</f>
        <v>500</v>
      </c>
      <c r="M153" s="61">
        <f t="shared" si="25"/>
        <v>120</v>
      </c>
      <c r="N153" s="61">
        <f t="shared" si="26"/>
        <v>30</v>
      </c>
      <c r="O153" s="4">
        <f t="shared" si="21"/>
        <v>60000</v>
      </c>
      <c r="P153" s="4">
        <f t="shared" si="22"/>
        <v>-15000</v>
      </c>
      <c r="Q153" s="4">
        <f t="shared" si="23"/>
        <v>45000</v>
      </c>
      <c r="R153" s="4">
        <f t="shared" si="24"/>
        <v>145000</v>
      </c>
    </row>
    <row r="154" spans="5:18" x14ac:dyDescent="0.25">
      <c r="E154" s="1">
        <f t="shared" si="19"/>
        <v>151</v>
      </c>
      <c r="F154" s="4">
        <f t="shared" ca="1" si="20"/>
        <v>143500</v>
      </c>
      <c r="G154" s="1" t="s">
        <v>70</v>
      </c>
      <c r="H154" s="26">
        <f t="shared" ca="1" si="18"/>
        <v>0.22069956171568528</v>
      </c>
      <c r="I154" s="4">
        <f>IF(G154="Yes",-$C$8,0)</f>
        <v>-500</v>
      </c>
      <c r="J154" s="4">
        <f>IF(G154="Yes",$C$8-I154,0)</f>
        <v>1000</v>
      </c>
      <c r="K154" s="4">
        <f ca="1">IF(H154&gt;=$C$4,J154+I154,I154)</f>
        <v>500</v>
      </c>
      <c r="M154" s="61">
        <f t="shared" si="25"/>
        <v>120.80000000000001</v>
      </c>
      <c r="N154" s="61">
        <f t="shared" si="26"/>
        <v>30.199999999999989</v>
      </c>
      <c r="O154" s="4">
        <f t="shared" si="21"/>
        <v>60400.000000000007</v>
      </c>
      <c r="P154" s="4">
        <f t="shared" si="22"/>
        <v>-15099.999999999995</v>
      </c>
      <c r="Q154" s="4">
        <f t="shared" si="23"/>
        <v>45300.000000000015</v>
      </c>
      <c r="R154" s="4">
        <f t="shared" si="24"/>
        <v>145300</v>
      </c>
    </row>
    <row r="155" spans="5:18" x14ac:dyDescent="0.25">
      <c r="E155" s="1">
        <f t="shared" si="19"/>
        <v>152</v>
      </c>
      <c r="F155" s="4">
        <f t="shared" ca="1" si="20"/>
        <v>143000</v>
      </c>
      <c r="G155" s="1" t="s">
        <v>70</v>
      </c>
      <c r="H155" s="26">
        <f t="shared" ca="1" si="18"/>
        <v>6.4289766914510493E-2</v>
      </c>
      <c r="I155" s="4">
        <f>IF(G155="Yes",-$C$8,0)</f>
        <v>-500</v>
      </c>
      <c r="J155" s="4">
        <f>IF(G155="Yes",$C$8-I155,0)</f>
        <v>1000</v>
      </c>
      <c r="K155" s="4">
        <f ca="1">IF(H155&gt;=$C$4,J155+I155,I155)</f>
        <v>-500</v>
      </c>
      <c r="M155" s="61">
        <f t="shared" si="25"/>
        <v>121.60000000000001</v>
      </c>
      <c r="N155" s="61">
        <f t="shared" si="26"/>
        <v>30.399999999999991</v>
      </c>
      <c r="O155" s="4">
        <f t="shared" si="21"/>
        <v>60800.000000000007</v>
      </c>
      <c r="P155" s="4">
        <f t="shared" si="22"/>
        <v>-15199.999999999996</v>
      </c>
      <c r="Q155" s="4">
        <f t="shared" si="23"/>
        <v>45600.000000000015</v>
      </c>
      <c r="R155" s="4">
        <f t="shared" si="24"/>
        <v>145600</v>
      </c>
    </row>
    <row r="156" spans="5:18" x14ac:dyDescent="0.25">
      <c r="E156" s="1">
        <f t="shared" si="19"/>
        <v>153</v>
      </c>
      <c r="F156" s="4">
        <f t="shared" ca="1" si="20"/>
        <v>142500</v>
      </c>
      <c r="G156" s="1" t="s">
        <v>70</v>
      </c>
      <c r="H156" s="26">
        <f t="shared" ca="1" si="18"/>
        <v>2.783526628190669E-2</v>
      </c>
      <c r="I156" s="4">
        <f>IF(G156="Yes",-$C$8,0)</f>
        <v>-500</v>
      </c>
      <c r="J156" s="4">
        <f>IF(G156="Yes",$C$8-I156,0)</f>
        <v>1000</v>
      </c>
      <c r="K156" s="4">
        <f ca="1">IF(H156&gt;=$C$4,J156+I156,I156)</f>
        <v>-500</v>
      </c>
      <c r="M156" s="61">
        <f t="shared" si="25"/>
        <v>122.4</v>
      </c>
      <c r="N156" s="61">
        <f t="shared" si="26"/>
        <v>30.599999999999994</v>
      </c>
      <c r="O156" s="4">
        <f t="shared" si="21"/>
        <v>61200</v>
      </c>
      <c r="P156" s="4">
        <f t="shared" si="22"/>
        <v>-15299.999999999996</v>
      </c>
      <c r="Q156" s="4">
        <f t="shared" si="23"/>
        <v>45900</v>
      </c>
      <c r="R156" s="4">
        <f t="shared" si="24"/>
        <v>145900</v>
      </c>
    </row>
    <row r="157" spans="5:18" x14ac:dyDescent="0.25">
      <c r="E157" s="1">
        <f t="shared" si="19"/>
        <v>154</v>
      </c>
      <c r="F157" s="4">
        <f t="shared" ca="1" si="20"/>
        <v>143000</v>
      </c>
      <c r="G157" s="1" t="s">
        <v>70</v>
      </c>
      <c r="H157" s="26">
        <f t="shared" ca="1" si="18"/>
        <v>0.38026744884531527</v>
      </c>
      <c r="I157" s="4">
        <f>IF(G157="Yes",-$C$8,0)</f>
        <v>-500</v>
      </c>
      <c r="J157" s="4">
        <f>IF(G157="Yes",$C$8-I157,0)</f>
        <v>1000</v>
      </c>
      <c r="K157" s="4">
        <f ca="1">IF(H157&gt;=$C$4,J157+I157,I157)</f>
        <v>500</v>
      </c>
      <c r="M157" s="61">
        <f t="shared" si="25"/>
        <v>123.2</v>
      </c>
      <c r="N157" s="61">
        <f t="shared" si="26"/>
        <v>30.799999999999997</v>
      </c>
      <c r="O157" s="4">
        <f t="shared" si="21"/>
        <v>61600</v>
      </c>
      <c r="P157" s="4">
        <f t="shared" si="22"/>
        <v>-15399.999999999998</v>
      </c>
      <c r="Q157" s="4">
        <f t="shared" si="23"/>
        <v>46200</v>
      </c>
      <c r="R157" s="4">
        <f t="shared" si="24"/>
        <v>146200</v>
      </c>
    </row>
    <row r="158" spans="5:18" x14ac:dyDescent="0.25">
      <c r="E158" s="1">
        <f t="shared" si="19"/>
        <v>155</v>
      </c>
      <c r="F158" s="4">
        <f t="shared" ca="1" si="20"/>
        <v>143500</v>
      </c>
      <c r="G158" s="1" t="s">
        <v>70</v>
      </c>
      <c r="H158" s="26">
        <f t="shared" ca="1" si="18"/>
        <v>0.69763238044198728</v>
      </c>
      <c r="I158" s="4">
        <f>IF(G158="Yes",-$C$8,0)</f>
        <v>-500</v>
      </c>
      <c r="J158" s="4">
        <f>IF(G158="Yes",$C$8-I158,0)</f>
        <v>1000</v>
      </c>
      <c r="K158" s="4">
        <f ca="1">IF(H158&gt;=$C$4,J158+I158,I158)</f>
        <v>500</v>
      </c>
      <c r="M158" s="61">
        <f t="shared" si="25"/>
        <v>124</v>
      </c>
      <c r="N158" s="61">
        <f t="shared" si="26"/>
        <v>31</v>
      </c>
      <c r="O158" s="4">
        <f t="shared" si="21"/>
        <v>62000</v>
      </c>
      <c r="P158" s="4">
        <f t="shared" si="22"/>
        <v>-15500</v>
      </c>
      <c r="Q158" s="4">
        <f t="shared" si="23"/>
        <v>46500</v>
      </c>
      <c r="R158" s="4">
        <f t="shared" si="24"/>
        <v>146500</v>
      </c>
    </row>
    <row r="159" spans="5:18" x14ac:dyDescent="0.25">
      <c r="E159" s="1">
        <f t="shared" si="19"/>
        <v>156</v>
      </c>
      <c r="F159" s="4">
        <f t="shared" ca="1" si="20"/>
        <v>143000</v>
      </c>
      <c r="G159" s="1" t="s">
        <v>70</v>
      </c>
      <c r="H159" s="26">
        <f t="shared" ca="1" si="18"/>
        <v>0.10404901710100722</v>
      </c>
      <c r="I159" s="4">
        <f>IF(G159="Yes",-$C$8,0)</f>
        <v>-500</v>
      </c>
      <c r="J159" s="4">
        <f>IF(G159="Yes",$C$8-I159,0)</f>
        <v>1000</v>
      </c>
      <c r="K159" s="4">
        <f ca="1">IF(H159&gt;=$C$4,J159+I159,I159)</f>
        <v>-500</v>
      </c>
      <c r="M159" s="61">
        <f t="shared" si="25"/>
        <v>124.80000000000001</v>
      </c>
      <c r="N159" s="61">
        <f t="shared" si="26"/>
        <v>31.199999999999989</v>
      </c>
      <c r="O159" s="4">
        <f t="shared" si="21"/>
        <v>62400.000000000007</v>
      </c>
      <c r="P159" s="4">
        <f t="shared" si="22"/>
        <v>-15599.999999999995</v>
      </c>
      <c r="Q159" s="4">
        <f t="shared" si="23"/>
        <v>46800.000000000015</v>
      </c>
      <c r="R159" s="4">
        <f t="shared" si="24"/>
        <v>146800</v>
      </c>
    </row>
    <row r="160" spans="5:18" x14ac:dyDescent="0.25">
      <c r="E160" s="1">
        <f t="shared" si="19"/>
        <v>157</v>
      </c>
      <c r="F160" s="4">
        <f t="shared" ca="1" si="20"/>
        <v>143500</v>
      </c>
      <c r="G160" s="1" t="s">
        <v>70</v>
      </c>
      <c r="H160" s="26">
        <f t="shared" ca="1" si="18"/>
        <v>0.70872414747589452</v>
      </c>
      <c r="I160" s="4">
        <f>IF(G160="Yes",-$C$8,0)</f>
        <v>-500</v>
      </c>
      <c r="J160" s="4">
        <f>IF(G160="Yes",$C$8-I160,0)</f>
        <v>1000</v>
      </c>
      <c r="K160" s="4">
        <f ca="1">IF(H160&gt;=$C$4,J160+I160,I160)</f>
        <v>500</v>
      </c>
      <c r="M160" s="61">
        <f t="shared" si="25"/>
        <v>125.60000000000001</v>
      </c>
      <c r="N160" s="61">
        <f t="shared" si="26"/>
        <v>31.399999999999991</v>
      </c>
      <c r="O160" s="4">
        <f t="shared" si="21"/>
        <v>62800.000000000007</v>
      </c>
      <c r="P160" s="4">
        <f t="shared" si="22"/>
        <v>-15699.999999999996</v>
      </c>
      <c r="Q160" s="4">
        <f t="shared" si="23"/>
        <v>47100.000000000015</v>
      </c>
      <c r="R160" s="4">
        <f t="shared" si="24"/>
        <v>147100</v>
      </c>
    </row>
    <row r="161" spans="5:18" x14ac:dyDescent="0.25">
      <c r="E161" s="1">
        <f t="shared" si="19"/>
        <v>158</v>
      </c>
      <c r="F161" s="4">
        <f t="shared" ca="1" si="20"/>
        <v>144000</v>
      </c>
      <c r="G161" s="1" t="s">
        <v>70</v>
      </c>
      <c r="H161" s="26">
        <f t="shared" ca="1" si="18"/>
        <v>0.8298497975415835</v>
      </c>
      <c r="I161" s="4">
        <f>IF(G161="Yes",-$C$8,0)</f>
        <v>-500</v>
      </c>
      <c r="J161" s="4">
        <f>IF(G161="Yes",$C$8-I161,0)</f>
        <v>1000</v>
      </c>
      <c r="K161" s="4">
        <f ca="1">IF(H161&gt;=$C$4,J161+I161,I161)</f>
        <v>500</v>
      </c>
      <c r="M161" s="61">
        <f t="shared" si="25"/>
        <v>126.4</v>
      </c>
      <c r="N161" s="61">
        <f t="shared" si="26"/>
        <v>31.599999999999994</v>
      </c>
      <c r="O161" s="4">
        <f t="shared" si="21"/>
        <v>63200</v>
      </c>
      <c r="P161" s="4">
        <f t="shared" si="22"/>
        <v>-15799.999999999996</v>
      </c>
      <c r="Q161" s="4">
        <f t="shared" si="23"/>
        <v>47400</v>
      </c>
      <c r="R161" s="4">
        <f t="shared" si="24"/>
        <v>147400</v>
      </c>
    </row>
    <row r="162" spans="5:18" x14ac:dyDescent="0.25">
      <c r="E162" s="1">
        <f t="shared" si="19"/>
        <v>159</v>
      </c>
      <c r="F162" s="4">
        <f t="shared" ca="1" si="20"/>
        <v>144500</v>
      </c>
      <c r="G162" s="1" t="s">
        <v>70</v>
      </c>
      <c r="H162" s="26">
        <f t="shared" ca="1" si="18"/>
        <v>0.97720289149118411</v>
      </c>
      <c r="I162" s="4">
        <f>IF(G162="Yes",-$C$8,0)</f>
        <v>-500</v>
      </c>
      <c r="J162" s="4">
        <f>IF(G162="Yes",$C$8-I162,0)</f>
        <v>1000</v>
      </c>
      <c r="K162" s="4">
        <f ca="1">IF(H162&gt;=$C$4,J162+I162,I162)</f>
        <v>500</v>
      </c>
      <c r="M162" s="61">
        <f t="shared" si="25"/>
        <v>127.2</v>
      </c>
      <c r="N162" s="61">
        <f t="shared" si="26"/>
        <v>31.799999999999997</v>
      </c>
      <c r="O162" s="4">
        <f t="shared" si="21"/>
        <v>63600</v>
      </c>
      <c r="P162" s="4">
        <f t="shared" si="22"/>
        <v>-15899.999999999998</v>
      </c>
      <c r="Q162" s="4">
        <f t="shared" si="23"/>
        <v>47700</v>
      </c>
      <c r="R162" s="4">
        <f t="shared" si="24"/>
        <v>147700</v>
      </c>
    </row>
    <row r="163" spans="5:18" x14ac:dyDescent="0.25">
      <c r="E163" s="1">
        <f t="shared" si="19"/>
        <v>160</v>
      </c>
      <c r="F163" s="4">
        <f t="shared" ca="1" si="20"/>
        <v>145000</v>
      </c>
      <c r="G163" s="1" t="s">
        <v>70</v>
      </c>
      <c r="H163" s="26">
        <f t="shared" ca="1" si="18"/>
        <v>0.37431551244048245</v>
      </c>
      <c r="I163" s="4">
        <f>IF(G163="Yes",-$C$8,0)</f>
        <v>-500</v>
      </c>
      <c r="J163" s="4">
        <f>IF(G163="Yes",$C$8-I163,0)</f>
        <v>1000</v>
      </c>
      <c r="K163" s="4">
        <f ca="1">IF(H163&gt;=$C$4,J163+I163,I163)</f>
        <v>500</v>
      </c>
      <c r="M163" s="61">
        <f t="shared" si="25"/>
        <v>128</v>
      </c>
      <c r="N163" s="61">
        <f t="shared" si="26"/>
        <v>32</v>
      </c>
      <c r="O163" s="4">
        <f t="shared" si="21"/>
        <v>64000</v>
      </c>
      <c r="P163" s="4">
        <f t="shared" si="22"/>
        <v>-16000</v>
      </c>
      <c r="Q163" s="4">
        <f t="shared" si="23"/>
        <v>48000</v>
      </c>
      <c r="R163" s="4">
        <f t="shared" si="24"/>
        <v>148000</v>
      </c>
    </row>
    <row r="164" spans="5:18" x14ac:dyDescent="0.25">
      <c r="E164" s="1">
        <f t="shared" si="19"/>
        <v>161</v>
      </c>
      <c r="F164" s="4">
        <f t="shared" ca="1" si="20"/>
        <v>145500</v>
      </c>
      <c r="G164" s="1" t="s">
        <v>70</v>
      </c>
      <c r="H164" s="26">
        <f t="shared" ca="1" si="18"/>
        <v>0.56489356633466581</v>
      </c>
      <c r="I164" s="4">
        <f>IF(G164="Yes",-$C$8,0)</f>
        <v>-500</v>
      </c>
      <c r="J164" s="4">
        <f>IF(G164="Yes",$C$8-I164,0)</f>
        <v>1000</v>
      </c>
      <c r="K164" s="4">
        <f ca="1">IF(H164&gt;=$C$4,J164+I164,I164)</f>
        <v>500</v>
      </c>
      <c r="M164" s="61">
        <f t="shared" si="25"/>
        <v>128.80000000000001</v>
      </c>
      <c r="N164" s="61">
        <f t="shared" si="26"/>
        <v>32.199999999999989</v>
      </c>
      <c r="O164" s="4">
        <f t="shared" si="21"/>
        <v>64400.000000000007</v>
      </c>
      <c r="P164" s="4">
        <f t="shared" si="22"/>
        <v>-16099.999999999995</v>
      </c>
      <c r="Q164" s="4">
        <f t="shared" si="23"/>
        <v>48300.000000000015</v>
      </c>
      <c r="R164" s="4">
        <f t="shared" si="24"/>
        <v>148300</v>
      </c>
    </row>
    <row r="165" spans="5:18" x14ac:dyDescent="0.25">
      <c r="E165" s="1">
        <f t="shared" si="19"/>
        <v>162</v>
      </c>
      <c r="F165" s="4">
        <f t="shared" ca="1" si="20"/>
        <v>146000</v>
      </c>
      <c r="G165" s="1" t="s">
        <v>70</v>
      </c>
      <c r="H165" s="26">
        <f t="shared" ca="1" si="18"/>
        <v>0.92345556159060216</v>
      </c>
      <c r="I165" s="4">
        <f>IF(G165="Yes",-$C$8,0)</f>
        <v>-500</v>
      </c>
      <c r="J165" s="4">
        <f>IF(G165="Yes",$C$8-I165,0)</f>
        <v>1000</v>
      </c>
      <c r="K165" s="4">
        <f ca="1">IF(H165&gt;=$C$4,J165+I165,I165)</f>
        <v>500</v>
      </c>
      <c r="M165" s="61">
        <f t="shared" si="25"/>
        <v>129.6</v>
      </c>
      <c r="N165" s="61">
        <f t="shared" si="26"/>
        <v>32.400000000000006</v>
      </c>
      <c r="O165" s="4">
        <f t="shared" si="21"/>
        <v>64800</v>
      </c>
      <c r="P165" s="4">
        <f t="shared" si="22"/>
        <v>-16200.000000000004</v>
      </c>
      <c r="Q165" s="4">
        <f t="shared" si="23"/>
        <v>48600</v>
      </c>
      <c r="R165" s="4">
        <f t="shared" si="24"/>
        <v>148600</v>
      </c>
    </row>
    <row r="166" spans="5:18" x14ac:dyDescent="0.25">
      <c r="E166" s="1">
        <f t="shared" si="19"/>
        <v>163</v>
      </c>
      <c r="F166" s="4">
        <f t="shared" ca="1" si="20"/>
        <v>146500</v>
      </c>
      <c r="G166" s="1" t="s">
        <v>70</v>
      </c>
      <c r="H166" s="26">
        <f t="shared" ca="1" si="18"/>
        <v>0.548347272740346</v>
      </c>
      <c r="I166" s="4">
        <f>IF(G166="Yes",-$C$8,0)</f>
        <v>-500</v>
      </c>
      <c r="J166" s="4">
        <f>IF(G166="Yes",$C$8-I166,0)</f>
        <v>1000</v>
      </c>
      <c r="K166" s="4">
        <f ca="1">IF(H166&gt;=$C$4,J166+I166,I166)</f>
        <v>500</v>
      </c>
      <c r="M166" s="61">
        <f t="shared" si="25"/>
        <v>130.4</v>
      </c>
      <c r="N166" s="61">
        <f t="shared" si="26"/>
        <v>32.599999999999994</v>
      </c>
      <c r="O166" s="4">
        <f t="shared" si="21"/>
        <v>65200</v>
      </c>
      <c r="P166" s="4">
        <f t="shared" si="22"/>
        <v>-16299.999999999996</v>
      </c>
      <c r="Q166" s="4">
        <f t="shared" si="23"/>
        <v>48900</v>
      </c>
      <c r="R166" s="4">
        <f t="shared" si="24"/>
        <v>148900</v>
      </c>
    </row>
    <row r="167" spans="5:18" x14ac:dyDescent="0.25">
      <c r="E167" s="1">
        <f t="shared" si="19"/>
        <v>164</v>
      </c>
      <c r="F167" s="4">
        <f t="shared" ca="1" si="20"/>
        <v>147000</v>
      </c>
      <c r="G167" s="1" t="s">
        <v>70</v>
      </c>
      <c r="H167" s="26">
        <f t="shared" ca="1" si="18"/>
        <v>0.86790887893628943</v>
      </c>
      <c r="I167" s="4">
        <f>IF(G167="Yes",-$C$8,0)</f>
        <v>-500</v>
      </c>
      <c r="J167" s="4">
        <f>IF(G167="Yes",$C$8-I167,0)</f>
        <v>1000</v>
      </c>
      <c r="K167" s="4">
        <f ca="1">IF(H167&gt;=$C$4,J167+I167,I167)</f>
        <v>500</v>
      </c>
      <c r="M167" s="61">
        <f t="shared" si="25"/>
        <v>131.20000000000002</v>
      </c>
      <c r="N167" s="61">
        <f t="shared" si="26"/>
        <v>32.799999999999983</v>
      </c>
      <c r="O167" s="4">
        <f t="shared" si="21"/>
        <v>65600.000000000015</v>
      </c>
      <c r="P167" s="4">
        <f t="shared" si="22"/>
        <v>-16399.999999999993</v>
      </c>
      <c r="Q167" s="4">
        <f t="shared" si="23"/>
        <v>49200.000000000022</v>
      </c>
      <c r="R167" s="4">
        <f t="shared" si="24"/>
        <v>149200.00000000003</v>
      </c>
    </row>
    <row r="168" spans="5:18" x14ac:dyDescent="0.25">
      <c r="E168" s="1">
        <f t="shared" si="19"/>
        <v>165</v>
      </c>
      <c r="F168" s="4">
        <f t="shared" ca="1" si="20"/>
        <v>146500</v>
      </c>
      <c r="G168" s="1" t="s">
        <v>70</v>
      </c>
      <c r="H168" s="26">
        <f t="shared" ca="1" si="18"/>
        <v>0.17188614872237262</v>
      </c>
      <c r="I168" s="4">
        <f>IF(G168="Yes",-$C$8,0)</f>
        <v>-500</v>
      </c>
      <c r="J168" s="4">
        <f>IF(G168="Yes",$C$8-I168,0)</f>
        <v>1000</v>
      </c>
      <c r="K168" s="4">
        <f ca="1">IF(H168&gt;=$C$4,J168+I168,I168)</f>
        <v>-500</v>
      </c>
      <c r="M168" s="61">
        <f t="shared" si="25"/>
        <v>132</v>
      </c>
      <c r="N168" s="61">
        <f t="shared" si="26"/>
        <v>33</v>
      </c>
      <c r="O168" s="4">
        <f t="shared" si="21"/>
        <v>66000</v>
      </c>
      <c r="P168" s="4">
        <f t="shared" si="22"/>
        <v>-16500</v>
      </c>
      <c r="Q168" s="4">
        <f t="shared" si="23"/>
        <v>49500</v>
      </c>
      <c r="R168" s="4">
        <f t="shared" si="24"/>
        <v>149500</v>
      </c>
    </row>
    <row r="169" spans="5:18" x14ac:dyDescent="0.25">
      <c r="E169" s="1">
        <f t="shared" si="19"/>
        <v>166</v>
      </c>
      <c r="F169" s="4">
        <f t="shared" ca="1" si="20"/>
        <v>147000</v>
      </c>
      <c r="G169" s="1" t="s">
        <v>70</v>
      </c>
      <c r="H169" s="26">
        <f t="shared" ca="1" si="18"/>
        <v>0.54902936543364955</v>
      </c>
      <c r="I169" s="4">
        <f>IF(G169="Yes",-$C$8,0)</f>
        <v>-500</v>
      </c>
      <c r="J169" s="4">
        <f>IF(G169="Yes",$C$8-I169,0)</f>
        <v>1000</v>
      </c>
      <c r="K169" s="4">
        <f ca="1">IF(H169&gt;=$C$4,J169+I169,I169)</f>
        <v>500</v>
      </c>
      <c r="M169" s="61">
        <f t="shared" si="25"/>
        <v>132.80000000000001</v>
      </c>
      <c r="N169" s="61">
        <f t="shared" si="26"/>
        <v>33.199999999999989</v>
      </c>
      <c r="O169" s="4">
        <f t="shared" si="21"/>
        <v>66400</v>
      </c>
      <c r="P169" s="4">
        <f t="shared" si="22"/>
        <v>-16599.999999999993</v>
      </c>
      <c r="Q169" s="4">
        <f t="shared" si="23"/>
        <v>49800.000000000007</v>
      </c>
      <c r="R169" s="4">
        <f t="shared" si="24"/>
        <v>149800</v>
      </c>
    </row>
    <row r="170" spans="5:18" x14ac:dyDescent="0.25">
      <c r="E170" s="1">
        <f t="shared" si="19"/>
        <v>167</v>
      </c>
      <c r="F170" s="4">
        <f t="shared" ca="1" si="20"/>
        <v>147500</v>
      </c>
      <c r="G170" s="1" t="s">
        <v>70</v>
      </c>
      <c r="H170" s="26">
        <f t="shared" ca="1" si="18"/>
        <v>0.95232719163577795</v>
      </c>
      <c r="I170" s="4">
        <f>IF(G170="Yes",-$C$8,0)</f>
        <v>-500</v>
      </c>
      <c r="J170" s="4">
        <f>IF(G170="Yes",$C$8-I170,0)</f>
        <v>1000</v>
      </c>
      <c r="K170" s="4">
        <f ca="1">IF(H170&gt;=$C$4,J170+I170,I170)</f>
        <v>500</v>
      </c>
      <c r="M170" s="61">
        <f t="shared" si="25"/>
        <v>133.6</v>
      </c>
      <c r="N170" s="61">
        <f t="shared" si="26"/>
        <v>33.400000000000006</v>
      </c>
      <c r="O170" s="4">
        <f t="shared" si="21"/>
        <v>66800</v>
      </c>
      <c r="P170" s="4">
        <f t="shared" si="22"/>
        <v>-16700.000000000004</v>
      </c>
      <c r="Q170" s="4">
        <f t="shared" si="23"/>
        <v>50100</v>
      </c>
      <c r="R170" s="4">
        <f t="shared" si="24"/>
        <v>150100</v>
      </c>
    </row>
    <row r="171" spans="5:18" x14ac:dyDescent="0.25">
      <c r="E171" s="1">
        <f t="shared" si="19"/>
        <v>168</v>
      </c>
      <c r="F171" s="4">
        <f t="shared" ca="1" si="20"/>
        <v>148000</v>
      </c>
      <c r="G171" s="1" t="s">
        <v>70</v>
      </c>
      <c r="H171" s="26">
        <f t="shared" ca="1" si="18"/>
        <v>0.22620456746123152</v>
      </c>
      <c r="I171" s="4">
        <f>IF(G171="Yes",-$C$8,0)</f>
        <v>-500</v>
      </c>
      <c r="J171" s="4">
        <f>IF(G171="Yes",$C$8-I171,0)</f>
        <v>1000</v>
      </c>
      <c r="K171" s="4">
        <f ca="1">IF(H171&gt;=$C$4,J171+I171,I171)</f>
        <v>500</v>
      </c>
      <c r="M171" s="61">
        <f t="shared" si="25"/>
        <v>134.4</v>
      </c>
      <c r="N171" s="61">
        <f t="shared" si="26"/>
        <v>33.599999999999994</v>
      </c>
      <c r="O171" s="4">
        <f t="shared" si="21"/>
        <v>67200</v>
      </c>
      <c r="P171" s="4">
        <f t="shared" si="22"/>
        <v>-16799.999999999996</v>
      </c>
      <c r="Q171" s="4">
        <f t="shared" si="23"/>
        <v>50400</v>
      </c>
      <c r="R171" s="4">
        <f t="shared" si="24"/>
        <v>150400</v>
      </c>
    </row>
    <row r="172" spans="5:18" x14ac:dyDescent="0.25">
      <c r="E172" s="1">
        <f t="shared" si="19"/>
        <v>169</v>
      </c>
      <c r="F172" s="4">
        <f t="shared" ca="1" si="20"/>
        <v>147500</v>
      </c>
      <c r="G172" s="1" t="s">
        <v>70</v>
      </c>
      <c r="H172" s="26">
        <f t="shared" ca="1" si="18"/>
        <v>0.16008086101652308</v>
      </c>
      <c r="I172" s="4">
        <f>IF(G172="Yes",-$C$8,0)</f>
        <v>-500</v>
      </c>
      <c r="J172" s="4">
        <f>IF(G172="Yes",$C$8-I172,0)</f>
        <v>1000</v>
      </c>
      <c r="K172" s="4">
        <f ca="1">IF(H172&gt;=$C$4,J172+I172,I172)</f>
        <v>-500</v>
      </c>
      <c r="M172" s="61">
        <f t="shared" si="25"/>
        <v>135.20000000000002</v>
      </c>
      <c r="N172" s="61">
        <f t="shared" si="26"/>
        <v>33.799999999999983</v>
      </c>
      <c r="O172" s="4">
        <f t="shared" si="21"/>
        <v>67600.000000000015</v>
      </c>
      <c r="P172" s="4">
        <f t="shared" si="22"/>
        <v>-16899.999999999993</v>
      </c>
      <c r="Q172" s="4">
        <f t="shared" si="23"/>
        <v>50700.000000000022</v>
      </c>
      <c r="R172" s="4">
        <f t="shared" si="24"/>
        <v>150700.00000000003</v>
      </c>
    </row>
    <row r="173" spans="5:18" x14ac:dyDescent="0.25">
      <c r="E173" s="1">
        <f t="shared" si="19"/>
        <v>170</v>
      </c>
      <c r="F173" s="4">
        <f t="shared" ca="1" si="20"/>
        <v>148000</v>
      </c>
      <c r="G173" s="1" t="s">
        <v>70</v>
      </c>
      <c r="H173" s="26">
        <f t="shared" ca="1" si="18"/>
        <v>0.24235822669913132</v>
      </c>
      <c r="I173" s="4">
        <f>IF(G173="Yes",-$C$8,0)</f>
        <v>-500</v>
      </c>
      <c r="J173" s="4">
        <f>IF(G173="Yes",$C$8-I173,0)</f>
        <v>1000</v>
      </c>
      <c r="K173" s="4">
        <f ca="1">IF(H173&gt;=$C$4,J173+I173,I173)</f>
        <v>500</v>
      </c>
      <c r="M173" s="61">
        <f t="shared" si="25"/>
        <v>136</v>
      </c>
      <c r="N173" s="61">
        <f t="shared" si="26"/>
        <v>34</v>
      </c>
      <c r="O173" s="4">
        <f t="shared" si="21"/>
        <v>68000</v>
      </c>
      <c r="P173" s="4">
        <f t="shared" si="22"/>
        <v>-17000</v>
      </c>
      <c r="Q173" s="4">
        <f t="shared" si="23"/>
        <v>51000</v>
      </c>
      <c r="R173" s="4">
        <f t="shared" si="24"/>
        <v>151000</v>
      </c>
    </row>
    <row r="174" spans="5:18" x14ac:dyDescent="0.25">
      <c r="E174" s="1">
        <f t="shared" si="19"/>
        <v>171</v>
      </c>
      <c r="F174" s="4">
        <f t="shared" ca="1" si="20"/>
        <v>148500</v>
      </c>
      <c r="G174" s="1" t="s">
        <v>70</v>
      </c>
      <c r="H174" s="26">
        <f t="shared" ca="1" si="18"/>
        <v>0.92798147192175584</v>
      </c>
      <c r="I174" s="4">
        <f>IF(G174="Yes",-$C$8,0)</f>
        <v>-500</v>
      </c>
      <c r="J174" s="4">
        <f>IF(G174="Yes",$C$8-I174,0)</f>
        <v>1000</v>
      </c>
      <c r="K174" s="4">
        <f ca="1">IF(H174&gt;=$C$4,J174+I174,I174)</f>
        <v>500</v>
      </c>
      <c r="M174" s="61">
        <f t="shared" si="25"/>
        <v>136.80000000000001</v>
      </c>
      <c r="N174" s="61">
        <f t="shared" si="26"/>
        <v>34.199999999999989</v>
      </c>
      <c r="O174" s="4">
        <f t="shared" si="21"/>
        <v>68400</v>
      </c>
      <c r="P174" s="4">
        <f t="shared" si="22"/>
        <v>-17099.999999999993</v>
      </c>
      <c r="Q174" s="4">
        <f t="shared" si="23"/>
        <v>51300.000000000007</v>
      </c>
      <c r="R174" s="4">
        <f t="shared" si="24"/>
        <v>151300</v>
      </c>
    </row>
    <row r="175" spans="5:18" x14ac:dyDescent="0.25">
      <c r="E175" s="1">
        <f t="shared" si="19"/>
        <v>172</v>
      </c>
      <c r="F175" s="4">
        <f t="shared" ca="1" si="20"/>
        <v>149000</v>
      </c>
      <c r="G175" s="1" t="s">
        <v>70</v>
      </c>
      <c r="H175" s="26">
        <f t="shared" ca="1" si="18"/>
        <v>0.63380351827198211</v>
      </c>
      <c r="I175" s="4">
        <f>IF(G175="Yes",-$C$8,0)</f>
        <v>-500</v>
      </c>
      <c r="J175" s="4">
        <f>IF(G175="Yes",$C$8-I175,0)</f>
        <v>1000</v>
      </c>
      <c r="K175" s="4">
        <f ca="1">IF(H175&gt;=$C$4,J175+I175,I175)</f>
        <v>500</v>
      </c>
      <c r="M175" s="61">
        <f t="shared" si="25"/>
        <v>137.6</v>
      </c>
      <c r="N175" s="61">
        <f t="shared" si="26"/>
        <v>34.400000000000006</v>
      </c>
      <c r="O175" s="4">
        <f t="shared" si="21"/>
        <v>68800</v>
      </c>
      <c r="P175" s="4">
        <f t="shared" si="22"/>
        <v>-17200.000000000004</v>
      </c>
      <c r="Q175" s="4">
        <f t="shared" si="23"/>
        <v>51600</v>
      </c>
      <c r="R175" s="4">
        <f t="shared" si="24"/>
        <v>151600</v>
      </c>
    </row>
    <row r="176" spans="5:18" x14ac:dyDescent="0.25">
      <c r="E176" s="1">
        <f t="shared" si="19"/>
        <v>173</v>
      </c>
      <c r="F176" s="4">
        <f t="shared" ca="1" si="20"/>
        <v>149500</v>
      </c>
      <c r="G176" s="1" t="s">
        <v>70</v>
      </c>
      <c r="H176" s="26">
        <f t="shared" ca="1" si="18"/>
        <v>0.97664756893690141</v>
      </c>
      <c r="I176" s="4">
        <f>IF(G176="Yes",-$C$8,0)</f>
        <v>-500</v>
      </c>
      <c r="J176" s="4">
        <f>IF(G176="Yes",$C$8-I176,0)</f>
        <v>1000</v>
      </c>
      <c r="K176" s="4">
        <f ca="1">IF(H176&gt;=$C$4,J176+I176,I176)</f>
        <v>500</v>
      </c>
      <c r="M176" s="61">
        <f t="shared" si="25"/>
        <v>138.4</v>
      </c>
      <c r="N176" s="61">
        <f t="shared" si="26"/>
        <v>34.599999999999994</v>
      </c>
      <c r="O176" s="4">
        <f t="shared" si="21"/>
        <v>69200</v>
      </c>
      <c r="P176" s="4">
        <f t="shared" si="22"/>
        <v>-17299.999999999996</v>
      </c>
      <c r="Q176" s="4">
        <f t="shared" si="23"/>
        <v>51900</v>
      </c>
      <c r="R176" s="4">
        <f t="shared" si="24"/>
        <v>151900</v>
      </c>
    </row>
    <row r="177" spans="5:18" x14ac:dyDescent="0.25">
      <c r="E177" s="1">
        <f t="shared" si="19"/>
        <v>174</v>
      </c>
      <c r="F177" s="4">
        <f t="shared" ca="1" si="20"/>
        <v>150000</v>
      </c>
      <c r="G177" s="1" t="s">
        <v>70</v>
      </c>
      <c r="H177" s="26">
        <f t="shared" ca="1" si="18"/>
        <v>0.50655503249651868</v>
      </c>
      <c r="I177" s="4">
        <f>IF(G177="Yes",-$C$8,0)</f>
        <v>-500</v>
      </c>
      <c r="J177" s="4">
        <f>IF(G177="Yes",$C$8-I177,0)</f>
        <v>1000</v>
      </c>
      <c r="K177" s="4">
        <f ca="1">IF(H177&gt;=$C$4,J177+I177,I177)</f>
        <v>500</v>
      </c>
      <c r="M177" s="61">
        <f t="shared" si="25"/>
        <v>139.20000000000002</v>
      </c>
      <c r="N177" s="61">
        <f t="shared" si="26"/>
        <v>34.799999999999983</v>
      </c>
      <c r="O177" s="4">
        <f t="shared" si="21"/>
        <v>69600.000000000015</v>
      </c>
      <c r="P177" s="4">
        <f t="shared" si="22"/>
        <v>-17399.999999999993</v>
      </c>
      <c r="Q177" s="4">
        <f t="shared" si="23"/>
        <v>52200.000000000022</v>
      </c>
      <c r="R177" s="4">
        <f t="shared" si="24"/>
        <v>152200.00000000003</v>
      </c>
    </row>
    <row r="178" spans="5:18" x14ac:dyDescent="0.25">
      <c r="E178" s="1">
        <f t="shared" si="19"/>
        <v>175</v>
      </c>
      <c r="F178" s="4">
        <f t="shared" ca="1" si="20"/>
        <v>150500</v>
      </c>
      <c r="G178" s="1" t="s">
        <v>70</v>
      </c>
      <c r="H178" s="26">
        <f t="shared" ca="1" si="18"/>
        <v>0.58978937255684605</v>
      </c>
      <c r="I178" s="4">
        <f>IF(G178="Yes",-$C$8,0)</f>
        <v>-500</v>
      </c>
      <c r="J178" s="4">
        <f>IF(G178="Yes",$C$8-I178,0)</f>
        <v>1000</v>
      </c>
      <c r="K178" s="4">
        <f ca="1">IF(H178&gt;=$C$4,J178+I178,I178)</f>
        <v>500</v>
      </c>
      <c r="M178" s="61">
        <f t="shared" si="25"/>
        <v>140</v>
      </c>
      <c r="N178" s="61">
        <f t="shared" si="26"/>
        <v>35</v>
      </c>
      <c r="O178" s="4">
        <f t="shared" si="21"/>
        <v>70000</v>
      </c>
      <c r="P178" s="4">
        <f t="shared" si="22"/>
        <v>-17500</v>
      </c>
      <c r="Q178" s="4">
        <f t="shared" si="23"/>
        <v>52500</v>
      </c>
      <c r="R178" s="4">
        <f t="shared" si="24"/>
        <v>152500</v>
      </c>
    </row>
    <row r="179" spans="5:18" x14ac:dyDescent="0.25">
      <c r="E179" s="1">
        <f t="shared" si="19"/>
        <v>176</v>
      </c>
      <c r="F179" s="4">
        <f t="shared" ca="1" si="20"/>
        <v>150000</v>
      </c>
      <c r="G179" s="1" t="s">
        <v>70</v>
      </c>
      <c r="H179" s="26">
        <f t="shared" ca="1" si="18"/>
        <v>2.9113815034199964E-2</v>
      </c>
      <c r="I179" s="4">
        <f>IF(G179="Yes",-$C$8,0)</f>
        <v>-500</v>
      </c>
      <c r="J179" s="4">
        <f>IF(G179="Yes",$C$8-I179,0)</f>
        <v>1000</v>
      </c>
      <c r="K179" s="4">
        <f ca="1">IF(H179&gt;=$C$4,J179+I179,I179)</f>
        <v>-500</v>
      </c>
      <c r="M179" s="61">
        <f t="shared" si="25"/>
        <v>140.80000000000001</v>
      </c>
      <c r="N179" s="61">
        <f t="shared" si="26"/>
        <v>35.199999999999989</v>
      </c>
      <c r="O179" s="4">
        <f t="shared" si="21"/>
        <v>70400</v>
      </c>
      <c r="P179" s="4">
        <f t="shared" si="22"/>
        <v>-17599.999999999993</v>
      </c>
      <c r="Q179" s="4">
        <f t="shared" si="23"/>
        <v>52800.000000000007</v>
      </c>
      <c r="R179" s="4">
        <f t="shared" si="24"/>
        <v>152800</v>
      </c>
    </row>
    <row r="180" spans="5:18" x14ac:dyDescent="0.25">
      <c r="E180" s="1">
        <f t="shared" si="19"/>
        <v>177</v>
      </c>
      <c r="F180" s="4">
        <f t="shared" ca="1" si="20"/>
        <v>150500</v>
      </c>
      <c r="G180" s="1" t="s">
        <v>70</v>
      </c>
      <c r="H180" s="26">
        <f t="shared" ca="1" si="18"/>
        <v>0.54306633348460986</v>
      </c>
      <c r="I180" s="4">
        <f>IF(G180="Yes",-$C$8,0)</f>
        <v>-500</v>
      </c>
      <c r="J180" s="4">
        <f>IF(G180="Yes",$C$8-I180,0)</f>
        <v>1000</v>
      </c>
      <c r="K180" s="4">
        <f ca="1">IF(H180&gt;=$C$4,J180+I180,I180)</f>
        <v>500</v>
      </c>
      <c r="M180" s="61">
        <f t="shared" si="25"/>
        <v>141.6</v>
      </c>
      <c r="N180" s="61">
        <f t="shared" si="26"/>
        <v>35.400000000000006</v>
      </c>
      <c r="O180" s="4">
        <f t="shared" si="21"/>
        <v>70800</v>
      </c>
      <c r="P180" s="4">
        <f t="shared" si="22"/>
        <v>-17700.000000000004</v>
      </c>
      <c r="Q180" s="4">
        <f t="shared" si="23"/>
        <v>53100</v>
      </c>
      <c r="R180" s="4">
        <f t="shared" si="24"/>
        <v>153100</v>
      </c>
    </row>
    <row r="181" spans="5:18" x14ac:dyDescent="0.25">
      <c r="E181" s="1">
        <f t="shared" si="19"/>
        <v>178</v>
      </c>
      <c r="F181" s="4">
        <f t="shared" ca="1" si="20"/>
        <v>150000</v>
      </c>
      <c r="G181" s="1" t="s">
        <v>70</v>
      </c>
      <c r="H181" s="26">
        <f t="shared" ca="1" si="18"/>
        <v>1.5750823338266939E-2</v>
      </c>
      <c r="I181" s="4">
        <f>IF(G181="Yes",-$C$8,0)</f>
        <v>-500</v>
      </c>
      <c r="J181" s="4">
        <f>IF(G181="Yes",$C$8-I181,0)</f>
        <v>1000</v>
      </c>
      <c r="K181" s="4">
        <f ca="1">IF(H181&gt;=$C$4,J181+I181,I181)</f>
        <v>-500</v>
      </c>
      <c r="M181" s="61">
        <f t="shared" si="25"/>
        <v>142.4</v>
      </c>
      <c r="N181" s="61">
        <f t="shared" si="26"/>
        <v>35.599999999999994</v>
      </c>
      <c r="O181" s="4">
        <f t="shared" si="21"/>
        <v>71200</v>
      </c>
      <c r="P181" s="4">
        <f t="shared" si="22"/>
        <v>-17799.999999999996</v>
      </c>
      <c r="Q181" s="4">
        <f t="shared" si="23"/>
        <v>53400</v>
      </c>
      <c r="R181" s="4">
        <f t="shared" si="24"/>
        <v>153400</v>
      </c>
    </row>
    <row r="182" spans="5:18" x14ac:dyDescent="0.25">
      <c r="E182" s="1">
        <f t="shared" si="19"/>
        <v>179</v>
      </c>
      <c r="F182" s="4">
        <f t="shared" ca="1" si="20"/>
        <v>150500</v>
      </c>
      <c r="G182" s="1" t="s">
        <v>70</v>
      </c>
      <c r="H182" s="26">
        <f t="shared" ca="1" si="18"/>
        <v>0.44317118178190318</v>
      </c>
      <c r="I182" s="4">
        <f>IF(G182="Yes",-$C$8,0)</f>
        <v>-500</v>
      </c>
      <c r="J182" s="4">
        <f>IF(G182="Yes",$C$8-I182,0)</f>
        <v>1000</v>
      </c>
      <c r="K182" s="4">
        <f ca="1">IF(H182&gt;=$C$4,J182+I182,I182)</f>
        <v>500</v>
      </c>
      <c r="M182" s="61">
        <f t="shared" si="25"/>
        <v>143.20000000000002</v>
      </c>
      <c r="N182" s="61">
        <f t="shared" si="26"/>
        <v>35.799999999999983</v>
      </c>
      <c r="O182" s="4">
        <f t="shared" si="21"/>
        <v>71600.000000000015</v>
      </c>
      <c r="P182" s="4">
        <f t="shared" si="22"/>
        <v>-17899.999999999993</v>
      </c>
      <c r="Q182" s="4">
        <f t="shared" si="23"/>
        <v>53700.000000000022</v>
      </c>
      <c r="R182" s="4">
        <f t="shared" si="24"/>
        <v>153700.00000000003</v>
      </c>
    </row>
    <row r="183" spans="5:18" x14ac:dyDescent="0.25">
      <c r="E183" s="1">
        <f t="shared" si="19"/>
        <v>180</v>
      </c>
      <c r="F183" s="4">
        <f t="shared" ca="1" si="20"/>
        <v>151000</v>
      </c>
      <c r="G183" s="1" t="s">
        <v>70</v>
      </c>
      <c r="H183" s="26">
        <f t="shared" ca="1" si="18"/>
        <v>0.7247503496068477</v>
      </c>
      <c r="I183" s="4">
        <f>IF(G183="Yes",-$C$8,0)</f>
        <v>-500</v>
      </c>
      <c r="J183" s="4">
        <f>IF(G183="Yes",$C$8-I183,0)</f>
        <v>1000</v>
      </c>
      <c r="K183" s="4">
        <f ca="1">IF(H183&gt;=$C$4,J183+I183,I183)</f>
        <v>500</v>
      </c>
      <c r="M183" s="61">
        <f t="shared" si="25"/>
        <v>144</v>
      </c>
      <c r="N183" s="61">
        <f t="shared" si="26"/>
        <v>36</v>
      </c>
      <c r="O183" s="4">
        <f t="shared" si="21"/>
        <v>72000</v>
      </c>
      <c r="P183" s="4">
        <f t="shared" si="22"/>
        <v>-18000</v>
      </c>
      <c r="Q183" s="4">
        <f t="shared" si="23"/>
        <v>54000</v>
      </c>
      <c r="R183" s="4">
        <f t="shared" si="24"/>
        <v>154000</v>
      </c>
    </row>
    <row r="184" spans="5:18" x14ac:dyDescent="0.25">
      <c r="E184" s="1">
        <f t="shared" si="19"/>
        <v>181</v>
      </c>
      <c r="F184" s="4">
        <f t="shared" ca="1" si="20"/>
        <v>151500</v>
      </c>
      <c r="G184" s="1" t="s">
        <v>70</v>
      </c>
      <c r="H184" s="26">
        <f t="shared" ca="1" si="18"/>
        <v>0.41869473769296706</v>
      </c>
      <c r="I184" s="4">
        <f>IF(G184="Yes",-$C$8,0)</f>
        <v>-500</v>
      </c>
      <c r="J184" s="4">
        <f>IF(G184="Yes",$C$8-I184,0)</f>
        <v>1000</v>
      </c>
      <c r="K184" s="4">
        <f ca="1">IF(H184&gt;=$C$4,J184+I184,I184)</f>
        <v>500</v>
      </c>
      <c r="M184" s="61">
        <f t="shared" si="25"/>
        <v>144.80000000000001</v>
      </c>
      <c r="N184" s="61">
        <f t="shared" si="26"/>
        <v>36.199999999999989</v>
      </c>
      <c r="O184" s="4">
        <f t="shared" si="21"/>
        <v>72400</v>
      </c>
      <c r="P184" s="4">
        <f t="shared" si="22"/>
        <v>-18099.999999999993</v>
      </c>
      <c r="Q184" s="4">
        <f t="shared" si="23"/>
        <v>54300.000000000007</v>
      </c>
      <c r="R184" s="4">
        <f t="shared" si="24"/>
        <v>154300</v>
      </c>
    </row>
    <row r="185" spans="5:18" x14ac:dyDescent="0.25">
      <c r="E185" s="1">
        <f t="shared" si="19"/>
        <v>182</v>
      </c>
      <c r="F185" s="4">
        <f t="shared" ca="1" si="20"/>
        <v>152000</v>
      </c>
      <c r="G185" s="1" t="s">
        <v>70</v>
      </c>
      <c r="H185" s="26">
        <f t="shared" ca="1" si="18"/>
        <v>0.78219129002876908</v>
      </c>
      <c r="I185" s="4">
        <f>IF(G185="Yes",-$C$8,0)</f>
        <v>-500</v>
      </c>
      <c r="J185" s="4">
        <f>IF(G185="Yes",$C$8-I185,0)</f>
        <v>1000</v>
      </c>
      <c r="K185" s="4">
        <f ca="1">IF(H185&gt;=$C$4,J185+I185,I185)</f>
        <v>500</v>
      </c>
      <c r="M185" s="61">
        <f t="shared" si="25"/>
        <v>145.6</v>
      </c>
      <c r="N185" s="61">
        <f t="shared" si="26"/>
        <v>36.400000000000006</v>
      </c>
      <c r="O185" s="4">
        <f t="shared" si="21"/>
        <v>72800</v>
      </c>
      <c r="P185" s="4">
        <f t="shared" si="22"/>
        <v>-18200.000000000004</v>
      </c>
      <c r="Q185" s="4">
        <f t="shared" si="23"/>
        <v>54600</v>
      </c>
      <c r="R185" s="4">
        <f t="shared" si="24"/>
        <v>154600</v>
      </c>
    </row>
    <row r="186" spans="5:18" x14ac:dyDescent="0.25">
      <c r="E186" s="1">
        <f t="shared" si="19"/>
        <v>183</v>
      </c>
      <c r="F186" s="4">
        <f t="shared" ca="1" si="20"/>
        <v>152500</v>
      </c>
      <c r="G186" s="1" t="s">
        <v>70</v>
      </c>
      <c r="H186" s="26">
        <f t="shared" ca="1" si="18"/>
        <v>0.9941739202727875</v>
      </c>
      <c r="I186" s="4">
        <f>IF(G186="Yes",-$C$8,0)</f>
        <v>-500</v>
      </c>
      <c r="J186" s="4">
        <f>IF(G186="Yes",$C$8-I186,0)</f>
        <v>1000</v>
      </c>
      <c r="K186" s="4">
        <f ca="1">IF(H186&gt;=$C$4,J186+I186,I186)</f>
        <v>500</v>
      </c>
      <c r="M186" s="61">
        <f t="shared" si="25"/>
        <v>146.4</v>
      </c>
      <c r="N186" s="61">
        <f t="shared" si="26"/>
        <v>36.599999999999994</v>
      </c>
      <c r="O186" s="4">
        <f t="shared" si="21"/>
        <v>73200</v>
      </c>
      <c r="P186" s="4">
        <f t="shared" si="22"/>
        <v>-18299.999999999996</v>
      </c>
      <c r="Q186" s="4">
        <f t="shared" si="23"/>
        <v>54900</v>
      </c>
      <c r="R186" s="4">
        <f t="shared" si="24"/>
        <v>154900</v>
      </c>
    </row>
    <row r="187" spans="5:18" x14ac:dyDescent="0.25">
      <c r="E187" s="1">
        <f t="shared" si="19"/>
        <v>184</v>
      </c>
      <c r="F187" s="4">
        <f t="shared" ca="1" si="20"/>
        <v>153000</v>
      </c>
      <c r="G187" s="1" t="s">
        <v>70</v>
      </c>
      <c r="H187" s="26">
        <f t="shared" ca="1" si="18"/>
        <v>0.63866501431764255</v>
      </c>
      <c r="I187" s="4">
        <f>IF(G187="Yes",-$C$8,0)</f>
        <v>-500</v>
      </c>
      <c r="J187" s="4">
        <f>IF(G187="Yes",$C$8-I187,0)</f>
        <v>1000</v>
      </c>
      <c r="K187" s="4">
        <f ca="1">IF(H187&gt;=$C$4,J187+I187,I187)</f>
        <v>500</v>
      </c>
      <c r="M187" s="61">
        <f t="shared" si="25"/>
        <v>147.20000000000002</v>
      </c>
      <c r="N187" s="61">
        <f t="shared" si="26"/>
        <v>36.799999999999983</v>
      </c>
      <c r="O187" s="4">
        <f t="shared" si="21"/>
        <v>73600.000000000015</v>
      </c>
      <c r="P187" s="4">
        <f t="shared" si="22"/>
        <v>-18399.999999999993</v>
      </c>
      <c r="Q187" s="4">
        <f t="shared" si="23"/>
        <v>55200.000000000022</v>
      </c>
      <c r="R187" s="4">
        <f t="shared" si="24"/>
        <v>155200.00000000003</v>
      </c>
    </row>
    <row r="188" spans="5:18" x14ac:dyDescent="0.25">
      <c r="E188" s="1">
        <f t="shared" si="19"/>
        <v>185</v>
      </c>
      <c r="F188" s="4">
        <f t="shared" ca="1" si="20"/>
        <v>153500</v>
      </c>
      <c r="G188" s="1" t="s">
        <v>70</v>
      </c>
      <c r="H188" s="26">
        <f t="shared" ca="1" si="18"/>
        <v>0.39897476257429998</v>
      </c>
      <c r="I188" s="4">
        <f>IF(G188="Yes",-$C$8,0)</f>
        <v>-500</v>
      </c>
      <c r="J188" s="4">
        <f>IF(G188="Yes",$C$8-I188,0)</f>
        <v>1000</v>
      </c>
      <c r="K188" s="4">
        <f ca="1">IF(H188&gt;=$C$4,J188+I188,I188)</f>
        <v>500</v>
      </c>
      <c r="M188" s="61">
        <f t="shared" si="25"/>
        <v>148</v>
      </c>
      <c r="N188" s="61">
        <f t="shared" si="26"/>
        <v>37</v>
      </c>
      <c r="O188" s="4">
        <f t="shared" si="21"/>
        <v>74000</v>
      </c>
      <c r="P188" s="4">
        <f t="shared" si="22"/>
        <v>-18500</v>
      </c>
      <c r="Q188" s="4">
        <f t="shared" si="23"/>
        <v>55500</v>
      </c>
      <c r="R188" s="4">
        <f t="shared" si="24"/>
        <v>155500</v>
      </c>
    </row>
    <row r="189" spans="5:18" x14ac:dyDescent="0.25">
      <c r="E189" s="1">
        <f t="shared" si="19"/>
        <v>186</v>
      </c>
      <c r="F189" s="4">
        <f t="shared" ca="1" si="20"/>
        <v>154000</v>
      </c>
      <c r="G189" s="1" t="s">
        <v>70</v>
      </c>
      <c r="H189" s="26">
        <f t="shared" ca="1" si="18"/>
        <v>0.35449086095364779</v>
      </c>
      <c r="I189" s="4">
        <f>IF(G189="Yes",-$C$8,0)</f>
        <v>-500</v>
      </c>
      <c r="J189" s="4">
        <f>IF(G189="Yes",$C$8-I189,0)</f>
        <v>1000</v>
      </c>
      <c r="K189" s="4">
        <f ca="1">IF(H189&gt;=$C$4,J189+I189,I189)</f>
        <v>500</v>
      </c>
      <c r="M189" s="61">
        <f t="shared" si="25"/>
        <v>148.80000000000001</v>
      </c>
      <c r="N189" s="61">
        <f t="shared" si="26"/>
        <v>37.199999999999989</v>
      </c>
      <c r="O189" s="4">
        <f t="shared" si="21"/>
        <v>74400</v>
      </c>
      <c r="P189" s="4">
        <f t="shared" si="22"/>
        <v>-18599.999999999993</v>
      </c>
      <c r="Q189" s="4">
        <f t="shared" si="23"/>
        <v>55800.000000000007</v>
      </c>
      <c r="R189" s="4">
        <f t="shared" si="24"/>
        <v>155800</v>
      </c>
    </row>
    <row r="190" spans="5:18" x14ac:dyDescent="0.25">
      <c r="E190" s="1">
        <f t="shared" si="19"/>
        <v>187</v>
      </c>
      <c r="F190" s="4">
        <f t="shared" ca="1" si="20"/>
        <v>154500</v>
      </c>
      <c r="G190" s="1" t="s">
        <v>70</v>
      </c>
      <c r="H190" s="26">
        <f t="shared" ca="1" si="18"/>
        <v>0.57553919967706324</v>
      </c>
      <c r="I190" s="4">
        <f>IF(G190="Yes",-$C$8,0)</f>
        <v>-500</v>
      </c>
      <c r="J190" s="4">
        <f>IF(G190="Yes",$C$8-I190,0)</f>
        <v>1000</v>
      </c>
      <c r="K190" s="4">
        <f ca="1">IF(H190&gt;=$C$4,J190+I190,I190)</f>
        <v>500</v>
      </c>
      <c r="M190" s="61">
        <f t="shared" si="25"/>
        <v>149.6</v>
      </c>
      <c r="N190" s="61">
        <f t="shared" si="26"/>
        <v>37.400000000000006</v>
      </c>
      <c r="O190" s="4">
        <f t="shared" si="21"/>
        <v>74800</v>
      </c>
      <c r="P190" s="4">
        <f t="shared" si="22"/>
        <v>-18700.000000000004</v>
      </c>
      <c r="Q190" s="4">
        <f t="shared" si="23"/>
        <v>56100</v>
      </c>
      <c r="R190" s="4">
        <f t="shared" si="24"/>
        <v>156100</v>
      </c>
    </row>
    <row r="191" spans="5:18" x14ac:dyDescent="0.25">
      <c r="E191" s="1">
        <f t="shared" si="19"/>
        <v>188</v>
      </c>
      <c r="F191" s="4">
        <f t="shared" ca="1" si="20"/>
        <v>155000</v>
      </c>
      <c r="G191" s="1" t="s">
        <v>70</v>
      </c>
      <c r="H191" s="26">
        <f t="shared" ca="1" si="18"/>
        <v>0.64621522642761164</v>
      </c>
      <c r="I191" s="4">
        <f>IF(G191="Yes",-$C$8,0)</f>
        <v>-500</v>
      </c>
      <c r="J191" s="4">
        <f>IF(G191="Yes",$C$8-I191,0)</f>
        <v>1000</v>
      </c>
      <c r="K191" s="4">
        <f ca="1">IF(H191&gt;=$C$4,J191+I191,I191)</f>
        <v>500</v>
      </c>
      <c r="M191" s="61">
        <f t="shared" si="25"/>
        <v>150.4</v>
      </c>
      <c r="N191" s="61">
        <f t="shared" si="26"/>
        <v>37.599999999999994</v>
      </c>
      <c r="O191" s="4">
        <f t="shared" si="21"/>
        <v>75200</v>
      </c>
      <c r="P191" s="4">
        <f t="shared" si="22"/>
        <v>-18799.999999999996</v>
      </c>
      <c r="Q191" s="4">
        <f t="shared" si="23"/>
        <v>56400</v>
      </c>
      <c r="R191" s="4">
        <f t="shared" si="24"/>
        <v>156400</v>
      </c>
    </row>
    <row r="192" spans="5:18" x14ac:dyDescent="0.25">
      <c r="E192" s="1">
        <f t="shared" si="19"/>
        <v>189</v>
      </c>
      <c r="F192" s="4">
        <f t="shared" ca="1" si="20"/>
        <v>155500</v>
      </c>
      <c r="G192" s="1" t="s">
        <v>70</v>
      </c>
      <c r="H192" s="26">
        <f t="shared" ca="1" si="18"/>
        <v>0.56691905878098958</v>
      </c>
      <c r="I192" s="4">
        <f>IF(G192="Yes",-$C$8,0)</f>
        <v>-500</v>
      </c>
      <c r="J192" s="4">
        <f>IF(G192="Yes",$C$8-I192,0)</f>
        <v>1000</v>
      </c>
      <c r="K192" s="4">
        <f ca="1">IF(H192&gt;=$C$4,J192+I192,I192)</f>
        <v>500</v>
      </c>
      <c r="M192" s="61">
        <f t="shared" si="25"/>
        <v>151.20000000000002</v>
      </c>
      <c r="N192" s="61">
        <f t="shared" si="26"/>
        <v>37.799999999999983</v>
      </c>
      <c r="O192" s="4">
        <f t="shared" si="21"/>
        <v>75600.000000000015</v>
      </c>
      <c r="P192" s="4">
        <f t="shared" si="22"/>
        <v>-18899.999999999993</v>
      </c>
      <c r="Q192" s="4">
        <f t="shared" si="23"/>
        <v>56700.000000000022</v>
      </c>
      <c r="R192" s="4">
        <f t="shared" si="24"/>
        <v>156700.00000000003</v>
      </c>
    </row>
    <row r="193" spans="5:18" x14ac:dyDescent="0.25">
      <c r="E193" s="1">
        <f t="shared" si="19"/>
        <v>190</v>
      </c>
      <c r="F193" s="4">
        <f t="shared" ca="1" si="20"/>
        <v>155000</v>
      </c>
      <c r="G193" s="1" t="s">
        <v>70</v>
      </c>
      <c r="H193" s="26">
        <f t="shared" ca="1" si="18"/>
        <v>0.17471656508931255</v>
      </c>
      <c r="I193" s="4">
        <f>IF(G193="Yes",-$C$8,0)</f>
        <v>-500</v>
      </c>
      <c r="J193" s="4">
        <f>IF(G193="Yes",$C$8-I193,0)</f>
        <v>1000</v>
      </c>
      <c r="K193" s="4">
        <f ca="1">IF(H193&gt;=$C$4,J193+I193,I193)</f>
        <v>-500</v>
      </c>
      <c r="M193" s="61">
        <f t="shared" si="25"/>
        <v>152</v>
      </c>
      <c r="N193" s="61">
        <f t="shared" si="26"/>
        <v>38</v>
      </c>
      <c r="O193" s="4">
        <f t="shared" si="21"/>
        <v>76000</v>
      </c>
      <c r="P193" s="4">
        <f t="shared" si="22"/>
        <v>-19000</v>
      </c>
      <c r="Q193" s="4">
        <f t="shared" si="23"/>
        <v>57000</v>
      </c>
      <c r="R193" s="4">
        <f t="shared" si="24"/>
        <v>157000</v>
      </c>
    </row>
    <row r="194" spans="5:18" x14ac:dyDescent="0.25">
      <c r="E194" s="1">
        <f t="shared" si="19"/>
        <v>191</v>
      </c>
      <c r="F194" s="4">
        <f t="shared" ca="1" si="20"/>
        <v>155500</v>
      </c>
      <c r="G194" s="1" t="s">
        <v>70</v>
      </c>
      <c r="H194" s="26">
        <f t="shared" ca="1" si="18"/>
        <v>0.29310359876109882</v>
      </c>
      <c r="I194" s="4">
        <f>IF(G194="Yes",-$C$8,0)</f>
        <v>-500</v>
      </c>
      <c r="J194" s="4">
        <f>IF(G194="Yes",$C$8-I194,0)</f>
        <v>1000</v>
      </c>
      <c r="K194" s="4">
        <f ca="1">IF(H194&gt;=$C$4,J194+I194,I194)</f>
        <v>500</v>
      </c>
      <c r="M194" s="61">
        <f t="shared" si="25"/>
        <v>152.80000000000001</v>
      </c>
      <c r="N194" s="61">
        <f t="shared" si="26"/>
        <v>38.199999999999989</v>
      </c>
      <c r="O194" s="4">
        <f t="shared" si="21"/>
        <v>76400</v>
      </c>
      <c r="P194" s="4">
        <f t="shared" si="22"/>
        <v>-19099.999999999993</v>
      </c>
      <c r="Q194" s="4">
        <f t="shared" si="23"/>
        <v>57300.000000000007</v>
      </c>
      <c r="R194" s="4">
        <f t="shared" si="24"/>
        <v>157300</v>
      </c>
    </row>
    <row r="195" spans="5:18" x14ac:dyDescent="0.25">
      <c r="E195" s="1">
        <f t="shared" si="19"/>
        <v>192</v>
      </c>
      <c r="F195" s="4">
        <f t="shared" ca="1" si="20"/>
        <v>156000</v>
      </c>
      <c r="G195" s="1" t="s">
        <v>70</v>
      </c>
      <c r="H195" s="26">
        <f t="shared" ca="1" si="18"/>
        <v>0.56129502547105492</v>
      </c>
      <c r="I195" s="4">
        <f>IF(G195="Yes",-$C$8,0)</f>
        <v>-500</v>
      </c>
      <c r="J195" s="4">
        <f>IF(G195="Yes",$C$8-I195,0)</f>
        <v>1000</v>
      </c>
      <c r="K195" s="4">
        <f ca="1">IF(H195&gt;=$C$4,J195+I195,I195)</f>
        <v>500</v>
      </c>
      <c r="M195" s="61">
        <f t="shared" si="25"/>
        <v>153.60000000000002</v>
      </c>
      <c r="N195" s="61">
        <f t="shared" si="26"/>
        <v>38.399999999999977</v>
      </c>
      <c r="O195" s="4">
        <f t="shared" si="21"/>
        <v>76800.000000000015</v>
      </c>
      <c r="P195" s="4">
        <f t="shared" si="22"/>
        <v>-19199.999999999989</v>
      </c>
      <c r="Q195" s="4">
        <f t="shared" si="23"/>
        <v>57600.000000000029</v>
      </c>
      <c r="R195" s="4">
        <f t="shared" si="24"/>
        <v>157600.00000000003</v>
      </c>
    </row>
    <row r="196" spans="5:18" x14ac:dyDescent="0.25">
      <c r="E196" s="1">
        <f t="shared" si="19"/>
        <v>193</v>
      </c>
      <c r="F196" s="4">
        <f t="shared" ca="1" si="20"/>
        <v>156500</v>
      </c>
      <c r="G196" s="1" t="s">
        <v>70</v>
      </c>
      <c r="H196" s="26">
        <f t="shared" ref="H196:H259" ca="1" si="27">RAND()</f>
        <v>0.35295063638260504</v>
      </c>
      <c r="I196" s="4">
        <f>IF(G196="Yes",-$C$8,0)</f>
        <v>-500</v>
      </c>
      <c r="J196" s="4">
        <f>IF(G196="Yes",$C$8-I196,0)</f>
        <v>1000</v>
      </c>
      <c r="K196" s="4">
        <f ca="1">IF(H196&gt;=$C$4,J196+I196,I196)</f>
        <v>500</v>
      </c>
      <c r="M196" s="61">
        <f t="shared" si="25"/>
        <v>154.4</v>
      </c>
      <c r="N196" s="61">
        <f t="shared" si="26"/>
        <v>38.599999999999994</v>
      </c>
      <c r="O196" s="4">
        <f t="shared" si="21"/>
        <v>77200</v>
      </c>
      <c r="P196" s="4">
        <f t="shared" si="22"/>
        <v>-19299.999999999996</v>
      </c>
      <c r="Q196" s="4">
        <f t="shared" si="23"/>
        <v>57900</v>
      </c>
      <c r="R196" s="4">
        <f t="shared" si="24"/>
        <v>157900</v>
      </c>
    </row>
    <row r="197" spans="5:18" x14ac:dyDescent="0.25">
      <c r="E197" s="1">
        <f t="shared" ref="E197:E260" si="28">E196+1</f>
        <v>194</v>
      </c>
      <c r="F197" s="4">
        <f t="shared" ref="F197:F260" ca="1" si="29">F196+K197</f>
        <v>157000</v>
      </c>
      <c r="G197" s="1" t="s">
        <v>70</v>
      </c>
      <c r="H197" s="26">
        <f t="shared" ca="1" si="27"/>
        <v>0.78469872866364299</v>
      </c>
      <c r="I197" s="4">
        <f>IF(G197="Yes",-$C$8,0)</f>
        <v>-500</v>
      </c>
      <c r="J197" s="4">
        <f>IF(G197="Yes",$C$8-I197,0)</f>
        <v>1000</v>
      </c>
      <c r="K197" s="4">
        <f ca="1">IF(H197&gt;=$C$4,J197+I197,I197)</f>
        <v>500</v>
      </c>
      <c r="M197" s="61">
        <f t="shared" si="25"/>
        <v>155.20000000000002</v>
      </c>
      <c r="N197" s="61">
        <f t="shared" si="26"/>
        <v>38.799999999999983</v>
      </c>
      <c r="O197" s="4">
        <f t="shared" ref="O197:O260" si="30">M197*$C$8</f>
        <v>77600.000000000015</v>
      </c>
      <c r="P197" s="4">
        <f t="shared" ref="P197:P260" si="31">N197*(-$C$8)</f>
        <v>-19399.999999999993</v>
      </c>
      <c r="Q197" s="4">
        <f t="shared" ref="Q197:Q260" si="32">O197+P197</f>
        <v>58200.000000000022</v>
      </c>
      <c r="R197" s="4">
        <f t="shared" ref="R197:R260" si="33">$C$7+Q197</f>
        <v>158200.00000000003</v>
      </c>
    </row>
    <row r="198" spans="5:18" x14ac:dyDescent="0.25">
      <c r="E198" s="1">
        <f t="shared" si="28"/>
        <v>195</v>
      </c>
      <c r="F198" s="4">
        <f t="shared" ca="1" si="29"/>
        <v>157500</v>
      </c>
      <c r="G198" s="1" t="s">
        <v>70</v>
      </c>
      <c r="H198" s="26">
        <f t="shared" ca="1" si="27"/>
        <v>0.65194411192418322</v>
      </c>
      <c r="I198" s="4">
        <f>IF(G198="Yes",-$C$8,0)</f>
        <v>-500</v>
      </c>
      <c r="J198" s="4">
        <f>IF(G198="Yes",$C$8-I198,0)</f>
        <v>1000</v>
      </c>
      <c r="K198" s="4">
        <f ca="1">IF(H198&gt;=$C$4,J198+I198,I198)</f>
        <v>500</v>
      </c>
      <c r="M198" s="61">
        <f t="shared" si="25"/>
        <v>156</v>
      </c>
      <c r="N198" s="61">
        <f t="shared" si="26"/>
        <v>39</v>
      </c>
      <c r="O198" s="4">
        <f t="shared" si="30"/>
        <v>78000</v>
      </c>
      <c r="P198" s="4">
        <f t="shared" si="31"/>
        <v>-19500</v>
      </c>
      <c r="Q198" s="4">
        <f t="shared" si="32"/>
        <v>58500</v>
      </c>
      <c r="R198" s="4">
        <f t="shared" si="33"/>
        <v>158500</v>
      </c>
    </row>
    <row r="199" spans="5:18" x14ac:dyDescent="0.25">
      <c r="E199" s="1">
        <f t="shared" si="28"/>
        <v>196</v>
      </c>
      <c r="F199" s="4">
        <f t="shared" ca="1" si="29"/>
        <v>158000</v>
      </c>
      <c r="G199" s="1" t="s">
        <v>70</v>
      </c>
      <c r="H199" s="26">
        <f t="shared" ca="1" si="27"/>
        <v>0.52848735018594717</v>
      </c>
      <c r="I199" s="4">
        <f>IF(G199="Yes",-$C$8,0)</f>
        <v>-500</v>
      </c>
      <c r="J199" s="4">
        <f>IF(G199="Yes",$C$8-I199,0)</f>
        <v>1000</v>
      </c>
      <c r="K199" s="4">
        <f ca="1">IF(H199&gt;=$C$4,J199+I199,I199)</f>
        <v>500</v>
      </c>
      <c r="M199" s="61">
        <f t="shared" si="25"/>
        <v>156.80000000000001</v>
      </c>
      <c r="N199" s="61">
        <f t="shared" si="26"/>
        <v>39.199999999999989</v>
      </c>
      <c r="O199" s="4">
        <f t="shared" si="30"/>
        <v>78400</v>
      </c>
      <c r="P199" s="4">
        <f t="shared" si="31"/>
        <v>-19599.999999999993</v>
      </c>
      <c r="Q199" s="4">
        <f t="shared" si="32"/>
        <v>58800.000000000007</v>
      </c>
      <c r="R199" s="4">
        <f t="shared" si="33"/>
        <v>158800</v>
      </c>
    </row>
    <row r="200" spans="5:18" x14ac:dyDescent="0.25">
      <c r="E200" s="1">
        <f t="shared" si="28"/>
        <v>197</v>
      </c>
      <c r="F200" s="4">
        <f t="shared" ca="1" si="29"/>
        <v>158500</v>
      </c>
      <c r="G200" s="1" t="s">
        <v>70</v>
      </c>
      <c r="H200" s="26">
        <f t="shared" ca="1" si="27"/>
        <v>0.83579837888277875</v>
      </c>
      <c r="I200" s="4">
        <f>IF(G200="Yes",-$C$8,0)</f>
        <v>-500</v>
      </c>
      <c r="J200" s="4">
        <f>IF(G200="Yes",$C$8-I200,0)</f>
        <v>1000</v>
      </c>
      <c r="K200" s="4">
        <f ca="1">IF(H200&gt;=$C$4,J200+I200,I200)</f>
        <v>500</v>
      </c>
      <c r="M200" s="61">
        <f t="shared" si="25"/>
        <v>157.60000000000002</v>
      </c>
      <c r="N200" s="61">
        <f t="shared" si="26"/>
        <v>39.399999999999977</v>
      </c>
      <c r="O200" s="4">
        <f t="shared" si="30"/>
        <v>78800.000000000015</v>
      </c>
      <c r="P200" s="4">
        <f t="shared" si="31"/>
        <v>-19699.999999999989</v>
      </c>
      <c r="Q200" s="4">
        <f t="shared" si="32"/>
        <v>59100.000000000029</v>
      </c>
      <c r="R200" s="4">
        <f t="shared" si="33"/>
        <v>159100.00000000003</v>
      </c>
    </row>
    <row r="201" spans="5:18" x14ac:dyDescent="0.25">
      <c r="E201" s="1">
        <f t="shared" si="28"/>
        <v>198</v>
      </c>
      <c r="F201" s="4">
        <f t="shared" ca="1" si="29"/>
        <v>159000</v>
      </c>
      <c r="G201" s="1" t="s">
        <v>70</v>
      </c>
      <c r="H201" s="26">
        <f t="shared" ca="1" si="27"/>
        <v>0.34103695004069368</v>
      </c>
      <c r="I201" s="4">
        <f>IF(G201="Yes",-$C$8,0)</f>
        <v>-500</v>
      </c>
      <c r="J201" s="4">
        <f>IF(G201="Yes",$C$8-I201,0)</f>
        <v>1000</v>
      </c>
      <c r="K201" s="4">
        <f ca="1">IF(H201&gt;=$C$4,J201+I201,I201)</f>
        <v>500</v>
      </c>
      <c r="M201" s="61">
        <f t="shared" si="25"/>
        <v>158.4</v>
      </c>
      <c r="N201" s="61">
        <f t="shared" si="26"/>
        <v>39.599999999999994</v>
      </c>
      <c r="O201" s="4">
        <f t="shared" si="30"/>
        <v>79200</v>
      </c>
      <c r="P201" s="4">
        <f t="shared" si="31"/>
        <v>-19799.999999999996</v>
      </c>
      <c r="Q201" s="4">
        <f t="shared" si="32"/>
        <v>59400</v>
      </c>
      <c r="R201" s="4">
        <f t="shared" si="33"/>
        <v>159400</v>
      </c>
    </row>
    <row r="202" spans="5:18" x14ac:dyDescent="0.25">
      <c r="E202" s="1">
        <f t="shared" si="28"/>
        <v>199</v>
      </c>
      <c r="F202" s="4">
        <f t="shared" ca="1" si="29"/>
        <v>159500</v>
      </c>
      <c r="G202" s="1" t="s">
        <v>70</v>
      </c>
      <c r="H202" s="26">
        <f t="shared" ca="1" si="27"/>
        <v>0.90603029194918083</v>
      </c>
      <c r="I202" s="4">
        <f>IF(G202="Yes",-$C$8,0)</f>
        <v>-500</v>
      </c>
      <c r="J202" s="4">
        <f>IF(G202="Yes",$C$8-I202,0)</f>
        <v>1000</v>
      </c>
      <c r="K202" s="4">
        <f ca="1">IF(H202&gt;=$C$4,J202+I202,I202)</f>
        <v>500</v>
      </c>
      <c r="M202" s="61">
        <f t="shared" si="25"/>
        <v>159.20000000000002</v>
      </c>
      <c r="N202" s="61">
        <f t="shared" si="26"/>
        <v>39.799999999999983</v>
      </c>
      <c r="O202" s="4">
        <f t="shared" si="30"/>
        <v>79600.000000000015</v>
      </c>
      <c r="P202" s="4">
        <f t="shared" si="31"/>
        <v>-19899.999999999993</v>
      </c>
      <c r="Q202" s="4">
        <f t="shared" si="32"/>
        <v>59700.000000000022</v>
      </c>
      <c r="R202" s="4">
        <f t="shared" si="33"/>
        <v>159700.00000000003</v>
      </c>
    </row>
    <row r="203" spans="5:18" x14ac:dyDescent="0.25">
      <c r="E203" s="1">
        <f t="shared" si="28"/>
        <v>200</v>
      </c>
      <c r="F203" s="4">
        <f t="shared" ca="1" si="29"/>
        <v>159000</v>
      </c>
      <c r="G203" s="1" t="s">
        <v>70</v>
      </c>
      <c r="H203" s="26">
        <f t="shared" ca="1" si="27"/>
        <v>1.0974798329663193E-2</v>
      </c>
      <c r="I203" s="4">
        <f>IF(G203="Yes",-$C$8,0)</f>
        <v>-500</v>
      </c>
      <c r="J203" s="4">
        <f>IF(G203="Yes",$C$8-I203,0)</f>
        <v>1000</v>
      </c>
      <c r="K203" s="4">
        <f ca="1">IF(H203&gt;=$C$4,J203+I203,I203)</f>
        <v>-500</v>
      </c>
      <c r="M203" s="61">
        <f t="shared" si="25"/>
        <v>160</v>
      </c>
      <c r="N203" s="61">
        <f t="shared" si="26"/>
        <v>40</v>
      </c>
      <c r="O203" s="4">
        <f t="shared" si="30"/>
        <v>80000</v>
      </c>
      <c r="P203" s="4">
        <f t="shared" si="31"/>
        <v>-20000</v>
      </c>
      <c r="Q203" s="4">
        <f t="shared" si="32"/>
        <v>60000</v>
      </c>
      <c r="R203" s="4">
        <f t="shared" si="33"/>
        <v>160000</v>
      </c>
    </row>
    <row r="204" spans="5:18" x14ac:dyDescent="0.25">
      <c r="E204" s="1">
        <f t="shared" si="28"/>
        <v>201</v>
      </c>
      <c r="F204" s="4">
        <f t="shared" ca="1" si="29"/>
        <v>159500</v>
      </c>
      <c r="G204" s="1" t="s">
        <v>70</v>
      </c>
      <c r="H204" s="26">
        <f t="shared" ca="1" si="27"/>
        <v>0.79518053708226355</v>
      </c>
      <c r="I204" s="4">
        <f>IF(G204="Yes",-$C$8,0)</f>
        <v>-500</v>
      </c>
      <c r="J204" s="4">
        <f>IF(G204="Yes",$C$8-I204,0)</f>
        <v>1000</v>
      </c>
      <c r="K204" s="4">
        <f ca="1">IF(H204&gt;=$C$4,J204+I204,I204)</f>
        <v>500</v>
      </c>
      <c r="M204" s="61">
        <f t="shared" si="25"/>
        <v>160.80000000000001</v>
      </c>
      <c r="N204" s="61">
        <f t="shared" si="26"/>
        <v>40.199999999999989</v>
      </c>
      <c r="O204" s="4">
        <f t="shared" si="30"/>
        <v>80400</v>
      </c>
      <c r="P204" s="4">
        <f t="shared" si="31"/>
        <v>-20099.999999999993</v>
      </c>
      <c r="Q204" s="4">
        <f t="shared" si="32"/>
        <v>60300.000000000007</v>
      </c>
      <c r="R204" s="4">
        <f t="shared" si="33"/>
        <v>160300</v>
      </c>
    </row>
    <row r="205" spans="5:18" x14ac:dyDescent="0.25">
      <c r="E205" s="1">
        <f t="shared" si="28"/>
        <v>202</v>
      </c>
      <c r="F205" s="4">
        <f t="shared" ca="1" si="29"/>
        <v>160000</v>
      </c>
      <c r="G205" s="1" t="s">
        <v>70</v>
      </c>
      <c r="H205" s="26">
        <f t="shared" ca="1" si="27"/>
        <v>0.66195236412037062</v>
      </c>
      <c r="I205" s="4">
        <f>IF(G205="Yes",-$C$8,0)</f>
        <v>-500</v>
      </c>
      <c r="J205" s="4">
        <f>IF(G205="Yes",$C$8-I205,0)</f>
        <v>1000</v>
      </c>
      <c r="K205" s="4">
        <f ca="1">IF(H205&gt;=$C$4,J205+I205,I205)</f>
        <v>500</v>
      </c>
      <c r="M205" s="61">
        <f t="shared" si="25"/>
        <v>161.60000000000002</v>
      </c>
      <c r="N205" s="61">
        <f t="shared" si="26"/>
        <v>40.399999999999977</v>
      </c>
      <c r="O205" s="4">
        <f t="shared" si="30"/>
        <v>80800.000000000015</v>
      </c>
      <c r="P205" s="4">
        <f t="shared" si="31"/>
        <v>-20199.999999999989</v>
      </c>
      <c r="Q205" s="4">
        <f t="shared" si="32"/>
        <v>60600.000000000029</v>
      </c>
      <c r="R205" s="4">
        <f t="shared" si="33"/>
        <v>160600.00000000003</v>
      </c>
    </row>
    <row r="206" spans="5:18" x14ac:dyDescent="0.25">
      <c r="E206" s="1">
        <f t="shared" si="28"/>
        <v>203</v>
      </c>
      <c r="F206" s="4">
        <f t="shared" ca="1" si="29"/>
        <v>160500</v>
      </c>
      <c r="G206" s="1" t="s">
        <v>70</v>
      </c>
      <c r="H206" s="26">
        <f t="shared" ca="1" si="27"/>
        <v>0.47625104257956585</v>
      </c>
      <c r="I206" s="4">
        <f>IF(G206="Yes",-$C$8,0)</f>
        <v>-500</v>
      </c>
      <c r="J206" s="4">
        <f>IF(G206="Yes",$C$8-I206,0)</f>
        <v>1000</v>
      </c>
      <c r="K206" s="4">
        <f ca="1">IF(H206&gt;=$C$4,J206+I206,I206)</f>
        <v>500</v>
      </c>
      <c r="M206" s="61">
        <f t="shared" ref="M206:M269" si="34">E206*$C$3</f>
        <v>162.4</v>
      </c>
      <c r="N206" s="61">
        <f t="shared" ref="N206:N269" si="35">E206-M206</f>
        <v>40.599999999999994</v>
      </c>
      <c r="O206" s="4">
        <f t="shared" si="30"/>
        <v>81200</v>
      </c>
      <c r="P206" s="4">
        <f t="shared" si="31"/>
        <v>-20299.999999999996</v>
      </c>
      <c r="Q206" s="4">
        <f t="shared" si="32"/>
        <v>60900</v>
      </c>
      <c r="R206" s="4">
        <f t="shared" si="33"/>
        <v>160900</v>
      </c>
    </row>
    <row r="207" spans="5:18" x14ac:dyDescent="0.25">
      <c r="E207" s="1">
        <f t="shared" si="28"/>
        <v>204</v>
      </c>
      <c r="F207" s="4">
        <f t="shared" ca="1" si="29"/>
        <v>161000</v>
      </c>
      <c r="G207" s="1" t="s">
        <v>70</v>
      </c>
      <c r="H207" s="26">
        <f t="shared" ca="1" si="27"/>
        <v>0.89075957357548641</v>
      </c>
      <c r="I207" s="4">
        <f>IF(G207="Yes",-$C$8,0)</f>
        <v>-500</v>
      </c>
      <c r="J207" s="4">
        <f>IF(G207="Yes",$C$8-I207,0)</f>
        <v>1000</v>
      </c>
      <c r="K207" s="4">
        <f ca="1">IF(H207&gt;=$C$4,J207+I207,I207)</f>
        <v>500</v>
      </c>
      <c r="M207" s="61">
        <f t="shared" si="34"/>
        <v>163.20000000000002</v>
      </c>
      <c r="N207" s="61">
        <f t="shared" si="35"/>
        <v>40.799999999999983</v>
      </c>
      <c r="O207" s="4">
        <f t="shared" si="30"/>
        <v>81600.000000000015</v>
      </c>
      <c r="P207" s="4">
        <f t="shared" si="31"/>
        <v>-20399.999999999993</v>
      </c>
      <c r="Q207" s="4">
        <f t="shared" si="32"/>
        <v>61200.000000000022</v>
      </c>
      <c r="R207" s="4">
        <f t="shared" si="33"/>
        <v>161200.00000000003</v>
      </c>
    </row>
    <row r="208" spans="5:18" x14ac:dyDescent="0.25">
      <c r="E208" s="1">
        <f t="shared" si="28"/>
        <v>205</v>
      </c>
      <c r="F208" s="4">
        <f t="shared" ca="1" si="29"/>
        <v>161500</v>
      </c>
      <c r="G208" s="1" t="s">
        <v>70</v>
      </c>
      <c r="H208" s="26">
        <f t="shared" ca="1" si="27"/>
        <v>0.69792110204351854</v>
      </c>
      <c r="I208" s="4">
        <f>IF(G208="Yes",-$C$8,0)</f>
        <v>-500</v>
      </c>
      <c r="J208" s="4">
        <f>IF(G208="Yes",$C$8-I208,0)</f>
        <v>1000</v>
      </c>
      <c r="K208" s="4">
        <f ca="1">IF(H208&gt;=$C$4,J208+I208,I208)</f>
        <v>500</v>
      </c>
      <c r="M208" s="61">
        <f t="shared" si="34"/>
        <v>164</v>
      </c>
      <c r="N208" s="61">
        <f t="shared" si="35"/>
        <v>41</v>
      </c>
      <c r="O208" s="4">
        <f t="shared" si="30"/>
        <v>82000</v>
      </c>
      <c r="P208" s="4">
        <f t="shared" si="31"/>
        <v>-20500</v>
      </c>
      <c r="Q208" s="4">
        <f t="shared" si="32"/>
        <v>61500</v>
      </c>
      <c r="R208" s="4">
        <f t="shared" si="33"/>
        <v>161500</v>
      </c>
    </row>
    <row r="209" spans="5:18" x14ac:dyDescent="0.25">
      <c r="E209" s="1">
        <f t="shared" si="28"/>
        <v>206</v>
      </c>
      <c r="F209" s="4">
        <f t="shared" ca="1" si="29"/>
        <v>162000</v>
      </c>
      <c r="G209" s="1" t="s">
        <v>70</v>
      </c>
      <c r="H209" s="26">
        <f t="shared" ca="1" si="27"/>
        <v>0.74482240127845956</v>
      </c>
      <c r="I209" s="4">
        <f>IF(G209="Yes",-$C$8,0)</f>
        <v>-500</v>
      </c>
      <c r="J209" s="4">
        <f>IF(G209="Yes",$C$8-I209,0)</f>
        <v>1000</v>
      </c>
      <c r="K209" s="4">
        <f ca="1">IF(H209&gt;=$C$4,J209+I209,I209)</f>
        <v>500</v>
      </c>
      <c r="M209" s="61">
        <f t="shared" si="34"/>
        <v>164.8</v>
      </c>
      <c r="N209" s="61">
        <f t="shared" si="35"/>
        <v>41.199999999999989</v>
      </c>
      <c r="O209" s="4">
        <f t="shared" si="30"/>
        <v>82400</v>
      </c>
      <c r="P209" s="4">
        <f t="shared" si="31"/>
        <v>-20599.999999999993</v>
      </c>
      <c r="Q209" s="4">
        <f t="shared" si="32"/>
        <v>61800.000000000007</v>
      </c>
      <c r="R209" s="4">
        <f t="shared" si="33"/>
        <v>161800</v>
      </c>
    </row>
    <row r="210" spans="5:18" x14ac:dyDescent="0.25">
      <c r="E210" s="1">
        <f t="shared" si="28"/>
        <v>207</v>
      </c>
      <c r="F210" s="4">
        <f t="shared" ca="1" si="29"/>
        <v>162500</v>
      </c>
      <c r="G210" s="1" t="s">
        <v>70</v>
      </c>
      <c r="H210" s="26">
        <f t="shared" ca="1" si="27"/>
        <v>0.66215836342621304</v>
      </c>
      <c r="I210" s="4">
        <f>IF(G210="Yes",-$C$8,0)</f>
        <v>-500</v>
      </c>
      <c r="J210" s="4">
        <f>IF(G210="Yes",$C$8-I210,0)</f>
        <v>1000</v>
      </c>
      <c r="K210" s="4">
        <f ca="1">IF(H210&gt;=$C$4,J210+I210,I210)</f>
        <v>500</v>
      </c>
      <c r="M210" s="61">
        <f t="shared" si="34"/>
        <v>165.60000000000002</v>
      </c>
      <c r="N210" s="61">
        <f t="shared" si="35"/>
        <v>41.399999999999977</v>
      </c>
      <c r="O210" s="4">
        <f t="shared" si="30"/>
        <v>82800.000000000015</v>
      </c>
      <c r="P210" s="4">
        <f t="shared" si="31"/>
        <v>-20699.999999999989</v>
      </c>
      <c r="Q210" s="4">
        <f t="shared" si="32"/>
        <v>62100.000000000029</v>
      </c>
      <c r="R210" s="4">
        <f t="shared" si="33"/>
        <v>162100.00000000003</v>
      </c>
    </row>
    <row r="211" spans="5:18" x14ac:dyDescent="0.25">
      <c r="E211" s="1">
        <f t="shared" si="28"/>
        <v>208</v>
      </c>
      <c r="F211" s="4">
        <f t="shared" ca="1" si="29"/>
        <v>163000</v>
      </c>
      <c r="G211" s="1" t="s">
        <v>70</v>
      </c>
      <c r="H211" s="26">
        <f t="shared" ca="1" si="27"/>
        <v>0.82606601359958787</v>
      </c>
      <c r="I211" s="4">
        <f>IF(G211="Yes",-$C$8,0)</f>
        <v>-500</v>
      </c>
      <c r="J211" s="4">
        <f>IF(G211="Yes",$C$8-I211,0)</f>
        <v>1000</v>
      </c>
      <c r="K211" s="4">
        <f ca="1">IF(H211&gt;=$C$4,J211+I211,I211)</f>
        <v>500</v>
      </c>
      <c r="M211" s="61">
        <f t="shared" si="34"/>
        <v>166.4</v>
      </c>
      <c r="N211" s="61">
        <f t="shared" si="35"/>
        <v>41.599999999999994</v>
      </c>
      <c r="O211" s="4">
        <f t="shared" si="30"/>
        <v>83200</v>
      </c>
      <c r="P211" s="4">
        <f t="shared" si="31"/>
        <v>-20799.999999999996</v>
      </c>
      <c r="Q211" s="4">
        <f t="shared" si="32"/>
        <v>62400</v>
      </c>
      <c r="R211" s="4">
        <f t="shared" si="33"/>
        <v>162400</v>
      </c>
    </row>
    <row r="212" spans="5:18" x14ac:dyDescent="0.25">
      <c r="E212" s="1">
        <f t="shared" si="28"/>
        <v>209</v>
      </c>
      <c r="F212" s="4">
        <f t="shared" ca="1" si="29"/>
        <v>163500</v>
      </c>
      <c r="G212" s="1" t="s">
        <v>70</v>
      </c>
      <c r="H212" s="26">
        <f t="shared" ca="1" si="27"/>
        <v>0.94301401760385317</v>
      </c>
      <c r="I212" s="4">
        <f>IF(G212="Yes",-$C$8,0)</f>
        <v>-500</v>
      </c>
      <c r="J212" s="4">
        <f>IF(G212="Yes",$C$8-I212,0)</f>
        <v>1000</v>
      </c>
      <c r="K212" s="4">
        <f ca="1">IF(H212&gt;=$C$4,J212+I212,I212)</f>
        <v>500</v>
      </c>
      <c r="M212" s="61">
        <f t="shared" si="34"/>
        <v>167.20000000000002</v>
      </c>
      <c r="N212" s="61">
        <f t="shared" si="35"/>
        <v>41.799999999999983</v>
      </c>
      <c r="O212" s="4">
        <f t="shared" si="30"/>
        <v>83600.000000000015</v>
      </c>
      <c r="P212" s="4">
        <f t="shared" si="31"/>
        <v>-20899.999999999993</v>
      </c>
      <c r="Q212" s="4">
        <f t="shared" si="32"/>
        <v>62700.000000000022</v>
      </c>
      <c r="R212" s="4">
        <f t="shared" si="33"/>
        <v>162700.00000000003</v>
      </c>
    </row>
    <row r="213" spans="5:18" x14ac:dyDescent="0.25">
      <c r="E213" s="1">
        <f t="shared" si="28"/>
        <v>210</v>
      </c>
      <c r="F213" s="4">
        <f t="shared" ca="1" si="29"/>
        <v>164000</v>
      </c>
      <c r="G213" s="1" t="s">
        <v>70</v>
      </c>
      <c r="H213" s="26">
        <f t="shared" ca="1" si="27"/>
        <v>0.7268059964318152</v>
      </c>
      <c r="I213" s="4">
        <f>IF(G213="Yes",-$C$8,0)</f>
        <v>-500</v>
      </c>
      <c r="J213" s="4">
        <f>IF(G213="Yes",$C$8-I213,0)</f>
        <v>1000</v>
      </c>
      <c r="K213" s="4">
        <f ca="1">IF(H213&gt;=$C$4,J213+I213,I213)</f>
        <v>500</v>
      </c>
      <c r="M213" s="61">
        <f t="shared" si="34"/>
        <v>168</v>
      </c>
      <c r="N213" s="61">
        <f t="shared" si="35"/>
        <v>42</v>
      </c>
      <c r="O213" s="4">
        <f t="shared" si="30"/>
        <v>84000</v>
      </c>
      <c r="P213" s="4">
        <f t="shared" si="31"/>
        <v>-21000</v>
      </c>
      <c r="Q213" s="4">
        <f t="shared" si="32"/>
        <v>63000</v>
      </c>
      <c r="R213" s="4">
        <f t="shared" si="33"/>
        <v>163000</v>
      </c>
    </row>
    <row r="214" spans="5:18" x14ac:dyDescent="0.25">
      <c r="E214" s="1">
        <f t="shared" si="28"/>
        <v>211</v>
      </c>
      <c r="F214" s="4">
        <f t="shared" ca="1" si="29"/>
        <v>164500</v>
      </c>
      <c r="G214" s="1" t="s">
        <v>70</v>
      </c>
      <c r="H214" s="26">
        <f t="shared" ca="1" si="27"/>
        <v>0.54164312844700158</v>
      </c>
      <c r="I214" s="4">
        <f>IF(G214="Yes",-$C$8,0)</f>
        <v>-500</v>
      </c>
      <c r="J214" s="4">
        <f>IF(G214="Yes",$C$8-I214,0)</f>
        <v>1000</v>
      </c>
      <c r="K214" s="4">
        <f ca="1">IF(H214&gt;=$C$4,J214+I214,I214)</f>
        <v>500</v>
      </c>
      <c r="M214" s="61">
        <f t="shared" si="34"/>
        <v>168.8</v>
      </c>
      <c r="N214" s="61">
        <f t="shared" si="35"/>
        <v>42.199999999999989</v>
      </c>
      <c r="O214" s="4">
        <f t="shared" si="30"/>
        <v>84400</v>
      </c>
      <c r="P214" s="4">
        <f t="shared" si="31"/>
        <v>-21099.999999999993</v>
      </c>
      <c r="Q214" s="4">
        <f t="shared" si="32"/>
        <v>63300.000000000007</v>
      </c>
      <c r="R214" s="4">
        <f t="shared" si="33"/>
        <v>163300</v>
      </c>
    </row>
    <row r="215" spans="5:18" x14ac:dyDescent="0.25">
      <c r="E215" s="1">
        <f t="shared" si="28"/>
        <v>212</v>
      </c>
      <c r="F215" s="4">
        <f t="shared" ca="1" si="29"/>
        <v>165000</v>
      </c>
      <c r="G215" s="1" t="s">
        <v>70</v>
      </c>
      <c r="H215" s="26">
        <f t="shared" ca="1" si="27"/>
        <v>0.54552666304013941</v>
      </c>
      <c r="I215" s="4">
        <f>IF(G215="Yes",-$C$8,0)</f>
        <v>-500</v>
      </c>
      <c r="J215" s="4">
        <f>IF(G215="Yes",$C$8-I215,0)</f>
        <v>1000</v>
      </c>
      <c r="K215" s="4">
        <f ca="1">IF(H215&gt;=$C$4,J215+I215,I215)</f>
        <v>500</v>
      </c>
      <c r="M215" s="61">
        <f t="shared" si="34"/>
        <v>169.60000000000002</v>
      </c>
      <c r="N215" s="61">
        <f t="shared" si="35"/>
        <v>42.399999999999977</v>
      </c>
      <c r="O215" s="4">
        <f t="shared" si="30"/>
        <v>84800.000000000015</v>
      </c>
      <c r="P215" s="4">
        <f t="shared" si="31"/>
        <v>-21199.999999999989</v>
      </c>
      <c r="Q215" s="4">
        <f t="shared" si="32"/>
        <v>63600.000000000029</v>
      </c>
      <c r="R215" s="4">
        <f t="shared" si="33"/>
        <v>163600.00000000003</v>
      </c>
    </row>
    <row r="216" spans="5:18" x14ac:dyDescent="0.25">
      <c r="E216" s="1">
        <f t="shared" si="28"/>
        <v>213</v>
      </c>
      <c r="F216" s="4">
        <f t="shared" ca="1" si="29"/>
        <v>165500</v>
      </c>
      <c r="G216" s="1" t="s">
        <v>70</v>
      </c>
      <c r="H216" s="26">
        <f t="shared" ca="1" si="27"/>
        <v>0.9341349628192378</v>
      </c>
      <c r="I216" s="4">
        <f>IF(G216="Yes",-$C$8,0)</f>
        <v>-500</v>
      </c>
      <c r="J216" s="4">
        <f>IF(G216="Yes",$C$8-I216,0)</f>
        <v>1000</v>
      </c>
      <c r="K216" s="4">
        <f ca="1">IF(H216&gt;=$C$4,J216+I216,I216)</f>
        <v>500</v>
      </c>
      <c r="M216" s="61">
        <f t="shared" si="34"/>
        <v>170.4</v>
      </c>
      <c r="N216" s="61">
        <f t="shared" si="35"/>
        <v>42.599999999999994</v>
      </c>
      <c r="O216" s="4">
        <f t="shared" si="30"/>
        <v>85200</v>
      </c>
      <c r="P216" s="4">
        <f t="shared" si="31"/>
        <v>-21299.999999999996</v>
      </c>
      <c r="Q216" s="4">
        <f t="shared" si="32"/>
        <v>63900</v>
      </c>
      <c r="R216" s="4">
        <f t="shared" si="33"/>
        <v>163900</v>
      </c>
    </row>
    <row r="217" spans="5:18" x14ac:dyDescent="0.25">
      <c r="E217" s="1">
        <f t="shared" si="28"/>
        <v>214</v>
      </c>
      <c r="F217" s="4">
        <f t="shared" ca="1" si="29"/>
        <v>166000</v>
      </c>
      <c r="G217" s="1" t="s">
        <v>70</v>
      </c>
      <c r="H217" s="26">
        <f t="shared" ca="1" si="27"/>
        <v>0.48813769317146249</v>
      </c>
      <c r="I217" s="4">
        <f>IF(G217="Yes",-$C$8,0)</f>
        <v>-500</v>
      </c>
      <c r="J217" s="4">
        <f>IF(G217="Yes",$C$8-I217,0)</f>
        <v>1000</v>
      </c>
      <c r="K217" s="4">
        <f ca="1">IF(H217&gt;=$C$4,J217+I217,I217)</f>
        <v>500</v>
      </c>
      <c r="M217" s="61">
        <f t="shared" si="34"/>
        <v>171.20000000000002</v>
      </c>
      <c r="N217" s="61">
        <f t="shared" si="35"/>
        <v>42.799999999999983</v>
      </c>
      <c r="O217" s="4">
        <f t="shared" si="30"/>
        <v>85600.000000000015</v>
      </c>
      <c r="P217" s="4">
        <f t="shared" si="31"/>
        <v>-21399.999999999993</v>
      </c>
      <c r="Q217" s="4">
        <f t="shared" si="32"/>
        <v>64200.000000000022</v>
      </c>
      <c r="R217" s="4">
        <f t="shared" si="33"/>
        <v>164200.00000000003</v>
      </c>
    </row>
    <row r="218" spans="5:18" x14ac:dyDescent="0.25">
      <c r="E218" s="1">
        <f t="shared" si="28"/>
        <v>215</v>
      </c>
      <c r="F218" s="4">
        <f t="shared" ca="1" si="29"/>
        <v>166500</v>
      </c>
      <c r="G218" s="1" t="s">
        <v>70</v>
      </c>
      <c r="H218" s="26">
        <f t="shared" ca="1" si="27"/>
        <v>0.66911955308372295</v>
      </c>
      <c r="I218" s="4">
        <f>IF(G218="Yes",-$C$8,0)</f>
        <v>-500</v>
      </c>
      <c r="J218" s="4">
        <f>IF(G218="Yes",$C$8-I218,0)</f>
        <v>1000</v>
      </c>
      <c r="K218" s="4">
        <f ca="1">IF(H218&gt;=$C$4,J218+I218,I218)</f>
        <v>500</v>
      </c>
      <c r="M218" s="61">
        <f t="shared" si="34"/>
        <v>172</v>
      </c>
      <c r="N218" s="61">
        <f t="shared" si="35"/>
        <v>43</v>
      </c>
      <c r="O218" s="4">
        <f t="shared" si="30"/>
        <v>86000</v>
      </c>
      <c r="P218" s="4">
        <f t="shared" si="31"/>
        <v>-21500</v>
      </c>
      <c r="Q218" s="4">
        <f t="shared" si="32"/>
        <v>64500</v>
      </c>
      <c r="R218" s="4">
        <f t="shared" si="33"/>
        <v>164500</v>
      </c>
    </row>
    <row r="219" spans="5:18" x14ac:dyDescent="0.25">
      <c r="E219" s="1">
        <f t="shared" si="28"/>
        <v>216</v>
      </c>
      <c r="F219" s="4">
        <f t="shared" ca="1" si="29"/>
        <v>167000</v>
      </c>
      <c r="G219" s="1" t="s">
        <v>70</v>
      </c>
      <c r="H219" s="26">
        <f t="shared" ca="1" si="27"/>
        <v>0.72273495619431494</v>
      </c>
      <c r="I219" s="4">
        <f>IF(G219="Yes",-$C$8,0)</f>
        <v>-500</v>
      </c>
      <c r="J219" s="4">
        <f>IF(G219="Yes",$C$8-I219,0)</f>
        <v>1000</v>
      </c>
      <c r="K219" s="4">
        <f ca="1">IF(H219&gt;=$C$4,J219+I219,I219)</f>
        <v>500</v>
      </c>
      <c r="M219" s="61">
        <f t="shared" si="34"/>
        <v>172.8</v>
      </c>
      <c r="N219" s="61">
        <f t="shared" si="35"/>
        <v>43.199999999999989</v>
      </c>
      <c r="O219" s="4">
        <f t="shared" si="30"/>
        <v>86400</v>
      </c>
      <c r="P219" s="4">
        <f t="shared" si="31"/>
        <v>-21599.999999999993</v>
      </c>
      <c r="Q219" s="4">
        <f t="shared" si="32"/>
        <v>64800.000000000007</v>
      </c>
      <c r="R219" s="4">
        <f t="shared" si="33"/>
        <v>164800</v>
      </c>
    </row>
    <row r="220" spans="5:18" x14ac:dyDescent="0.25">
      <c r="E220" s="1">
        <f t="shared" si="28"/>
        <v>217</v>
      </c>
      <c r="F220" s="4">
        <f t="shared" ca="1" si="29"/>
        <v>167500</v>
      </c>
      <c r="G220" s="1" t="s">
        <v>70</v>
      </c>
      <c r="H220" s="26">
        <f t="shared" ca="1" si="27"/>
        <v>0.78289560097845157</v>
      </c>
      <c r="I220" s="4">
        <f>IF(G220="Yes",-$C$8,0)</f>
        <v>-500</v>
      </c>
      <c r="J220" s="4">
        <f>IF(G220="Yes",$C$8-I220,0)</f>
        <v>1000</v>
      </c>
      <c r="K220" s="4">
        <f ca="1">IF(H220&gt;=$C$4,J220+I220,I220)</f>
        <v>500</v>
      </c>
      <c r="M220" s="61">
        <f t="shared" si="34"/>
        <v>173.60000000000002</v>
      </c>
      <c r="N220" s="61">
        <f t="shared" si="35"/>
        <v>43.399999999999977</v>
      </c>
      <c r="O220" s="4">
        <f t="shared" si="30"/>
        <v>86800.000000000015</v>
      </c>
      <c r="P220" s="4">
        <f t="shared" si="31"/>
        <v>-21699.999999999989</v>
      </c>
      <c r="Q220" s="4">
        <f t="shared" si="32"/>
        <v>65100.000000000029</v>
      </c>
      <c r="R220" s="4">
        <f t="shared" si="33"/>
        <v>165100.00000000003</v>
      </c>
    </row>
    <row r="221" spans="5:18" x14ac:dyDescent="0.25">
      <c r="E221" s="1">
        <f t="shared" si="28"/>
        <v>218</v>
      </c>
      <c r="F221" s="4">
        <f t="shared" ca="1" si="29"/>
        <v>168000</v>
      </c>
      <c r="G221" s="1" t="s">
        <v>70</v>
      </c>
      <c r="H221" s="26">
        <f t="shared" ca="1" si="27"/>
        <v>0.31529797631211798</v>
      </c>
      <c r="I221" s="4">
        <f>IF(G221="Yes",-$C$8,0)</f>
        <v>-500</v>
      </c>
      <c r="J221" s="4">
        <f>IF(G221="Yes",$C$8-I221,0)</f>
        <v>1000</v>
      </c>
      <c r="K221" s="4">
        <f ca="1">IF(H221&gt;=$C$4,J221+I221,I221)</f>
        <v>500</v>
      </c>
      <c r="M221" s="61">
        <f t="shared" si="34"/>
        <v>174.4</v>
      </c>
      <c r="N221" s="61">
        <f t="shared" si="35"/>
        <v>43.599999999999994</v>
      </c>
      <c r="O221" s="4">
        <f t="shared" si="30"/>
        <v>87200</v>
      </c>
      <c r="P221" s="4">
        <f t="shared" si="31"/>
        <v>-21799.999999999996</v>
      </c>
      <c r="Q221" s="4">
        <f t="shared" si="32"/>
        <v>65400</v>
      </c>
      <c r="R221" s="4">
        <f t="shared" si="33"/>
        <v>165400</v>
      </c>
    </row>
    <row r="222" spans="5:18" x14ac:dyDescent="0.25">
      <c r="E222" s="1">
        <f t="shared" si="28"/>
        <v>219</v>
      </c>
      <c r="F222" s="4">
        <f t="shared" ca="1" si="29"/>
        <v>168500</v>
      </c>
      <c r="G222" s="1" t="s">
        <v>70</v>
      </c>
      <c r="H222" s="26">
        <f t="shared" ca="1" si="27"/>
        <v>0.88011667061246401</v>
      </c>
      <c r="I222" s="4">
        <f>IF(G222="Yes",-$C$8,0)</f>
        <v>-500</v>
      </c>
      <c r="J222" s="4">
        <f>IF(G222="Yes",$C$8-I222,0)</f>
        <v>1000</v>
      </c>
      <c r="K222" s="4">
        <f ca="1">IF(H222&gt;=$C$4,J222+I222,I222)</f>
        <v>500</v>
      </c>
      <c r="M222" s="61">
        <f t="shared" si="34"/>
        <v>175.20000000000002</v>
      </c>
      <c r="N222" s="61">
        <f t="shared" si="35"/>
        <v>43.799999999999983</v>
      </c>
      <c r="O222" s="4">
        <f t="shared" si="30"/>
        <v>87600.000000000015</v>
      </c>
      <c r="P222" s="4">
        <f t="shared" si="31"/>
        <v>-21899.999999999993</v>
      </c>
      <c r="Q222" s="4">
        <f t="shared" si="32"/>
        <v>65700.000000000029</v>
      </c>
      <c r="R222" s="4">
        <f t="shared" si="33"/>
        <v>165700.00000000003</v>
      </c>
    </row>
    <row r="223" spans="5:18" x14ac:dyDescent="0.25">
      <c r="E223" s="1">
        <f t="shared" si="28"/>
        <v>220</v>
      </c>
      <c r="F223" s="4">
        <f t="shared" ca="1" si="29"/>
        <v>168000</v>
      </c>
      <c r="G223" s="1" t="s">
        <v>70</v>
      </c>
      <c r="H223" s="26">
        <f t="shared" ca="1" si="27"/>
        <v>0.15841567883941843</v>
      </c>
      <c r="I223" s="4">
        <f>IF(G223="Yes",-$C$8,0)</f>
        <v>-500</v>
      </c>
      <c r="J223" s="4">
        <f>IF(G223="Yes",$C$8-I223,0)</f>
        <v>1000</v>
      </c>
      <c r="K223" s="4">
        <f ca="1">IF(H223&gt;=$C$4,J223+I223,I223)</f>
        <v>-500</v>
      </c>
      <c r="M223" s="61">
        <f t="shared" si="34"/>
        <v>176</v>
      </c>
      <c r="N223" s="61">
        <f t="shared" si="35"/>
        <v>44</v>
      </c>
      <c r="O223" s="4">
        <f t="shared" si="30"/>
        <v>88000</v>
      </c>
      <c r="P223" s="4">
        <f t="shared" si="31"/>
        <v>-22000</v>
      </c>
      <c r="Q223" s="4">
        <f t="shared" si="32"/>
        <v>66000</v>
      </c>
      <c r="R223" s="4">
        <f t="shared" si="33"/>
        <v>166000</v>
      </c>
    </row>
    <row r="224" spans="5:18" x14ac:dyDescent="0.25">
      <c r="E224" s="1">
        <f t="shared" si="28"/>
        <v>221</v>
      </c>
      <c r="F224" s="4">
        <f t="shared" ca="1" si="29"/>
        <v>168500</v>
      </c>
      <c r="G224" s="1" t="s">
        <v>70</v>
      </c>
      <c r="H224" s="26">
        <f t="shared" ca="1" si="27"/>
        <v>0.94393313922863276</v>
      </c>
      <c r="I224" s="4">
        <f>IF(G224="Yes",-$C$8,0)</f>
        <v>-500</v>
      </c>
      <c r="J224" s="4">
        <f>IF(G224="Yes",$C$8-I224,0)</f>
        <v>1000</v>
      </c>
      <c r="K224" s="4">
        <f ca="1">IF(H224&gt;=$C$4,J224+I224,I224)</f>
        <v>500</v>
      </c>
      <c r="M224" s="61">
        <f t="shared" si="34"/>
        <v>176.8</v>
      </c>
      <c r="N224" s="61">
        <f t="shared" si="35"/>
        <v>44.199999999999989</v>
      </c>
      <c r="O224" s="4">
        <f t="shared" si="30"/>
        <v>88400</v>
      </c>
      <c r="P224" s="4">
        <f t="shared" si="31"/>
        <v>-22099.999999999993</v>
      </c>
      <c r="Q224" s="4">
        <f t="shared" si="32"/>
        <v>66300</v>
      </c>
      <c r="R224" s="4">
        <f t="shared" si="33"/>
        <v>166300</v>
      </c>
    </row>
    <row r="225" spans="5:18" x14ac:dyDescent="0.25">
      <c r="E225" s="1">
        <f t="shared" si="28"/>
        <v>222</v>
      </c>
      <c r="F225" s="4">
        <f t="shared" ca="1" si="29"/>
        <v>169000</v>
      </c>
      <c r="G225" s="1" t="s">
        <v>70</v>
      </c>
      <c r="H225" s="26">
        <f t="shared" ca="1" si="27"/>
        <v>0.50833285747370949</v>
      </c>
      <c r="I225" s="4">
        <f>IF(G225="Yes",-$C$8,0)</f>
        <v>-500</v>
      </c>
      <c r="J225" s="4">
        <f>IF(G225="Yes",$C$8-I225,0)</f>
        <v>1000</v>
      </c>
      <c r="K225" s="4">
        <f ca="1">IF(H225&gt;=$C$4,J225+I225,I225)</f>
        <v>500</v>
      </c>
      <c r="M225" s="61">
        <f t="shared" si="34"/>
        <v>177.60000000000002</v>
      </c>
      <c r="N225" s="61">
        <f t="shared" si="35"/>
        <v>44.399999999999977</v>
      </c>
      <c r="O225" s="4">
        <f t="shared" si="30"/>
        <v>88800.000000000015</v>
      </c>
      <c r="P225" s="4">
        <f t="shared" si="31"/>
        <v>-22199.999999999989</v>
      </c>
      <c r="Q225" s="4">
        <f t="shared" si="32"/>
        <v>66600.000000000029</v>
      </c>
      <c r="R225" s="4">
        <f t="shared" si="33"/>
        <v>166600.00000000003</v>
      </c>
    </row>
    <row r="226" spans="5:18" x14ac:dyDescent="0.25">
      <c r="E226" s="1">
        <f t="shared" si="28"/>
        <v>223</v>
      </c>
      <c r="F226" s="4">
        <f t="shared" ca="1" si="29"/>
        <v>169500</v>
      </c>
      <c r="G226" s="1" t="s">
        <v>70</v>
      </c>
      <c r="H226" s="26">
        <f t="shared" ca="1" si="27"/>
        <v>0.87799664427482893</v>
      </c>
      <c r="I226" s="4">
        <f>IF(G226="Yes",-$C$8,0)</f>
        <v>-500</v>
      </c>
      <c r="J226" s="4">
        <f>IF(G226="Yes",$C$8-I226,0)</f>
        <v>1000</v>
      </c>
      <c r="K226" s="4">
        <f ca="1">IF(H226&gt;=$C$4,J226+I226,I226)</f>
        <v>500</v>
      </c>
      <c r="M226" s="61">
        <f t="shared" si="34"/>
        <v>178.4</v>
      </c>
      <c r="N226" s="61">
        <f t="shared" si="35"/>
        <v>44.599999999999994</v>
      </c>
      <c r="O226" s="4">
        <f t="shared" si="30"/>
        <v>89200</v>
      </c>
      <c r="P226" s="4">
        <f t="shared" si="31"/>
        <v>-22299.999999999996</v>
      </c>
      <c r="Q226" s="4">
        <f t="shared" si="32"/>
        <v>66900</v>
      </c>
      <c r="R226" s="4">
        <f t="shared" si="33"/>
        <v>166900</v>
      </c>
    </row>
    <row r="227" spans="5:18" x14ac:dyDescent="0.25">
      <c r="E227" s="1">
        <f t="shared" si="28"/>
        <v>224</v>
      </c>
      <c r="F227" s="4">
        <f t="shared" ca="1" si="29"/>
        <v>170000</v>
      </c>
      <c r="G227" s="1" t="s">
        <v>70</v>
      </c>
      <c r="H227" s="26">
        <f t="shared" ca="1" si="27"/>
        <v>0.77922036050484933</v>
      </c>
      <c r="I227" s="4">
        <f>IF(G227="Yes",-$C$8,0)</f>
        <v>-500</v>
      </c>
      <c r="J227" s="4">
        <f>IF(G227="Yes",$C$8-I227,0)</f>
        <v>1000</v>
      </c>
      <c r="K227" s="4">
        <f ca="1">IF(H227&gt;=$C$4,J227+I227,I227)</f>
        <v>500</v>
      </c>
      <c r="M227" s="61">
        <f t="shared" si="34"/>
        <v>179.20000000000002</v>
      </c>
      <c r="N227" s="61">
        <f t="shared" si="35"/>
        <v>44.799999999999983</v>
      </c>
      <c r="O227" s="4">
        <f t="shared" si="30"/>
        <v>89600.000000000015</v>
      </c>
      <c r="P227" s="4">
        <f t="shared" si="31"/>
        <v>-22399.999999999993</v>
      </c>
      <c r="Q227" s="4">
        <f t="shared" si="32"/>
        <v>67200.000000000029</v>
      </c>
      <c r="R227" s="4">
        <f t="shared" si="33"/>
        <v>167200.00000000003</v>
      </c>
    </row>
    <row r="228" spans="5:18" x14ac:dyDescent="0.25">
      <c r="E228" s="1">
        <f t="shared" si="28"/>
        <v>225</v>
      </c>
      <c r="F228" s="4">
        <f t="shared" ca="1" si="29"/>
        <v>170500</v>
      </c>
      <c r="G228" s="1" t="s">
        <v>70</v>
      </c>
      <c r="H228" s="26">
        <f t="shared" ca="1" si="27"/>
        <v>0.81298558836962886</v>
      </c>
      <c r="I228" s="4">
        <f>IF(G228="Yes",-$C$8,0)</f>
        <v>-500</v>
      </c>
      <c r="J228" s="4">
        <f>IF(G228="Yes",$C$8-I228,0)</f>
        <v>1000</v>
      </c>
      <c r="K228" s="4">
        <f ca="1">IF(H228&gt;=$C$4,J228+I228,I228)</f>
        <v>500</v>
      </c>
      <c r="M228" s="61">
        <f t="shared" si="34"/>
        <v>180</v>
      </c>
      <c r="N228" s="61">
        <f t="shared" si="35"/>
        <v>45</v>
      </c>
      <c r="O228" s="4">
        <f t="shared" si="30"/>
        <v>90000</v>
      </c>
      <c r="P228" s="4">
        <f t="shared" si="31"/>
        <v>-22500</v>
      </c>
      <c r="Q228" s="4">
        <f t="shared" si="32"/>
        <v>67500</v>
      </c>
      <c r="R228" s="4">
        <f t="shared" si="33"/>
        <v>167500</v>
      </c>
    </row>
    <row r="229" spans="5:18" x14ac:dyDescent="0.25">
      <c r="E229" s="1">
        <f t="shared" si="28"/>
        <v>226</v>
      </c>
      <c r="F229" s="4">
        <f t="shared" ca="1" si="29"/>
        <v>170000</v>
      </c>
      <c r="G229" s="1" t="s">
        <v>70</v>
      </c>
      <c r="H229" s="26">
        <f t="shared" ca="1" si="27"/>
        <v>0.120600100845212</v>
      </c>
      <c r="I229" s="4">
        <f>IF(G229="Yes",-$C$8,0)</f>
        <v>-500</v>
      </c>
      <c r="J229" s="4">
        <f>IF(G229="Yes",$C$8-I229,0)</f>
        <v>1000</v>
      </c>
      <c r="K229" s="4">
        <f ca="1">IF(H229&gt;=$C$4,J229+I229,I229)</f>
        <v>-500</v>
      </c>
      <c r="M229" s="61">
        <f t="shared" si="34"/>
        <v>180.8</v>
      </c>
      <c r="N229" s="61">
        <f t="shared" si="35"/>
        <v>45.199999999999989</v>
      </c>
      <c r="O229" s="4">
        <f t="shared" si="30"/>
        <v>90400</v>
      </c>
      <c r="P229" s="4">
        <f t="shared" si="31"/>
        <v>-22599.999999999993</v>
      </c>
      <c r="Q229" s="4">
        <f t="shared" si="32"/>
        <v>67800</v>
      </c>
      <c r="R229" s="4">
        <f t="shared" si="33"/>
        <v>167800</v>
      </c>
    </row>
    <row r="230" spans="5:18" x14ac:dyDescent="0.25">
      <c r="E230" s="1">
        <f t="shared" si="28"/>
        <v>227</v>
      </c>
      <c r="F230" s="4">
        <f t="shared" ca="1" si="29"/>
        <v>170500</v>
      </c>
      <c r="G230" s="1" t="s">
        <v>70</v>
      </c>
      <c r="H230" s="26">
        <f t="shared" ca="1" si="27"/>
        <v>0.28994640559768003</v>
      </c>
      <c r="I230" s="4">
        <f>IF(G230="Yes",-$C$8,0)</f>
        <v>-500</v>
      </c>
      <c r="J230" s="4">
        <f>IF(G230="Yes",$C$8-I230,0)</f>
        <v>1000</v>
      </c>
      <c r="K230" s="4">
        <f ca="1">IF(H230&gt;=$C$4,J230+I230,I230)</f>
        <v>500</v>
      </c>
      <c r="M230" s="61">
        <f t="shared" si="34"/>
        <v>181.60000000000002</v>
      </c>
      <c r="N230" s="61">
        <f t="shared" si="35"/>
        <v>45.399999999999977</v>
      </c>
      <c r="O230" s="4">
        <f t="shared" si="30"/>
        <v>90800.000000000015</v>
      </c>
      <c r="P230" s="4">
        <f t="shared" si="31"/>
        <v>-22699.999999999989</v>
      </c>
      <c r="Q230" s="4">
        <f t="shared" si="32"/>
        <v>68100.000000000029</v>
      </c>
      <c r="R230" s="4">
        <f t="shared" si="33"/>
        <v>168100.00000000003</v>
      </c>
    </row>
    <row r="231" spans="5:18" x14ac:dyDescent="0.25">
      <c r="E231" s="1">
        <f t="shared" si="28"/>
        <v>228</v>
      </c>
      <c r="F231" s="4">
        <f t="shared" ca="1" si="29"/>
        <v>171000</v>
      </c>
      <c r="G231" s="1" t="s">
        <v>70</v>
      </c>
      <c r="H231" s="26">
        <f t="shared" ca="1" si="27"/>
        <v>0.23791030909998856</v>
      </c>
      <c r="I231" s="4">
        <f>IF(G231="Yes",-$C$8,0)</f>
        <v>-500</v>
      </c>
      <c r="J231" s="4">
        <f>IF(G231="Yes",$C$8-I231,0)</f>
        <v>1000</v>
      </c>
      <c r="K231" s="4">
        <f ca="1">IF(H231&gt;=$C$4,J231+I231,I231)</f>
        <v>500</v>
      </c>
      <c r="M231" s="61">
        <f t="shared" si="34"/>
        <v>182.4</v>
      </c>
      <c r="N231" s="61">
        <f t="shared" si="35"/>
        <v>45.599999999999994</v>
      </c>
      <c r="O231" s="4">
        <f t="shared" si="30"/>
        <v>91200</v>
      </c>
      <c r="P231" s="4">
        <f t="shared" si="31"/>
        <v>-22799.999999999996</v>
      </c>
      <c r="Q231" s="4">
        <f t="shared" si="32"/>
        <v>68400</v>
      </c>
      <c r="R231" s="4">
        <f t="shared" si="33"/>
        <v>168400</v>
      </c>
    </row>
    <row r="232" spans="5:18" x14ac:dyDescent="0.25">
      <c r="E232" s="1">
        <f t="shared" si="28"/>
        <v>229</v>
      </c>
      <c r="F232" s="4">
        <f t="shared" ca="1" si="29"/>
        <v>170500</v>
      </c>
      <c r="G232" s="1" t="s">
        <v>70</v>
      </c>
      <c r="H232" s="26">
        <f t="shared" ca="1" si="27"/>
        <v>0.15035653101823343</v>
      </c>
      <c r="I232" s="4">
        <f>IF(G232="Yes",-$C$8,0)</f>
        <v>-500</v>
      </c>
      <c r="J232" s="4">
        <f>IF(G232="Yes",$C$8-I232,0)</f>
        <v>1000</v>
      </c>
      <c r="K232" s="4">
        <f ca="1">IF(H232&gt;=$C$4,J232+I232,I232)</f>
        <v>-500</v>
      </c>
      <c r="M232" s="61">
        <f t="shared" si="34"/>
        <v>183.20000000000002</v>
      </c>
      <c r="N232" s="61">
        <f t="shared" si="35"/>
        <v>45.799999999999983</v>
      </c>
      <c r="O232" s="4">
        <f t="shared" si="30"/>
        <v>91600.000000000015</v>
      </c>
      <c r="P232" s="4">
        <f t="shared" si="31"/>
        <v>-22899.999999999993</v>
      </c>
      <c r="Q232" s="4">
        <f t="shared" si="32"/>
        <v>68700.000000000029</v>
      </c>
      <c r="R232" s="4">
        <f t="shared" si="33"/>
        <v>168700.00000000003</v>
      </c>
    </row>
    <row r="233" spans="5:18" x14ac:dyDescent="0.25">
      <c r="E233" s="1">
        <f t="shared" si="28"/>
        <v>230</v>
      </c>
      <c r="F233" s="4">
        <f t="shared" ca="1" si="29"/>
        <v>171000</v>
      </c>
      <c r="G233" s="1" t="s">
        <v>70</v>
      </c>
      <c r="H233" s="26">
        <f t="shared" ca="1" si="27"/>
        <v>0.73345919241457957</v>
      </c>
      <c r="I233" s="4">
        <f>IF(G233="Yes",-$C$8,0)</f>
        <v>-500</v>
      </c>
      <c r="J233" s="4">
        <f>IF(G233="Yes",$C$8-I233,0)</f>
        <v>1000</v>
      </c>
      <c r="K233" s="4">
        <f ca="1">IF(H233&gt;=$C$4,J233+I233,I233)</f>
        <v>500</v>
      </c>
      <c r="M233" s="61">
        <f t="shared" si="34"/>
        <v>184</v>
      </c>
      <c r="N233" s="61">
        <f t="shared" si="35"/>
        <v>46</v>
      </c>
      <c r="O233" s="4">
        <f t="shared" si="30"/>
        <v>92000</v>
      </c>
      <c r="P233" s="4">
        <f t="shared" si="31"/>
        <v>-23000</v>
      </c>
      <c r="Q233" s="4">
        <f t="shared" si="32"/>
        <v>69000</v>
      </c>
      <c r="R233" s="4">
        <f t="shared" si="33"/>
        <v>169000</v>
      </c>
    </row>
    <row r="234" spans="5:18" x14ac:dyDescent="0.25">
      <c r="E234" s="1">
        <f t="shared" si="28"/>
        <v>231</v>
      </c>
      <c r="F234" s="4">
        <f t="shared" ca="1" si="29"/>
        <v>171500</v>
      </c>
      <c r="G234" s="1" t="s">
        <v>70</v>
      </c>
      <c r="H234" s="26">
        <f t="shared" ca="1" si="27"/>
        <v>0.65968440173923193</v>
      </c>
      <c r="I234" s="4">
        <f>IF(G234="Yes",-$C$8,0)</f>
        <v>-500</v>
      </c>
      <c r="J234" s="4">
        <f>IF(G234="Yes",$C$8-I234,0)</f>
        <v>1000</v>
      </c>
      <c r="K234" s="4">
        <f ca="1">IF(H234&gt;=$C$4,J234+I234,I234)</f>
        <v>500</v>
      </c>
      <c r="M234" s="61">
        <f t="shared" si="34"/>
        <v>184.8</v>
      </c>
      <c r="N234" s="61">
        <f t="shared" si="35"/>
        <v>46.199999999999989</v>
      </c>
      <c r="O234" s="4">
        <f t="shared" si="30"/>
        <v>92400</v>
      </c>
      <c r="P234" s="4">
        <f t="shared" si="31"/>
        <v>-23099.999999999993</v>
      </c>
      <c r="Q234" s="4">
        <f t="shared" si="32"/>
        <v>69300</v>
      </c>
      <c r="R234" s="4">
        <f t="shared" si="33"/>
        <v>169300</v>
      </c>
    </row>
    <row r="235" spans="5:18" x14ac:dyDescent="0.25">
      <c r="E235" s="1">
        <f t="shared" si="28"/>
        <v>232</v>
      </c>
      <c r="F235" s="4">
        <f t="shared" ca="1" si="29"/>
        <v>171000</v>
      </c>
      <c r="G235" s="1" t="s">
        <v>70</v>
      </c>
      <c r="H235" s="26">
        <f t="shared" ca="1" si="27"/>
        <v>6.359687444574269E-2</v>
      </c>
      <c r="I235" s="4">
        <f>IF(G235="Yes",-$C$8,0)</f>
        <v>-500</v>
      </c>
      <c r="J235" s="4">
        <f>IF(G235="Yes",$C$8-I235,0)</f>
        <v>1000</v>
      </c>
      <c r="K235" s="4">
        <f ca="1">IF(H235&gt;=$C$4,J235+I235,I235)</f>
        <v>-500</v>
      </c>
      <c r="M235" s="61">
        <f t="shared" si="34"/>
        <v>185.60000000000002</v>
      </c>
      <c r="N235" s="61">
        <f t="shared" si="35"/>
        <v>46.399999999999977</v>
      </c>
      <c r="O235" s="4">
        <f t="shared" si="30"/>
        <v>92800.000000000015</v>
      </c>
      <c r="P235" s="4">
        <f t="shared" si="31"/>
        <v>-23199.999999999989</v>
      </c>
      <c r="Q235" s="4">
        <f t="shared" si="32"/>
        <v>69600.000000000029</v>
      </c>
      <c r="R235" s="4">
        <f t="shared" si="33"/>
        <v>169600.00000000003</v>
      </c>
    </row>
    <row r="236" spans="5:18" x14ac:dyDescent="0.25">
      <c r="E236" s="1">
        <f t="shared" si="28"/>
        <v>233</v>
      </c>
      <c r="F236" s="4">
        <f t="shared" ca="1" si="29"/>
        <v>170500</v>
      </c>
      <c r="G236" s="1" t="s">
        <v>70</v>
      </c>
      <c r="H236" s="26">
        <f t="shared" ca="1" si="27"/>
        <v>0.13115299762175792</v>
      </c>
      <c r="I236" s="4">
        <f>IF(G236="Yes",-$C$8,0)</f>
        <v>-500</v>
      </c>
      <c r="J236" s="4">
        <f>IF(G236="Yes",$C$8-I236,0)</f>
        <v>1000</v>
      </c>
      <c r="K236" s="4">
        <f ca="1">IF(H236&gt;=$C$4,J236+I236,I236)</f>
        <v>-500</v>
      </c>
      <c r="M236" s="61">
        <f t="shared" si="34"/>
        <v>186.4</v>
      </c>
      <c r="N236" s="61">
        <f t="shared" si="35"/>
        <v>46.599999999999994</v>
      </c>
      <c r="O236" s="4">
        <f t="shared" si="30"/>
        <v>93200</v>
      </c>
      <c r="P236" s="4">
        <f t="shared" si="31"/>
        <v>-23299.999999999996</v>
      </c>
      <c r="Q236" s="4">
        <f t="shared" si="32"/>
        <v>69900</v>
      </c>
      <c r="R236" s="4">
        <f t="shared" si="33"/>
        <v>169900</v>
      </c>
    </row>
    <row r="237" spans="5:18" x14ac:dyDescent="0.25">
      <c r="E237" s="1">
        <f t="shared" si="28"/>
        <v>234</v>
      </c>
      <c r="F237" s="4">
        <f t="shared" ca="1" si="29"/>
        <v>170000</v>
      </c>
      <c r="G237" s="1" t="s">
        <v>70</v>
      </c>
      <c r="H237" s="26">
        <f t="shared" ca="1" si="27"/>
        <v>3.8917999985791929E-2</v>
      </c>
      <c r="I237" s="4">
        <f>IF(G237="Yes",-$C$8,0)</f>
        <v>-500</v>
      </c>
      <c r="J237" s="4">
        <f>IF(G237="Yes",$C$8-I237,0)</f>
        <v>1000</v>
      </c>
      <c r="K237" s="4">
        <f ca="1">IF(H237&gt;=$C$4,J237+I237,I237)</f>
        <v>-500</v>
      </c>
      <c r="M237" s="61">
        <f t="shared" si="34"/>
        <v>187.20000000000002</v>
      </c>
      <c r="N237" s="61">
        <f t="shared" si="35"/>
        <v>46.799999999999983</v>
      </c>
      <c r="O237" s="4">
        <f t="shared" si="30"/>
        <v>93600.000000000015</v>
      </c>
      <c r="P237" s="4">
        <f t="shared" si="31"/>
        <v>-23399.999999999993</v>
      </c>
      <c r="Q237" s="4">
        <f t="shared" si="32"/>
        <v>70200.000000000029</v>
      </c>
      <c r="R237" s="4">
        <f t="shared" si="33"/>
        <v>170200.00000000003</v>
      </c>
    </row>
    <row r="238" spans="5:18" x14ac:dyDescent="0.25">
      <c r="E238" s="1">
        <f t="shared" si="28"/>
        <v>235</v>
      </c>
      <c r="F238" s="4">
        <f t="shared" ca="1" si="29"/>
        <v>170500</v>
      </c>
      <c r="G238" s="1" t="s">
        <v>70</v>
      </c>
      <c r="H238" s="26">
        <f t="shared" ca="1" si="27"/>
        <v>0.88740248543254796</v>
      </c>
      <c r="I238" s="4">
        <f>IF(G238="Yes",-$C$8,0)</f>
        <v>-500</v>
      </c>
      <c r="J238" s="4">
        <f>IF(G238="Yes",$C$8-I238,0)</f>
        <v>1000</v>
      </c>
      <c r="K238" s="4">
        <f ca="1">IF(H238&gt;=$C$4,J238+I238,I238)</f>
        <v>500</v>
      </c>
      <c r="M238" s="61">
        <f t="shared" si="34"/>
        <v>188</v>
      </c>
      <c r="N238" s="61">
        <f t="shared" si="35"/>
        <v>47</v>
      </c>
      <c r="O238" s="4">
        <f t="shared" si="30"/>
        <v>94000</v>
      </c>
      <c r="P238" s="4">
        <f t="shared" si="31"/>
        <v>-23500</v>
      </c>
      <c r="Q238" s="4">
        <f t="shared" si="32"/>
        <v>70500</v>
      </c>
      <c r="R238" s="4">
        <f t="shared" si="33"/>
        <v>170500</v>
      </c>
    </row>
    <row r="239" spans="5:18" x14ac:dyDescent="0.25">
      <c r="E239" s="1">
        <f t="shared" si="28"/>
        <v>236</v>
      </c>
      <c r="F239" s="4">
        <f t="shared" ca="1" si="29"/>
        <v>171000</v>
      </c>
      <c r="G239" s="1" t="s">
        <v>70</v>
      </c>
      <c r="H239" s="26">
        <f t="shared" ca="1" si="27"/>
        <v>0.45953407028564419</v>
      </c>
      <c r="I239" s="4">
        <f>IF(G239="Yes",-$C$8,0)</f>
        <v>-500</v>
      </c>
      <c r="J239" s="4">
        <f>IF(G239="Yes",$C$8-I239,0)</f>
        <v>1000</v>
      </c>
      <c r="K239" s="4">
        <f ca="1">IF(H239&gt;=$C$4,J239+I239,I239)</f>
        <v>500</v>
      </c>
      <c r="M239" s="61">
        <f t="shared" si="34"/>
        <v>188.8</v>
      </c>
      <c r="N239" s="61">
        <f t="shared" si="35"/>
        <v>47.199999999999989</v>
      </c>
      <c r="O239" s="4">
        <f t="shared" si="30"/>
        <v>94400</v>
      </c>
      <c r="P239" s="4">
        <f t="shared" si="31"/>
        <v>-23599.999999999993</v>
      </c>
      <c r="Q239" s="4">
        <f t="shared" si="32"/>
        <v>70800</v>
      </c>
      <c r="R239" s="4">
        <f t="shared" si="33"/>
        <v>170800</v>
      </c>
    </row>
    <row r="240" spans="5:18" x14ac:dyDescent="0.25">
      <c r="E240" s="1">
        <f t="shared" si="28"/>
        <v>237</v>
      </c>
      <c r="F240" s="4">
        <f t="shared" ca="1" si="29"/>
        <v>170500</v>
      </c>
      <c r="G240" s="1" t="s">
        <v>70</v>
      </c>
      <c r="H240" s="26">
        <f t="shared" ca="1" si="27"/>
        <v>0.1978963688092148</v>
      </c>
      <c r="I240" s="4">
        <f>IF(G240="Yes",-$C$8,0)</f>
        <v>-500</v>
      </c>
      <c r="J240" s="4">
        <f>IF(G240="Yes",$C$8-I240,0)</f>
        <v>1000</v>
      </c>
      <c r="K240" s="4">
        <f ca="1">IF(H240&gt;=$C$4,J240+I240,I240)</f>
        <v>-500</v>
      </c>
      <c r="M240" s="61">
        <f t="shared" si="34"/>
        <v>189.60000000000002</v>
      </c>
      <c r="N240" s="61">
        <f t="shared" si="35"/>
        <v>47.399999999999977</v>
      </c>
      <c r="O240" s="4">
        <f t="shared" si="30"/>
        <v>94800.000000000015</v>
      </c>
      <c r="P240" s="4">
        <f t="shared" si="31"/>
        <v>-23699.999999999989</v>
      </c>
      <c r="Q240" s="4">
        <f t="shared" si="32"/>
        <v>71100.000000000029</v>
      </c>
      <c r="R240" s="4">
        <f t="shared" si="33"/>
        <v>171100.00000000003</v>
      </c>
    </row>
    <row r="241" spans="5:18" x14ac:dyDescent="0.25">
      <c r="E241" s="1">
        <f t="shared" si="28"/>
        <v>238</v>
      </c>
      <c r="F241" s="4">
        <f t="shared" ca="1" si="29"/>
        <v>171000</v>
      </c>
      <c r="G241" s="1" t="s">
        <v>70</v>
      </c>
      <c r="H241" s="26">
        <f t="shared" ca="1" si="27"/>
        <v>0.47848738593061579</v>
      </c>
      <c r="I241" s="4">
        <f>IF(G241="Yes",-$C$8,0)</f>
        <v>-500</v>
      </c>
      <c r="J241" s="4">
        <f>IF(G241="Yes",$C$8-I241,0)</f>
        <v>1000</v>
      </c>
      <c r="K241" s="4">
        <f ca="1">IF(H241&gt;=$C$4,J241+I241,I241)</f>
        <v>500</v>
      </c>
      <c r="M241" s="61">
        <f t="shared" si="34"/>
        <v>190.4</v>
      </c>
      <c r="N241" s="61">
        <f t="shared" si="35"/>
        <v>47.599999999999994</v>
      </c>
      <c r="O241" s="4">
        <f t="shared" si="30"/>
        <v>95200</v>
      </c>
      <c r="P241" s="4">
        <f t="shared" si="31"/>
        <v>-23799.999999999996</v>
      </c>
      <c r="Q241" s="4">
        <f t="shared" si="32"/>
        <v>71400</v>
      </c>
      <c r="R241" s="4">
        <f t="shared" si="33"/>
        <v>171400</v>
      </c>
    </row>
    <row r="242" spans="5:18" x14ac:dyDescent="0.25">
      <c r="E242" s="1">
        <f t="shared" si="28"/>
        <v>239</v>
      </c>
      <c r="F242" s="4">
        <f t="shared" ca="1" si="29"/>
        <v>170500</v>
      </c>
      <c r="G242" s="1" t="s">
        <v>70</v>
      </c>
      <c r="H242" s="26">
        <f t="shared" ca="1" si="27"/>
        <v>0.10388012789709411</v>
      </c>
      <c r="I242" s="4">
        <f>IF(G242="Yes",-$C$8,0)</f>
        <v>-500</v>
      </c>
      <c r="J242" s="4">
        <f>IF(G242="Yes",$C$8-I242,0)</f>
        <v>1000</v>
      </c>
      <c r="K242" s="4">
        <f ca="1">IF(H242&gt;=$C$4,J242+I242,I242)</f>
        <v>-500</v>
      </c>
      <c r="M242" s="61">
        <f t="shared" si="34"/>
        <v>191.20000000000002</v>
      </c>
      <c r="N242" s="61">
        <f t="shared" si="35"/>
        <v>47.799999999999983</v>
      </c>
      <c r="O242" s="4">
        <f t="shared" si="30"/>
        <v>95600.000000000015</v>
      </c>
      <c r="P242" s="4">
        <f t="shared" si="31"/>
        <v>-23899.999999999993</v>
      </c>
      <c r="Q242" s="4">
        <f t="shared" si="32"/>
        <v>71700.000000000029</v>
      </c>
      <c r="R242" s="4">
        <f t="shared" si="33"/>
        <v>171700.00000000003</v>
      </c>
    </row>
    <row r="243" spans="5:18" x14ac:dyDescent="0.25">
      <c r="E243" s="1">
        <f t="shared" si="28"/>
        <v>240</v>
      </c>
      <c r="F243" s="4">
        <f t="shared" ca="1" si="29"/>
        <v>170000</v>
      </c>
      <c r="G243" s="1" t="s">
        <v>70</v>
      </c>
      <c r="H243" s="26">
        <f t="shared" ca="1" si="27"/>
        <v>8.7735000922644857E-2</v>
      </c>
      <c r="I243" s="4">
        <f>IF(G243="Yes",-$C$8,0)</f>
        <v>-500</v>
      </c>
      <c r="J243" s="4">
        <f>IF(G243="Yes",$C$8-I243,0)</f>
        <v>1000</v>
      </c>
      <c r="K243" s="4">
        <f ca="1">IF(H243&gt;=$C$4,J243+I243,I243)</f>
        <v>-500</v>
      </c>
      <c r="M243" s="61">
        <f t="shared" si="34"/>
        <v>192</v>
      </c>
      <c r="N243" s="61">
        <f t="shared" si="35"/>
        <v>48</v>
      </c>
      <c r="O243" s="4">
        <f t="shared" si="30"/>
        <v>96000</v>
      </c>
      <c r="P243" s="4">
        <f t="shared" si="31"/>
        <v>-24000</v>
      </c>
      <c r="Q243" s="4">
        <f t="shared" si="32"/>
        <v>72000</v>
      </c>
      <c r="R243" s="4">
        <f t="shared" si="33"/>
        <v>172000</v>
      </c>
    </row>
    <row r="244" spans="5:18" x14ac:dyDescent="0.25">
      <c r="E244" s="1">
        <f t="shared" si="28"/>
        <v>241</v>
      </c>
      <c r="F244" s="4">
        <f t="shared" ca="1" si="29"/>
        <v>170500</v>
      </c>
      <c r="G244" s="1" t="s">
        <v>70</v>
      </c>
      <c r="H244" s="26">
        <f t="shared" ca="1" si="27"/>
        <v>0.41744997729009847</v>
      </c>
      <c r="I244" s="4">
        <f>IF(G244="Yes",-$C$8,0)</f>
        <v>-500</v>
      </c>
      <c r="J244" s="4">
        <f>IF(G244="Yes",$C$8-I244,0)</f>
        <v>1000</v>
      </c>
      <c r="K244" s="4">
        <f ca="1">IF(H244&gt;=$C$4,J244+I244,I244)</f>
        <v>500</v>
      </c>
      <c r="M244" s="61">
        <f t="shared" si="34"/>
        <v>192.8</v>
      </c>
      <c r="N244" s="61">
        <f t="shared" si="35"/>
        <v>48.199999999999989</v>
      </c>
      <c r="O244" s="4">
        <f t="shared" si="30"/>
        <v>96400</v>
      </c>
      <c r="P244" s="4">
        <f t="shared" si="31"/>
        <v>-24099.999999999993</v>
      </c>
      <c r="Q244" s="4">
        <f t="shared" si="32"/>
        <v>72300</v>
      </c>
      <c r="R244" s="4">
        <f t="shared" si="33"/>
        <v>172300</v>
      </c>
    </row>
    <row r="245" spans="5:18" x14ac:dyDescent="0.25">
      <c r="E245" s="1">
        <f t="shared" si="28"/>
        <v>242</v>
      </c>
      <c r="F245" s="4">
        <f t="shared" ca="1" si="29"/>
        <v>170000</v>
      </c>
      <c r="G245" s="1" t="s">
        <v>70</v>
      </c>
      <c r="H245" s="26">
        <f t="shared" ca="1" si="27"/>
        <v>4.1560189944701897E-2</v>
      </c>
      <c r="I245" s="4">
        <f>IF(G245="Yes",-$C$8,0)</f>
        <v>-500</v>
      </c>
      <c r="J245" s="4">
        <f>IF(G245="Yes",$C$8-I245,0)</f>
        <v>1000</v>
      </c>
      <c r="K245" s="4">
        <f ca="1">IF(H245&gt;=$C$4,J245+I245,I245)</f>
        <v>-500</v>
      </c>
      <c r="M245" s="61">
        <f t="shared" si="34"/>
        <v>193.60000000000002</v>
      </c>
      <c r="N245" s="61">
        <f t="shared" si="35"/>
        <v>48.399999999999977</v>
      </c>
      <c r="O245" s="4">
        <f t="shared" si="30"/>
        <v>96800.000000000015</v>
      </c>
      <c r="P245" s="4">
        <f t="shared" si="31"/>
        <v>-24199.999999999989</v>
      </c>
      <c r="Q245" s="4">
        <f t="shared" si="32"/>
        <v>72600.000000000029</v>
      </c>
      <c r="R245" s="4">
        <f t="shared" si="33"/>
        <v>172600.00000000003</v>
      </c>
    </row>
    <row r="246" spans="5:18" x14ac:dyDescent="0.25">
      <c r="E246" s="1">
        <f t="shared" si="28"/>
        <v>243</v>
      </c>
      <c r="F246" s="4">
        <f t="shared" ca="1" si="29"/>
        <v>170500</v>
      </c>
      <c r="G246" s="1" t="s">
        <v>70</v>
      </c>
      <c r="H246" s="26">
        <f t="shared" ca="1" si="27"/>
        <v>0.88656639051645747</v>
      </c>
      <c r="I246" s="4">
        <f>IF(G246="Yes",-$C$8,0)</f>
        <v>-500</v>
      </c>
      <c r="J246" s="4">
        <f>IF(G246="Yes",$C$8-I246,0)</f>
        <v>1000</v>
      </c>
      <c r="K246" s="4">
        <f ca="1">IF(H246&gt;=$C$4,J246+I246,I246)</f>
        <v>500</v>
      </c>
      <c r="M246" s="61">
        <f t="shared" si="34"/>
        <v>194.4</v>
      </c>
      <c r="N246" s="61">
        <f t="shared" si="35"/>
        <v>48.599999999999994</v>
      </c>
      <c r="O246" s="4">
        <f t="shared" si="30"/>
        <v>97200</v>
      </c>
      <c r="P246" s="4">
        <f t="shared" si="31"/>
        <v>-24299.999999999996</v>
      </c>
      <c r="Q246" s="4">
        <f t="shared" si="32"/>
        <v>72900</v>
      </c>
      <c r="R246" s="4">
        <f t="shared" si="33"/>
        <v>172900</v>
      </c>
    </row>
    <row r="247" spans="5:18" x14ac:dyDescent="0.25">
      <c r="E247" s="1">
        <f t="shared" si="28"/>
        <v>244</v>
      </c>
      <c r="F247" s="4">
        <f t="shared" ca="1" si="29"/>
        <v>170000</v>
      </c>
      <c r="G247" s="1" t="s">
        <v>70</v>
      </c>
      <c r="H247" s="26">
        <f t="shared" ca="1" si="27"/>
        <v>1.7572138787539382E-2</v>
      </c>
      <c r="I247" s="4">
        <f>IF(G247="Yes",-$C$8,0)</f>
        <v>-500</v>
      </c>
      <c r="J247" s="4">
        <f>IF(G247="Yes",$C$8-I247,0)</f>
        <v>1000</v>
      </c>
      <c r="K247" s="4">
        <f ca="1">IF(H247&gt;=$C$4,J247+I247,I247)</f>
        <v>-500</v>
      </c>
      <c r="M247" s="61">
        <f t="shared" si="34"/>
        <v>195.20000000000002</v>
      </c>
      <c r="N247" s="61">
        <f t="shared" si="35"/>
        <v>48.799999999999983</v>
      </c>
      <c r="O247" s="4">
        <f t="shared" si="30"/>
        <v>97600.000000000015</v>
      </c>
      <c r="P247" s="4">
        <f t="shared" si="31"/>
        <v>-24399.999999999993</v>
      </c>
      <c r="Q247" s="4">
        <f t="shared" si="32"/>
        <v>73200.000000000029</v>
      </c>
      <c r="R247" s="4">
        <f t="shared" si="33"/>
        <v>173200.00000000003</v>
      </c>
    </row>
    <row r="248" spans="5:18" x14ac:dyDescent="0.25">
      <c r="E248" s="1">
        <f t="shared" si="28"/>
        <v>245</v>
      </c>
      <c r="F248" s="4">
        <f t="shared" ca="1" si="29"/>
        <v>170500</v>
      </c>
      <c r="G248" s="1" t="s">
        <v>70</v>
      </c>
      <c r="H248" s="26">
        <f t="shared" ca="1" si="27"/>
        <v>0.75919595452805488</v>
      </c>
      <c r="I248" s="4">
        <f>IF(G248="Yes",-$C$8,0)</f>
        <v>-500</v>
      </c>
      <c r="J248" s="4">
        <f>IF(G248="Yes",$C$8-I248,0)</f>
        <v>1000</v>
      </c>
      <c r="K248" s="4">
        <f ca="1">IF(H248&gt;=$C$4,J248+I248,I248)</f>
        <v>500</v>
      </c>
      <c r="M248" s="61">
        <f t="shared" si="34"/>
        <v>196</v>
      </c>
      <c r="N248" s="61">
        <f t="shared" si="35"/>
        <v>49</v>
      </c>
      <c r="O248" s="4">
        <f t="shared" si="30"/>
        <v>98000</v>
      </c>
      <c r="P248" s="4">
        <f t="shared" si="31"/>
        <v>-24500</v>
      </c>
      <c r="Q248" s="4">
        <f t="shared" si="32"/>
        <v>73500</v>
      </c>
      <c r="R248" s="4">
        <f t="shared" si="33"/>
        <v>173500</v>
      </c>
    </row>
    <row r="249" spans="5:18" x14ac:dyDescent="0.25">
      <c r="E249" s="1">
        <f t="shared" si="28"/>
        <v>246</v>
      </c>
      <c r="F249" s="4">
        <f t="shared" ca="1" si="29"/>
        <v>171000</v>
      </c>
      <c r="G249" s="1" t="s">
        <v>70</v>
      </c>
      <c r="H249" s="26">
        <f t="shared" ca="1" si="27"/>
        <v>0.80196073955207892</v>
      </c>
      <c r="I249" s="4">
        <f>IF(G249="Yes",-$C$8,0)</f>
        <v>-500</v>
      </c>
      <c r="J249" s="4">
        <f>IF(G249="Yes",$C$8-I249,0)</f>
        <v>1000</v>
      </c>
      <c r="K249" s="4">
        <f ca="1">IF(H249&gt;=$C$4,J249+I249,I249)</f>
        <v>500</v>
      </c>
      <c r="M249" s="61">
        <f t="shared" si="34"/>
        <v>196.8</v>
      </c>
      <c r="N249" s="61">
        <f t="shared" si="35"/>
        <v>49.199999999999989</v>
      </c>
      <c r="O249" s="4">
        <f t="shared" si="30"/>
        <v>98400</v>
      </c>
      <c r="P249" s="4">
        <f t="shared" si="31"/>
        <v>-24599.999999999993</v>
      </c>
      <c r="Q249" s="4">
        <f t="shared" si="32"/>
        <v>73800</v>
      </c>
      <c r="R249" s="4">
        <f t="shared" si="33"/>
        <v>173800</v>
      </c>
    </row>
    <row r="250" spans="5:18" x14ac:dyDescent="0.25">
      <c r="E250" s="1">
        <f t="shared" si="28"/>
        <v>247</v>
      </c>
      <c r="F250" s="4">
        <f t="shared" ca="1" si="29"/>
        <v>171500</v>
      </c>
      <c r="G250" s="1" t="s">
        <v>70</v>
      </c>
      <c r="H250" s="26">
        <f t="shared" ca="1" si="27"/>
        <v>0.82052913969762487</v>
      </c>
      <c r="I250" s="4">
        <f>IF(G250="Yes",-$C$8,0)</f>
        <v>-500</v>
      </c>
      <c r="J250" s="4">
        <f>IF(G250="Yes",$C$8-I250,0)</f>
        <v>1000</v>
      </c>
      <c r="K250" s="4">
        <f ca="1">IF(H250&gt;=$C$4,J250+I250,I250)</f>
        <v>500</v>
      </c>
      <c r="M250" s="61">
        <f t="shared" si="34"/>
        <v>197.60000000000002</v>
      </c>
      <c r="N250" s="61">
        <f t="shared" si="35"/>
        <v>49.399999999999977</v>
      </c>
      <c r="O250" s="4">
        <f t="shared" si="30"/>
        <v>98800.000000000015</v>
      </c>
      <c r="P250" s="4">
        <f t="shared" si="31"/>
        <v>-24699.999999999989</v>
      </c>
      <c r="Q250" s="4">
        <f t="shared" si="32"/>
        <v>74100.000000000029</v>
      </c>
      <c r="R250" s="4">
        <f t="shared" si="33"/>
        <v>174100.00000000003</v>
      </c>
    </row>
    <row r="251" spans="5:18" x14ac:dyDescent="0.25">
      <c r="E251" s="1">
        <f t="shared" si="28"/>
        <v>248</v>
      </c>
      <c r="F251" s="4">
        <f t="shared" ca="1" si="29"/>
        <v>171000</v>
      </c>
      <c r="G251" s="1" t="s">
        <v>70</v>
      </c>
      <c r="H251" s="26">
        <f t="shared" ca="1" si="27"/>
        <v>9.5395912241739489E-2</v>
      </c>
      <c r="I251" s="4">
        <f>IF(G251="Yes",-$C$8,0)</f>
        <v>-500</v>
      </c>
      <c r="J251" s="4">
        <f>IF(G251="Yes",$C$8-I251,0)</f>
        <v>1000</v>
      </c>
      <c r="K251" s="4">
        <f ca="1">IF(H251&gt;=$C$4,J251+I251,I251)</f>
        <v>-500</v>
      </c>
      <c r="M251" s="61">
        <f t="shared" si="34"/>
        <v>198.4</v>
      </c>
      <c r="N251" s="61">
        <f t="shared" si="35"/>
        <v>49.599999999999994</v>
      </c>
      <c r="O251" s="4">
        <f t="shared" si="30"/>
        <v>99200</v>
      </c>
      <c r="P251" s="4">
        <f t="shared" si="31"/>
        <v>-24799.999999999996</v>
      </c>
      <c r="Q251" s="4">
        <f t="shared" si="32"/>
        <v>74400</v>
      </c>
      <c r="R251" s="4">
        <f t="shared" si="33"/>
        <v>174400</v>
      </c>
    </row>
    <row r="252" spans="5:18" x14ac:dyDescent="0.25">
      <c r="E252" s="1">
        <f t="shared" si="28"/>
        <v>249</v>
      </c>
      <c r="F252" s="4">
        <f t="shared" ca="1" si="29"/>
        <v>170500</v>
      </c>
      <c r="G252" s="1" t="s">
        <v>70</v>
      </c>
      <c r="H252" s="26">
        <f t="shared" ca="1" si="27"/>
        <v>3.0491184137695249E-2</v>
      </c>
      <c r="I252" s="4">
        <f>IF(G252="Yes",-$C$8,0)</f>
        <v>-500</v>
      </c>
      <c r="J252" s="4">
        <f>IF(G252="Yes",$C$8-I252,0)</f>
        <v>1000</v>
      </c>
      <c r="K252" s="4">
        <f ca="1">IF(H252&gt;=$C$4,J252+I252,I252)</f>
        <v>-500</v>
      </c>
      <c r="M252" s="61">
        <f t="shared" si="34"/>
        <v>199.20000000000002</v>
      </c>
      <c r="N252" s="61">
        <f t="shared" si="35"/>
        <v>49.799999999999983</v>
      </c>
      <c r="O252" s="4">
        <f t="shared" si="30"/>
        <v>99600.000000000015</v>
      </c>
      <c r="P252" s="4">
        <f t="shared" si="31"/>
        <v>-24899.999999999993</v>
      </c>
      <c r="Q252" s="4">
        <f t="shared" si="32"/>
        <v>74700.000000000029</v>
      </c>
      <c r="R252" s="4">
        <f t="shared" si="33"/>
        <v>174700.00000000003</v>
      </c>
    </row>
    <row r="253" spans="5:18" x14ac:dyDescent="0.25">
      <c r="E253" s="1">
        <f t="shared" si="28"/>
        <v>250</v>
      </c>
      <c r="F253" s="4">
        <f t="shared" ca="1" si="29"/>
        <v>171000</v>
      </c>
      <c r="G253" s="1" t="s">
        <v>70</v>
      </c>
      <c r="H253" s="26">
        <f t="shared" ca="1" si="27"/>
        <v>0.64219271393526889</v>
      </c>
      <c r="I253" s="4">
        <f>IF(G253="Yes",-$C$8,0)</f>
        <v>-500</v>
      </c>
      <c r="J253" s="4">
        <f>IF(G253="Yes",$C$8-I253,0)</f>
        <v>1000</v>
      </c>
      <c r="K253" s="4">
        <f ca="1">IF(H253&gt;=$C$4,J253+I253,I253)</f>
        <v>500</v>
      </c>
      <c r="M253" s="61">
        <f t="shared" si="34"/>
        <v>200</v>
      </c>
      <c r="N253" s="61">
        <f t="shared" si="35"/>
        <v>50</v>
      </c>
      <c r="O253" s="4">
        <f t="shared" si="30"/>
        <v>100000</v>
      </c>
      <c r="P253" s="4">
        <f t="shared" si="31"/>
        <v>-25000</v>
      </c>
      <c r="Q253" s="4">
        <f t="shared" si="32"/>
        <v>75000</v>
      </c>
      <c r="R253" s="4">
        <f t="shared" si="33"/>
        <v>175000</v>
      </c>
    </row>
    <row r="254" spans="5:18" x14ac:dyDescent="0.25">
      <c r="E254" s="1">
        <f t="shared" si="28"/>
        <v>251</v>
      </c>
      <c r="F254" s="4">
        <f t="shared" ca="1" si="29"/>
        <v>171500</v>
      </c>
      <c r="G254" s="1" t="s">
        <v>70</v>
      </c>
      <c r="H254" s="26">
        <f t="shared" ca="1" si="27"/>
        <v>0.98010591979999573</v>
      </c>
      <c r="I254" s="4">
        <f>IF(G254="Yes",-$C$8,0)</f>
        <v>-500</v>
      </c>
      <c r="J254" s="4">
        <f>IF(G254="Yes",$C$8-I254,0)</f>
        <v>1000</v>
      </c>
      <c r="K254" s="4">
        <f ca="1">IF(H254&gt;=$C$4,J254+I254,I254)</f>
        <v>500</v>
      </c>
      <c r="M254" s="61">
        <f t="shared" si="34"/>
        <v>200.8</v>
      </c>
      <c r="N254" s="61">
        <f t="shared" si="35"/>
        <v>50.199999999999989</v>
      </c>
      <c r="O254" s="4">
        <f t="shared" si="30"/>
        <v>100400</v>
      </c>
      <c r="P254" s="4">
        <f t="shared" si="31"/>
        <v>-25099.999999999993</v>
      </c>
      <c r="Q254" s="4">
        <f t="shared" si="32"/>
        <v>75300</v>
      </c>
      <c r="R254" s="4">
        <f t="shared" si="33"/>
        <v>175300</v>
      </c>
    </row>
    <row r="255" spans="5:18" x14ac:dyDescent="0.25">
      <c r="E255" s="1">
        <f t="shared" si="28"/>
        <v>252</v>
      </c>
      <c r="F255" s="4">
        <f t="shared" ca="1" si="29"/>
        <v>172000</v>
      </c>
      <c r="G255" s="1" t="s">
        <v>70</v>
      </c>
      <c r="H255" s="26">
        <f t="shared" ca="1" si="27"/>
        <v>0.62005449534592494</v>
      </c>
      <c r="I255" s="4">
        <f>IF(G255="Yes",-$C$8,0)</f>
        <v>-500</v>
      </c>
      <c r="J255" s="4">
        <f>IF(G255="Yes",$C$8-I255,0)</f>
        <v>1000</v>
      </c>
      <c r="K255" s="4">
        <f ca="1">IF(H255&gt;=$C$4,J255+I255,I255)</f>
        <v>500</v>
      </c>
      <c r="M255" s="61">
        <f t="shared" si="34"/>
        <v>201.60000000000002</v>
      </c>
      <c r="N255" s="61">
        <f t="shared" si="35"/>
        <v>50.399999999999977</v>
      </c>
      <c r="O255" s="4">
        <f t="shared" si="30"/>
        <v>100800.00000000001</v>
      </c>
      <c r="P255" s="4">
        <f t="shared" si="31"/>
        <v>-25199.999999999989</v>
      </c>
      <c r="Q255" s="4">
        <f t="shared" si="32"/>
        <v>75600.000000000029</v>
      </c>
      <c r="R255" s="4">
        <f t="shared" si="33"/>
        <v>175600.00000000003</v>
      </c>
    </row>
    <row r="256" spans="5:18" x14ac:dyDescent="0.25">
      <c r="E256" s="1">
        <f t="shared" si="28"/>
        <v>253</v>
      </c>
      <c r="F256" s="4">
        <f t="shared" ca="1" si="29"/>
        <v>172500</v>
      </c>
      <c r="G256" s="1" t="s">
        <v>70</v>
      </c>
      <c r="H256" s="26">
        <f t="shared" ca="1" si="27"/>
        <v>0.64102694454213305</v>
      </c>
      <c r="I256" s="4">
        <f>IF(G256="Yes",-$C$8,0)</f>
        <v>-500</v>
      </c>
      <c r="J256" s="4">
        <f>IF(G256="Yes",$C$8-I256,0)</f>
        <v>1000</v>
      </c>
      <c r="K256" s="4">
        <f ca="1">IF(H256&gt;=$C$4,J256+I256,I256)</f>
        <v>500</v>
      </c>
      <c r="M256" s="61">
        <f t="shared" si="34"/>
        <v>202.4</v>
      </c>
      <c r="N256" s="61">
        <f t="shared" si="35"/>
        <v>50.599999999999994</v>
      </c>
      <c r="O256" s="4">
        <f t="shared" si="30"/>
        <v>101200</v>
      </c>
      <c r="P256" s="4">
        <f t="shared" si="31"/>
        <v>-25299.999999999996</v>
      </c>
      <c r="Q256" s="4">
        <f t="shared" si="32"/>
        <v>75900</v>
      </c>
      <c r="R256" s="4">
        <f t="shared" si="33"/>
        <v>175900</v>
      </c>
    </row>
    <row r="257" spans="5:18" x14ac:dyDescent="0.25">
      <c r="E257" s="1">
        <f t="shared" si="28"/>
        <v>254</v>
      </c>
      <c r="F257" s="4">
        <f t="shared" ca="1" si="29"/>
        <v>173000</v>
      </c>
      <c r="G257" s="1" t="s">
        <v>70</v>
      </c>
      <c r="H257" s="26">
        <f t="shared" ca="1" si="27"/>
        <v>0.78542778614966779</v>
      </c>
      <c r="I257" s="4">
        <f>IF(G257="Yes",-$C$8,0)</f>
        <v>-500</v>
      </c>
      <c r="J257" s="4">
        <f>IF(G257="Yes",$C$8-I257,0)</f>
        <v>1000</v>
      </c>
      <c r="K257" s="4">
        <f ca="1">IF(H257&gt;=$C$4,J257+I257,I257)</f>
        <v>500</v>
      </c>
      <c r="M257" s="61">
        <f t="shared" si="34"/>
        <v>203.20000000000002</v>
      </c>
      <c r="N257" s="61">
        <f t="shared" si="35"/>
        <v>50.799999999999983</v>
      </c>
      <c r="O257" s="4">
        <f t="shared" si="30"/>
        <v>101600.00000000001</v>
      </c>
      <c r="P257" s="4">
        <f t="shared" si="31"/>
        <v>-25399.999999999993</v>
      </c>
      <c r="Q257" s="4">
        <f t="shared" si="32"/>
        <v>76200.000000000029</v>
      </c>
      <c r="R257" s="4">
        <f t="shared" si="33"/>
        <v>176200.00000000003</v>
      </c>
    </row>
    <row r="258" spans="5:18" x14ac:dyDescent="0.25">
      <c r="E258" s="1">
        <f t="shared" si="28"/>
        <v>255</v>
      </c>
      <c r="F258" s="4">
        <f t="shared" ca="1" si="29"/>
        <v>172500</v>
      </c>
      <c r="G258" s="1" t="s">
        <v>70</v>
      </c>
      <c r="H258" s="26">
        <f t="shared" ca="1" si="27"/>
        <v>0.10227557454726488</v>
      </c>
      <c r="I258" s="4">
        <f>IF(G258="Yes",-$C$8,0)</f>
        <v>-500</v>
      </c>
      <c r="J258" s="4">
        <f>IF(G258="Yes",$C$8-I258,0)</f>
        <v>1000</v>
      </c>
      <c r="K258" s="4">
        <f ca="1">IF(H258&gt;=$C$4,J258+I258,I258)</f>
        <v>-500</v>
      </c>
      <c r="M258" s="61">
        <f t="shared" si="34"/>
        <v>204</v>
      </c>
      <c r="N258" s="61">
        <f t="shared" si="35"/>
        <v>51</v>
      </c>
      <c r="O258" s="4">
        <f t="shared" si="30"/>
        <v>102000</v>
      </c>
      <c r="P258" s="4">
        <f t="shared" si="31"/>
        <v>-25500</v>
      </c>
      <c r="Q258" s="4">
        <f t="shared" si="32"/>
        <v>76500</v>
      </c>
      <c r="R258" s="4">
        <f t="shared" si="33"/>
        <v>176500</v>
      </c>
    </row>
    <row r="259" spans="5:18" x14ac:dyDescent="0.25">
      <c r="E259" s="1">
        <f t="shared" si="28"/>
        <v>256</v>
      </c>
      <c r="F259" s="4">
        <f t="shared" ca="1" si="29"/>
        <v>173000</v>
      </c>
      <c r="G259" s="1" t="s">
        <v>70</v>
      </c>
      <c r="H259" s="26">
        <f t="shared" ca="1" si="27"/>
        <v>0.25725081885676582</v>
      </c>
      <c r="I259" s="4">
        <f>IF(G259="Yes",-$C$8,0)</f>
        <v>-500</v>
      </c>
      <c r="J259" s="4">
        <f>IF(G259="Yes",$C$8-I259,0)</f>
        <v>1000</v>
      </c>
      <c r="K259" s="4">
        <f ca="1">IF(H259&gt;=$C$4,J259+I259,I259)</f>
        <v>500</v>
      </c>
      <c r="M259" s="61">
        <f t="shared" si="34"/>
        <v>204.8</v>
      </c>
      <c r="N259" s="61">
        <f t="shared" si="35"/>
        <v>51.199999999999989</v>
      </c>
      <c r="O259" s="4">
        <f t="shared" si="30"/>
        <v>102400</v>
      </c>
      <c r="P259" s="4">
        <f t="shared" si="31"/>
        <v>-25599.999999999993</v>
      </c>
      <c r="Q259" s="4">
        <f t="shared" si="32"/>
        <v>76800</v>
      </c>
      <c r="R259" s="4">
        <f t="shared" si="33"/>
        <v>176800</v>
      </c>
    </row>
    <row r="260" spans="5:18" x14ac:dyDescent="0.25">
      <c r="E260" s="1">
        <f t="shared" si="28"/>
        <v>257</v>
      </c>
      <c r="F260" s="4">
        <f t="shared" ca="1" si="29"/>
        <v>173500</v>
      </c>
      <c r="G260" s="1" t="s">
        <v>70</v>
      </c>
      <c r="H260" s="26">
        <f t="shared" ref="H260:H323" ca="1" si="36">RAND()</f>
        <v>0.54900357820269718</v>
      </c>
      <c r="I260" s="4">
        <f>IF(G260="Yes",-$C$8,0)</f>
        <v>-500</v>
      </c>
      <c r="J260" s="4">
        <f>IF(G260="Yes",$C$8-I260,0)</f>
        <v>1000</v>
      </c>
      <c r="K260" s="4">
        <f ca="1">IF(H260&gt;=$C$4,J260+I260,I260)</f>
        <v>500</v>
      </c>
      <c r="M260" s="61">
        <f t="shared" si="34"/>
        <v>205.60000000000002</v>
      </c>
      <c r="N260" s="61">
        <f t="shared" si="35"/>
        <v>51.399999999999977</v>
      </c>
      <c r="O260" s="4">
        <f t="shared" si="30"/>
        <v>102800.00000000001</v>
      </c>
      <c r="P260" s="4">
        <f t="shared" si="31"/>
        <v>-25699.999999999989</v>
      </c>
      <c r="Q260" s="4">
        <f t="shared" si="32"/>
        <v>77100.000000000029</v>
      </c>
      <c r="R260" s="4">
        <f t="shared" si="33"/>
        <v>177100.00000000003</v>
      </c>
    </row>
    <row r="261" spans="5:18" x14ac:dyDescent="0.25">
      <c r="E261" s="1">
        <f t="shared" ref="E261:E324" si="37">E260+1</f>
        <v>258</v>
      </c>
      <c r="F261" s="4">
        <f t="shared" ref="F261:F324" ca="1" si="38">F260+K261</f>
        <v>174000</v>
      </c>
      <c r="G261" s="1" t="s">
        <v>70</v>
      </c>
      <c r="H261" s="26">
        <f t="shared" ca="1" si="36"/>
        <v>0.35272474258678166</v>
      </c>
      <c r="I261" s="4">
        <f>IF(G261="Yes",-$C$8,0)</f>
        <v>-500</v>
      </c>
      <c r="J261" s="4">
        <f>IF(G261="Yes",$C$8-I261,0)</f>
        <v>1000</v>
      </c>
      <c r="K261" s="4">
        <f ca="1">IF(H261&gt;=$C$4,J261+I261,I261)</f>
        <v>500</v>
      </c>
      <c r="M261" s="61">
        <f t="shared" si="34"/>
        <v>206.4</v>
      </c>
      <c r="N261" s="61">
        <f t="shared" si="35"/>
        <v>51.599999999999994</v>
      </c>
      <c r="O261" s="4">
        <f t="shared" ref="O261:O324" si="39">M261*$C$8</f>
        <v>103200</v>
      </c>
      <c r="P261" s="4">
        <f t="shared" ref="P261:P324" si="40">N261*(-$C$8)</f>
        <v>-25799.999999999996</v>
      </c>
      <c r="Q261" s="4">
        <f t="shared" ref="Q261:Q324" si="41">O261+P261</f>
        <v>77400</v>
      </c>
      <c r="R261" s="4">
        <f t="shared" ref="R261:R324" si="42">$C$7+Q261</f>
        <v>177400</v>
      </c>
    </row>
    <row r="262" spans="5:18" x14ac:dyDescent="0.25">
      <c r="E262" s="1">
        <f t="shared" si="37"/>
        <v>259</v>
      </c>
      <c r="F262" s="4">
        <f t="shared" ca="1" si="38"/>
        <v>174500</v>
      </c>
      <c r="G262" s="1" t="s">
        <v>70</v>
      </c>
      <c r="H262" s="26">
        <f t="shared" ca="1" si="36"/>
        <v>0.79064291912644125</v>
      </c>
      <c r="I262" s="4">
        <f>IF(G262="Yes",-$C$8,0)</f>
        <v>-500</v>
      </c>
      <c r="J262" s="4">
        <f>IF(G262="Yes",$C$8-I262,0)</f>
        <v>1000</v>
      </c>
      <c r="K262" s="4">
        <f ca="1">IF(H262&gt;=$C$4,J262+I262,I262)</f>
        <v>500</v>
      </c>
      <c r="M262" s="61">
        <f t="shared" si="34"/>
        <v>207.20000000000002</v>
      </c>
      <c r="N262" s="61">
        <f t="shared" si="35"/>
        <v>51.799999999999983</v>
      </c>
      <c r="O262" s="4">
        <f t="shared" si="39"/>
        <v>103600.00000000001</v>
      </c>
      <c r="P262" s="4">
        <f t="shared" si="40"/>
        <v>-25899.999999999993</v>
      </c>
      <c r="Q262" s="4">
        <f t="shared" si="41"/>
        <v>77700.000000000029</v>
      </c>
      <c r="R262" s="4">
        <f t="shared" si="42"/>
        <v>177700.00000000003</v>
      </c>
    </row>
    <row r="263" spans="5:18" x14ac:dyDescent="0.25">
      <c r="E263" s="1">
        <f t="shared" si="37"/>
        <v>260</v>
      </c>
      <c r="F263" s="4">
        <f t="shared" ca="1" si="38"/>
        <v>175000</v>
      </c>
      <c r="G263" s="1" t="s">
        <v>70</v>
      </c>
      <c r="H263" s="26">
        <f t="shared" ca="1" si="36"/>
        <v>0.97965907730880675</v>
      </c>
      <c r="I263" s="4">
        <f>IF(G263="Yes",-$C$8,0)</f>
        <v>-500</v>
      </c>
      <c r="J263" s="4">
        <f>IF(G263="Yes",$C$8-I263,0)</f>
        <v>1000</v>
      </c>
      <c r="K263" s="4">
        <f ca="1">IF(H263&gt;=$C$4,J263+I263,I263)</f>
        <v>500</v>
      </c>
      <c r="M263" s="61">
        <f t="shared" si="34"/>
        <v>208</v>
      </c>
      <c r="N263" s="61">
        <f t="shared" si="35"/>
        <v>52</v>
      </c>
      <c r="O263" s="4">
        <f t="shared" si="39"/>
        <v>104000</v>
      </c>
      <c r="P263" s="4">
        <f t="shared" si="40"/>
        <v>-26000</v>
      </c>
      <c r="Q263" s="4">
        <f t="shared" si="41"/>
        <v>78000</v>
      </c>
      <c r="R263" s="4">
        <f t="shared" si="42"/>
        <v>178000</v>
      </c>
    </row>
    <row r="264" spans="5:18" x14ac:dyDescent="0.25">
      <c r="E264" s="1">
        <f t="shared" si="37"/>
        <v>261</v>
      </c>
      <c r="F264" s="4">
        <f t="shared" ca="1" si="38"/>
        <v>175500</v>
      </c>
      <c r="G264" s="1" t="s">
        <v>70</v>
      </c>
      <c r="H264" s="26">
        <f t="shared" ca="1" si="36"/>
        <v>0.99683027505068478</v>
      </c>
      <c r="I264" s="4">
        <f>IF(G264="Yes",-$C$8,0)</f>
        <v>-500</v>
      </c>
      <c r="J264" s="4">
        <f>IF(G264="Yes",$C$8-I264,0)</f>
        <v>1000</v>
      </c>
      <c r="K264" s="4">
        <f ca="1">IF(H264&gt;=$C$4,J264+I264,I264)</f>
        <v>500</v>
      </c>
      <c r="M264" s="61">
        <f t="shared" si="34"/>
        <v>208.8</v>
      </c>
      <c r="N264" s="61">
        <f t="shared" si="35"/>
        <v>52.199999999999989</v>
      </c>
      <c r="O264" s="4">
        <f t="shared" si="39"/>
        <v>104400</v>
      </c>
      <c r="P264" s="4">
        <f t="shared" si="40"/>
        <v>-26099.999999999993</v>
      </c>
      <c r="Q264" s="4">
        <f t="shared" si="41"/>
        <v>78300</v>
      </c>
      <c r="R264" s="4">
        <f t="shared" si="42"/>
        <v>178300</v>
      </c>
    </row>
    <row r="265" spans="5:18" x14ac:dyDescent="0.25">
      <c r="E265" s="1">
        <f t="shared" si="37"/>
        <v>262</v>
      </c>
      <c r="F265" s="4">
        <f t="shared" ca="1" si="38"/>
        <v>176000</v>
      </c>
      <c r="G265" s="1" t="s">
        <v>70</v>
      </c>
      <c r="H265" s="26">
        <f t="shared" ca="1" si="36"/>
        <v>0.79198343875846045</v>
      </c>
      <c r="I265" s="4">
        <f>IF(G265="Yes",-$C$8,0)</f>
        <v>-500</v>
      </c>
      <c r="J265" s="4">
        <f>IF(G265="Yes",$C$8-I265,0)</f>
        <v>1000</v>
      </c>
      <c r="K265" s="4">
        <f ca="1">IF(H265&gt;=$C$4,J265+I265,I265)</f>
        <v>500</v>
      </c>
      <c r="M265" s="61">
        <f t="shared" si="34"/>
        <v>209.60000000000002</v>
      </c>
      <c r="N265" s="61">
        <f t="shared" si="35"/>
        <v>52.399999999999977</v>
      </c>
      <c r="O265" s="4">
        <f t="shared" si="39"/>
        <v>104800.00000000001</v>
      </c>
      <c r="P265" s="4">
        <f t="shared" si="40"/>
        <v>-26199.999999999989</v>
      </c>
      <c r="Q265" s="4">
        <f t="shared" si="41"/>
        <v>78600.000000000029</v>
      </c>
      <c r="R265" s="4">
        <f t="shared" si="42"/>
        <v>178600.00000000003</v>
      </c>
    </row>
    <row r="266" spans="5:18" x14ac:dyDescent="0.25">
      <c r="E266" s="1">
        <f t="shared" si="37"/>
        <v>263</v>
      </c>
      <c r="F266" s="4">
        <f t="shared" ca="1" si="38"/>
        <v>175500</v>
      </c>
      <c r="G266" s="1" t="s">
        <v>70</v>
      </c>
      <c r="H266" s="26">
        <f t="shared" ca="1" si="36"/>
        <v>0.15047043930879256</v>
      </c>
      <c r="I266" s="4">
        <f>IF(G266="Yes",-$C$8,0)</f>
        <v>-500</v>
      </c>
      <c r="J266" s="4">
        <f>IF(G266="Yes",$C$8-I266,0)</f>
        <v>1000</v>
      </c>
      <c r="K266" s="4">
        <f ca="1">IF(H266&gt;=$C$4,J266+I266,I266)</f>
        <v>-500</v>
      </c>
      <c r="M266" s="61">
        <f t="shared" si="34"/>
        <v>210.4</v>
      </c>
      <c r="N266" s="61">
        <f t="shared" si="35"/>
        <v>52.599999999999994</v>
      </c>
      <c r="O266" s="4">
        <f t="shared" si="39"/>
        <v>105200</v>
      </c>
      <c r="P266" s="4">
        <f t="shared" si="40"/>
        <v>-26299.999999999996</v>
      </c>
      <c r="Q266" s="4">
        <f t="shared" si="41"/>
        <v>78900</v>
      </c>
      <c r="R266" s="4">
        <f t="shared" si="42"/>
        <v>178900</v>
      </c>
    </row>
    <row r="267" spans="5:18" x14ac:dyDescent="0.25">
      <c r="E267" s="1">
        <f t="shared" si="37"/>
        <v>264</v>
      </c>
      <c r="F267" s="4">
        <f t="shared" ca="1" si="38"/>
        <v>176000</v>
      </c>
      <c r="G267" s="1" t="s">
        <v>70</v>
      </c>
      <c r="H267" s="26">
        <f t="shared" ca="1" si="36"/>
        <v>0.44635618363741192</v>
      </c>
      <c r="I267" s="4">
        <f>IF(G267="Yes",-$C$8,0)</f>
        <v>-500</v>
      </c>
      <c r="J267" s="4">
        <f>IF(G267="Yes",$C$8-I267,0)</f>
        <v>1000</v>
      </c>
      <c r="K267" s="4">
        <f ca="1">IF(H267&gt;=$C$4,J267+I267,I267)</f>
        <v>500</v>
      </c>
      <c r="M267" s="61">
        <f t="shared" si="34"/>
        <v>211.20000000000002</v>
      </c>
      <c r="N267" s="61">
        <f t="shared" si="35"/>
        <v>52.799999999999983</v>
      </c>
      <c r="O267" s="4">
        <f t="shared" si="39"/>
        <v>105600.00000000001</v>
      </c>
      <c r="P267" s="4">
        <f t="shared" si="40"/>
        <v>-26399.999999999993</v>
      </c>
      <c r="Q267" s="4">
        <f t="shared" si="41"/>
        <v>79200.000000000029</v>
      </c>
      <c r="R267" s="4">
        <f t="shared" si="42"/>
        <v>179200.00000000003</v>
      </c>
    </row>
    <row r="268" spans="5:18" x14ac:dyDescent="0.25">
      <c r="E268" s="1">
        <f t="shared" si="37"/>
        <v>265</v>
      </c>
      <c r="F268" s="4">
        <f t="shared" ca="1" si="38"/>
        <v>176500</v>
      </c>
      <c r="G268" s="1" t="s">
        <v>70</v>
      </c>
      <c r="H268" s="26">
        <f t="shared" ca="1" si="36"/>
        <v>0.38789834722911487</v>
      </c>
      <c r="I268" s="4">
        <f>IF(G268="Yes",-$C$8,0)</f>
        <v>-500</v>
      </c>
      <c r="J268" s="4">
        <f>IF(G268="Yes",$C$8-I268,0)</f>
        <v>1000</v>
      </c>
      <c r="K268" s="4">
        <f ca="1">IF(H268&gt;=$C$4,J268+I268,I268)</f>
        <v>500</v>
      </c>
      <c r="M268" s="61">
        <f t="shared" si="34"/>
        <v>212</v>
      </c>
      <c r="N268" s="61">
        <f t="shared" si="35"/>
        <v>53</v>
      </c>
      <c r="O268" s="4">
        <f t="shared" si="39"/>
        <v>106000</v>
      </c>
      <c r="P268" s="4">
        <f t="shared" si="40"/>
        <v>-26500</v>
      </c>
      <c r="Q268" s="4">
        <f t="shared" si="41"/>
        <v>79500</v>
      </c>
      <c r="R268" s="4">
        <f t="shared" si="42"/>
        <v>179500</v>
      </c>
    </row>
    <row r="269" spans="5:18" x14ac:dyDescent="0.25">
      <c r="E269" s="1">
        <f t="shared" si="37"/>
        <v>266</v>
      </c>
      <c r="F269" s="4">
        <f t="shared" ca="1" si="38"/>
        <v>177000</v>
      </c>
      <c r="G269" s="1" t="s">
        <v>70</v>
      </c>
      <c r="H269" s="26">
        <f t="shared" ca="1" si="36"/>
        <v>0.29289184301050941</v>
      </c>
      <c r="I269" s="4">
        <f>IF(G269="Yes",-$C$8,0)</f>
        <v>-500</v>
      </c>
      <c r="J269" s="4">
        <f>IF(G269="Yes",$C$8-I269,0)</f>
        <v>1000</v>
      </c>
      <c r="K269" s="4">
        <f ca="1">IF(H269&gt;=$C$4,J269+I269,I269)</f>
        <v>500</v>
      </c>
      <c r="M269" s="61">
        <f t="shared" si="34"/>
        <v>212.8</v>
      </c>
      <c r="N269" s="61">
        <f t="shared" si="35"/>
        <v>53.199999999999989</v>
      </c>
      <c r="O269" s="4">
        <f t="shared" si="39"/>
        <v>106400</v>
      </c>
      <c r="P269" s="4">
        <f t="shared" si="40"/>
        <v>-26599.999999999993</v>
      </c>
      <c r="Q269" s="4">
        <f t="shared" si="41"/>
        <v>79800</v>
      </c>
      <c r="R269" s="4">
        <f t="shared" si="42"/>
        <v>179800</v>
      </c>
    </row>
    <row r="270" spans="5:18" x14ac:dyDescent="0.25">
      <c r="E270" s="1">
        <f t="shared" si="37"/>
        <v>267</v>
      </c>
      <c r="F270" s="4">
        <f t="shared" ca="1" si="38"/>
        <v>177500</v>
      </c>
      <c r="G270" s="1" t="s">
        <v>70</v>
      </c>
      <c r="H270" s="26">
        <f t="shared" ca="1" si="36"/>
        <v>0.64056283515804524</v>
      </c>
      <c r="I270" s="4">
        <f>IF(G270="Yes",-$C$8,0)</f>
        <v>-500</v>
      </c>
      <c r="J270" s="4">
        <f>IF(G270="Yes",$C$8-I270,0)</f>
        <v>1000</v>
      </c>
      <c r="K270" s="4">
        <f ca="1">IF(H270&gt;=$C$4,J270+I270,I270)</f>
        <v>500</v>
      </c>
      <c r="M270" s="61">
        <f t="shared" ref="M270:M333" si="43">E270*$C$3</f>
        <v>213.60000000000002</v>
      </c>
      <c r="N270" s="61">
        <f t="shared" ref="N270:N333" si="44">E270-M270</f>
        <v>53.399999999999977</v>
      </c>
      <c r="O270" s="4">
        <f t="shared" si="39"/>
        <v>106800.00000000001</v>
      </c>
      <c r="P270" s="4">
        <f t="shared" si="40"/>
        <v>-26699.999999999989</v>
      </c>
      <c r="Q270" s="4">
        <f t="shared" si="41"/>
        <v>80100.000000000029</v>
      </c>
      <c r="R270" s="4">
        <f t="shared" si="42"/>
        <v>180100.00000000003</v>
      </c>
    </row>
    <row r="271" spans="5:18" x14ac:dyDescent="0.25">
      <c r="E271" s="1">
        <f t="shared" si="37"/>
        <v>268</v>
      </c>
      <c r="F271" s="4">
        <f t="shared" ca="1" si="38"/>
        <v>178000</v>
      </c>
      <c r="G271" s="1" t="s">
        <v>70</v>
      </c>
      <c r="H271" s="26">
        <f t="shared" ca="1" si="36"/>
        <v>0.75964796124737266</v>
      </c>
      <c r="I271" s="4">
        <f>IF(G271="Yes",-$C$8,0)</f>
        <v>-500</v>
      </c>
      <c r="J271" s="4">
        <f>IF(G271="Yes",$C$8-I271,0)</f>
        <v>1000</v>
      </c>
      <c r="K271" s="4">
        <f ca="1">IF(H271&gt;=$C$4,J271+I271,I271)</f>
        <v>500</v>
      </c>
      <c r="M271" s="61">
        <f t="shared" si="43"/>
        <v>214.4</v>
      </c>
      <c r="N271" s="61">
        <f t="shared" si="44"/>
        <v>53.599999999999994</v>
      </c>
      <c r="O271" s="4">
        <f t="shared" si="39"/>
        <v>107200</v>
      </c>
      <c r="P271" s="4">
        <f t="shared" si="40"/>
        <v>-26799.999999999996</v>
      </c>
      <c r="Q271" s="4">
        <f t="shared" si="41"/>
        <v>80400</v>
      </c>
      <c r="R271" s="4">
        <f t="shared" si="42"/>
        <v>180400</v>
      </c>
    </row>
    <row r="272" spans="5:18" x14ac:dyDescent="0.25">
      <c r="E272" s="1">
        <f t="shared" si="37"/>
        <v>269</v>
      </c>
      <c r="F272" s="4">
        <f t="shared" ca="1" si="38"/>
        <v>178500</v>
      </c>
      <c r="G272" s="1" t="s">
        <v>70</v>
      </c>
      <c r="H272" s="26">
        <f t="shared" ca="1" si="36"/>
        <v>0.67914182502004006</v>
      </c>
      <c r="I272" s="4">
        <f>IF(G272="Yes",-$C$8,0)</f>
        <v>-500</v>
      </c>
      <c r="J272" s="4">
        <f>IF(G272="Yes",$C$8-I272,0)</f>
        <v>1000</v>
      </c>
      <c r="K272" s="4">
        <f ca="1">IF(H272&gt;=$C$4,J272+I272,I272)</f>
        <v>500</v>
      </c>
      <c r="M272" s="61">
        <f t="shared" si="43"/>
        <v>215.20000000000002</v>
      </c>
      <c r="N272" s="61">
        <f t="shared" si="44"/>
        <v>53.799999999999983</v>
      </c>
      <c r="O272" s="4">
        <f t="shared" si="39"/>
        <v>107600.00000000001</v>
      </c>
      <c r="P272" s="4">
        <f t="shared" si="40"/>
        <v>-26899.999999999993</v>
      </c>
      <c r="Q272" s="4">
        <f t="shared" si="41"/>
        <v>80700.000000000029</v>
      </c>
      <c r="R272" s="4">
        <f t="shared" si="42"/>
        <v>180700.00000000003</v>
      </c>
    </row>
    <row r="273" spans="5:18" x14ac:dyDescent="0.25">
      <c r="E273" s="1">
        <f t="shared" si="37"/>
        <v>270</v>
      </c>
      <c r="F273" s="4">
        <f t="shared" ca="1" si="38"/>
        <v>179000</v>
      </c>
      <c r="G273" s="1" t="s">
        <v>70</v>
      </c>
      <c r="H273" s="26">
        <f t="shared" ca="1" si="36"/>
        <v>0.69655983929987086</v>
      </c>
      <c r="I273" s="4">
        <f>IF(G273="Yes",-$C$8,0)</f>
        <v>-500</v>
      </c>
      <c r="J273" s="4">
        <f>IF(G273="Yes",$C$8-I273,0)</f>
        <v>1000</v>
      </c>
      <c r="K273" s="4">
        <f ca="1">IF(H273&gt;=$C$4,J273+I273,I273)</f>
        <v>500</v>
      </c>
      <c r="M273" s="61">
        <f t="shared" si="43"/>
        <v>216</v>
      </c>
      <c r="N273" s="61">
        <f t="shared" si="44"/>
        <v>54</v>
      </c>
      <c r="O273" s="4">
        <f t="shared" si="39"/>
        <v>108000</v>
      </c>
      <c r="P273" s="4">
        <f t="shared" si="40"/>
        <v>-27000</v>
      </c>
      <c r="Q273" s="4">
        <f t="shared" si="41"/>
        <v>81000</v>
      </c>
      <c r="R273" s="4">
        <f t="shared" si="42"/>
        <v>181000</v>
      </c>
    </row>
    <row r="274" spans="5:18" x14ac:dyDescent="0.25">
      <c r="E274" s="1">
        <f t="shared" si="37"/>
        <v>271</v>
      </c>
      <c r="F274" s="4">
        <f t="shared" ca="1" si="38"/>
        <v>179500</v>
      </c>
      <c r="G274" s="1" t="s">
        <v>70</v>
      </c>
      <c r="H274" s="26">
        <f t="shared" ca="1" si="36"/>
        <v>0.65729010417362377</v>
      </c>
      <c r="I274" s="4">
        <f>IF(G274="Yes",-$C$8,0)</f>
        <v>-500</v>
      </c>
      <c r="J274" s="4">
        <f>IF(G274="Yes",$C$8-I274,0)</f>
        <v>1000</v>
      </c>
      <c r="K274" s="4">
        <f ca="1">IF(H274&gt;=$C$4,J274+I274,I274)</f>
        <v>500</v>
      </c>
      <c r="M274" s="61">
        <f t="shared" si="43"/>
        <v>216.8</v>
      </c>
      <c r="N274" s="61">
        <f t="shared" si="44"/>
        <v>54.199999999999989</v>
      </c>
      <c r="O274" s="4">
        <f t="shared" si="39"/>
        <v>108400</v>
      </c>
      <c r="P274" s="4">
        <f t="shared" si="40"/>
        <v>-27099.999999999993</v>
      </c>
      <c r="Q274" s="4">
        <f t="shared" si="41"/>
        <v>81300</v>
      </c>
      <c r="R274" s="4">
        <f t="shared" si="42"/>
        <v>181300</v>
      </c>
    </row>
    <row r="275" spans="5:18" x14ac:dyDescent="0.25">
      <c r="E275" s="1">
        <f t="shared" si="37"/>
        <v>272</v>
      </c>
      <c r="F275" s="4">
        <f t="shared" ca="1" si="38"/>
        <v>180000</v>
      </c>
      <c r="G275" s="1" t="s">
        <v>70</v>
      </c>
      <c r="H275" s="26">
        <f t="shared" ca="1" si="36"/>
        <v>0.40473818316690047</v>
      </c>
      <c r="I275" s="4">
        <f>IF(G275="Yes",-$C$8,0)</f>
        <v>-500</v>
      </c>
      <c r="J275" s="4">
        <f>IF(G275="Yes",$C$8-I275,0)</f>
        <v>1000</v>
      </c>
      <c r="K275" s="4">
        <f ca="1">IF(H275&gt;=$C$4,J275+I275,I275)</f>
        <v>500</v>
      </c>
      <c r="M275" s="61">
        <f t="shared" si="43"/>
        <v>217.60000000000002</v>
      </c>
      <c r="N275" s="61">
        <f t="shared" si="44"/>
        <v>54.399999999999977</v>
      </c>
      <c r="O275" s="4">
        <f t="shared" si="39"/>
        <v>108800.00000000001</v>
      </c>
      <c r="P275" s="4">
        <f t="shared" si="40"/>
        <v>-27199.999999999989</v>
      </c>
      <c r="Q275" s="4">
        <f t="shared" si="41"/>
        <v>81600.000000000029</v>
      </c>
      <c r="R275" s="4">
        <f t="shared" si="42"/>
        <v>181600.00000000003</v>
      </c>
    </row>
    <row r="276" spans="5:18" x14ac:dyDescent="0.25">
      <c r="E276" s="1">
        <f t="shared" si="37"/>
        <v>273</v>
      </c>
      <c r="F276" s="4">
        <f t="shared" ca="1" si="38"/>
        <v>180500</v>
      </c>
      <c r="G276" s="1" t="s">
        <v>70</v>
      </c>
      <c r="H276" s="26">
        <f t="shared" ca="1" si="36"/>
        <v>0.89398254765054896</v>
      </c>
      <c r="I276" s="4">
        <f>IF(G276="Yes",-$C$8,0)</f>
        <v>-500</v>
      </c>
      <c r="J276" s="4">
        <f>IF(G276="Yes",$C$8-I276,0)</f>
        <v>1000</v>
      </c>
      <c r="K276" s="4">
        <f ca="1">IF(H276&gt;=$C$4,J276+I276,I276)</f>
        <v>500</v>
      </c>
      <c r="M276" s="61">
        <f t="shared" si="43"/>
        <v>218.4</v>
      </c>
      <c r="N276" s="61">
        <f t="shared" si="44"/>
        <v>54.599999999999994</v>
      </c>
      <c r="O276" s="4">
        <f t="shared" si="39"/>
        <v>109200</v>
      </c>
      <c r="P276" s="4">
        <f t="shared" si="40"/>
        <v>-27299.999999999996</v>
      </c>
      <c r="Q276" s="4">
        <f t="shared" si="41"/>
        <v>81900</v>
      </c>
      <c r="R276" s="4">
        <f t="shared" si="42"/>
        <v>181900</v>
      </c>
    </row>
    <row r="277" spans="5:18" x14ac:dyDescent="0.25">
      <c r="E277" s="1">
        <f t="shared" si="37"/>
        <v>274</v>
      </c>
      <c r="F277" s="4">
        <f t="shared" ca="1" si="38"/>
        <v>181000</v>
      </c>
      <c r="G277" s="1" t="s">
        <v>70</v>
      </c>
      <c r="H277" s="26">
        <f t="shared" ca="1" si="36"/>
        <v>0.99830647060671607</v>
      </c>
      <c r="I277" s="4">
        <f>IF(G277="Yes",-$C$8,0)</f>
        <v>-500</v>
      </c>
      <c r="J277" s="4">
        <f>IF(G277="Yes",$C$8-I277,0)</f>
        <v>1000</v>
      </c>
      <c r="K277" s="4">
        <f ca="1">IF(H277&gt;=$C$4,J277+I277,I277)</f>
        <v>500</v>
      </c>
      <c r="M277" s="61">
        <f t="shared" si="43"/>
        <v>219.20000000000002</v>
      </c>
      <c r="N277" s="61">
        <f t="shared" si="44"/>
        <v>54.799999999999983</v>
      </c>
      <c r="O277" s="4">
        <f t="shared" si="39"/>
        <v>109600.00000000001</v>
      </c>
      <c r="P277" s="4">
        <f t="shared" si="40"/>
        <v>-27399.999999999993</v>
      </c>
      <c r="Q277" s="4">
        <f t="shared" si="41"/>
        <v>82200.000000000029</v>
      </c>
      <c r="R277" s="4">
        <f t="shared" si="42"/>
        <v>182200.00000000003</v>
      </c>
    </row>
    <row r="278" spans="5:18" x14ac:dyDescent="0.25">
      <c r="E278" s="1">
        <f t="shared" si="37"/>
        <v>275</v>
      </c>
      <c r="F278" s="4">
        <f t="shared" ca="1" si="38"/>
        <v>180500</v>
      </c>
      <c r="G278" s="1" t="s">
        <v>70</v>
      </c>
      <c r="H278" s="26">
        <f t="shared" ca="1" si="36"/>
        <v>7.0646546176110547E-2</v>
      </c>
      <c r="I278" s="4">
        <f>IF(G278="Yes",-$C$8,0)</f>
        <v>-500</v>
      </c>
      <c r="J278" s="4">
        <f>IF(G278="Yes",$C$8-I278,0)</f>
        <v>1000</v>
      </c>
      <c r="K278" s="4">
        <f ca="1">IF(H278&gt;=$C$4,J278+I278,I278)</f>
        <v>-500</v>
      </c>
      <c r="M278" s="61">
        <f t="shared" si="43"/>
        <v>220</v>
      </c>
      <c r="N278" s="61">
        <f t="shared" si="44"/>
        <v>55</v>
      </c>
      <c r="O278" s="4">
        <f t="shared" si="39"/>
        <v>110000</v>
      </c>
      <c r="P278" s="4">
        <f t="shared" si="40"/>
        <v>-27500</v>
      </c>
      <c r="Q278" s="4">
        <f t="shared" si="41"/>
        <v>82500</v>
      </c>
      <c r="R278" s="4">
        <f t="shared" si="42"/>
        <v>182500</v>
      </c>
    </row>
    <row r="279" spans="5:18" x14ac:dyDescent="0.25">
      <c r="E279" s="1">
        <f t="shared" si="37"/>
        <v>276</v>
      </c>
      <c r="F279" s="4">
        <f t="shared" ca="1" si="38"/>
        <v>181000</v>
      </c>
      <c r="G279" s="1" t="s">
        <v>70</v>
      </c>
      <c r="H279" s="26">
        <f t="shared" ca="1" si="36"/>
        <v>0.76179093581648549</v>
      </c>
      <c r="I279" s="4">
        <f>IF(G279="Yes",-$C$8,0)</f>
        <v>-500</v>
      </c>
      <c r="J279" s="4">
        <f>IF(G279="Yes",$C$8-I279,0)</f>
        <v>1000</v>
      </c>
      <c r="K279" s="4">
        <f ca="1">IF(H279&gt;=$C$4,J279+I279,I279)</f>
        <v>500</v>
      </c>
      <c r="M279" s="61">
        <f t="shared" si="43"/>
        <v>220.8</v>
      </c>
      <c r="N279" s="61">
        <f t="shared" si="44"/>
        <v>55.199999999999989</v>
      </c>
      <c r="O279" s="4">
        <f t="shared" si="39"/>
        <v>110400</v>
      </c>
      <c r="P279" s="4">
        <f t="shared" si="40"/>
        <v>-27599.999999999993</v>
      </c>
      <c r="Q279" s="4">
        <f t="shared" si="41"/>
        <v>82800</v>
      </c>
      <c r="R279" s="4">
        <f t="shared" si="42"/>
        <v>182800</v>
      </c>
    </row>
    <row r="280" spans="5:18" x14ac:dyDescent="0.25">
      <c r="E280" s="1">
        <f t="shared" si="37"/>
        <v>277</v>
      </c>
      <c r="F280" s="4">
        <f t="shared" ca="1" si="38"/>
        <v>181500</v>
      </c>
      <c r="G280" s="1" t="s">
        <v>70</v>
      </c>
      <c r="H280" s="26">
        <f t="shared" ca="1" si="36"/>
        <v>0.55900274802853589</v>
      </c>
      <c r="I280" s="4">
        <f>IF(G280="Yes",-$C$8,0)</f>
        <v>-500</v>
      </c>
      <c r="J280" s="4">
        <f>IF(G280="Yes",$C$8-I280,0)</f>
        <v>1000</v>
      </c>
      <c r="K280" s="4">
        <f ca="1">IF(H280&gt;=$C$4,J280+I280,I280)</f>
        <v>500</v>
      </c>
      <c r="M280" s="61">
        <f t="shared" si="43"/>
        <v>221.60000000000002</v>
      </c>
      <c r="N280" s="61">
        <f t="shared" si="44"/>
        <v>55.399999999999977</v>
      </c>
      <c r="O280" s="4">
        <f t="shared" si="39"/>
        <v>110800.00000000001</v>
      </c>
      <c r="P280" s="4">
        <f t="shared" si="40"/>
        <v>-27699.999999999989</v>
      </c>
      <c r="Q280" s="4">
        <f t="shared" si="41"/>
        <v>83100.000000000029</v>
      </c>
      <c r="R280" s="4">
        <f t="shared" si="42"/>
        <v>183100.00000000003</v>
      </c>
    </row>
    <row r="281" spans="5:18" x14ac:dyDescent="0.25">
      <c r="E281" s="1">
        <f t="shared" si="37"/>
        <v>278</v>
      </c>
      <c r="F281" s="4">
        <f t="shared" ca="1" si="38"/>
        <v>182000</v>
      </c>
      <c r="G281" s="1" t="s">
        <v>70</v>
      </c>
      <c r="H281" s="26">
        <f t="shared" ca="1" si="36"/>
        <v>0.3122515947411324</v>
      </c>
      <c r="I281" s="4">
        <f>IF(G281="Yes",-$C$8,0)</f>
        <v>-500</v>
      </c>
      <c r="J281" s="4">
        <f>IF(G281="Yes",$C$8-I281,0)</f>
        <v>1000</v>
      </c>
      <c r="K281" s="4">
        <f ca="1">IF(H281&gt;=$C$4,J281+I281,I281)</f>
        <v>500</v>
      </c>
      <c r="M281" s="61">
        <f t="shared" si="43"/>
        <v>222.4</v>
      </c>
      <c r="N281" s="61">
        <f t="shared" si="44"/>
        <v>55.599999999999994</v>
      </c>
      <c r="O281" s="4">
        <f t="shared" si="39"/>
        <v>111200</v>
      </c>
      <c r="P281" s="4">
        <f t="shared" si="40"/>
        <v>-27799.999999999996</v>
      </c>
      <c r="Q281" s="4">
        <f t="shared" si="41"/>
        <v>83400</v>
      </c>
      <c r="R281" s="4">
        <f t="shared" si="42"/>
        <v>183400</v>
      </c>
    </row>
    <row r="282" spans="5:18" x14ac:dyDescent="0.25">
      <c r="E282" s="1">
        <f t="shared" si="37"/>
        <v>279</v>
      </c>
      <c r="F282" s="4">
        <f t="shared" ca="1" si="38"/>
        <v>182500</v>
      </c>
      <c r="G282" s="1" t="s">
        <v>70</v>
      </c>
      <c r="H282" s="26">
        <f t="shared" ca="1" si="36"/>
        <v>0.33702400136287058</v>
      </c>
      <c r="I282" s="4">
        <f>IF(G282="Yes",-$C$8,0)</f>
        <v>-500</v>
      </c>
      <c r="J282" s="4">
        <f>IF(G282="Yes",$C$8-I282,0)</f>
        <v>1000</v>
      </c>
      <c r="K282" s="4">
        <f ca="1">IF(H282&gt;=$C$4,J282+I282,I282)</f>
        <v>500</v>
      </c>
      <c r="M282" s="61">
        <f t="shared" si="43"/>
        <v>223.20000000000002</v>
      </c>
      <c r="N282" s="61">
        <f t="shared" si="44"/>
        <v>55.799999999999983</v>
      </c>
      <c r="O282" s="4">
        <f t="shared" si="39"/>
        <v>111600.00000000001</v>
      </c>
      <c r="P282" s="4">
        <f t="shared" si="40"/>
        <v>-27899.999999999993</v>
      </c>
      <c r="Q282" s="4">
        <f t="shared" si="41"/>
        <v>83700.000000000029</v>
      </c>
      <c r="R282" s="4">
        <f t="shared" si="42"/>
        <v>183700.00000000003</v>
      </c>
    </row>
    <row r="283" spans="5:18" x14ac:dyDescent="0.25">
      <c r="E283" s="1">
        <f t="shared" si="37"/>
        <v>280</v>
      </c>
      <c r="F283" s="4">
        <f t="shared" ca="1" si="38"/>
        <v>183000</v>
      </c>
      <c r="G283" s="1" t="s">
        <v>70</v>
      </c>
      <c r="H283" s="26">
        <f t="shared" ca="1" si="36"/>
        <v>0.39414127144893718</v>
      </c>
      <c r="I283" s="4">
        <f>IF(G283="Yes",-$C$8,0)</f>
        <v>-500</v>
      </c>
      <c r="J283" s="4">
        <f>IF(G283="Yes",$C$8-I283,0)</f>
        <v>1000</v>
      </c>
      <c r="K283" s="4">
        <f ca="1">IF(H283&gt;=$C$4,J283+I283,I283)</f>
        <v>500</v>
      </c>
      <c r="M283" s="61">
        <f t="shared" si="43"/>
        <v>224</v>
      </c>
      <c r="N283" s="61">
        <f t="shared" si="44"/>
        <v>56</v>
      </c>
      <c r="O283" s="4">
        <f t="shared" si="39"/>
        <v>112000</v>
      </c>
      <c r="P283" s="4">
        <f t="shared" si="40"/>
        <v>-28000</v>
      </c>
      <c r="Q283" s="4">
        <f t="shared" si="41"/>
        <v>84000</v>
      </c>
      <c r="R283" s="4">
        <f t="shared" si="42"/>
        <v>184000</v>
      </c>
    </row>
    <row r="284" spans="5:18" x14ac:dyDescent="0.25">
      <c r="E284" s="1">
        <f t="shared" si="37"/>
        <v>281</v>
      </c>
      <c r="F284" s="4">
        <f t="shared" ca="1" si="38"/>
        <v>183500</v>
      </c>
      <c r="G284" s="1" t="s">
        <v>70</v>
      </c>
      <c r="H284" s="26">
        <f t="shared" ca="1" si="36"/>
        <v>0.83651290186917715</v>
      </c>
      <c r="I284" s="4">
        <f>IF(G284="Yes",-$C$8,0)</f>
        <v>-500</v>
      </c>
      <c r="J284" s="4">
        <f>IF(G284="Yes",$C$8-I284,0)</f>
        <v>1000</v>
      </c>
      <c r="K284" s="4">
        <f ca="1">IF(H284&gt;=$C$4,J284+I284,I284)</f>
        <v>500</v>
      </c>
      <c r="M284" s="61">
        <f t="shared" si="43"/>
        <v>224.8</v>
      </c>
      <c r="N284" s="61">
        <f t="shared" si="44"/>
        <v>56.199999999999989</v>
      </c>
      <c r="O284" s="4">
        <f t="shared" si="39"/>
        <v>112400</v>
      </c>
      <c r="P284" s="4">
        <f t="shared" si="40"/>
        <v>-28099.999999999993</v>
      </c>
      <c r="Q284" s="4">
        <f t="shared" si="41"/>
        <v>84300</v>
      </c>
      <c r="R284" s="4">
        <f t="shared" si="42"/>
        <v>184300</v>
      </c>
    </row>
    <row r="285" spans="5:18" x14ac:dyDescent="0.25">
      <c r="E285" s="1">
        <f t="shared" si="37"/>
        <v>282</v>
      </c>
      <c r="F285" s="4">
        <f t="shared" ca="1" si="38"/>
        <v>184000</v>
      </c>
      <c r="G285" s="1" t="s">
        <v>70</v>
      </c>
      <c r="H285" s="26">
        <f t="shared" ca="1" si="36"/>
        <v>0.47897018610049258</v>
      </c>
      <c r="I285" s="4">
        <f>IF(G285="Yes",-$C$8,0)</f>
        <v>-500</v>
      </c>
      <c r="J285" s="4">
        <f>IF(G285="Yes",$C$8-I285,0)</f>
        <v>1000</v>
      </c>
      <c r="K285" s="4">
        <f ca="1">IF(H285&gt;=$C$4,J285+I285,I285)</f>
        <v>500</v>
      </c>
      <c r="M285" s="61">
        <f t="shared" si="43"/>
        <v>225.60000000000002</v>
      </c>
      <c r="N285" s="61">
        <f t="shared" si="44"/>
        <v>56.399999999999977</v>
      </c>
      <c r="O285" s="4">
        <f t="shared" si="39"/>
        <v>112800.00000000001</v>
      </c>
      <c r="P285" s="4">
        <f t="shared" si="40"/>
        <v>-28199.999999999989</v>
      </c>
      <c r="Q285" s="4">
        <f t="shared" si="41"/>
        <v>84600.000000000029</v>
      </c>
      <c r="R285" s="4">
        <f t="shared" si="42"/>
        <v>184600.00000000003</v>
      </c>
    </row>
    <row r="286" spans="5:18" x14ac:dyDescent="0.25">
      <c r="E286" s="1">
        <f t="shared" si="37"/>
        <v>283</v>
      </c>
      <c r="F286" s="4">
        <f t="shared" ca="1" si="38"/>
        <v>184500</v>
      </c>
      <c r="G286" s="1" t="s">
        <v>70</v>
      </c>
      <c r="H286" s="26">
        <f t="shared" ca="1" si="36"/>
        <v>0.82964097562675221</v>
      </c>
      <c r="I286" s="4">
        <f>IF(G286="Yes",-$C$8,0)</f>
        <v>-500</v>
      </c>
      <c r="J286" s="4">
        <f>IF(G286="Yes",$C$8-I286,0)</f>
        <v>1000</v>
      </c>
      <c r="K286" s="4">
        <f ca="1">IF(H286&gt;=$C$4,J286+I286,I286)</f>
        <v>500</v>
      </c>
      <c r="M286" s="61">
        <f t="shared" si="43"/>
        <v>226.4</v>
      </c>
      <c r="N286" s="61">
        <f t="shared" si="44"/>
        <v>56.599999999999994</v>
      </c>
      <c r="O286" s="4">
        <f t="shared" si="39"/>
        <v>113200</v>
      </c>
      <c r="P286" s="4">
        <f t="shared" si="40"/>
        <v>-28299.999999999996</v>
      </c>
      <c r="Q286" s="4">
        <f t="shared" si="41"/>
        <v>84900</v>
      </c>
      <c r="R286" s="4">
        <f t="shared" si="42"/>
        <v>184900</v>
      </c>
    </row>
    <row r="287" spans="5:18" x14ac:dyDescent="0.25">
      <c r="E287" s="1">
        <f t="shared" si="37"/>
        <v>284</v>
      </c>
      <c r="F287" s="4">
        <f t="shared" ca="1" si="38"/>
        <v>184000</v>
      </c>
      <c r="G287" s="1" t="s">
        <v>70</v>
      </c>
      <c r="H287" s="26">
        <f t="shared" ca="1" si="36"/>
        <v>5.6066107207941029E-2</v>
      </c>
      <c r="I287" s="4">
        <f>IF(G287="Yes",-$C$8,0)</f>
        <v>-500</v>
      </c>
      <c r="J287" s="4">
        <f>IF(G287="Yes",$C$8-I287,0)</f>
        <v>1000</v>
      </c>
      <c r="K287" s="4">
        <f ca="1">IF(H287&gt;=$C$4,J287+I287,I287)</f>
        <v>-500</v>
      </c>
      <c r="M287" s="61">
        <f t="shared" si="43"/>
        <v>227.20000000000002</v>
      </c>
      <c r="N287" s="61">
        <f t="shared" si="44"/>
        <v>56.799999999999983</v>
      </c>
      <c r="O287" s="4">
        <f t="shared" si="39"/>
        <v>113600.00000000001</v>
      </c>
      <c r="P287" s="4">
        <f t="shared" si="40"/>
        <v>-28399.999999999993</v>
      </c>
      <c r="Q287" s="4">
        <f t="shared" si="41"/>
        <v>85200.000000000029</v>
      </c>
      <c r="R287" s="4">
        <f t="shared" si="42"/>
        <v>185200.00000000003</v>
      </c>
    </row>
    <row r="288" spans="5:18" x14ac:dyDescent="0.25">
      <c r="E288" s="1">
        <f t="shared" si="37"/>
        <v>285</v>
      </c>
      <c r="F288" s="4">
        <f t="shared" ca="1" si="38"/>
        <v>184500</v>
      </c>
      <c r="G288" s="1" t="s">
        <v>70</v>
      </c>
      <c r="H288" s="26">
        <f t="shared" ca="1" si="36"/>
        <v>0.31457009083006027</v>
      </c>
      <c r="I288" s="4">
        <f>IF(G288="Yes",-$C$8,0)</f>
        <v>-500</v>
      </c>
      <c r="J288" s="4">
        <f>IF(G288="Yes",$C$8-I288,0)</f>
        <v>1000</v>
      </c>
      <c r="K288" s="4">
        <f ca="1">IF(H288&gt;=$C$4,J288+I288,I288)</f>
        <v>500</v>
      </c>
      <c r="M288" s="61">
        <f t="shared" si="43"/>
        <v>228</v>
      </c>
      <c r="N288" s="61">
        <f t="shared" si="44"/>
        <v>57</v>
      </c>
      <c r="O288" s="4">
        <f t="shared" si="39"/>
        <v>114000</v>
      </c>
      <c r="P288" s="4">
        <f t="shared" si="40"/>
        <v>-28500</v>
      </c>
      <c r="Q288" s="4">
        <f t="shared" si="41"/>
        <v>85500</v>
      </c>
      <c r="R288" s="4">
        <f t="shared" si="42"/>
        <v>185500</v>
      </c>
    </row>
    <row r="289" spans="5:18" x14ac:dyDescent="0.25">
      <c r="E289" s="1">
        <f t="shared" si="37"/>
        <v>286</v>
      </c>
      <c r="F289" s="4">
        <f t="shared" ca="1" si="38"/>
        <v>185000</v>
      </c>
      <c r="G289" s="1" t="s">
        <v>70</v>
      </c>
      <c r="H289" s="26">
        <f t="shared" ca="1" si="36"/>
        <v>0.21486658015252624</v>
      </c>
      <c r="I289" s="4">
        <f>IF(G289="Yes",-$C$8,0)</f>
        <v>-500</v>
      </c>
      <c r="J289" s="4">
        <f>IF(G289="Yes",$C$8-I289,0)</f>
        <v>1000</v>
      </c>
      <c r="K289" s="4">
        <f ca="1">IF(H289&gt;=$C$4,J289+I289,I289)</f>
        <v>500</v>
      </c>
      <c r="M289" s="61">
        <f t="shared" si="43"/>
        <v>228.8</v>
      </c>
      <c r="N289" s="61">
        <f t="shared" si="44"/>
        <v>57.199999999999989</v>
      </c>
      <c r="O289" s="4">
        <f t="shared" si="39"/>
        <v>114400</v>
      </c>
      <c r="P289" s="4">
        <f t="shared" si="40"/>
        <v>-28599.999999999993</v>
      </c>
      <c r="Q289" s="4">
        <f t="shared" si="41"/>
        <v>85800</v>
      </c>
      <c r="R289" s="4">
        <f t="shared" si="42"/>
        <v>185800</v>
      </c>
    </row>
    <row r="290" spans="5:18" x14ac:dyDescent="0.25">
      <c r="E290" s="1">
        <f t="shared" si="37"/>
        <v>287</v>
      </c>
      <c r="F290" s="4">
        <f t="shared" ca="1" si="38"/>
        <v>185500</v>
      </c>
      <c r="G290" s="1" t="s">
        <v>70</v>
      </c>
      <c r="H290" s="26">
        <f t="shared" ca="1" si="36"/>
        <v>0.64030639430070801</v>
      </c>
      <c r="I290" s="4">
        <f>IF(G290="Yes",-$C$8,0)</f>
        <v>-500</v>
      </c>
      <c r="J290" s="4">
        <f>IF(G290="Yes",$C$8-I290,0)</f>
        <v>1000</v>
      </c>
      <c r="K290" s="4">
        <f ca="1">IF(H290&gt;=$C$4,J290+I290,I290)</f>
        <v>500</v>
      </c>
      <c r="M290" s="61">
        <f t="shared" si="43"/>
        <v>229.60000000000002</v>
      </c>
      <c r="N290" s="61">
        <f t="shared" si="44"/>
        <v>57.399999999999977</v>
      </c>
      <c r="O290" s="4">
        <f t="shared" si="39"/>
        <v>114800.00000000001</v>
      </c>
      <c r="P290" s="4">
        <f t="shared" si="40"/>
        <v>-28699.999999999989</v>
      </c>
      <c r="Q290" s="4">
        <f t="shared" si="41"/>
        <v>86100.000000000029</v>
      </c>
      <c r="R290" s="4">
        <f t="shared" si="42"/>
        <v>186100.00000000003</v>
      </c>
    </row>
    <row r="291" spans="5:18" x14ac:dyDescent="0.25">
      <c r="E291" s="1">
        <f t="shared" si="37"/>
        <v>288</v>
      </c>
      <c r="F291" s="4">
        <f t="shared" ca="1" si="38"/>
        <v>186000</v>
      </c>
      <c r="G291" s="1" t="s">
        <v>70</v>
      </c>
      <c r="H291" s="26">
        <f t="shared" ca="1" si="36"/>
        <v>0.26379360922331985</v>
      </c>
      <c r="I291" s="4">
        <f>IF(G291="Yes",-$C$8,0)</f>
        <v>-500</v>
      </c>
      <c r="J291" s="4">
        <f>IF(G291="Yes",$C$8-I291,0)</f>
        <v>1000</v>
      </c>
      <c r="K291" s="4">
        <f ca="1">IF(H291&gt;=$C$4,J291+I291,I291)</f>
        <v>500</v>
      </c>
      <c r="M291" s="61">
        <f t="shared" si="43"/>
        <v>230.4</v>
      </c>
      <c r="N291" s="61">
        <f t="shared" si="44"/>
        <v>57.599999999999994</v>
      </c>
      <c r="O291" s="4">
        <f t="shared" si="39"/>
        <v>115200</v>
      </c>
      <c r="P291" s="4">
        <f t="shared" si="40"/>
        <v>-28799.999999999996</v>
      </c>
      <c r="Q291" s="4">
        <f t="shared" si="41"/>
        <v>86400</v>
      </c>
      <c r="R291" s="4">
        <f t="shared" si="42"/>
        <v>186400</v>
      </c>
    </row>
    <row r="292" spans="5:18" x14ac:dyDescent="0.25">
      <c r="E292" s="1">
        <f t="shared" si="37"/>
        <v>289</v>
      </c>
      <c r="F292" s="4">
        <f t="shared" ca="1" si="38"/>
        <v>185500</v>
      </c>
      <c r="G292" s="1" t="s">
        <v>70</v>
      </c>
      <c r="H292" s="26">
        <f t="shared" ca="1" si="36"/>
        <v>6.1254541115740357E-2</v>
      </c>
      <c r="I292" s="4">
        <f>IF(G292="Yes",-$C$8,0)</f>
        <v>-500</v>
      </c>
      <c r="J292" s="4">
        <f>IF(G292="Yes",$C$8-I292,0)</f>
        <v>1000</v>
      </c>
      <c r="K292" s="4">
        <f ca="1">IF(H292&gt;=$C$4,J292+I292,I292)</f>
        <v>-500</v>
      </c>
      <c r="M292" s="61">
        <f t="shared" si="43"/>
        <v>231.20000000000002</v>
      </c>
      <c r="N292" s="61">
        <f t="shared" si="44"/>
        <v>57.799999999999983</v>
      </c>
      <c r="O292" s="4">
        <f t="shared" si="39"/>
        <v>115600.00000000001</v>
      </c>
      <c r="P292" s="4">
        <f t="shared" si="40"/>
        <v>-28899.999999999993</v>
      </c>
      <c r="Q292" s="4">
        <f t="shared" si="41"/>
        <v>86700.000000000029</v>
      </c>
      <c r="R292" s="4">
        <f t="shared" si="42"/>
        <v>186700.00000000003</v>
      </c>
    </row>
    <row r="293" spans="5:18" x14ac:dyDescent="0.25">
      <c r="E293" s="1">
        <f t="shared" si="37"/>
        <v>290</v>
      </c>
      <c r="F293" s="4">
        <f t="shared" ca="1" si="38"/>
        <v>185000</v>
      </c>
      <c r="G293" s="1" t="s">
        <v>70</v>
      </c>
      <c r="H293" s="26">
        <f t="shared" ca="1" si="36"/>
        <v>0.18376070317191351</v>
      </c>
      <c r="I293" s="4">
        <f>IF(G293="Yes",-$C$8,0)</f>
        <v>-500</v>
      </c>
      <c r="J293" s="4">
        <f>IF(G293="Yes",$C$8-I293,0)</f>
        <v>1000</v>
      </c>
      <c r="K293" s="4">
        <f ca="1">IF(H293&gt;=$C$4,J293+I293,I293)</f>
        <v>-500</v>
      </c>
      <c r="M293" s="61">
        <f t="shared" si="43"/>
        <v>232</v>
      </c>
      <c r="N293" s="61">
        <f t="shared" si="44"/>
        <v>58</v>
      </c>
      <c r="O293" s="4">
        <f t="shared" si="39"/>
        <v>116000</v>
      </c>
      <c r="P293" s="4">
        <f t="shared" si="40"/>
        <v>-29000</v>
      </c>
      <c r="Q293" s="4">
        <f t="shared" si="41"/>
        <v>87000</v>
      </c>
      <c r="R293" s="4">
        <f t="shared" si="42"/>
        <v>187000</v>
      </c>
    </row>
    <row r="294" spans="5:18" x14ac:dyDescent="0.25">
      <c r="E294" s="1">
        <f t="shared" si="37"/>
        <v>291</v>
      </c>
      <c r="F294" s="4">
        <f t="shared" ca="1" si="38"/>
        <v>185500</v>
      </c>
      <c r="G294" s="1" t="s">
        <v>70</v>
      </c>
      <c r="H294" s="26">
        <f t="shared" ca="1" si="36"/>
        <v>0.68053990968470046</v>
      </c>
      <c r="I294" s="4">
        <f>IF(G294="Yes",-$C$8,0)</f>
        <v>-500</v>
      </c>
      <c r="J294" s="4">
        <f>IF(G294="Yes",$C$8-I294,0)</f>
        <v>1000</v>
      </c>
      <c r="K294" s="4">
        <f ca="1">IF(H294&gt;=$C$4,J294+I294,I294)</f>
        <v>500</v>
      </c>
      <c r="M294" s="61">
        <f t="shared" si="43"/>
        <v>232.8</v>
      </c>
      <c r="N294" s="61">
        <f t="shared" si="44"/>
        <v>58.199999999999989</v>
      </c>
      <c r="O294" s="4">
        <f t="shared" si="39"/>
        <v>116400</v>
      </c>
      <c r="P294" s="4">
        <f t="shared" si="40"/>
        <v>-29099.999999999993</v>
      </c>
      <c r="Q294" s="4">
        <f t="shared" si="41"/>
        <v>87300</v>
      </c>
      <c r="R294" s="4">
        <f t="shared" si="42"/>
        <v>187300</v>
      </c>
    </row>
    <row r="295" spans="5:18" x14ac:dyDescent="0.25">
      <c r="E295" s="1">
        <f t="shared" si="37"/>
        <v>292</v>
      </c>
      <c r="F295" s="4">
        <f t="shared" ca="1" si="38"/>
        <v>186000</v>
      </c>
      <c r="G295" s="1" t="s">
        <v>70</v>
      </c>
      <c r="H295" s="26">
        <f t="shared" ca="1" si="36"/>
        <v>0.84225976410379877</v>
      </c>
      <c r="I295" s="4">
        <f>IF(G295="Yes",-$C$8,0)</f>
        <v>-500</v>
      </c>
      <c r="J295" s="4">
        <f>IF(G295="Yes",$C$8-I295,0)</f>
        <v>1000</v>
      </c>
      <c r="K295" s="4">
        <f ca="1">IF(H295&gt;=$C$4,J295+I295,I295)</f>
        <v>500</v>
      </c>
      <c r="M295" s="61">
        <f t="shared" si="43"/>
        <v>233.60000000000002</v>
      </c>
      <c r="N295" s="61">
        <f t="shared" si="44"/>
        <v>58.399999999999977</v>
      </c>
      <c r="O295" s="4">
        <f t="shared" si="39"/>
        <v>116800.00000000001</v>
      </c>
      <c r="P295" s="4">
        <f t="shared" si="40"/>
        <v>-29199.999999999989</v>
      </c>
      <c r="Q295" s="4">
        <f t="shared" si="41"/>
        <v>87600.000000000029</v>
      </c>
      <c r="R295" s="4">
        <f t="shared" si="42"/>
        <v>187600.00000000003</v>
      </c>
    </row>
    <row r="296" spans="5:18" x14ac:dyDescent="0.25">
      <c r="E296" s="1">
        <f t="shared" si="37"/>
        <v>293</v>
      </c>
      <c r="F296" s="4">
        <f t="shared" ca="1" si="38"/>
        <v>186500</v>
      </c>
      <c r="G296" s="1" t="s">
        <v>70</v>
      </c>
      <c r="H296" s="26">
        <f t="shared" ca="1" si="36"/>
        <v>0.41916188369708385</v>
      </c>
      <c r="I296" s="4">
        <f>IF(G296="Yes",-$C$8,0)</f>
        <v>-500</v>
      </c>
      <c r="J296" s="4">
        <f>IF(G296="Yes",$C$8-I296,0)</f>
        <v>1000</v>
      </c>
      <c r="K296" s="4">
        <f ca="1">IF(H296&gt;=$C$4,J296+I296,I296)</f>
        <v>500</v>
      </c>
      <c r="M296" s="61">
        <f t="shared" si="43"/>
        <v>234.4</v>
      </c>
      <c r="N296" s="61">
        <f t="shared" si="44"/>
        <v>58.599999999999994</v>
      </c>
      <c r="O296" s="4">
        <f t="shared" si="39"/>
        <v>117200</v>
      </c>
      <c r="P296" s="4">
        <f t="shared" si="40"/>
        <v>-29299.999999999996</v>
      </c>
      <c r="Q296" s="4">
        <f t="shared" si="41"/>
        <v>87900</v>
      </c>
      <c r="R296" s="4">
        <f t="shared" si="42"/>
        <v>187900</v>
      </c>
    </row>
    <row r="297" spans="5:18" x14ac:dyDescent="0.25">
      <c r="E297" s="1">
        <f t="shared" si="37"/>
        <v>294</v>
      </c>
      <c r="F297" s="4">
        <f t="shared" ca="1" si="38"/>
        <v>186000</v>
      </c>
      <c r="G297" s="1" t="s">
        <v>70</v>
      </c>
      <c r="H297" s="26">
        <f t="shared" ca="1" si="36"/>
        <v>0.17380420724027268</v>
      </c>
      <c r="I297" s="4">
        <f>IF(G297="Yes",-$C$8,0)</f>
        <v>-500</v>
      </c>
      <c r="J297" s="4">
        <f>IF(G297="Yes",$C$8-I297,0)</f>
        <v>1000</v>
      </c>
      <c r="K297" s="4">
        <f ca="1">IF(H297&gt;=$C$4,J297+I297,I297)</f>
        <v>-500</v>
      </c>
      <c r="M297" s="61">
        <f t="shared" si="43"/>
        <v>235.20000000000002</v>
      </c>
      <c r="N297" s="61">
        <f t="shared" si="44"/>
        <v>58.799999999999983</v>
      </c>
      <c r="O297" s="4">
        <f t="shared" si="39"/>
        <v>117600.00000000001</v>
      </c>
      <c r="P297" s="4">
        <f t="shared" si="40"/>
        <v>-29399.999999999993</v>
      </c>
      <c r="Q297" s="4">
        <f t="shared" si="41"/>
        <v>88200.000000000029</v>
      </c>
      <c r="R297" s="4">
        <f t="shared" si="42"/>
        <v>188200.00000000003</v>
      </c>
    </row>
    <row r="298" spans="5:18" x14ac:dyDescent="0.25">
      <c r="E298" s="1">
        <f t="shared" si="37"/>
        <v>295</v>
      </c>
      <c r="F298" s="4">
        <f t="shared" ca="1" si="38"/>
        <v>186500</v>
      </c>
      <c r="G298" s="1" t="s">
        <v>70</v>
      </c>
      <c r="H298" s="26">
        <f t="shared" ca="1" si="36"/>
        <v>0.95472253284708619</v>
      </c>
      <c r="I298" s="4">
        <f>IF(G298="Yes",-$C$8,0)</f>
        <v>-500</v>
      </c>
      <c r="J298" s="4">
        <f>IF(G298="Yes",$C$8-I298,0)</f>
        <v>1000</v>
      </c>
      <c r="K298" s="4">
        <f ca="1">IF(H298&gt;=$C$4,J298+I298,I298)</f>
        <v>500</v>
      </c>
      <c r="M298" s="61">
        <f t="shared" si="43"/>
        <v>236</v>
      </c>
      <c r="N298" s="61">
        <f t="shared" si="44"/>
        <v>59</v>
      </c>
      <c r="O298" s="4">
        <f t="shared" si="39"/>
        <v>118000</v>
      </c>
      <c r="P298" s="4">
        <f t="shared" si="40"/>
        <v>-29500</v>
      </c>
      <c r="Q298" s="4">
        <f t="shared" si="41"/>
        <v>88500</v>
      </c>
      <c r="R298" s="4">
        <f t="shared" si="42"/>
        <v>188500</v>
      </c>
    </row>
    <row r="299" spans="5:18" x14ac:dyDescent="0.25">
      <c r="E299" s="1">
        <f t="shared" si="37"/>
        <v>296</v>
      </c>
      <c r="F299" s="4">
        <f t="shared" ca="1" si="38"/>
        <v>186000</v>
      </c>
      <c r="G299" s="1" t="s">
        <v>70</v>
      </c>
      <c r="H299" s="26">
        <f t="shared" ca="1" si="36"/>
        <v>9.2393790623966465E-2</v>
      </c>
      <c r="I299" s="4">
        <f>IF(G299="Yes",-$C$8,0)</f>
        <v>-500</v>
      </c>
      <c r="J299" s="4">
        <f>IF(G299="Yes",$C$8-I299,0)</f>
        <v>1000</v>
      </c>
      <c r="K299" s="4">
        <f ca="1">IF(H299&gt;=$C$4,J299+I299,I299)</f>
        <v>-500</v>
      </c>
      <c r="M299" s="61">
        <f t="shared" si="43"/>
        <v>236.8</v>
      </c>
      <c r="N299" s="61">
        <f t="shared" si="44"/>
        <v>59.199999999999989</v>
      </c>
      <c r="O299" s="4">
        <f t="shared" si="39"/>
        <v>118400</v>
      </c>
      <c r="P299" s="4">
        <f t="shared" si="40"/>
        <v>-29599.999999999993</v>
      </c>
      <c r="Q299" s="4">
        <f t="shared" si="41"/>
        <v>88800</v>
      </c>
      <c r="R299" s="4">
        <f t="shared" si="42"/>
        <v>188800</v>
      </c>
    </row>
    <row r="300" spans="5:18" x14ac:dyDescent="0.25">
      <c r="E300" s="1">
        <f t="shared" si="37"/>
        <v>297</v>
      </c>
      <c r="F300" s="4">
        <f t="shared" ca="1" si="38"/>
        <v>186500</v>
      </c>
      <c r="G300" s="1" t="s">
        <v>70</v>
      </c>
      <c r="H300" s="26">
        <f t="shared" ca="1" si="36"/>
        <v>0.76772030624171927</v>
      </c>
      <c r="I300" s="4">
        <f>IF(G300="Yes",-$C$8,0)</f>
        <v>-500</v>
      </c>
      <c r="J300" s="4">
        <f>IF(G300="Yes",$C$8-I300,0)</f>
        <v>1000</v>
      </c>
      <c r="K300" s="4">
        <f ca="1">IF(H300&gt;=$C$4,J300+I300,I300)</f>
        <v>500</v>
      </c>
      <c r="M300" s="61">
        <f t="shared" si="43"/>
        <v>237.60000000000002</v>
      </c>
      <c r="N300" s="61">
        <f t="shared" si="44"/>
        <v>59.399999999999977</v>
      </c>
      <c r="O300" s="4">
        <f t="shared" si="39"/>
        <v>118800.00000000001</v>
      </c>
      <c r="P300" s="4">
        <f t="shared" si="40"/>
        <v>-29699.999999999989</v>
      </c>
      <c r="Q300" s="4">
        <f t="shared" si="41"/>
        <v>89100.000000000029</v>
      </c>
      <c r="R300" s="4">
        <f t="shared" si="42"/>
        <v>189100.00000000003</v>
      </c>
    </row>
    <row r="301" spans="5:18" x14ac:dyDescent="0.25">
      <c r="E301" s="1">
        <f t="shared" si="37"/>
        <v>298</v>
      </c>
      <c r="F301" s="4">
        <f t="shared" ca="1" si="38"/>
        <v>187000</v>
      </c>
      <c r="G301" s="1" t="s">
        <v>70</v>
      </c>
      <c r="H301" s="26">
        <f t="shared" ca="1" si="36"/>
        <v>0.77734807920022053</v>
      </c>
      <c r="I301" s="4">
        <f>IF(G301="Yes",-$C$8,0)</f>
        <v>-500</v>
      </c>
      <c r="J301" s="4">
        <f>IF(G301="Yes",$C$8-I301,0)</f>
        <v>1000</v>
      </c>
      <c r="K301" s="4">
        <f ca="1">IF(H301&gt;=$C$4,J301+I301,I301)</f>
        <v>500</v>
      </c>
      <c r="M301" s="61">
        <f t="shared" si="43"/>
        <v>238.4</v>
      </c>
      <c r="N301" s="61">
        <f t="shared" si="44"/>
        <v>59.599999999999994</v>
      </c>
      <c r="O301" s="4">
        <f t="shared" si="39"/>
        <v>119200</v>
      </c>
      <c r="P301" s="4">
        <f t="shared" si="40"/>
        <v>-29799.999999999996</v>
      </c>
      <c r="Q301" s="4">
        <f t="shared" si="41"/>
        <v>89400</v>
      </c>
      <c r="R301" s="4">
        <f t="shared" si="42"/>
        <v>189400</v>
      </c>
    </row>
    <row r="302" spans="5:18" x14ac:dyDescent="0.25">
      <c r="E302" s="1">
        <f t="shared" si="37"/>
        <v>299</v>
      </c>
      <c r="F302" s="4">
        <f t="shared" ca="1" si="38"/>
        <v>187500</v>
      </c>
      <c r="G302" s="1" t="s">
        <v>70</v>
      </c>
      <c r="H302" s="26">
        <f t="shared" ca="1" si="36"/>
        <v>0.28860418316782555</v>
      </c>
      <c r="I302" s="4">
        <f>IF(G302="Yes",-$C$8,0)</f>
        <v>-500</v>
      </c>
      <c r="J302" s="4">
        <f>IF(G302="Yes",$C$8-I302,0)</f>
        <v>1000</v>
      </c>
      <c r="K302" s="4">
        <f ca="1">IF(H302&gt;=$C$4,J302+I302,I302)</f>
        <v>500</v>
      </c>
      <c r="M302" s="61">
        <f t="shared" si="43"/>
        <v>239.20000000000002</v>
      </c>
      <c r="N302" s="61">
        <f t="shared" si="44"/>
        <v>59.799999999999983</v>
      </c>
      <c r="O302" s="4">
        <f t="shared" si="39"/>
        <v>119600.00000000001</v>
      </c>
      <c r="P302" s="4">
        <f t="shared" si="40"/>
        <v>-29899.999999999993</v>
      </c>
      <c r="Q302" s="4">
        <f t="shared" si="41"/>
        <v>89700.000000000029</v>
      </c>
      <c r="R302" s="4">
        <f t="shared" si="42"/>
        <v>189700.00000000003</v>
      </c>
    </row>
    <row r="303" spans="5:18" x14ac:dyDescent="0.25">
      <c r="E303" s="1">
        <f t="shared" si="37"/>
        <v>300</v>
      </c>
      <c r="F303" s="4">
        <f t="shared" ca="1" si="38"/>
        <v>188000</v>
      </c>
      <c r="G303" s="1" t="s">
        <v>70</v>
      </c>
      <c r="H303" s="26">
        <f t="shared" ca="1" si="36"/>
        <v>0.87300736477799823</v>
      </c>
      <c r="I303" s="4">
        <f>IF(G303="Yes",-$C$8,0)</f>
        <v>-500</v>
      </c>
      <c r="J303" s="4">
        <f>IF(G303="Yes",$C$8-I303,0)</f>
        <v>1000</v>
      </c>
      <c r="K303" s="4">
        <f ca="1">IF(H303&gt;=$C$4,J303+I303,I303)</f>
        <v>500</v>
      </c>
      <c r="M303" s="61">
        <f t="shared" si="43"/>
        <v>240</v>
      </c>
      <c r="N303" s="61">
        <f t="shared" si="44"/>
        <v>60</v>
      </c>
      <c r="O303" s="4">
        <f t="shared" si="39"/>
        <v>120000</v>
      </c>
      <c r="P303" s="4">
        <f t="shared" si="40"/>
        <v>-30000</v>
      </c>
      <c r="Q303" s="4">
        <f t="shared" si="41"/>
        <v>90000</v>
      </c>
      <c r="R303" s="4">
        <f t="shared" si="42"/>
        <v>190000</v>
      </c>
    </row>
    <row r="304" spans="5:18" x14ac:dyDescent="0.25">
      <c r="E304" s="1">
        <f t="shared" si="37"/>
        <v>301</v>
      </c>
      <c r="F304" s="4">
        <f t="shared" ca="1" si="38"/>
        <v>187500</v>
      </c>
      <c r="G304" s="1" t="s">
        <v>70</v>
      </c>
      <c r="H304" s="26">
        <f t="shared" ca="1" si="36"/>
        <v>2.2052916929592326E-2</v>
      </c>
      <c r="I304" s="4">
        <f>IF(G304="Yes",-$C$8,0)</f>
        <v>-500</v>
      </c>
      <c r="J304" s="4">
        <f>IF(G304="Yes",$C$8-I304,0)</f>
        <v>1000</v>
      </c>
      <c r="K304" s="4">
        <f ca="1">IF(H304&gt;=$C$4,J304+I304,I304)</f>
        <v>-500</v>
      </c>
      <c r="M304" s="61">
        <f t="shared" si="43"/>
        <v>240.8</v>
      </c>
      <c r="N304" s="61">
        <f t="shared" si="44"/>
        <v>60.199999999999989</v>
      </c>
      <c r="O304" s="4">
        <f t="shared" si="39"/>
        <v>120400</v>
      </c>
      <c r="P304" s="4">
        <f t="shared" si="40"/>
        <v>-30099.999999999993</v>
      </c>
      <c r="Q304" s="4">
        <f t="shared" si="41"/>
        <v>90300</v>
      </c>
      <c r="R304" s="4">
        <f t="shared" si="42"/>
        <v>190300</v>
      </c>
    </row>
    <row r="305" spans="5:18" x14ac:dyDescent="0.25">
      <c r="E305" s="1">
        <f t="shared" si="37"/>
        <v>302</v>
      </c>
      <c r="F305" s="4">
        <f t="shared" ca="1" si="38"/>
        <v>187000</v>
      </c>
      <c r="G305" s="1" t="s">
        <v>70</v>
      </c>
      <c r="H305" s="26">
        <f t="shared" ca="1" si="36"/>
        <v>0.15406477021853904</v>
      </c>
      <c r="I305" s="4">
        <f>IF(G305="Yes",-$C$8,0)</f>
        <v>-500</v>
      </c>
      <c r="J305" s="4">
        <f>IF(G305="Yes",$C$8-I305,0)</f>
        <v>1000</v>
      </c>
      <c r="K305" s="4">
        <f ca="1">IF(H305&gt;=$C$4,J305+I305,I305)</f>
        <v>-500</v>
      </c>
      <c r="M305" s="61">
        <f t="shared" si="43"/>
        <v>241.60000000000002</v>
      </c>
      <c r="N305" s="61">
        <f t="shared" si="44"/>
        <v>60.399999999999977</v>
      </c>
      <c r="O305" s="4">
        <f t="shared" si="39"/>
        <v>120800.00000000001</v>
      </c>
      <c r="P305" s="4">
        <f t="shared" si="40"/>
        <v>-30199.999999999989</v>
      </c>
      <c r="Q305" s="4">
        <f t="shared" si="41"/>
        <v>90600.000000000029</v>
      </c>
      <c r="R305" s="4">
        <f t="shared" si="42"/>
        <v>190600.00000000003</v>
      </c>
    </row>
    <row r="306" spans="5:18" x14ac:dyDescent="0.25">
      <c r="E306" s="1">
        <f t="shared" si="37"/>
        <v>303</v>
      </c>
      <c r="F306" s="4">
        <f t="shared" ca="1" si="38"/>
        <v>186500</v>
      </c>
      <c r="G306" s="1" t="s">
        <v>70</v>
      </c>
      <c r="H306" s="26">
        <f t="shared" ca="1" si="36"/>
        <v>5.2735066024782062E-2</v>
      </c>
      <c r="I306" s="4">
        <f>IF(G306="Yes",-$C$8,0)</f>
        <v>-500</v>
      </c>
      <c r="J306" s="4">
        <f>IF(G306="Yes",$C$8-I306,0)</f>
        <v>1000</v>
      </c>
      <c r="K306" s="4">
        <f ca="1">IF(H306&gt;=$C$4,J306+I306,I306)</f>
        <v>-500</v>
      </c>
      <c r="M306" s="61">
        <f t="shared" si="43"/>
        <v>242.4</v>
      </c>
      <c r="N306" s="61">
        <f t="shared" si="44"/>
        <v>60.599999999999994</v>
      </c>
      <c r="O306" s="4">
        <f t="shared" si="39"/>
        <v>121200</v>
      </c>
      <c r="P306" s="4">
        <f t="shared" si="40"/>
        <v>-30299.999999999996</v>
      </c>
      <c r="Q306" s="4">
        <f t="shared" si="41"/>
        <v>90900</v>
      </c>
      <c r="R306" s="4">
        <f t="shared" si="42"/>
        <v>190900</v>
      </c>
    </row>
    <row r="307" spans="5:18" x14ac:dyDescent="0.25">
      <c r="E307" s="1">
        <f t="shared" si="37"/>
        <v>304</v>
      </c>
      <c r="F307" s="4">
        <f t="shared" ca="1" si="38"/>
        <v>187000</v>
      </c>
      <c r="G307" s="1" t="s">
        <v>70</v>
      </c>
      <c r="H307" s="26">
        <f t="shared" ca="1" si="36"/>
        <v>0.93945650255705282</v>
      </c>
      <c r="I307" s="4">
        <f>IF(G307="Yes",-$C$8,0)</f>
        <v>-500</v>
      </c>
      <c r="J307" s="4">
        <f>IF(G307="Yes",$C$8-I307,0)</f>
        <v>1000</v>
      </c>
      <c r="K307" s="4">
        <f ca="1">IF(H307&gt;=$C$4,J307+I307,I307)</f>
        <v>500</v>
      </c>
      <c r="M307" s="61">
        <f t="shared" si="43"/>
        <v>243.20000000000002</v>
      </c>
      <c r="N307" s="61">
        <f t="shared" si="44"/>
        <v>60.799999999999983</v>
      </c>
      <c r="O307" s="4">
        <f t="shared" si="39"/>
        <v>121600.00000000001</v>
      </c>
      <c r="P307" s="4">
        <f t="shared" si="40"/>
        <v>-30399.999999999993</v>
      </c>
      <c r="Q307" s="4">
        <f t="shared" si="41"/>
        <v>91200.000000000029</v>
      </c>
      <c r="R307" s="4">
        <f t="shared" si="42"/>
        <v>191200.00000000003</v>
      </c>
    </row>
    <row r="308" spans="5:18" x14ac:dyDescent="0.25">
      <c r="E308" s="1">
        <f t="shared" si="37"/>
        <v>305</v>
      </c>
      <c r="F308" s="4">
        <f t="shared" ca="1" si="38"/>
        <v>187500</v>
      </c>
      <c r="G308" s="1" t="s">
        <v>70</v>
      </c>
      <c r="H308" s="26">
        <f t="shared" ca="1" si="36"/>
        <v>0.59891921741589471</v>
      </c>
      <c r="I308" s="4">
        <f>IF(G308="Yes",-$C$8,0)</f>
        <v>-500</v>
      </c>
      <c r="J308" s="4">
        <f>IF(G308="Yes",$C$8-I308,0)</f>
        <v>1000</v>
      </c>
      <c r="K308" s="4">
        <f ca="1">IF(H308&gt;=$C$4,J308+I308,I308)</f>
        <v>500</v>
      </c>
      <c r="M308" s="61">
        <f t="shared" si="43"/>
        <v>244</v>
      </c>
      <c r="N308" s="61">
        <f t="shared" si="44"/>
        <v>61</v>
      </c>
      <c r="O308" s="4">
        <f t="shared" si="39"/>
        <v>122000</v>
      </c>
      <c r="P308" s="4">
        <f t="shared" si="40"/>
        <v>-30500</v>
      </c>
      <c r="Q308" s="4">
        <f t="shared" si="41"/>
        <v>91500</v>
      </c>
      <c r="R308" s="4">
        <f t="shared" si="42"/>
        <v>191500</v>
      </c>
    </row>
    <row r="309" spans="5:18" x14ac:dyDescent="0.25">
      <c r="E309" s="1">
        <f t="shared" si="37"/>
        <v>306</v>
      </c>
      <c r="F309" s="4">
        <f t="shared" ca="1" si="38"/>
        <v>187000</v>
      </c>
      <c r="G309" s="1" t="s">
        <v>70</v>
      </c>
      <c r="H309" s="26">
        <f t="shared" ca="1" si="36"/>
        <v>2.3630095720123423E-2</v>
      </c>
      <c r="I309" s="4">
        <f>IF(G309="Yes",-$C$8,0)</f>
        <v>-500</v>
      </c>
      <c r="J309" s="4">
        <f>IF(G309="Yes",$C$8-I309,0)</f>
        <v>1000</v>
      </c>
      <c r="K309" s="4">
        <f ca="1">IF(H309&gt;=$C$4,J309+I309,I309)</f>
        <v>-500</v>
      </c>
      <c r="M309" s="61">
        <f t="shared" si="43"/>
        <v>244.8</v>
      </c>
      <c r="N309" s="61">
        <f t="shared" si="44"/>
        <v>61.199999999999989</v>
      </c>
      <c r="O309" s="4">
        <f t="shared" si="39"/>
        <v>122400</v>
      </c>
      <c r="P309" s="4">
        <f t="shared" si="40"/>
        <v>-30599.999999999993</v>
      </c>
      <c r="Q309" s="4">
        <f t="shared" si="41"/>
        <v>91800</v>
      </c>
      <c r="R309" s="4">
        <f t="shared" si="42"/>
        <v>191800</v>
      </c>
    </row>
    <row r="310" spans="5:18" x14ac:dyDescent="0.25">
      <c r="E310" s="1">
        <f t="shared" si="37"/>
        <v>307</v>
      </c>
      <c r="F310" s="4">
        <f t="shared" ca="1" si="38"/>
        <v>187500</v>
      </c>
      <c r="G310" s="1" t="s">
        <v>70</v>
      </c>
      <c r="H310" s="26">
        <f t="shared" ca="1" si="36"/>
        <v>0.68827956508879795</v>
      </c>
      <c r="I310" s="4">
        <f>IF(G310="Yes",-$C$8,0)</f>
        <v>-500</v>
      </c>
      <c r="J310" s="4">
        <f>IF(G310="Yes",$C$8-I310,0)</f>
        <v>1000</v>
      </c>
      <c r="K310" s="4">
        <f ca="1">IF(H310&gt;=$C$4,J310+I310,I310)</f>
        <v>500</v>
      </c>
      <c r="M310" s="61">
        <f t="shared" si="43"/>
        <v>245.60000000000002</v>
      </c>
      <c r="N310" s="61">
        <f t="shared" si="44"/>
        <v>61.399999999999977</v>
      </c>
      <c r="O310" s="4">
        <f t="shared" si="39"/>
        <v>122800.00000000001</v>
      </c>
      <c r="P310" s="4">
        <f t="shared" si="40"/>
        <v>-30699.999999999989</v>
      </c>
      <c r="Q310" s="4">
        <f t="shared" si="41"/>
        <v>92100.000000000029</v>
      </c>
      <c r="R310" s="4">
        <f t="shared" si="42"/>
        <v>192100.00000000003</v>
      </c>
    </row>
    <row r="311" spans="5:18" x14ac:dyDescent="0.25">
      <c r="E311" s="1">
        <f t="shared" si="37"/>
        <v>308</v>
      </c>
      <c r="F311" s="4">
        <f t="shared" ca="1" si="38"/>
        <v>188000</v>
      </c>
      <c r="G311" s="1" t="s">
        <v>70</v>
      </c>
      <c r="H311" s="26">
        <f t="shared" ca="1" si="36"/>
        <v>0.83633793455721261</v>
      </c>
      <c r="I311" s="4">
        <f>IF(G311="Yes",-$C$8,0)</f>
        <v>-500</v>
      </c>
      <c r="J311" s="4">
        <f>IF(G311="Yes",$C$8-I311,0)</f>
        <v>1000</v>
      </c>
      <c r="K311" s="4">
        <f ca="1">IF(H311&gt;=$C$4,J311+I311,I311)</f>
        <v>500</v>
      </c>
      <c r="M311" s="61">
        <f t="shared" si="43"/>
        <v>246.4</v>
      </c>
      <c r="N311" s="61">
        <f t="shared" si="44"/>
        <v>61.599999999999994</v>
      </c>
      <c r="O311" s="4">
        <f t="shared" si="39"/>
        <v>123200</v>
      </c>
      <c r="P311" s="4">
        <f t="shared" si="40"/>
        <v>-30799.999999999996</v>
      </c>
      <c r="Q311" s="4">
        <f t="shared" si="41"/>
        <v>92400</v>
      </c>
      <c r="R311" s="4">
        <f t="shared" si="42"/>
        <v>192400</v>
      </c>
    </row>
    <row r="312" spans="5:18" x14ac:dyDescent="0.25">
      <c r="E312" s="1">
        <f t="shared" si="37"/>
        <v>309</v>
      </c>
      <c r="F312" s="4">
        <f t="shared" ca="1" si="38"/>
        <v>188500</v>
      </c>
      <c r="G312" s="1" t="s">
        <v>70</v>
      </c>
      <c r="H312" s="26">
        <f t="shared" ca="1" si="36"/>
        <v>0.75434149480813928</v>
      </c>
      <c r="I312" s="4">
        <f>IF(G312="Yes",-$C$8,0)</f>
        <v>-500</v>
      </c>
      <c r="J312" s="4">
        <f>IF(G312="Yes",$C$8-I312,0)</f>
        <v>1000</v>
      </c>
      <c r="K312" s="4">
        <f ca="1">IF(H312&gt;=$C$4,J312+I312,I312)</f>
        <v>500</v>
      </c>
      <c r="M312" s="61">
        <f t="shared" si="43"/>
        <v>247.20000000000002</v>
      </c>
      <c r="N312" s="61">
        <f t="shared" si="44"/>
        <v>61.799999999999983</v>
      </c>
      <c r="O312" s="4">
        <f t="shared" si="39"/>
        <v>123600.00000000001</v>
      </c>
      <c r="P312" s="4">
        <f t="shared" si="40"/>
        <v>-30899.999999999993</v>
      </c>
      <c r="Q312" s="4">
        <f t="shared" si="41"/>
        <v>92700.000000000029</v>
      </c>
      <c r="R312" s="4">
        <f t="shared" si="42"/>
        <v>192700.00000000003</v>
      </c>
    </row>
    <row r="313" spans="5:18" x14ac:dyDescent="0.25">
      <c r="E313" s="1">
        <f t="shared" si="37"/>
        <v>310</v>
      </c>
      <c r="F313" s="4">
        <f t="shared" ca="1" si="38"/>
        <v>189000</v>
      </c>
      <c r="G313" s="1" t="s">
        <v>70</v>
      </c>
      <c r="H313" s="26">
        <f t="shared" ca="1" si="36"/>
        <v>0.56425098059310941</v>
      </c>
      <c r="I313" s="4">
        <f>IF(G313="Yes",-$C$8,0)</f>
        <v>-500</v>
      </c>
      <c r="J313" s="4">
        <f>IF(G313="Yes",$C$8-I313,0)</f>
        <v>1000</v>
      </c>
      <c r="K313" s="4">
        <f ca="1">IF(H313&gt;=$C$4,J313+I313,I313)</f>
        <v>500</v>
      </c>
      <c r="M313" s="61">
        <f t="shared" si="43"/>
        <v>248</v>
      </c>
      <c r="N313" s="61">
        <f t="shared" si="44"/>
        <v>62</v>
      </c>
      <c r="O313" s="4">
        <f t="shared" si="39"/>
        <v>124000</v>
      </c>
      <c r="P313" s="4">
        <f t="shared" si="40"/>
        <v>-31000</v>
      </c>
      <c r="Q313" s="4">
        <f t="shared" si="41"/>
        <v>93000</v>
      </c>
      <c r="R313" s="4">
        <f t="shared" si="42"/>
        <v>193000</v>
      </c>
    </row>
    <row r="314" spans="5:18" x14ac:dyDescent="0.25">
      <c r="E314" s="1">
        <f t="shared" si="37"/>
        <v>311</v>
      </c>
      <c r="F314" s="4">
        <f t="shared" ca="1" si="38"/>
        <v>189500</v>
      </c>
      <c r="G314" s="1" t="s">
        <v>70</v>
      </c>
      <c r="H314" s="26">
        <f t="shared" ca="1" si="36"/>
        <v>0.75764445919146506</v>
      </c>
      <c r="I314" s="4">
        <f>IF(G314="Yes",-$C$8,0)</f>
        <v>-500</v>
      </c>
      <c r="J314" s="4">
        <f>IF(G314="Yes",$C$8-I314,0)</f>
        <v>1000</v>
      </c>
      <c r="K314" s="4">
        <f ca="1">IF(H314&gt;=$C$4,J314+I314,I314)</f>
        <v>500</v>
      </c>
      <c r="M314" s="61">
        <f t="shared" si="43"/>
        <v>248.8</v>
      </c>
      <c r="N314" s="61">
        <f t="shared" si="44"/>
        <v>62.199999999999989</v>
      </c>
      <c r="O314" s="4">
        <f t="shared" si="39"/>
        <v>124400</v>
      </c>
      <c r="P314" s="4">
        <f t="shared" si="40"/>
        <v>-31099.999999999993</v>
      </c>
      <c r="Q314" s="4">
        <f t="shared" si="41"/>
        <v>93300</v>
      </c>
      <c r="R314" s="4">
        <f t="shared" si="42"/>
        <v>193300</v>
      </c>
    </row>
    <row r="315" spans="5:18" x14ac:dyDescent="0.25">
      <c r="E315" s="1">
        <f t="shared" si="37"/>
        <v>312</v>
      </c>
      <c r="F315" s="4">
        <f t="shared" ca="1" si="38"/>
        <v>190000</v>
      </c>
      <c r="G315" s="1" t="s">
        <v>70</v>
      </c>
      <c r="H315" s="26">
        <f t="shared" ca="1" si="36"/>
        <v>0.47327084962206223</v>
      </c>
      <c r="I315" s="4">
        <f>IF(G315="Yes",-$C$8,0)</f>
        <v>-500</v>
      </c>
      <c r="J315" s="4">
        <f>IF(G315="Yes",$C$8-I315,0)</f>
        <v>1000</v>
      </c>
      <c r="K315" s="4">
        <f ca="1">IF(H315&gt;=$C$4,J315+I315,I315)</f>
        <v>500</v>
      </c>
      <c r="M315" s="61">
        <f t="shared" si="43"/>
        <v>249.60000000000002</v>
      </c>
      <c r="N315" s="61">
        <f t="shared" si="44"/>
        <v>62.399999999999977</v>
      </c>
      <c r="O315" s="4">
        <f t="shared" si="39"/>
        <v>124800.00000000001</v>
      </c>
      <c r="P315" s="4">
        <f t="shared" si="40"/>
        <v>-31199.999999999989</v>
      </c>
      <c r="Q315" s="4">
        <f t="shared" si="41"/>
        <v>93600.000000000029</v>
      </c>
      <c r="R315" s="4">
        <f t="shared" si="42"/>
        <v>193600.00000000003</v>
      </c>
    </row>
    <row r="316" spans="5:18" x14ac:dyDescent="0.25">
      <c r="E316" s="1">
        <f t="shared" si="37"/>
        <v>313</v>
      </c>
      <c r="F316" s="4">
        <f t="shared" ca="1" si="38"/>
        <v>190500</v>
      </c>
      <c r="G316" s="1" t="s">
        <v>70</v>
      </c>
      <c r="H316" s="26">
        <f t="shared" ca="1" si="36"/>
        <v>0.61509738193027585</v>
      </c>
      <c r="I316" s="4">
        <f>IF(G316="Yes",-$C$8,0)</f>
        <v>-500</v>
      </c>
      <c r="J316" s="4">
        <f>IF(G316="Yes",$C$8-I316,0)</f>
        <v>1000</v>
      </c>
      <c r="K316" s="4">
        <f ca="1">IF(H316&gt;=$C$4,J316+I316,I316)</f>
        <v>500</v>
      </c>
      <c r="M316" s="61">
        <f t="shared" si="43"/>
        <v>250.4</v>
      </c>
      <c r="N316" s="61">
        <f t="shared" si="44"/>
        <v>62.599999999999994</v>
      </c>
      <c r="O316" s="4">
        <f t="shared" si="39"/>
        <v>125200</v>
      </c>
      <c r="P316" s="4">
        <f t="shared" si="40"/>
        <v>-31299.999999999996</v>
      </c>
      <c r="Q316" s="4">
        <f t="shared" si="41"/>
        <v>93900</v>
      </c>
      <c r="R316" s="4">
        <f t="shared" si="42"/>
        <v>193900</v>
      </c>
    </row>
    <row r="317" spans="5:18" x14ac:dyDescent="0.25">
      <c r="E317" s="1">
        <f t="shared" si="37"/>
        <v>314</v>
      </c>
      <c r="F317" s="4">
        <f t="shared" ca="1" si="38"/>
        <v>190000</v>
      </c>
      <c r="G317" s="1" t="s">
        <v>70</v>
      </c>
      <c r="H317" s="26">
        <f t="shared" ca="1" si="36"/>
        <v>7.124653866099373E-2</v>
      </c>
      <c r="I317" s="4">
        <f>IF(G317="Yes",-$C$8,0)</f>
        <v>-500</v>
      </c>
      <c r="J317" s="4">
        <f>IF(G317="Yes",$C$8-I317,0)</f>
        <v>1000</v>
      </c>
      <c r="K317" s="4">
        <f ca="1">IF(H317&gt;=$C$4,J317+I317,I317)</f>
        <v>-500</v>
      </c>
      <c r="M317" s="61">
        <f t="shared" si="43"/>
        <v>251.20000000000002</v>
      </c>
      <c r="N317" s="61">
        <f t="shared" si="44"/>
        <v>62.799999999999983</v>
      </c>
      <c r="O317" s="4">
        <f t="shared" si="39"/>
        <v>125600.00000000001</v>
      </c>
      <c r="P317" s="4">
        <f t="shared" si="40"/>
        <v>-31399.999999999993</v>
      </c>
      <c r="Q317" s="4">
        <f t="shared" si="41"/>
        <v>94200.000000000029</v>
      </c>
      <c r="R317" s="4">
        <f t="shared" si="42"/>
        <v>194200.00000000003</v>
      </c>
    </row>
    <row r="318" spans="5:18" x14ac:dyDescent="0.25">
      <c r="E318" s="1">
        <f t="shared" si="37"/>
        <v>315</v>
      </c>
      <c r="F318" s="4">
        <f t="shared" ca="1" si="38"/>
        <v>190500</v>
      </c>
      <c r="G318" s="1" t="s">
        <v>70</v>
      </c>
      <c r="H318" s="26">
        <f t="shared" ca="1" si="36"/>
        <v>0.56321755943687379</v>
      </c>
      <c r="I318" s="4">
        <f>IF(G318="Yes",-$C$8,0)</f>
        <v>-500</v>
      </c>
      <c r="J318" s="4">
        <f>IF(G318="Yes",$C$8-I318,0)</f>
        <v>1000</v>
      </c>
      <c r="K318" s="4">
        <f ca="1">IF(H318&gt;=$C$4,J318+I318,I318)</f>
        <v>500</v>
      </c>
      <c r="M318" s="61">
        <f t="shared" si="43"/>
        <v>252</v>
      </c>
      <c r="N318" s="61">
        <f t="shared" si="44"/>
        <v>63</v>
      </c>
      <c r="O318" s="4">
        <f t="shared" si="39"/>
        <v>126000</v>
      </c>
      <c r="P318" s="4">
        <f t="shared" si="40"/>
        <v>-31500</v>
      </c>
      <c r="Q318" s="4">
        <f t="shared" si="41"/>
        <v>94500</v>
      </c>
      <c r="R318" s="4">
        <f t="shared" si="42"/>
        <v>194500</v>
      </c>
    </row>
    <row r="319" spans="5:18" x14ac:dyDescent="0.25">
      <c r="E319" s="1">
        <f t="shared" si="37"/>
        <v>316</v>
      </c>
      <c r="F319" s="4">
        <f t="shared" ca="1" si="38"/>
        <v>190000</v>
      </c>
      <c r="G319" s="1" t="s">
        <v>70</v>
      </c>
      <c r="H319" s="26">
        <f t="shared" ca="1" si="36"/>
        <v>1.4853963735529163E-2</v>
      </c>
      <c r="I319" s="4">
        <f>IF(G319="Yes",-$C$8,0)</f>
        <v>-500</v>
      </c>
      <c r="J319" s="4">
        <f>IF(G319="Yes",$C$8-I319,0)</f>
        <v>1000</v>
      </c>
      <c r="K319" s="4">
        <f ca="1">IF(H319&gt;=$C$4,J319+I319,I319)</f>
        <v>-500</v>
      </c>
      <c r="M319" s="61">
        <f t="shared" si="43"/>
        <v>252.8</v>
      </c>
      <c r="N319" s="61">
        <f t="shared" si="44"/>
        <v>63.199999999999989</v>
      </c>
      <c r="O319" s="4">
        <f t="shared" si="39"/>
        <v>126400</v>
      </c>
      <c r="P319" s="4">
        <f t="shared" si="40"/>
        <v>-31599.999999999993</v>
      </c>
      <c r="Q319" s="4">
        <f t="shared" si="41"/>
        <v>94800</v>
      </c>
      <c r="R319" s="4">
        <f t="shared" si="42"/>
        <v>194800</v>
      </c>
    </row>
    <row r="320" spans="5:18" x14ac:dyDescent="0.25">
      <c r="E320" s="1">
        <f t="shared" si="37"/>
        <v>317</v>
      </c>
      <c r="F320" s="4">
        <f t="shared" ca="1" si="38"/>
        <v>190500</v>
      </c>
      <c r="G320" s="1" t="s">
        <v>70</v>
      </c>
      <c r="H320" s="26">
        <f t="shared" ca="1" si="36"/>
        <v>0.21665633254831529</v>
      </c>
      <c r="I320" s="4">
        <f>IF(G320="Yes",-$C$8,0)</f>
        <v>-500</v>
      </c>
      <c r="J320" s="4">
        <f>IF(G320="Yes",$C$8-I320,0)</f>
        <v>1000</v>
      </c>
      <c r="K320" s="4">
        <f ca="1">IF(H320&gt;=$C$4,J320+I320,I320)</f>
        <v>500</v>
      </c>
      <c r="M320" s="61">
        <f t="shared" si="43"/>
        <v>253.60000000000002</v>
      </c>
      <c r="N320" s="61">
        <f t="shared" si="44"/>
        <v>63.399999999999977</v>
      </c>
      <c r="O320" s="4">
        <f t="shared" si="39"/>
        <v>126800.00000000001</v>
      </c>
      <c r="P320" s="4">
        <f t="shared" si="40"/>
        <v>-31699.999999999989</v>
      </c>
      <c r="Q320" s="4">
        <f t="shared" si="41"/>
        <v>95100.000000000029</v>
      </c>
      <c r="R320" s="4">
        <f t="shared" si="42"/>
        <v>195100.00000000003</v>
      </c>
    </row>
    <row r="321" spans="5:18" x14ac:dyDescent="0.25">
      <c r="E321" s="1">
        <f t="shared" si="37"/>
        <v>318</v>
      </c>
      <c r="F321" s="4">
        <f t="shared" ca="1" si="38"/>
        <v>191000</v>
      </c>
      <c r="G321" s="1" t="s">
        <v>70</v>
      </c>
      <c r="H321" s="26">
        <f t="shared" ca="1" si="36"/>
        <v>0.463657958094298</v>
      </c>
      <c r="I321" s="4">
        <f>IF(G321="Yes",-$C$8,0)</f>
        <v>-500</v>
      </c>
      <c r="J321" s="4">
        <f>IF(G321="Yes",$C$8-I321,0)</f>
        <v>1000</v>
      </c>
      <c r="K321" s="4">
        <f ca="1">IF(H321&gt;=$C$4,J321+I321,I321)</f>
        <v>500</v>
      </c>
      <c r="M321" s="61">
        <f t="shared" si="43"/>
        <v>254.4</v>
      </c>
      <c r="N321" s="61">
        <f t="shared" si="44"/>
        <v>63.599999999999994</v>
      </c>
      <c r="O321" s="4">
        <f t="shared" si="39"/>
        <v>127200</v>
      </c>
      <c r="P321" s="4">
        <f t="shared" si="40"/>
        <v>-31799.999999999996</v>
      </c>
      <c r="Q321" s="4">
        <f t="shared" si="41"/>
        <v>95400</v>
      </c>
      <c r="R321" s="4">
        <f t="shared" si="42"/>
        <v>195400</v>
      </c>
    </row>
    <row r="322" spans="5:18" x14ac:dyDescent="0.25">
      <c r="E322" s="1">
        <f t="shared" si="37"/>
        <v>319</v>
      </c>
      <c r="F322" s="4">
        <f t="shared" ca="1" si="38"/>
        <v>191500</v>
      </c>
      <c r="G322" s="1" t="s">
        <v>70</v>
      </c>
      <c r="H322" s="26">
        <f t="shared" ca="1" si="36"/>
        <v>0.65754181185629479</v>
      </c>
      <c r="I322" s="4">
        <f>IF(G322="Yes",-$C$8,0)</f>
        <v>-500</v>
      </c>
      <c r="J322" s="4">
        <f>IF(G322="Yes",$C$8-I322,0)</f>
        <v>1000</v>
      </c>
      <c r="K322" s="4">
        <f ca="1">IF(H322&gt;=$C$4,J322+I322,I322)</f>
        <v>500</v>
      </c>
      <c r="M322" s="61">
        <f t="shared" si="43"/>
        <v>255.20000000000002</v>
      </c>
      <c r="N322" s="61">
        <f t="shared" si="44"/>
        <v>63.799999999999983</v>
      </c>
      <c r="O322" s="4">
        <f t="shared" si="39"/>
        <v>127600.00000000001</v>
      </c>
      <c r="P322" s="4">
        <f t="shared" si="40"/>
        <v>-31899.999999999993</v>
      </c>
      <c r="Q322" s="4">
        <f t="shared" si="41"/>
        <v>95700.000000000029</v>
      </c>
      <c r="R322" s="4">
        <f t="shared" si="42"/>
        <v>195700.00000000003</v>
      </c>
    </row>
    <row r="323" spans="5:18" x14ac:dyDescent="0.25">
      <c r="E323" s="1">
        <f t="shared" si="37"/>
        <v>320</v>
      </c>
      <c r="F323" s="4">
        <f t="shared" ca="1" si="38"/>
        <v>192000</v>
      </c>
      <c r="G323" s="1" t="s">
        <v>70</v>
      </c>
      <c r="H323" s="26">
        <f t="shared" ca="1" si="36"/>
        <v>0.34722607363283364</v>
      </c>
      <c r="I323" s="4">
        <f>IF(G323="Yes",-$C$8,0)</f>
        <v>-500</v>
      </c>
      <c r="J323" s="4">
        <f>IF(G323="Yes",$C$8-I323,0)</f>
        <v>1000</v>
      </c>
      <c r="K323" s="4">
        <f ca="1">IF(H323&gt;=$C$4,J323+I323,I323)</f>
        <v>500</v>
      </c>
      <c r="M323" s="61">
        <f t="shared" si="43"/>
        <v>256</v>
      </c>
      <c r="N323" s="61">
        <f t="shared" si="44"/>
        <v>64</v>
      </c>
      <c r="O323" s="4">
        <f t="shared" si="39"/>
        <v>128000</v>
      </c>
      <c r="P323" s="4">
        <f t="shared" si="40"/>
        <v>-32000</v>
      </c>
      <c r="Q323" s="4">
        <f t="shared" si="41"/>
        <v>96000</v>
      </c>
      <c r="R323" s="4">
        <f t="shared" si="42"/>
        <v>196000</v>
      </c>
    </row>
    <row r="324" spans="5:18" x14ac:dyDescent="0.25">
      <c r="E324" s="1">
        <f t="shared" si="37"/>
        <v>321</v>
      </c>
      <c r="F324" s="4">
        <f t="shared" ca="1" si="38"/>
        <v>192500</v>
      </c>
      <c r="G324" s="1" t="s">
        <v>70</v>
      </c>
      <c r="H324" s="26">
        <f t="shared" ref="H324:H387" ca="1" si="45">RAND()</f>
        <v>0.48113802033179087</v>
      </c>
      <c r="I324" s="4">
        <f>IF(G324="Yes",-$C$8,0)</f>
        <v>-500</v>
      </c>
      <c r="J324" s="4">
        <f>IF(G324="Yes",$C$8-I324,0)</f>
        <v>1000</v>
      </c>
      <c r="K324" s="4">
        <f ca="1">IF(H324&gt;=$C$4,J324+I324,I324)</f>
        <v>500</v>
      </c>
      <c r="M324" s="61">
        <f t="shared" si="43"/>
        <v>256.8</v>
      </c>
      <c r="N324" s="61">
        <f t="shared" si="44"/>
        <v>64.199999999999989</v>
      </c>
      <c r="O324" s="4">
        <f t="shared" si="39"/>
        <v>128400</v>
      </c>
      <c r="P324" s="4">
        <f t="shared" si="40"/>
        <v>-32099.999999999993</v>
      </c>
      <c r="Q324" s="4">
        <f t="shared" si="41"/>
        <v>96300</v>
      </c>
      <c r="R324" s="4">
        <f t="shared" si="42"/>
        <v>196300</v>
      </c>
    </row>
    <row r="325" spans="5:18" x14ac:dyDescent="0.25">
      <c r="E325" s="1">
        <f t="shared" ref="E325:E388" si="46">E324+1</f>
        <v>322</v>
      </c>
      <c r="F325" s="4">
        <f t="shared" ref="F325:F388" ca="1" si="47">F324+K325</f>
        <v>193000</v>
      </c>
      <c r="G325" s="1" t="s">
        <v>70</v>
      </c>
      <c r="H325" s="26">
        <f t="shared" ca="1" si="45"/>
        <v>0.23631179129220281</v>
      </c>
      <c r="I325" s="4">
        <f>IF(G325="Yes",-$C$8,0)</f>
        <v>-500</v>
      </c>
      <c r="J325" s="4">
        <f>IF(G325="Yes",$C$8-I325,0)</f>
        <v>1000</v>
      </c>
      <c r="K325" s="4">
        <f ca="1">IF(H325&gt;=$C$4,J325+I325,I325)</f>
        <v>500</v>
      </c>
      <c r="M325" s="61">
        <f t="shared" si="43"/>
        <v>257.60000000000002</v>
      </c>
      <c r="N325" s="61">
        <f t="shared" si="44"/>
        <v>64.399999999999977</v>
      </c>
      <c r="O325" s="4">
        <f t="shared" ref="O325:O388" si="48">M325*$C$8</f>
        <v>128800.00000000001</v>
      </c>
      <c r="P325" s="4">
        <f t="shared" ref="P325:P388" si="49">N325*(-$C$8)</f>
        <v>-32199.999999999989</v>
      </c>
      <c r="Q325" s="4">
        <f t="shared" ref="Q325:Q388" si="50">O325+P325</f>
        <v>96600.000000000029</v>
      </c>
      <c r="R325" s="4">
        <f t="shared" ref="R325:R388" si="51">$C$7+Q325</f>
        <v>196600.00000000003</v>
      </c>
    </row>
    <row r="326" spans="5:18" x14ac:dyDescent="0.25">
      <c r="E326" s="1">
        <f t="shared" si="46"/>
        <v>323</v>
      </c>
      <c r="F326" s="4">
        <f t="shared" ca="1" si="47"/>
        <v>193500</v>
      </c>
      <c r="G326" s="1" t="s">
        <v>70</v>
      </c>
      <c r="H326" s="26">
        <f t="shared" ca="1" si="45"/>
        <v>0.99549437032956734</v>
      </c>
      <c r="I326" s="4">
        <f>IF(G326="Yes",-$C$8,0)</f>
        <v>-500</v>
      </c>
      <c r="J326" s="4">
        <f>IF(G326="Yes",$C$8-I326,0)</f>
        <v>1000</v>
      </c>
      <c r="K326" s="4">
        <f ca="1">IF(H326&gt;=$C$4,J326+I326,I326)</f>
        <v>500</v>
      </c>
      <c r="M326" s="61">
        <f t="shared" si="43"/>
        <v>258.40000000000003</v>
      </c>
      <c r="N326" s="61">
        <f t="shared" si="44"/>
        <v>64.599999999999966</v>
      </c>
      <c r="O326" s="4">
        <f t="shared" si="48"/>
        <v>129200.00000000001</v>
      </c>
      <c r="P326" s="4">
        <f t="shared" si="49"/>
        <v>-32299.999999999982</v>
      </c>
      <c r="Q326" s="4">
        <f t="shared" si="50"/>
        <v>96900.000000000029</v>
      </c>
      <c r="R326" s="4">
        <f t="shared" si="51"/>
        <v>196900.00000000003</v>
      </c>
    </row>
    <row r="327" spans="5:18" x14ac:dyDescent="0.25">
      <c r="E327" s="1">
        <f t="shared" si="46"/>
        <v>324</v>
      </c>
      <c r="F327" s="4">
        <f t="shared" ca="1" si="47"/>
        <v>194000</v>
      </c>
      <c r="G327" s="1" t="s">
        <v>70</v>
      </c>
      <c r="H327" s="26">
        <f t="shared" ca="1" si="45"/>
        <v>0.24002972924442922</v>
      </c>
      <c r="I327" s="4">
        <f>IF(G327="Yes",-$C$8,0)</f>
        <v>-500</v>
      </c>
      <c r="J327" s="4">
        <f>IF(G327="Yes",$C$8-I327,0)</f>
        <v>1000</v>
      </c>
      <c r="K327" s="4">
        <f ca="1">IF(H327&gt;=$C$4,J327+I327,I327)</f>
        <v>500</v>
      </c>
      <c r="M327" s="61">
        <f t="shared" si="43"/>
        <v>259.2</v>
      </c>
      <c r="N327" s="61">
        <f t="shared" si="44"/>
        <v>64.800000000000011</v>
      </c>
      <c r="O327" s="4">
        <f t="shared" si="48"/>
        <v>129600</v>
      </c>
      <c r="P327" s="4">
        <f t="shared" si="49"/>
        <v>-32400.000000000007</v>
      </c>
      <c r="Q327" s="4">
        <f t="shared" si="50"/>
        <v>97200</v>
      </c>
      <c r="R327" s="4">
        <f t="shared" si="51"/>
        <v>197200</v>
      </c>
    </row>
    <row r="328" spans="5:18" x14ac:dyDescent="0.25">
      <c r="E328" s="1">
        <f t="shared" si="46"/>
        <v>325</v>
      </c>
      <c r="F328" s="4">
        <f t="shared" ca="1" si="47"/>
        <v>194500</v>
      </c>
      <c r="G328" s="1" t="s">
        <v>70</v>
      </c>
      <c r="H328" s="26">
        <f t="shared" ca="1" si="45"/>
        <v>0.58915971544439638</v>
      </c>
      <c r="I328" s="4">
        <f>IF(G328="Yes",-$C$8,0)</f>
        <v>-500</v>
      </c>
      <c r="J328" s="4">
        <f>IF(G328="Yes",$C$8-I328,0)</f>
        <v>1000</v>
      </c>
      <c r="K328" s="4">
        <f ca="1">IF(H328&gt;=$C$4,J328+I328,I328)</f>
        <v>500</v>
      </c>
      <c r="M328" s="61">
        <f t="shared" si="43"/>
        <v>260</v>
      </c>
      <c r="N328" s="61">
        <f t="shared" si="44"/>
        <v>65</v>
      </c>
      <c r="O328" s="4">
        <f t="shared" si="48"/>
        <v>130000</v>
      </c>
      <c r="P328" s="4">
        <f t="shared" si="49"/>
        <v>-32500</v>
      </c>
      <c r="Q328" s="4">
        <f t="shared" si="50"/>
        <v>97500</v>
      </c>
      <c r="R328" s="4">
        <f t="shared" si="51"/>
        <v>197500</v>
      </c>
    </row>
    <row r="329" spans="5:18" x14ac:dyDescent="0.25">
      <c r="E329" s="1">
        <f t="shared" si="46"/>
        <v>326</v>
      </c>
      <c r="F329" s="4">
        <f t="shared" ca="1" si="47"/>
        <v>195000</v>
      </c>
      <c r="G329" s="1" t="s">
        <v>70</v>
      </c>
      <c r="H329" s="26">
        <f t="shared" ca="1" si="45"/>
        <v>0.71422870769300373</v>
      </c>
      <c r="I329" s="4">
        <f>IF(G329="Yes",-$C$8,0)</f>
        <v>-500</v>
      </c>
      <c r="J329" s="4">
        <f>IF(G329="Yes",$C$8-I329,0)</f>
        <v>1000</v>
      </c>
      <c r="K329" s="4">
        <f ca="1">IF(H329&gt;=$C$4,J329+I329,I329)</f>
        <v>500</v>
      </c>
      <c r="M329" s="61">
        <f t="shared" si="43"/>
        <v>260.8</v>
      </c>
      <c r="N329" s="61">
        <f t="shared" si="44"/>
        <v>65.199999999999989</v>
      </c>
      <c r="O329" s="4">
        <f t="shared" si="48"/>
        <v>130400</v>
      </c>
      <c r="P329" s="4">
        <f t="shared" si="49"/>
        <v>-32599.999999999993</v>
      </c>
      <c r="Q329" s="4">
        <f t="shared" si="50"/>
        <v>97800</v>
      </c>
      <c r="R329" s="4">
        <f t="shared" si="51"/>
        <v>197800</v>
      </c>
    </row>
    <row r="330" spans="5:18" x14ac:dyDescent="0.25">
      <c r="E330" s="1">
        <f t="shared" si="46"/>
        <v>327</v>
      </c>
      <c r="F330" s="4">
        <f t="shared" ca="1" si="47"/>
        <v>195500</v>
      </c>
      <c r="G330" s="1" t="s">
        <v>70</v>
      </c>
      <c r="H330" s="26">
        <f t="shared" ca="1" si="45"/>
        <v>0.28559162068546218</v>
      </c>
      <c r="I330" s="4">
        <f>IF(G330="Yes",-$C$8,0)</f>
        <v>-500</v>
      </c>
      <c r="J330" s="4">
        <f>IF(G330="Yes",$C$8-I330,0)</f>
        <v>1000</v>
      </c>
      <c r="K330" s="4">
        <f ca="1">IF(H330&gt;=$C$4,J330+I330,I330)</f>
        <v>500</v>
      </c>
      <c r="M330" s="61">
        <f t="shared" si="43"/>
        <v>261.60000000000002</v>
      </c>
      <c r="N330" s="61">
        <f t="shared" si="44"/>
        <v>65.399999999999977</v>
      </c>
      <c r="O330" s="4">
        <f t="shared" si="48"/>
        <v>130800.00000000001</v>
      </c>
      <c r="P330" s="4">
        <f t="shared" si="49"/>
        <v>-32699.999999999989</v>
      </c>
      <c r="Q330" s="4">
        <f t="shared" si="50"/>
        <v>98100.000000000029</v>
      </c>
      <c r="R330" s="4">
        <f t="shared" si="51"/>
        <v>198100.00000000003</v>
      </c>
    </row>
    <row r="331" spans="5:18" x14ac:dyDescent="0.25">
      <c r="E331" s="1">
        <f t="shared" si="46"/>
        <v>328</v>
      </c>
      <c r="F331" s="4">
        <f t="shared" ca="1" si="47"/>
        <v>196000</v>
      </c>
      <c r="G331" s="1" t="s">
        <v>70</v>
      </c>
      <c r="H331" s="26">
        <f t="shared" ca="1" si="45"/>
        <v>0.87515394223273912</v>
      </c>
      <c r="I331" s="4">
        <f>IF(G331="Yes",-$C$8,0)</f>
        <v>-500</v>
      </c>
      <c r="J331" s="4">
        <f>IF(G331="Yes",$C$8-I331,0)</f>
        <v>1000</v>
      </c>
      <c r="K331" s="4">
        <f ca="1">IF(H331&gt;=$C$4,J331+I331,I331)</f>
        <v>500</v>
      </c>
      <c r="M331" s="61">
        <f t="shared" si="43"/>
        <v>262.40000000000003</v>
      </c>
      <c r="N331" s="61">
        <f t="shared" si="44"/>
        <v>65.599999999999966</v>
      </c>
      <c r="O331" s="4">
        <f t="shared" si="48"/>
        <v>131200.00000000003</v>
      </c>
      <c r="P331" s="4">
        <f t="shared" si="49"/>
        <v>-32799.999999999985</v>
      </c>
      <c r="Q331" s="4">
        <f t="shared" si="50"/>
        <v>98400.000000000044</v>
      </c>
      <c r="R331" s="4">
        <f t="shared" si="51"/>
        <v>198400.00000000006</v>
      </c>
    </row>
    <row r="332" spans="5:18" x14ac:dyDescent="0.25">
      <c r="E332" s="1">
        <f t="shared" si="46"/>
        <v>329</v>
      </c>
      <c r="F332" s="4">
        <f t="shared" ca="1" si="47"/>
        <v>196500</v>
      </c>
      <c r="G332" s="1" t="s">
        <v>70</v>
      </c>
      <c r="H332" s="26">
        <f t="shared" ca="1" si="45"/>
        <v>0.35715097686429265</v>
      </c>
      <c r="I332" s="4">
        <f>IF(G332="Yes",-$C$8,0)</f>
        <v>-500</v>
      </c>
      <c r="J332" s="4">
        <f>IF(G332="Yes",$C$8-I332,0)</f>
        <v>1000</v>
      </c>
      <c r="K332" s="4">
        <f ca="1">IF(H332&gt;=$C$4,J332+I332,I332)</f>
        <v>500</v>
      </c>
      <c r="M332" s="61">
        <f t="shared" si="43"/>
        <v>263.2</v>
      </c>
      <c r="N332" s="61">
        <f t="shared" si="44"/>
        <v>65.800000000000011</v>
      </c>
      <c r="O332" s="4">
        <f t="shared" si="48"/>
        <v>131600</v>
      </c>
      <c r="P332" s="4">
        <f t="shared" si="49"/>
        <v>-32900.000000000007</v>
      </c>
      <c r="Q332" s="4">
        <f t="shared" si="50"/>
        <v>98700</v>
      </c>
      <c r="R332" s="4">
        <f t="shared" si="51"/>
        <v>198700</v>
      </c>
    </row>
    <row r="333" spans="5:18" x14ac:dyDescent="0.25">
      <c r="E333" s="1">
        <f t="shared" si="46"/>
        <v>330</v>
      </c>
      <c r="F333" s="4">
        <f t="shared" ca="1" si="47"/>
        <v>197000</v>
      </c>
      <c r="G333" s="1" t="s">
        <v>70</v>
      </c>
      <c r="H333" s="26">
        <f t="shared" ca="1" si="45"/>
        <v>0.74152602649916344</v>
      </c>
      <c r="I333" s="4">
        <f>IF(G333="Yes",-$C$8,0)</f>
        <v>-500</v>
      </c>
      <c r="J333" s="4">
        <f>IF(G333="Yes",$C$8-I333,0)</f>
        <v>1000</v>
      </c>
      <c r="K333" s="4">
        <f ca="1">IF(H333&gt;=$C$4,J333+I333,I333)</f>
        <v>500</v>
      </c>
      <c r="M333" s="61">
        <f t="shared" si="43"/>
        <v>264</v>
      </c>
      <c r="N333" s="61">
        <f t="shared" si="44"/>
        <v>66</v>
      </c>
      <c r="O333" s="4">
        <f t="shared" si="48"/>
        <v>132000</v>
      </c>
      <c r="P333" s="4">
        <f t="shared" si="49"/>
        <v>-33000</v>
      </c>
      <c r="Q333" s="4">
        <f t="shared" si="50"/>
        <v>99000</v>
      </c>
      <c r="R333" s="4">
        <f t="shared" si="51"/>
        <v>199000</v>
      </c>
    </row>
    <row r="334" spans="5:18" x14ac:dyDescent="0.25">
      <c r="E334" s="1">
        <f t="shared" si="46"/>
        <v>331</v>
      </c>
      <c r="F334" s="4">
        <f t="shared" ca="1" si="47"/>
        <v>197500</v>
      </c>
      <c r="G334" s="1" t="s">
        <v>70</v>
      </c>
      <c r="H334" s="26">
        <f t="shared" ca="1" si="45"/>
        <v>0.78239997000991135</v>
      </c>
      <c r="I334" s="4">
        <f>IF(G334="Yes",-$C$8,0)</f>
        <v>-500</v>
      </c>
      <c r="J334" s="4">
        <f>IF(G334="Yes",$C$8-I334,0)</f>
        <v>1000</v>
      </c>
      <c r="K334" s="4">
        <f ca="1">IF(H334&gt;=$C$4,J334+I334,I334)</f>
        <v>500</v>
      </c>
      <c r="M334" s="61">
        <f t="shared" ref="M334:M397" si="52">E334*$C$3</f>
        <v>264.8</v>
      </c>
      <c r="N334" s="61">
        <f t="shared" ref="N334:N397" si="53">E334-M334</f>
        <v>66.199999999999989</v>
      </c>
      <c r="O334" s="4">
        <f t="shared" si="48"/>
        <v>132400</v>
      </c>
      <c r="P334" s="4">
        <f t="shared" si="49"/>
        <v>-33099.999999999993</v>
      </c>
      <c r="Q334" s="4">
        <f t="shared" si="50"/>
        <v>99300</v>
      </c>
      <c r="R334" s="4">
        <f t="shared" si="51"/>
        <v>199300</v>
      </c>
    </row>
    <row r="335" spans="5:18" x14ac:dyDescent="0.25">
      <c r="E335" s="1">
        <f t="shared" si="46"/>
        <v>332</v>
      </c>
      <c r="F335" s="4">
        <f t="shared" ca="1" si="47"/>
        <v>198000</v>
      </c>
      <c r="G335" s="1" t="s">
        <v>70</v>
      </c>
      <c r="H335" s="26">
        <f t="shared" ca="1" si="45"/>
        <v>0.865065972212548</v>
      </c>
      <c r="I335" s="4">
        <f>IF(G335="Yes",-$C$8,0)</f>
        <v>-500</v>
      </c>
      <c r="J335" s="4">
        <f>IF(G335="Yes",$C$8-I335,0)</f>
        <v>1000</v>
      </c>
      <c r="K335" s="4">
        <f ca="1">IF(H335&gt;=$C$4,J335+I335,I335)</f>
        <v>500</v>
      </c>
      <c r="M335" s="61">
        <f t="shared" si="52"/>
        <v>265.60000000000002</v>
      </c>
      <c r="N335" s="61">
        <f t="shared" si="53"/>
        <v>66.399999999999977</v>
      </c>
      <c r="O335" s="4">
        <f t="shared" si="48"/>
        <v>132800</v>
      </c>
      <c r="P335" s="4">
        <f t="shared" si="49"/>
        <v>-33199.999999999985</v>
      </c>
      <c r="Q335" s="4">
        <f t="shared" si="50"/>
        <v>99600.000000000015</v>
      </c>
      <c r="R335" s="4">
        <f t="shared" si="51"/>
        <v>199600</v>
      </c>
    </row>
    <row r="336" spans="5:18" x14ac:dyDescent="0.25">
      <c r="E336" s="1">
        <f t="shared" si="46"/>
        <v>333</v>
      </c>
      <c r="F336" s="4">
        <f t="shared" ca="1" si="47"/>
        <v>198500</v>
      </c>
      <c r="G336" s="1" t="s">
        <v>70</v>
      </c>
      <c r="H336" s="26">
        <f t="shared" ca="1" si="45"/>
        <v>0.24341601367193377</v>
      </c>
      <c r="I336" s="4">
        <f>IF(G336="Yes",-$C$8,0)</f>
        <v>-500</v>
      </c>
      <c r="J336" s="4">
        <f>IF(G336="Yes",$C$8-I336,0)</f>
        <v>1000</v>
      </c>
      <c r="K336" s="4">
        <f ca="1">IF(H336&gt;=$C$4,J336+I336,I336)</f>
        <v>500</v>
      </c>
      <c r="M336" s="61">
        <f t="shared" si="52"/>
        <v>266.40000000000003</v>
      </c>
      <c r="N336" s="61">
        <f t="shared" si="53"/>
        <v>66.599999999999966</v>
      </c>
      <c r="O336" s="4">
        <f t="shared" si="48"/>
        <v>133200.00000000003</v>
      </c>
      <c r="P336" s="4">
        <f t="shared" si="49"/>
        <v>-33299.999999999985</v>
      </c>
      <c r="Q336" s="4">
        <f t="shared" si="50"/>
        <v>99900.000000000044</v>
      </c>
      <c r="R336" s="4">
        <f t="shared" si="51"/>
        <v>199900.00000000006</v>
      </c>
    </row>
    <row r="337" spans="5:18" x14ac:dyDescent="0.25">
      <c r="E337" s="1">
        <f t="shared" si="46"/>
        <v>334</v>
      </c>
      <c r="F337" s="4">
        <f t="shared" ca="1" si="47"/>
        <v>199000</v>
      </c>
      <c r="G337" s="1" t="s">
        <v>70</v>
      </c>
      <c r="H337" s="26">
        <f t="shared" ca="1" si="45"/>
        <v>0.3639637972041091</v>
      </c>
      <c r="I337" s="4">
        <f>IF(G337="Yes",-$C$8,0)</f>
        <v>-500</v>
      </c>
      <c r="J337" s="4">
        <f>IF(G337="Yes",$C$8-I337,0)</f>
        <v>1000</v>
      </c>
      <c r="K337" s="4">
        <f ca="1">IF(H337&gt;=$C$4,J337+I337,I337)</f>
        <v>500</v>
      </c>
      <c r="M337" s="61">
        <f t="shared" si="52"/>
        <v>267.2</v>
      </c>
      <c r="N337" s="61">
        <f t="shared" si="53"/>
        <v>66.800000000000011</v>
      </c>
      <c r="O337" s="4">
        <f t="shared" si="48"/>
        <v>133600</v>
      </c>
      <c r="P337" s="4">
        <f t="shared" si="49"/>
        <v>-33400.000000000007</v>
      </c>
      <c r="Q337" s="4">
        <f t="shared" si="50"/>
        <v>100200</v>
      </c>
      <c r="R337" s="4">
        <f t="shared" si="51"/>
        <v>200200</v>
      </c>
    </row>
    <row r="338" spans="5:18" x14ac:dyDescent="0.25">
      <c r="E338" s="1">
        <f t="shared" si="46"/>
        <v>335</v>
      </c>
      <c r="F338" s="4">
        <f t="shared" ca="1" si="47"/>
        <v>199500</v>
      </c>
      <c r="G338" s="1" t="s">
        <v>70</v>
      </c>
      <c r="H338" s="26">
        <f t="shared" ca="1" si="45"/>
        <v>0.5463842848881415</v>
      </c>
      <c r="I338" s="4">
        <f>IF(G338="Yes",-$C$8,0)</f>
        <v>-500</v>
      </c>
      <c r="J338" s="4">
        <f>IF(G338="Yes",$C$8-I338,0)</f>
        <v>1000</v>
      </c>
      <c r="K338" s="4">
        <f ca="1">IF(H338&gt;=$C$4,J338+I338,I338)</f>
        <v>500</v>
      </c>
      <c r="M338" s="61">
        <f t="shared" si="52"/>
        <v>268</v>
      </c>
      <c r="N338" s="61">
        <f t="shared" si="53"/>
        <v>67</v>
      </c>
      <c r="O338" s="4">
        <f t="shared" si="48"/>
        <v>134000</v>
      </c>
      <c r="P338" s="4">
        <f t="shared" si="49"/>
        <v>-33500</v>
      </c>
      <c r="Q338" s="4">
        <f t="shared" si="50"/>
        <v>100500</v>
      </c>
      <c r="R338" s="4">
        <f t="shared" si="51"/>
        <v>200500</v>
      </c>
    </row>
    <row r="339" spans="5:18" x14ac:dyDescent="0.25">
      <c r="E339" s="1">
        <f t="shared" si="46"/>
        <v>336</v>
      </c>
      <c r="F339" s="4">
        <f t="shared" ca="1" si="47"/>
        <v>199000</v>
      </c>
      <c r="G339" s="1" t="s">
        <v>70</v>
      </c>
      <c r="H339" s="26">
        <f t="shared" ca="1" si="45"/>
        <v>1.8507457730140064E-2</v>
      </c>
      <c r="I339" s="4">
        <f>IF(G339="Yes",-$C$8,0)</f>
        <v>-500</v>
      </c>
      <c r="J339" s="4">
        <f>IF(G339="Yes",$C$8-I339,0)</f>
        <v>1000</v>
      </c>
      <c r="K339" s="4">
        <f ca="1">IF(H339&gt;=$C$4,J339+I339,I339)</f>
        <v>-500</v>
      </c>
      <c r="M339" s="61">
        <f t="shared" si="52"/>
        <v>268.8</v>
      </c>
      <c r="N339" s="61">
        <f t="shared" si="53"/>
        <v>67.199999999999989</v>
      </c>
      <c r="O339" s="4">
        <f t="shared" si="48"/>
        <v>134400</v>
      </c>
      <c r="P339" s="4">
        <f t="shared" si="49"/>
        <v>-33599.999999999993</v>
      </c>
      <c r="Q339" s="4">
        <f t="shared" si="50"/>
        <v>100800</v>
      </c>
      <c r="R339" s="4">
        <f t="shared" si="51"/>
        <v>200800</v>
      </c>
    </row>
    <row r="340" spans="5:18" x14ac:dyDescent="0.25">
      <c r="E340" s="1">
        <f t="shared" si="46"/>
        <v>337</v>
      </c>
      <c r="F340" s="4">
        <f t="shared" ca="1" si="47"/>
        <v>198500</v>
      </c>
      <c r="G340" s="1" t="s">
        <v>70</v>
      </c>
      <c r="H340" s="26">
        <f t="shared" ca="1" si="45"/>
        <v>3.0400591508293662E-2</v>
      </c>
      <c r="I340" s="4">
        <f>IF(G340="Yes",-$C$8,0)</f>
        <v>-500</v>
      </c>
      <c r="J340" s="4">
        <f>IF(G340="Yes",$C$8-I340,0)</f>
        <v>1000</v>
      </c>
      <c r="K340" s="4">
        <f ca="1">IF(H340&gt;=$C$4,J340+I340,I340)</f>
        <v>-500</v>
      </c>
      <c r="M340" s="61">
        <f t="shared" si="52"/>
        <v>269.60000000000002</v>
      </c>
      <c r="N340" s="61">
        <f t="shared" si="53"/>
        <v>67.399999999999977</v>
      </c>
      <c r="O340" s="4">
        <f t="shared" si="48"/>
        <v>134800</v>
      </c>
      <c r="P340" s="4">
        <f t="shared" si="49"/>
        <v>-33699.999999999985</v>
      </c>
      <c r="Q340" s="4">
        <f t="shared" si="50"/>
        <v>101100.00000000001</v>
      </c>
      <c r="R340" s="4">
        <f t="shared" si="51"/>
        <v>201100</v>
      </c>
    </row>
    <row r="341" spans="5:18" x14ac:dyDescent="0.25">
      <c r="E341" s="1">
        <f t="shared" si="46"/>
        <v>338</v>
      </c>
      <c r="F341" s="4">
        <f t="shared" ca="1" si="47"/>
        <v>199000</v>
      </c>
      <c r="G341" s="1" t="s">
        <v>70</v>
      </c>
      <c r="H341" s="26">
        <f t="shared" ca="1" si="45"/>
        <v>0.39254982578375575</v>
      </c>
      <c r="I341" s="4">
        <f>IF(G341="Yes",-$C$8,0)</f>
        <v>-500</v>
      </c>
      <c r="J341" s="4">
        <f>IF(G341="Yes",$C$8-I341,0)</f>
        <v>1000</v>
      </c>
      <c r="K341" s="4">
        <f ca="1">IF(H341&gt;=$C$4,J341+I341,I341)</f>
        <v>500</v>
      </c>
      <c r="M341" s="61">
        <f t="shared" si="52"/>
        <v>270.40000000000003</v>
      </c>
      <c r="N341" s="61">
        <f t="shared" si="53"/>
        <v>67.599999999999966</v>
      </c>
      <c r="O341" s="4">
        <f t="shared" si="48"/>
        <v>135200.00000000003</v>
      </c>
      <c r="P341" s="4">
        <f t="shared" si="49"/>
        <v>-33799.999999999985</v>
      </c>
      <c r="Q341" s="4">
        <f t="shared" si="50"/>
        <v>101400.00000000004</v>
      </c>
      <c r="R341" s="4">
        <f t="shared" si="51"/>
        <v>201400.00000000006</v>
      </c>
    </row>
    <row r="342" spans="5:18" x14ac:dyDescent="0.25">
      <c r="E342" s="1">
        <f t="shared" si="46"/>
        <v>339</v>
      </c>
      <c r="F342" s="4">
        <f t="shared" ca="1" si="47"/>
        <v>199500</v>
      </c>
      <c r="G342" s="1" t="s">
        <v>70</v>
      </c>
      <c r="H342" s="26">
        <f t="shared" ca="1" si="45"/>
        <v>0.24275866193977325</v>
      </c>
      <c r="I342" s="4">
        <f>IF(G342="Yes",-$C$8,0)</f>
        <v>-500</v>
      </c>
      <c r="J342" s="4">
        <f>IF(G342="Yes",$C$8-I342,0)</f>
        <v>1000</v>
      </c>
      <c r="K342" s="4">
        <f ca="1">IF(H342&gt;=$C$4,J342+I342,I342)</f>
        <v>500</v>
      </c>
      <c r="M342" s="61">
        <f t="shared" si="52"/>
        <v>271.2</v>
      </c>
      <c r="N342" s="61">
        <f t="shared" si="53"/>
        <v>67.800000000000011</v>
      </c>
      <c r="O342" s="4">
        <f t="shared" si="48"/>
        <v>135600</v>
      </c>
      <c r="P342" s="4">
        <f t="shared" si="49"/>
        <v>-33900.000000000007</v>
      </c>
      <c r="Q342" s="4">
        <f t="shared" si="50"/>
        <v>101700</v>
      </c>
      <c r="R342" s="4">
        <f t="shared" si="51"/>
        <v>201700</v>
      </c>
    </row>
    <row r="343" spans="5:18" x14ac:dyDescent="0.25">
      <c r="E343" s="1">
        <f t="shared" si="46"/>
        <v>340</v>
      </c>
      <c r="F343" s="4">
        <f t="shared" ca="1" si="47"/>
        <v>200000</v>
      </c>
      <c r="G343" s="1" t="s">
        <v>70</v>
      </c>
      <c r="H343" s="26">
        <f t="shared" ca="1" si="45"/>
        <v>0.83127961428964292</v>
      </c>
      <c r="I343" s="4">
        <f>IF(G343="Yes",-$C$8,0)</f>
        <v>-500</v>
      </c>
      <c r="J343" s="4">
        <f>IF(G343="Yes",$C$8-I343,0)</f>
        <v>1000</v>
      </c>
      <c r="K343" s="4">
        <f ca="1">IF(H343&gt;=$C$4,J343+I343,I343)</f>
        <v>500</v>
      </c>
      <c r="M343" s="61">
        <f t="shared" si="52"/>
        <v>272</v>
      </c>
      <c r="N343" s="61">
        <f t="shared" si="53"/>
        <v>68</v>
      </c>
      <c r="O343" s="4">
        <f t="shared" si="48"/>
        <v>136000</v>
      </c>
      <c r="P343" s="4">
        <f t="shared" si="49"/>
        <v>-34000</v>
      </c>
      <c r="Q343" s="4">
        <f t="shared" si="50"/>
        <v>102000</v>
      </c>
      <c r="R343" s="4">
        <f t="shared" si="51"/>
        <v>202000</v>
      </c>
    </row>
    <row r="344" spans="5:18" x14ac:dyDescent="0.25">
      <c r="E344" s="1">
        <f t="shared" si="46"/>
        <v>341</v>
      </c>
      <c r="F344" s="4">
        <f t="shared" ca="1" si="47"/>
        <v>200500</v>
      </c>
      <c r="G344" s="1" t="s">
        <v>70</v>
      </c>
      <c r="H344" s="26">
        <f t="shared" ca="1" si="45"/>
        <v>0.20993022828950703</v>
      </c>
      <c r="I344" s="4">
        <f>IF(G344="Yes",-$C$8,0)</f>
        <v>-500</v>
      </c>
      <c r="J344" s="4">
        <f>IF(G344="Yes",$C$8-I344,0)</f>
        <v>1000</v>
      </c>
      <c r="K344" s="4">
        <f ca="1">IF(H344&gt;=$C$4,J344+I344,I344)</f>
        <v>500</v>
      </c>
      <c r="M344" s="61">
        <f t="shared" si="52"/>
        <v>272.8</v>
      </c>
      <c r="N344" s="61">
        <f t="shared" si="53"/>
        <v>68.199999999999989</v>
      </c>
      <c r="O344" s="4">
        <f t="shared" si="48"/>
        <v>136400</v>
      </c>
      <c r="P344" s="4">
        <f t="shared" si="49"/>
        <v>-34099.999999999993</v>
      </c>
      <c r="Q344" s="4">
        <f t="shared" si="50"/>
        <v>102300</v>
      </c>
      <c r="R344" s="4">
        <f t="shared" si="51"/>
        <v>202300</v>
      </c>
    </row>
    <row r="345" spans="5:18" x14ac:dyDescent="0.25">
      <c r="E345" s="1">
        <f t="shared" si="46"/>
        <v>342</v>
      </c>
      <c r="F345" s="4">
        <f t="shared" ca="1" si="47"/>
        <v>201000</v>
      </c>
      <c r="G345" s="1" t="s">
        <v>70</v>
      </c>
      <c r="H345" s="26">
        <f t="shared" ca="1" si="45"/>
        <v>0.98693588361080553</v>
      </c>
      <c r="I345" s="4">
        <f>IF(G345="Yes",-$C$8,0)</f>
        <v>-500</v>
      </c>
      <c r="J345" s="4">
        <f>IF(G345="Yes",$C$8-I345,0)</f>
        <v>1000</v>
      </c>
      <c r="K345" s="4">
        <f ca="1">IF(H345&gt;=$C$4,J345+I345,I345)</f>
        <v>500</v>
      </c>
      <c r="M345" s="61">
        <f t="shared" si="52"/>
        <v>273.60000000000002</v>
      </c>
      <c r="N345" s="61">
        <f t="shared" si="53"/>
        <v>68.399999999999977</v>
      </c>
      <c r="O345" s="4">
        <f t="shared" si="48"/>
        <v>136800</v>
      </c>
      <c r="P345" s="4">
        <f t="shared" si="49"/>
        <v>-34199.999999999985</v>
      </c>
      <c r="Q345" s="4">
        <f t="shared" si="50"/>
        <v>102600.00000000001</v>
      </c>
      <c r="R345" s="4">
        <f t="shared" si="51"/>
        <v>202600</v>
      </c>
    </row>
    <row r="346" spans="5:18" x14ac:dyDescent="0.25">
      <c r="E346" s="1">
        <f t="shared" si="46"/>
        <v>343</v>
      </c>
      <c r="F346" s="4">
        <f t="shared" ca="1" si="47"/>
        <v>201500</v>
      </c>
      <c r="G346" s="1" t="s">
        <v>70</v>
      </c>
      <c r="H346" s="26">
        <f t="shared" ca="1" si="45"/>
        <v>0.70288781767361908</v>
      </c>
      <c r="I346" s="4">
        <f>IF(G346="Yes",-$C$8,0)</f>
        <v>-500</v>
      </c>
      <c r="J346" s="4">
        <f>IF(G346="Yes",$C$8-I346,0)</f>
        <v>1000</v>
      </c>
      <c r="K346" s="4">
        <f ca="1">IF(H346&gt;=$C$4,J346+I346,I346)</f>
        <v>500</v>
      </c>
      <c r="M346" s="61">
        <f t="shared" si="52"/>
        <v>274.40000000000003</v>
      </c>
      <c r="N346" s="61">
        <f t="shared" si="53"/>
        <v>68.599999999999966</v>
      </c>
      <c r="O346" s="4">
        <f t="shared" si="48"/>
        <v>137200.00000000003</v>
      </c>
      <c r="P346" s="4">
        <f t="shared" si="49"/>
        <v>-34299.999999999985</v>
      </c>
      <c r="Q346" s="4">
        <f t="shared" si="50"/>
        <v>102900.00000000004</v>
      </c>
      <c r="R346" s="4">
        <f t="shared" si="51"/>
        <v>202900.00000000006</v>
      </c>
    </row>
    <row r="347" spans="5:18" x14ac:dyDescent="0.25">
      <c r="E347" s="1">
        <f t="shared" si="46"/>
        <v>344</v>
      </c>
      <c r="F347" s="4">
        <f t="shared" ca="1" si="47"/>
        <v>202000</v>
      </c>
      <c r="G347" s="1" t="s">
        <v>70</v>
      </c>
      <c r="H347" s="26">
        <f t="shared" ca="1" si="45"/>
        <v>0.74542740407053665</v>
      </c>
      <c r="I347" s="4">
        <f>IF(G347="Yes",-$C$8,0)</f>
        <v>-500</v>
      </c>
      <c r="J347" s="4">
        <f>IF(G347="Yes",$C$8-I347,0)</f>
        <v>1000</v>
      </c>
      <c r="K347" s="4">
        <f ca="1">IF(H347&gt;=$C$4,J347+I347,I347)</f>
        <v>500</v>
      </c>
      <c r="M347" s="61">
        <f t="shared" si="52"/>
        <v>275.2</v>
      </c>
      <c r="N347" s="61">
        <f t="shared" si="53"/>
        <v>68.800000000000011</v>
      </c>
      <c r="O347" s="4">
        <f t="shared" si="48"/>
        <v>137600</v>
      </c>
      <c r="P347" s="4">
        <f t="shared" si="49"/>
        <v>-34400.000000000007</v>
      </c>
      <c r="Q347" s="4">
        <f t="shared" si="50"/>
        <v>103200</v>
      </c>
      <c r="R347" s="4">
        <f t="shared" si="51"/>
        <v>203200</v>
      </c>
    </row>
    <row r="348" spans="5:18" x14ac:dyDescent="0.25">
      <c r="E348" s="1">
        <f t="shared" si="46"/>
        <v>345</v>
      </c>
      <c r="F348" s="4">
        <f t="shared" ca="1" si="47"/>
        <v>202500</v>
      </c>
      <c r="G348" s="1" t="s">
        <v>70</v>
      </c>
      <c r="H348" s="26">
        <f t="shared" ca="1" si="45"/>
        <v>0.64588684109880257</v>
      </c>
      <c r="I348" s="4">
        <f>IF(G348="Yes",-$C$8,0)</f>
        <v>-500</v>
      </c>
      <c r="J348" s="4">
        <f>IF(G348="Yes",$C$8-I348,0)</f>
        <v>1000</v>
      </c>
      <c r="K348" s="4">
        <f ca="1">IF(H348&gt;=$C$4,J348+I348,I348)</f>
        <v>500</v>
      </c>
      <c r="M348" s="61">
        <f t="shared" si="52"/>
        <v>276</v>
      </c>
      <c r="N348" s="61">
        <f t="shared" si="53"/>
        <v>69</v>
      </c>
      <c r="O348" s="4">
        <f t="shared" si="48"/>
        <v>138000</v>
      </c>
      <c r="P348" s="4">
        <f t="shared" si="49"/>
        <v>-34500</v>
      </c>
      <c r="Q348" s="4">
        <f t="shared" si="50"/>
        <v>103500</v>
      </c>
      <c r="R348" s="4">
        <f t="shared" si="51"/>
        <v>203500</v>
      </c>
    </row>
    <row r="349" spans="5:18" x14ac:dyDescent="0.25">
      <c r="E349" s="1">
        <f t="shared" si="46"/>
        <v>346</v>
      </c>
      <c r="F349" s="4">
        <f t="shared" ca="1" si="47"/>
        <v>203000</v>
      </c>
      <c r="G349" s="1" t="s">
        <v>70</v>
      </c>
      <c r="H349" s="26">
        <f t="shared" ca="1" si="45"/>
        <v>0.88799803411393585</v>
      </c>
      <c r="I349" s="4">
        <f>IF(G349="Yes",-$C$8,0)</f>
        <v>-500</v>
      </c>
      <c r="J349" s="4">
        <f>IF(G349="Yes",$C$8-I349,0)</f>
        <v>1000</v>
      </c>
      <c r="K349" s="4">
        <f ca="1">IF(H349&gt;=$C$4,J349+I349,I349)</f>
        <v>500</v>
      </c>
      <c r="M349" s="61">
        <f t="shared" si="52"/>
        <v>276.8</v>
      </c>
      <c r="N349" s="61">
        <f t="shared" si="53"/>
        <v>69.199999999999989</v>
      </c>
      <c r="O349" s="4">
        <f t="shared" si="48"/>
        <v>138400</v>
      </c>
      <c r="P349" s="4">
        <f t="shared" si="49"/>
        <v>-34599.999999999993</v>
      </c>
      <c r="Q349" s="4">
        <f t="shared" si="50"/>
        <v>103800</v>
      </c>
      <c r="R349" s="4">
        <f t="shared" si="51"/>
        <v>203800</v>
      </c>
    </row>
    <row r="350" spans="5:18" x14ac:dyDescent="0.25">
      <c r="E350" s="1">
        <f t="shared" si="46"/>
        <v>347</v>
      </c>
      <c r="F350" s="4">
        <f t="shared" ca="1" si="47"/>
        <v>203500</v>
      </c>
      <c r="G350" s="1" t="s">
        <v>70</v>
      </c>
      <c r="H350" s="26">
        <f t="shared" ca="1" si="45"/>
        <v>0.24656454589098253</v>
      </c>
      <c r="I350" s="4">
        <f>IF(G350="Yes",-$C$8,0)</f>
        <v>-500</v>
      </c>
      <c r="J350" s="4">
        <f>IF(G350="Yes",$C$8-I350,0)</f>
        <v>1000</v>
      </c>
      <c r="K350" s="4">
        <f ca="1">IF(H350&gt;=$C$4,J350+I350,I350)</f>
        <v>500</v>
      </c>
      <c r="M350" s="61">
        <f t="shared" si="52"/>
        <v>277.60000000000002</v>
      </c>
      <c r="N350" s="61">
        <f t="shared" si="53"/>
        <v>69.399999999999977</v>
      </c>
      <c r="O350" s="4">
        <f t="shared" si="48"/>
        <v>138800</v>
      </c>
      <c r="P350" s="4">
        <f t="shared" si="49"/>
        <v>-34699.999999999985</v>
      </c>
      <c r="Q350" s="4">
        <f t="shared" si="50"/>
        <v>104100.00000000001</v>
      </c>
      <c r="R350" s="4">
        <f t="shared" si="51"/>
        <v>204100</v>
      </c>
    </row>
    <row r="351" spans="5:18" x14ac:dyDescent="0.25">
      <c r="E351" s="1">
        <f t="shared" si="46"/>
        <v>348</v>
      </c>
      <c r="F351" s="4">
        <f t="shared" ca="1" si="47"/>
        <v>203000</v>
      </c>
      <c r="G351" s="1" t="s">
        <v>70</v>
      </c>
      <c r="H351" s="26">
        <f t="shared" ca="1" si="45"/>
        <v>2.6090702370195284E-2</v>
      </c>
      <c r="I351" s="4">
        <f>IF(G351="Yes",-$C$8,0)</f>
        <v>-500</v>
      </c>
      <c r="J351" s="4">
        <f>IF(G351="Yes",$C$8-I351,0)</f>
        <v>1000</v>
      </c>
      <c r="K351" s="4">
        <f ca="1">IF(H351&gt;=$C$4,J351+I351,I351)</f>
        <v>-500</v>
      </c>
      <c r="M351" s="61">
        <f t="shared" si="52"/>
        <v>278.40000000000003</v>
      </c>
      <c r="N351" s="61">
        <f t="shared" si="53"/>
        <v>69.599999999999966</v>
      </c>
      <c r="O351" s="4">
        <f t="shared" si="48"/>
        <v>139200.00000000003</v>
      </c>
      <c r="P351" s="4">
        <f t="shared" si="49"/>
        <v>-34799.999999999985</v>
      </c>
      <c r="Q351" s="4">
        <f t="shared" si="50"/>
        <v>104400.00000000004</v>
      </c>
      <c r="R351" s="4">
        <f t="shared" si="51"/>
        <v>204400.00000000006</v>
      </c>
    </row>
    <row r="352" spans="5:18" x14ac:dyDescent="0.25">
      <c r="E352" s="1">
        <f t="shared" si="46"/>
        <v>349</v>
      </c>
      <c r="F352" s="4">
        <f t="shared" ca="1" si="47"/>
        <v>203500</v>
      </c>
      <c r="G352" s="1" t="s">
        <v>70</v>
      </c>
      <c r="H352" s="26">
        <f t="shared" ca="1" si="45"/>
        <v>0.5647982449680724</v>
      </c>
      <c r="I352" s="4">
        <f>IF(G352="Yes",-$C$8,0)</f>
        <v>-500</v>
      </c>
      <c r="J352" s="4">
        <f>IF(G352="Yes",$C$8-I352,0)</f>
        <v>1000</v>
      </c>
      <c r="K352" s="4">
        <f ca="1">IF(H352&gt;=$C$4,J352+I352,I352)</f>
        <v>500</v>
      </c>
      <c r="M352" s="61">
        <f t="shared" si="52"/>
        <v>279.2</v>
      </c>
      <c r="N352" s="61">
        <f t="shared" si="53"/>
        <v>69.800000000000011</v>
      </c>
      <c r="O352" s="4">
        <f t="shared" si="48"/>
        <v>139600</v>
      </c>
      <c r="P352" s="4">
        <f t="shared" si="49"/>
        <v>-34900.000000000007</v>
      </c>
      <c r="Q352" s="4">
        <f t="shared" si="50"/>
        <v>104700</v>
      </c>
      <c r="R352" s="4">
        <f t="shared" si="51"/>
        <v>204700</v>
      </c>
    </row>
    <row r="353" spans="5:18" x14ac:dyDescent="0.25">
      <c r="E353" s="1">
        <f t="shared" si="46"/>
        <v>350</v>
      </c>
      <c r="F353" s="4">
        <f t="shared" ca="1" si="47"/>
        <v>204000</v>
      </c>
      <c r="G353" s="1" t="s">
        <v>70</v>
      </c>
      <c r="H353" s="26">
        <f t="shared" ca="1" si="45"/>
        <v>0.37685194305792147</v>
      </c>
      <c r="I353" s="4">
        <f>IF(G353="Yes",-$C$8,0)</f>
        <v>-500</v>
      </c>
      <c r="J353" s="4">
        <f>IF(G353="Yes",$C$8-I353,0)</f>
        <v>1000</v>
      </c>
      <c r="K353" s="4">
        <f ca="1">IF(H353&gt;=$C$4,J353+I353,I353)</f>
        <v>500</v>
      </c>
      <c r="M353" s="61">
        <f t="shared" si="52"/>
        <v>280</v>
      </c>
      <c r="N353" s="61">
        <f t="shared" si="53"/>
        <v>70</v>
      </c>
      <c r="O353" s="4">
        <f t="shared" si="48"/>
        <v>140000</v>
      </c>
      <c r="P353" s="4">
        <f t="shared" si="49"/>
        <v>-35000</v>
      </c>
      <c r="Q353" s="4">
        <f t="shared" si="50"/>
        <v>105000</v>
      </c>
      <c r="R353" s="4">
        <f t="shared" si="51"/>
        <v>205000</v>
      </c>
    </row>
    <row r="354" spans="5:18" x14ac:dyDescent="0.25">
      <c r="E354" s="1">
        <f t="shared" si="46"/>
        <v>351</v>
      </c>
      <c r="F354" s="4">
        <f t="shared" ca="1" si="47"/>
        <v>204500</v>
      </c>
      <c r="G354" s="1" t="s">
        <v>70</v>
      </c>
      <c r="H354" s="26">
        <f t="shared" ca="1" si="45"/>
        <v>0.72239742089342018</v>
      </c>
      <c r="I354" s="4">
        <f>IF(G354="Yes",-$C$8,0)</f>
        <v>-500</v>
      </c>
      <c r="J354" s="4">
        <f>IF(G354="Yes",$C$8-I354,0)</f>
        <v>1000</v>
      </c>
      <c r="K354" s="4">
        <f ca="1">IF(H354&gt;=$C$4,J354+I354,I354)</f>
        <v>500</v>
      </c>
      <c r="M354" s="61">
        <f t="shared" si="52"/>
        <v>280.8</v>
      </c>
      <c r="N354" s="61">
        <f t="shared" si="53"/>
        <v>70.199999999999989</v>
      </c>
      <c r="O354" s="4">
        <f t="shared" si="48"/>
        <v>140400</v>
      </c>
      <c r="P354" s="4">
        <f t="shared" si="49"/>
        <v>-35099.999999999993</v>
      </c>
      <c r="Q354" s="4">
        <f t="shared" si="50"/>
        <v>105300</v>
      </c>
      <c r="R354" s="4">
        <f t="shared" si="51"/>
        <v>205300</v>
      </c>
    </row>
    <row r="355" spans="5:18" x14ac:dyDescent="0.25">
      <c r="E355" s="1">
        <f t="shared" si="46"/>
        <v>352</v>
      </c>
      <c r="F355" s="4">
        <f t="shared" ca="1" si="47"/>
        <v>205000</v>
      </c>
      <c r="G355" s="1" t="s">
        <v>70</v>
      </c>
      <c r="H355" s="26">
        <f t="shared" ca="1" si="45"/>
        <v>0.21267702060468596</v>
      </c>
      <c r="I355" s="4">
        <f>IF(G355="Yes",-$C$8,0)</f>
        <v>-500</v>
      </c>
      <c r="J355" s="4">
        <f>IF(G355="Yes",$C$8-I355,0)</f>
        <v>1000</v>
      </c>
      <c r="K355" s="4">
        <f ca="1">IF(H355&gt;=$C$4,J355+I355,I355)</f>
        <v>500</v>
      </c>
      <c r="M355" s="61">
        <f t="shared" si="52"/>
        <v>281.60000000000002</v>
      </c>
      <c r="N355" s="61">
        <f t="shared" si="53"/>
        <v>70.399999999999977</v>
      </c>
      <c r="O355" s="4">
        <f t="shared" si="48"/>
        <v>140800</v>
      </c>
      <c r="P355" s="4">
        <f t="shared" si="49"/>
        <v>-35199.999999999985</v>
      </c>
      <c r="Q355" s="4">
        <f t="shared" si="50"/>
        <v>105600.00000000001</v>
      </c>
      <c r="R355" s="4">
        <f t="shared" si="51"/>
        <v>205600</v>
      </c>
    </row>
    <row r="356" spans="5:18" x14ac:dyDescent="0.25">
      <c r="E356" s="1">
        <f t="shared" si="46"/>
        <v>353</v>
      </c>
      <c r="F356" s="4">
        <f t="shared" ca="1" si="47"/>
        <v>204500</v>
      </c>
      <c r="G356" s="1" t="s">
        <v>70</v>
      </c>
      <c r="H356" s="26">
        <f t="shared" ca="1" si="45"/>
        <v>5.1059838706140948E-2</v>
      </c>
      <c r="I356" s="4">
        <f>IF(G356="Yes",-$C$8,0)</f>
        <v>-500</v>
      </c>
      <c r="J356" s="4">
        <f>IF(G356="Yes",$C$8-I356,0)</f>
        <v>1000</v>
      </c>
      <c r="K356" s="4">
        <f ca="1">IF(H356&gt;=$C$4,J356+I356,I356)</f>
        <v>-500</v>
      </c>
      <c r="M356" s="61">
        <f t="shared" si="52"/>
        <v>282.40000000000003</v>
      </c>
      <c r="N356" s="61">
        <f t="shared" si="53"/>
        <v>70.599999999999966</v>
      </c>
      <c r="O356" s="4">
        <f t="shared" si="48"/>
        <v>141200.00000000003</v>
      </c>
      <c r="P356" s="4">
        <f t="shared" si="49"/>
        <v>-35299.999999999985</v>
      </c>
      <c r="Q356" s="4">
        <f t="shared" si="50"/>
        <v>105900.00000000004</v>
      </c>
      <c r="R356" s="4">
        <f t="shared" si="51"/>
        <v>205900.00000000006</v>
      </c>
    </row>
    <row r="357" spans="5:18" x14ac:dyDescent="0.25">
      <c r="E357" s="1">
        <f t="shared" si="46"/>
        <v>354</v>
      </c>
      <c r="F357" s="4">
        <f t="shared" ca="1" si="47"/>
        <v>205000</v>
      </c>
      <c r="G357" s="1" t="s">
        <v>70</v>
      </c>
      <c r="H357" s="26">
        <f t="shared" ca="1" si="45"/>
        <v>0.7367312015184122</v>
      </c>
      <c r="I357" s="4">
        <f>IF(G357="Yes",-$C$8,0)</f>
        <v>-500</v>
      </c>
      <c r="J357" s="4">
        <f>IF(G357="Yes",$C$8-I357,0)</f>
        <v>1000</v>
      </c>
      <c r="K357" s="4">
        <f ca="1">IF(H357&gt;=$C$4,J357+I357,I357)</f>
        <v>500</v>
      </c>
      <c r="M357" s="61">
        <f t="shared" si="52"/>
        <v>283.2</v>
      </c>
      <c r="N357" s="61">
        <f t="shared" si="53"/>
        <v>70.800000000000011</v>
      </c>
      <c r="O357" s="4">
        <f t="shared" si="48"/>
        <v>141600</v>
      </c>
      <c r="P357" s="4">
        <f t="shared" si="49"/>
        <v>-35400.000000000007</v>
      </c>
      <c r="Q357" s="4">
        <f t="shared" si="50"/>
        <v>106200</v>
      </c>
      <c r="R357" s="4">
        <f t="shared" si="51"/>
        <v>206200</v>
      </c>
    </row>
    <row r="358" spans="5:18" x14ac:dyDescent="0.25">
      <c r="E358" s="1">
        <f t="shared" si="46"/>
        <v>355</v>
      </c>
      <c r="F358" s="4">
        <f t="shared" ca="1" si="47"/>
        <v>205500</v>
      </c>
      <c r="G358" s="1" t="s">
        <v>70</v>
      </c>
      <c r="H358" s="26">
        <f t="shared" ca="1" si="45"/>
        <v>0.35009307739283635</v>
      </c>
      <c r="I358" s="4">
        <f>IF(G358="Yes",-$C$8,0)</f>
        <v>-500</v>
      </c>
      <c r="J358" s="4">
        <f>IF(G358="Yes",$C$8-I358,0)</f>
        <v>1000</v>
      </c>
      <c r="K358" s="4">
        <f ca="1">IF(H358&gt;=$C$4,J358+I358,I358)</f>
        <v>500</v>
      </c>
      <c r="M358" s="61">
        <f t="shared" si="52"/>
        <v>284</v>
      </c>
      <c r="N358" s="61">
        <f t="shared" si="53"/>
        <v>71</v>
      </c>
      <c r="O358" s="4">
        <f t="shared" si="48"/>
        <v>142000</v>
      </c>
      <c r="P358" s="4">
        <f t="shared" si="49"/>
        <v>-35500</v>
      </c>
      <c r="Q358" s="4">
        <f t="shared" si="50"/>
        <v>106500</v>
      </c>
      <c r="R358" s="4">
        <f t="shared" si="51"/>
        <v>206500</v>
      </c>
    </row>
    <row r="359" spans="5:18" x14ac:dyDescent="0.25">
      <c r="E359" s="1">
        <f t="shared" si="46"/>
        <v>356</v>
      </c>
      <c r="F359" s="4">
        <f t="shared" ca="1" si="47"/>
        <v>206000</v>
      </c>
      <c r="G359" s="1" t="s">
        <v>70</v>
      </c>
      <c r="H359" s="26">
        <f t="shared" ca="1" si="45"/>
        <v>0.58223168923203228</v>
      </c>
      <c r="I359" s="4">
        <f>IF(G359="Yes",-$C$8,0)</f>
        <v>-500</v>
      </c>
      <c r="J359" s="4">
        <f>IF(G359="Yes",$C$8-I359,0)</f>
        <v>1000</v>
      </c>
      <c r="K359" s="4">
        <f ca="1">IF(H359&gt;=$C$4,J359+I359,I359)</f>
        <v>500</v>
      </c>
      <c r="M359" s="61">
        <f t="shared" si="52"/>
        <v>284.8</v>
      </c>
      <c r="N359" s="61">
        <f t="shared" si="53"/>
        <v>71.199999999999989</v>
      </c>
      <c r="O359" s="4">
        <f t="shared" si="48"/>
        <v>142400</v>
      </c>
      <c r="P359" s="4">
        <f t="shared" si="49"/>
        <v>-35599.999999999993</v>
      </c>
      <c r="Q359" s="4">
        <f t="shared" si="50"/>
        <v>106800</v>
      </c>
      <c r="R359" s="4">
        <f t="shared" si="51"/>
        <v>206800</v>
      </c>
    </row>
    <row r="360" spans="5:18" x14ac:dyDescent="0.25">
      <c r="E360" s="1">
        <f t="shared" si="46"/>
        <v>357</v>
      </c>
      <c r="F360" s="4">
        <f t="shared" ca="1" si="47"/>
        <v>206500</v>
      </c>
      <c r="G360" s="1" t="s">
        <v>70</v>
      </c>
      <c r="H360" s="26">
        <f t="shared" ca="1" si="45"/>
        <v>0.68992020972107215</v>
      </c>
      <c r="I360" s="4">
        <f>IF(G360="Yes",-$C$8,0)</f>
        <v>-500</v>
      </c>
      <c r="J360" s="4">
        <f>IF(G360="Yes",$C$8-I360,0)</f>
        <v>1000</v>
      </c>
      <c r="K360" s="4">
        <f ca="1">IF(H360&gt;=$C$4,J360+I360,I360)</f>
        <v>500</v>
      </c>
      <c r="M360" s="61">
        <f t="shared" si="52"/>
        <v>285.60000000000002</v>
      </c>
      <c r="N360" s="61">
        <f t="shared" si="53"/>
        <v>71.399999999999977</v>
      </c>
      <c r="O360" s="4">
        <f t="shared" si="48"/>
        <v>142800</v>
      </c>
      <c r="P360" s="4">
        <f t="shared" si="49"/>
        <v>-35699.999999999985</v>
      </c>
      <c r="Q360" s="4">
        <f t="shared" si="50"/>
        <v>107100.00000000001</v>
      </c>
      <c r="R360" s="4">
        <f t="shared" si="51"/>
        <v>207100</v>
      </c>
    </row>
    <row r="361" spans="5:18" x14ac:dyDescent="0.25">
      <c r="E361" s="1">
        <f t="shared" si="46"/>
        <v>358</v>
      </c>
      <c r="F361" s="4">
        <f t="shared" ca="1" si="47"/>
        <v>206000</v>
      </c>
      <c r="G361" s="1" t="s">
        <v>70</v>
      </c>
      <c r="H361" s="26">
        <f t="shared" ca="1" si="45"/>
        <v>9.2682706193827569E-2</v>
      </c>
      <c r="I361" s="4">
        <f>IF(G361="Yes",-$C$8,0)</f>
        <v>-500</v>
      </c>
      <c r="J361" s="4">
        <f>IF(G361="Yes",$C$8-I361,0)</f>
        <v>1000</v>
      </c>
      <c r="K361" s="4">
        <f ca="1">IF(H361&gt;=$C$4,J361+I361,I361)</f>
        <v>-500</v>
      </c>
      <c r="M361" s="61">
        <f t="shared" si="52"/>
        <v>286.40000000000003</v>
      </c>
      <c r="N361" s="61">
        <f t="shared" si="53"/>
        <v>71.599999999999966</v>
      </c>
      <c r="O361" s="4">
        <f t="shared" si="48"/>
        <v>143200.00000000003</v>
      </c>
      <c r="P361" s="4">
        <f t="shared" si="49"/>
        <v>-35799.999999999985</v>
      </c>
      <c r="Q361" s="4">
        <f t="shared" si="50"/>
        <v>107400.00000000004</v>
      </c>
      <c r="R361" s="4">
        <f t="shared" si="51"/>
        <v>207400.00000000006</v>
      </c>
    </row>
    <row r="362" spans="5:18" x14ac:dyDescent="0.25">
      <c r="E362" s="1">
        <f t="shared" si="46"/>
        <v>359</v>
      </c>
      <c r="F362" s="4">
        <f t="shared" ca="1" si="47"/>
        <v>206500</v>
      </c>
      <c r="G362" s="1" t="s">
        <v>70</v>
      </c>
      <c r="H362" s="26">
        <f t="shared" ca="1" si="45"/>
        <v>0.29961807946277919</v>
      </c>
      <c r="I362" s="4">
        <f>IF(G362="Yes",-$C$8,0)</f>
        <v>-500</v>
      </c>
      <c r="J362" s="4">
        <f>IF(G362="Yes",$C$8-I362,0)</f>
        <v>1000</v>
      </c>
      <c r="K362" s="4">
        <f ca="1">IF(H362&gt;=$C$4,J362+I362,I362)</f>
        <v>500</v>
      </c>
      <c r="M362" s="61">
        <f t="shared" si="52"/>
        <v>287.2</v>
      </c>
      <c r="N362" s="61">
        <f t="shared" si="53"/>
        <v>71.800000000000011</v>
      </c>
      <c r="O362" s="4">
        <f t="shared" si="48"/>
        <v>143600</v>
      </c>
      <c r="P362" s="4">
        <f t="shared" si="49"/>
        <v>-35900.000000000007</v>
      </c>
      <c r="Q362" s="4">
        <f t="shared" si="50"/>
        <v>107700</v>
      </c>
      <c r="R362" s="4">
        <f t="shared" si="51"/>
        <v>207700</v>
      </c>
    </row>
    <row r="363" spans="5:18" x14ac:dyDescent="0.25">
      <c r="E363" s="1">
        <f t="shared" si="46"/>
        <v>360</v>
      </c>
      <c r="F363" s="4">
        <f t="shared" ca="1" si="47"/>
        <v>206000</v>
      </c>
      <c r="G363" s="1" t="s">
        <v>70</v>
      </c>
      <c r="H363" s="26">
        <f t="shared" ca="1" si="45"/>
        <v>0.17963899412071593</v>
      </c>
      <c r="I363" s="4">
        <f>IF(G363="Yes",-$C$8,0)</f>
        <v>-500</v>
      </c>
      <c r="J363" s="4">
        <f>IF(G363="Yes",$C$8-I363,0)</f>
        <v>1000</v>
      </c>
      <c r="K363" s="4">
        <f ca="1">IF(H363&gt;=$C$4,J363+I363,I363)</f>
        <v>-500</v>
      </c>
      <c r="M363" s="61">
        <f t="shared" si="52"/>
        <v>288</v>
      </c>
      <c r="N363" s="61">
        <f t="shared" si="53"/>
        <v>72</v>
      </c>
      <c r="O363" s="4">
        <f t="shared" si="48"/>
        <v>144000</v>
      </c>
      <c r="P363" s="4">
        <f t="shared" si="49"/>
        <v>-36000</v>
      </c>
      <c r="Q363" s="4">
        <f t="shared" si="50"/>
        <v>108000</v>
      </c>
      <c r="R363" s="4">
        <f t="shared" si="51"/>
        <v>208000</v>
      </c>
    </row>
    <row r="364" spans="5:18" x14ac:dyDescent="0.25">
      <c r="E364" s="1">
        <f t="shared" si="46"/>
        <v>361</v>
      </c>
      <c r="F364" s="4">
        <f t="shared" ca="1" si="47"/>
        <v>205500</v>
      </c>
      <c r="G364" s="1" t="s">
        <v>70</v>
      </c>
      <c r="H364" s="26">
        <f t="shared" ca="1" si="45"/>
        <v>4.8558881490036399E-2</v>
      </c>
      <c r="I364" s="4">
        <f>IF(G364="Yes",-$C$8,0)</f>
        <v>-500</v>
      </c>
      <c r="J364" s="4">
        <f>IF(G364="Yes",$C$8-I364,0)</f>
        <v>1000</v>
      </c>
      <c r="K364" s="4">
        <f ca="1">IF(H364&gt;=$C$4,J364+I364,I364)</f>
        <v>-500</v>
      </c>
      <c r="M364" s="61">
        <f t="shared" si="52"/>
        <v>288.8</v>
      </c>
      <c r="N364" s="61">
        <f t="shared" si="53"/>
        <v>72.199999999999989</v>
      </c>
      <c r="O364" s="4">
        <f t="shared" si="48"/>
        <v>144400</v>
      </c>
      <c r="P364" s="4">
        <f t="shared" si="49"/>
        <v>-36099.999999999993</v>
      </c>
      <c r="Q364" s="4">
        <f t="shared" si="50"/>
        <v>108300</v>
      </c>
      <c r="R364" s="4">
        <f t="shared" si="51"/>
        <v>208300</v>
      </c>
    </row>
    <row r="365" spans="5:18" x14ac:dyDescent="0.25">
      <c r="E365" s="1">
        <f t="shared" si="46"/>
        <v>362</v>
      </c>
      <c r="F365" s="4">
        <f t="shared" ca="1" si="47"/>
        <v>206000</v>
      </c>
      <c r="G365" s="1" t="s">
        <v>70</v>
      </c>
      <c r="H365" s="26">
        <f t="shared" ca="1" si="45"/>
        <v>0.95358180056167918</v>
      </c>
      <c r="I365" s="4">
        <f>IF(G365="Yes",-$C$8,0)</f>
        <v>-500</v>
      </c>
      <c r="J365" s="4">
        <f>IF(G365="Yes",$C$8-I365,0)</f>
        <v>1000</v>
      </c>
      <c r="K365" s="4">
        <f ca="1">IF(H365&gt;=$C$4,J365+I365,I365)</f>
        <v>500</v>
      </c>
      <c r="M365" s="61">
        <f t="shared" si="52"/>
        <v>289.60000000000002</v>
      </c>
      <c r="N365" s="61">
        <f t="shared" si="53"/>
        <v>72.399999999999977</v>
      </c>
      <c r="O365" s="4">
        <f t="shared" si="48"/>
        <v>144800</v>
      </c>
      <c r="P365" s="4">
        <f t="shared" si="49"/>
        <v>-36199.999999999985</v>
      </c>
      <c r="Q365" s="4">
        <f t="shared" si="50"/>
        <v>108600.00000000001</v>
      </c>
      <c r="R365" s="4">
        <f t="shared" si="51"/>
        <v>208600</v>
      </c>
    </row>
    <row r="366" spans="5:18" x14ac:dyDescent="0.25">
      <c r="E366" s="1">
        <f t="shared" si="46"/>
        <v>363</v>
      </c>
      <c r="F366" s="4">
        <f t="shared" ca="1" si="47"/>
        <v>206500</v>
      </c>
      <c r="G366" s="1" t="s">
        <v>70</v>
      </c>
      <c r="H366" s="26">
        <f t="shared" ca="1" si="45"/>
        <v>0.38459099328984692</v>
      </c>
      <c r="I366" s="4">
        <f>IF(G366="Yes",-$C$8,0)</f>
        <v>-500</v>
      </c>
      <c r="J366" s="4">
        <f>IF(G366="Yes",$C$8-I366,0)</f>
        <v>1000</v>
      </c>
      <c r="K366" s="4">
        <f ca="1">IF(H366&gt;=$C$4,J366+I366,I366)</f>
        <v>500</v>
      </c>
      <c r="M366" s="61">
        <f t="shared" si="52"/>
        <v>290.40000000000003</v>
      </c>
      <c r="N366" s="61">
        <f t="shared" si="53"/>
        <v>72.599999999999966</v>
      </c>
      <c r="O366" s="4">
        <f t="shared" si="48"/>
        <v>145200.00000000003</v>
      </c>
      <c r="P366" s="4">
        <f t="shared" si="49"/>
        <v>-36299.999999999985</v>
      </c>
      <c r="Q366" s="4">
        <f t="shared" si="50"/>
        <v>108900.00000000004</v>
      </c>
      <c r="R366" s="4">
        <f t="shared" si="51"/>
        <v>208900.00000000006</v>
      </c>
    </row>
    <row r="367" spans="5:18" x14ac:dyDescent="0.25">
      <c r="E367" s="1">
        <f t="shared" si="46"/>
        <v>364</v>
      </c>
      <c r="F367" s="4">
        <f t="shared" ca="1" si="47"/>
        <v>207000</v>
      </c>
      <c r="G367" s="1" t="s">
        <v>70</v>
      </c>
      <c r="H367" s="26">
        <f t="shared" ca="1" si="45"/>
        <v>0.80919375187782283</v>
      </c>
      <c r="I367" s="4">
        <f>IF(G367="Yes",-$C$8,0)</f>
        <v>-500</v>
      </c>
      <c r="J367" s="4">
        <f>IF(G367="Yes",$C$8-I367,0)</f>
        <v>1000</v>
      </c>
      <c r="K367" s="4">
        <f ca="1">IF(H367&gt;=$C$4,J367+I367,I367)</f>
        <v>500</v>
      </c>
      <c r="M367" s="61">
        <f t="shared" si="52"/>
        <v>291.2</v>
      </c>
      <c r="N367" s="61">
        <f t="shared" si="53"/>
        <v>72.800000000000011</v>
      </c>
      <c r="O367" s="4">
        <f t="shared" si="48"/>
        <v>145600</v>
      </c>
      <c r="P367" s="4">
        <f t="shared" si="49"/>
        <v>-36400.000000000007</v>
      </c>
      <c r="Q367" s="4">
        <f t="shared" si="50"/>
        <v>109200</v>
      </c>
      <c r="R367" s="4">
        <f t="shared" si="51"/>
        <v>209200</v>
      </c>
    </row>
    <row r="368" spans="5:18" x14ac:dyDescent="0.25">
      <c r="E368" s="1">
        <f t="shared" si="46"/>
        <v>365</v>
      </c>
      <c r="F368" s="4">
        <f t="shared" ca="1" si="47"/>
        <v>206500</v>
      </c>
      <c r="G368" s="1" t="s">
        <v>70</v>
      </c>
      <c r="H368" s="26">
        <f t="shared" ca="1" si="45"/>
        <v>0.16055180139252134</v>
      </c>
      <c r="I368" s="4">
        <f>IF(G368="Yes",-$C$8,0)</f>
        <v>-500</v>
      </c>
      <c r="J368" s="4">
        <f>IF(G368="Yes",$C$8-I368,0)</f>
        <v>1000</v>
      </c>
      <c r="K368" s="4">
        <f ca="1">IF(H368&gt;=$C$4,J368+I368,I368)</f>
        <v>-500</v>
      </c>
      <c r="M368" s="61">
        <f t="shared" si="52"/>
        <v>292</v>
      </c>
      <c r="N368" s="61">
        <f t="shared" si="53"/>
        <v>73</v>
      </c>
      <c r="O368" s="4">
        <f t="shared" si="48"/>
        <v>146000</v>
      </c>
      <c r="P368" s="4">
        <f t="shared" si="49"/>
        <v>-36500</v>
      </c>
      <c r="Q368" s="4">
        <f t="shared" si="50"/>
        <v>109500</v>
      </c>
      <c r="R368" s="4">
        <f t="shared" si="51"/>
        <v>209500</v>
      </c>
    </row>
    <row r="369" spans="5:18" x14ac:dyDescent="0.25">
      <c r="E369" s="1">
        <f t="shared" si="46"/>
        <v>366</v>
      </c>
      <c r="F369" s="4">
        <f t="shared" ca="1" si="47"/>
        <v>206000</v>
      </c>
      <c r="G369" s="1" t="s">
        <v>70</v>
      </c>
      <c r="H369" s="26">
        <f t="shared" ca="1" si="45"/>
        <v>0.12671210436332148</v>
      </c>
      <c r="I369" s="4">
        <f>IF(G369="Yes",-$C$8,0)</f>
        <v>-500</v>
      </c>
      <c r="J369" s="4">
        <f>IF(G369="Yes",$C$8-I369,0)</f>
        <v>1000</v>
      </c>
      <c r="K369" s="4">
        <f ca="1">IF(H369&gt;=$C$4,J369+I369,I369)</f>
        <v>-500</v>
      </c>
      <c r="M369" s="61">
        <f t="shared" si="52"/>
        <v>292.8</v>
      </c>
      <c r="N369" s="61">
        <f t="shared" si="53"/>
        <v>73.199999999999989</v>
      </c>
      <c r="O369" s="4">
        <f t="shared" si="48"/>
        <v>146400</v>
      </c>
      <c r="P369" s="4">
        <f t="shared" si="49"/>
        <v>-36599.999999999993</v>
      </c>
      <c r="Q369" s="4">
        <f t="shared" si="50"/>
        <v>109800</v>
      </c>
      <c r="R369" s="4">
        <f t="shared" si="51"/>
        <v>209800</v>
      </c>
    </row>
    <row r="370" spans="5:18" x14ac:dyDescent="0.25">
      <c r="E370" s="1">
        <f t="shared" si="46"/>
        <v>367</v>
      </c>
      <c r="F370" s="4">
        <f t="shared" ca="1" si="47"/>
        <v>205500</v>
      </c>
      <c r="G370" s="1" t="s">
        <v>70</v>
      </c>
      <c r="H370" s="26">
        <f t="shared" ca="1" si="45"/>
        <v>0.10005807197163796</v>
      </c>
      <c r="I370" s="4">
        <f>IF(G370="Yes",-$C$8,0)</f>
        <v>-500</v>
      </c>
      <c r="J370" s="4">
        <f>IF(G370="Yes",$C$8-I370,0)</f>
        <v>1000</v>
      </c>
      <c r="K370" s="4">
        <f ca="1">IF(H370&gt;=$C$4,J370+I370,I370)</f>
        <v>-500</v>
      </c>
      <c r="M370" s="61">
        <f t="shared" si="52"/>
        <v>293.60000000000002</v>
      </c>
      <c r="N370" s="61">
        <f t="shared" si="53"/>
        <v>73.399999999999977</v>
      </c>
      <c r="O370" s="4">
        <f t="shared" si="48"/>
        <v>146800</v>
      </c>
      <c r="P370" s="4">
        <f t="shared" si="49"/>
        <v>-36699.999999999985</v>
      </c>
      <c r="Q370" s="4">
        <f t="shared" si="50"/>
        <v>110100.00000000001</v>
      </c>
      <c r="R370" s="4">
        <f t="shared" si="51"/>
        <v>210100</v>
      </c>
    </row>
    <row r="371" spans="5:18" x14ac:dyDescent="0.25">
      <c r="E371" s="1">
        <f t="shared" si="46"/>
        <v>368</v>
      </c>
      <c r="F371" s="4">
        <f t="shared" ca="1" si="47"/>
        <v>206000</v>
      </c>
      <c r="G371" s="1" t="s">
        <v>70</v>
      </c>
      <c r="H371" s="26">
        <f t="shared" ca="1" si="45"/>
        <v>0.68925542310770127</v>
      </c>
      <c r="I371" s="4">
        <f>IF(G371="Yes",-$C$8,0)</f>
        <v>-500</v>
      </c>
      <c r="J371" s="4">
        <f>IF(G371="Yes",$C$8-I371,0)</f>
        <v>1000</v>
      </c>
      <c r="K371" s="4">
        <f ca="1">IF(H371&gt;=$C$4,J371+I371,I371)</f>
        <v>500</v>
      </c>
      <c r="M371" s="61">
        <f t="shared" si="52"/>
        <v>294.40000000000003</v>
      </c>
      <c r="N371" s="61">
        <f t="shared" si="53"/>
        <v>73.599999999999966</v>
      </c>
      <c r="O371" s="4">
        <f t="shared" si="48"/>
        <v>147200.00000000003</v>
      </c>
      <c r="P371" s="4">
        <f t="shared" si="49"/>
        <v>-36799.999999999985</v>
      </c>
      <c r="Q371" s="4">
        <f t="shared" si="50"/>
        <v>110400.00000000004</v>
      </c>
      <c r="R371" s="4">
        <f t="shared" si="51"/>
        <v>210400.00000000006</v>
      </c>
    </row>
    <row r="372" spans="5:18" x14ac:dyDescent="0.25">
      <c r="E372" s="1">
        <f t="shared" si="46"/>
        <v>369</v>
      </c>
      <c r="F372" s="4">
        <f t="shared" ca="1" si="47"/>
        <v>206500</v>
      </c>
      <c r="G372" s="1" t="s">
        <v>70</v>
      </c>
      <c r="H372" s="26">
        <f t="shared" ca="1" si="45"/>
        <v>0.47856120886768228</v>
      </c>
      <c r="I372" s="4">
        <f>IF(G372="Yes",-$C$8,0)</f>
        <v>-500</v>
      </c>
      <c r="J372" s="4">
        <f>IF(G372="Yes",$C$8-I372,0)</f>
        <v>1000</v>
      </c>
      <c r="K372" s="4">
        <f ca="1">IF(H372&gt;=$C$4,J372+I372,I372)</f>
        <v>500</v>
      </c>
      <c r="M372" s="61">
        <f t="shared" si="52"/>
        <v>295.2</v>
      </c>
      <c r="N372" s="61">
        <f t="shared" si="53"/>
        <v>73.800000000000011</v>
      </c>
      <c r="O372" s="4">
        <f t="shared" si="48"/>
        <v>147600</v>
      </c>
      <c r="P372" s="4">
        <f t="shared" si="49"/>
        <v>-36900.000000000007</v>
      </c>
      <c r="Q372" s="4">
        <f t="shared" si="50"/>
        <v>110700</v>
      </c>
      <c r="R372" s="4">
        <f t="shared" si="51"/>
        <v>210700</v>
      </c>
    </row>
    <row r="373" spans="5:18" x14ac:dyDescent="0.25">
      <c r="E373" s="1">
        <f t="shared" si="46"/>
        <v>370</v>
      </c>
      <c r="F373" s="4">
        <f t="shared" ca="1" si="47"/>
        <v>206000</v>
      </c>
      <c r="G373" s="1" t="s">
        <v>70</v>
      </c>
      <c r="H373" s="26">
        <f t="shared" ca="1" si="45"/>
        <v>0.14921414844047187</v>
      </c>
      <c r="I373" s="4">
        <f>IF(G373="Yes",-$C$8,0)</f>
        <v>-500</v>
      </c>
      <c r="J373" s="4">
        <f>IF(G373="Yes",$C$8-I373,0)</f>
        <v>1000</v>
      </c>
      <c r="K373" s="4">
        <f ca="1">IF(H373&gt;=$C$4,J373+I373,I373)</f>
        <v>-500</v>
      </c>
      <c r="M373" s="61">
        <f t="shared" si="52"/>
        <v>296</v>
      </c>
      <c r="N373" s="61">
        <f t="shared" si="53"/>
        <v>74</v>
      </c>
      <c r="O373" s="4">
        <f t="shared" si="48"/>
        <v>148000</v>
      </c>
      <c r="P373" s="4">
        <f t="shared" si="49"/>
        <v>-37000</v>
      </c>
      <c r="Q373" s="4">
        <f t="shared" si="50"/>
        <v>111000</v>
      </c>
      <c r="R373" s="4">
        <f t="shared" si="51"/>
        <v>211000</v>
      </c>
    </row>
    <row r="374" spans="5:18" x14ac:dyDescent="0.25">
      <c r="E374" s="1">
        <f t="shared" si="46"/>
        <v>371</v>
      </c>
      <c r="F374" s="4">
        <f t="shared" ca="1" si="47"/>
        <v>206500</v>
      </c>
      <c r="G374" s="1" t="s">
        <v>70</v>
      </c>
      <c r="H374" s="26">
        <f t="shared" ca="1" si="45"/>
        <v>0.33229842531915221</v>
      </c>
      <c r="I374" s="4">
        <f>IF(G374="Yes",-$C$8,0)</f>
        <v>-500</v>
      </c>
      <c r="J374" s="4">
        <f>IF(G374="Yes",$C$8-I374,0)</f>
        <v>1000</v>
      </c>
      <c r="K374" s="4">
        <f ca="1">IF(H374&gt;=$C$4,J374+I374,I374)</f>
        <v>500</v>
      </c>
      <c r="M374" s="61">
        <f t="shared" si="52"/>
        <v>296.8</v>
      </c>
      <c r="N374" s="61">
        <f t="shared" si="53"/>
        <v>74.199999999999989</v>
      </c>
      <c r="O374" s="4">
        <f t="shared" si="48"/>
        <v>148400</v>
      </c>
      <c r="P374" s="4">
        <f t="shared" si="49"/>
        <v>-37099.999999999993</v>
      </c>
      <c r="Q374" s="4">
        <f t="shared" si="50"/>
        <v>111300</v>
      </c>
      <c r="R374" s="4">
        <f t="shared" si="51"/>
        <v>211300</v>
      </c>
    </row>
    <row r="375" spans="5:18" x14ac:dyDescent="0.25">
      <c r="E375" s="1">
        <f t="shared" si="46"/>
        <v>372</v>
      </c>
      <c r="F375" s="4">
        <f t="shared" ca="1" si="47"/>
        <v>207000</v>
      </c>
      <c r="G375" s="1" t="s">
        <v>70</v>
      </c>
      <c r="H375" s="26">
        <f t="shared" ca="1" si="45"/>
        <v>0.54199133909378949</v>
      </c>
      <c r="I375" s="4">
        <f>IF(G375="Yes",-$C$8,0)</f>
        <v>-500</v>
      </c>
      <c r="J375" s="4">
        <f>IF(G375="Yes",$C$8-I375,0)</f>
        <v>1000</v>
      </c>
      <c r="K375" s="4">
        <f ca="1">IF(H375&gt;=$C$4,J375+I375,I375)</f>
        <v>500</v>
      </c>
      <c r="M375" s="61">
        <f t="shared" si="52"/>
        <v>297.60000000000002</v>
      </c>
      <c r="N375" s="61">
        <f t="shared" si="53"/>
        <v>74.399999999999977</v>
      </c>
      <c r="O375" s="4">
        <f t="shared" si="48"/>
        <v>148800</v>
      </c>
      <c r="P375" s="4">
        <f t="shared" si="49"/>
        <v>-37199.999999999985</v>
      </c>
      <c r="Q375" s="4">
        <f t="shared" si="50"/>
        <v>111600.00000000001</v>
      </c>
      <c r="R375" s="4">
        <f t="shared" si="51"/>
        <v>211600</v>
      </c>
    </row>
    <row r="376" spans="5:18" x14ac:dyDescent="0.25">
      <c r="E376" s="1">
        <f t="shared" si="46"/>
        <v>373</v>
      </c>
      <c r="F376" s="4">
        <f t="shared" ca="1" si="47"/>
        <v>206500</v>
      </c>
      <c r="G376" s="1" t="s">
        <v>70</v>
      </c>
      <c r="H376" s="26">
        <f t="shared" ca="1" si="45"/>
        <v>5.7666058909894624E-2</v>
      </c>
      <c r="I376" s="4">
        <f>IF(G376="Yes",-$C$8,0)</f>
        <v>-500</v>
      </c>
      <c r="J376" s="4">
        <f>IF(G376="Yes",$C$8-I376,0)</f>
        <v>1000</v>
      </c>
      <c r="K376" s="4">
        <f ca="1">IF(H376&gt;=$C$4,J376+I376,I376)</f>
        <v>-500</v>
      </c>
      <c r="M376" s="61">
        <f t="shared" si="52"/>
        <v>298.40000000000003</v>
      </c>
      <c r="N376" s="61">
        <f t="shared" si="53"/>
        <v>74.599999999999966</v>
      </c>
      <c r="O376" s="4">
        <f t="shared" si="48"/>
        <v>149200.00000000003</v>
      </c>
      <c r="P376" s="4">
        <f t="shared" si="49"/>
        <v>-37299.999999999985</v>
      </c>
      <c r="Q376" s="4">
        <f t="shared" si="50"/>
        <v>111900.00000000004</v>
      </c>
      <c r="R376" s="4">
        <f t="shared" si="51"/>
        <v>211900.00000000006</v>
      </c>
    </row>
    <row r="377" spans="5:18" x14ac:dyDescent="0.25">
      <c r="E377" s="1">
        <f t="shared" si="46"/>
        <v>374</v>
      </c>
      <c r="F377" s="4">
        <f t="shared" ca="1" si="47"/>
        <v>207000</v>
      </c>
      <c r="G377" s="1" t="s">
        <v>70</v>
      </c>
      <c r="H377" s="26">
        <f t="shared" ca="1" si="45"/>
        <v>0.80947893264676141</v>
      </c>
      <c r="I377" s="4">
        <f>IF(G377="Yes",-$C$8,0)</f>
        <v>-500</v>
      </c>
      <c r="J377" s="4">
        <f>IF(G377="Yes",$C$8-I377,0)</f>
        <v>1000</v>
      </c>
      <c r="K377" s="4">
        <f ca="1">IF(H377&gt;=$C$4,J377+I377,I377)</f>
        <v>500</v>
      </c>
      <c r="M377" s="61">
        <f t="shared" si="52"/>
        <v>299.2</v>
      </c>
      <c r="N377" s="61">
        <f t="shared" si="53"/>
        <v>74.800000000000011</v>
      </c>
      <c r="O377" s="4">
        <f t="shared" si="48"/>
        <v>149600</v>
      </c>
      <c r="P377" s="4">
        <f t="shared" si="49"/>
        <v>-37400.000000000007</v>
      </c>
      <c r="Q377" s="4">
        <f t="shared" si="50"/>
        <v>112200</v>
      </c>
      <c r="R377" s="4">
        <f t="shared" si="51"/>
        <v>212200</v>
      </c>
    </row>
    <row r="378" spans="5:18" x14ac:dyDescent="0.25">
      <c r="E378" s="1">
        <f t="shared" si="46"/>
        <v>375</v>
      </c>
      <c r="F378" s="4">
        <f t="shared" ca="1" si="47"/>
        <v>207500</v>
      </c>
      <c r="G378" s="1" t="s">
        <v>70</v>
      </c>
      <c r="H378" s="26">
        <f t="shared" ca="1" si="45"/>
        <v>0.61137992634994576</v>
      </c>
      <c r="I378" s="4">
        <f>IF(G378="Yes",-$C$8,0)</f>
        <v>-500</v>
      </c>
      <c r="J378" s="4">
        <f>IF(G378="Yes",$C$8-I378,0)</f>
        <v>1000</v>
      </c>
      <c r="K378" s="4">
        <f ca="1">IF(H378&gt;=$C$4,J378+I378,I378)</f>
        <v>500</v>
      </c>
      <c r="M378" s="61">
        <f t="shared" si="52"/>
        <v>300</v>
      </c>
      <c r="N378" s="61">
        <f t="shared" si="53"/>
        <v>75</v>
      </c>
      <c r="O378" s="4">
        <f t="shared" si="48"/>
        <v>150000</v>
      </c>
      <c r="P378" s="4">
        <f t="shared" si="49"/>
        <v>-37500</v>
      </c>
      <c r="Q378" s="4">
        <f t="shared" si="50"/>
        <v>112500</v>
      </c>
      <c r="R378" s="4">
        <f t="shared" si="51"/>
        <v>212500</v>
      </c>
    </row>
    <row r="379" spans="5:18" x14ac:dyDescent="0.25">
      <c r="E379" s="1">
        <f t="shared" si="46"/>
        <v>376</v>
      </c>
      <c r="F379" s="4">
        <f t="shared" ca="1" si="47"/>
        <v>208000</v>
      </c>
      <c r="G379" s="1" t="s">
        <v>70</v>
      </c>
      <c r="H379" s="26">
        <f t="shared" ca="1" si="45"/>
        <v>0.25036498416626263</v>
      </c>
      <c r="I379" s="4">
        <f>IF(G379="Yes",-$C$8,0)</f>
        <v>-500</v>
      </c>
      <c r="J379" s="4">
        <f>IF(G379="Yes",$C$8-I379,0)</f>
        <v>1000</v>
      </c>
      <c r="K379" s="4">
        <f ca="1">IF(H379&gt;=$C$4,J379+I379,I379)</f>
        <v>500</v>
      </c>
      <c r="M379" s="61">
        <f t="shared" si="52"/>
        <v>300.8</v>
      </c>
      <c r="N379" s="61">
        <f t="shared" si="53"/>
        <v>75.199999999999989</v>
      </c>
      <c r="O379" s="4">
        <f t="shared" si="48"/>
        <v>150400</v>
      </c>
      <c r="P379" s="4">
        <f t="shared" si="49"/>
        <v>-37599.999999999993</v>
      </c>
      <c r="Q379" s="4">
        <f t="shared" si="50"/>
        <v>112800</v>
      </c>
      <c r="R379" s="4">
        <f t="shared" si="51"/>
        <v>212800</v>
      </c>
    </row>
    <row r="380" spans="5:18" x14ac:dyDescent="0.25">
      <c r="E380" s="1">
        <f t="shared" si="46"/>
        <v>377</v>
      </c>
      <c r="F380" s="4">
        <f t="shared" ca="1" si="47"/>
        <v>208500</v>
      </c>
      <c r="G380" s="1" t="s">
        <v>70</v>
      </c>
      <c r="H380" s="26">
        <f t="shared" ca="1" si="45"/>
        <v>0.55989211321566124</v>
      </c>
      <c r="I380" s="4">
        <f>IF(G380="Yes",-$C$8,0)</f>
        <v>-500</v>
      </c>
      <c r="J380" s="4">
        <f>IF(G380="Yes",$C$8-I380,0)</f>
        <v>1000</v>
      </c>
      <c r="K380" s="4">
        <f ca="1">IF(H380&gt;=$C$4,J380+I380,I380)</f>
        <v>500</v>
      </c>
      <c r="M380" s="61">
        <f t="shared" si="52"/>
        <v>301.60000000000002</v>
      </c>
      <c r="N380" s="61">
        <f t="shared" si="53"/>
        <v>75.399999999999977</v>
      </c>
      <c r="O380" s="4">
        <f t="shared" si="48"/>
        <v>150800</v>
      </c>
      <c r="P380" s="4">
        <f t="shared" si="49"/>
        <v>-37699.999999999985</v>
      </c>
      <c r="Q380" s="4">
        <f t="shared" si="50"/>
        <v>113100.00000000001</v>
      </c>
      <c r="R380" s="4">
        <f t="shared" si="51"/>
        <v>213100</v>
      </c>
    </row>
    <row r="381" spans="5:18" x14ac:dyDescent="0.25">
      <c r="E381" s="1">
        <f t="shared" si="46"/>
        <v>378</v>
      </c>
      <c r="F381" s="4">
        <f t="shared" ca="1" si="47"/>
        <v>209000</v>
      </c>
      <c r="G381" s="1" t="s">
        <v>70</v>
      </c>
      <c r="H381" s="26">
        <f t="shared" ca="1" si="45"/>
        <v>0.86245507997956383</v>
      </c>
      <c r="I381" s="4">
        <f>IF(G381="Yes",-$C$8,0)</f>
        <v>-500</v>
      </c>
      <c r="J381" s="4">
        <f>IF(G381="Yes",$C$8-I381,0)</f>
        <v>1000</v>
      </c>
      <c r="K381" s="4">
        <f ca="1">IF(H381&gt;=$C$4,J381+I381,I381)</f>
        <v>500</v>
      </c>
      <c r="M381" s="61">
        <f t="shared" si="52"/>
        <v>302.40000000000003</v>
      </c>
      <c r="N381" s="61">
        <f t="shared" si="53"/>
        <v>75.599999999999966</v>
      </c>
      <c r="O381" s="4">
        <f t="shared" si="48"/>
        <v>151200.00000000003</v>
      </c>
      <c r="P381" s="4">
        <f t="shared" si="49"/>
        <v>-37799.999999999985</v>
      </c>
      <c r="Q381" s="4">
        <f t="shared" si="50"/>
        <v>113400.00000000004</v>
      </c>
      <c r="R381" s="4">
        <f t="shared" si="51"/>
        <v>213400.00000000006</v>
      </c>
    </row>
    <row r="382" spans="5:18" x14ac:dyDescent="0.25">
      <c r="E382" s="1">
        <f t="shared" si="46"/>
        <v>379</v>
      </c>
      <c r="F382" s="4">
        <f t="shared" ca="1" si="47"/>
        <v>209500</v>
      </c>
      <c r="G382" s="1" t="s">
        <v>70</v>
      </c>
      <c r="H382" s="26">
        <f t="shared" ca="1" si="45"/>
        <v>0.39101685532812802</v>
      </c>
      <c r="I382" s="4">
        <f>IF(G382="Yes",-$C$8,0)</f>
        <v>-500</v>
      </c>
      <c r="J382" s="4">
        <f>IF(G382="Yes",$C$8-I382,0)</f>
        <v>1000</v>
      </c>
      <c r="K382" s="4">
        <f ca="1">IF(H382&gt;=$C$4,J382+I382,I382)</f>
        <v>500</v>
      </c>
      <c r="M382" s="61">
        <f t="shared" si="52"/>
        <v>303.2</v>
      </c>
      <c r="N382" s="61">
        <f t="shared" si="53"/>
        <v>75.800000000000011</v>
      </c>
      <c r="O382" s="4">
        <f t="shared" si="48"/>
        <v>151600</v>
      </c>
      <c r="P382" s="4">
        <f t="shared" si="49"/>
        <v>-37900.000000000007</v>
      </c>
      <c r="Q382" s="4">
        <f t="shared" si="50"/>
        <v>113700</v>
      </c>
      <c r="R382" s="4">
        <f t="shared" si="51"/>
        <v>213700</v>
      </c>
    </row>
    <row r="383" spans="5:18" x14ac:dyDescent="0.25">
      <c r="E383" s="1">
        <f t="shared" si="46"/>
        <v>380</v>
      </c>
      <c r="F383" s="4">
        <f t="shared" ca="1" si="47"/>
        <v>209000</v>
      </c>
      <c r="G383" s="1" t="s">
        <v>70</v>
      </c>
      <c r="H383" s="26">
        <f t="shared" ca="1" si="45"/>
        <v>0.13922658389396447</v>
      </c>
      <c r="I383" s="4">
        <f>IF(G383="Yes",-$C$8,0)</f>
        <v>-500</v>
      </c>
      <c r="J383" s="4">
        <f>IF(G383="Yes",$C$8-I383,0)</f>
        <v>1000</v>
      </c>
      <c r="K383" s="4">
        <f ca="1">IF(H383&gt;=$C$4,J383+I383,I383)</f>
        <v>-500</v>
      </c>
      <c r="M383" s="61">
        <f t="shared" si="52"/>
        <v>304</v>
      </c>
      <c r="N383" s="61">
        <f t="shared" si="53"/>
        <v>76</v>
      </c>
      <c r="O383" s="4">
        <f t="shared" si="48"/>
        <v>152000</v>
      </c>
      <c r="P383" s="4">
        <f t="shared" si="49"/>
        <v>-38000</v>
      </c>
      <c r="Q383" s="4">
        <f t="shared" si="50"/>
        <v>114000</v>
      </c>
      <c r="R383" s="4">
        <f t="shared" si="51"/>
        <v>214000</v>
      </c>
    </row>
    <row r="384" spans="5:18" x14ac:dyDescent="0.25">
      <c r="E384" s="1">
        <f t="shared" si="46"/>
        <v>381</v>
      </c>
      <c r="F384" s="4">
        <f t="shared" ca="1" si="47"/>
        <v>209500</v>
      </c>
      <c r="G384" s="1" t="s">
        <v>70</v>
      </c>
      <c r="H384" s="26">
        <f t="shared" ca="1" si="45"/>
        <v>0.21363473011987866</v>
      </c>
      <c r="I384" s="4">
        <f>IF(G384="Yes",-$C$8,0)</f>
        <v>-500</v>
      </c>
      <c r="J384" s="4">
        <f>IF(G384="Yes",$C$8-I384,0)</f>
        <v>1000</v>
      </c>
      <c r="K384" s="4">
        <f ca="1">IF(H384&gt;=$C$4,J384+I384,I384)</f>
        <v>500</v>
      </c>
      <c r="M384" s="61">
        <f t="shared" si="52"/>
        <v>304.8</v>
      </c>
      <c r="N384" s="61">
        <f t="shared" si="53"/>
        <v>76.199999999999989</v>
      </c>
      <c r="O384" s="4">
        <f t="shared" si="48"/>
        <v>152400</v>
      </c>
      <c r="P384" s="4">
        <f t="shared" si="49"/>
        <v>-38099.999999999993</v>
      </c>
      <c r="Q384" s="4">
        <f t="shared" si="50"/>
        <v>114300</v>
      </c>
      <c r="R384" s="4">
        <f t="shared" si="51"/>
        <v>214300</v>
      </c>
    </row>
    <row r="385" spans="5:18" x14ac:dyDescent="0.25">
      <c r="E385" s="1">
        <f t="shared" si="46"/>
        <v>382</v>
      </c>
      <c r="F385" s="4">
        <f t="shared" ca="1" si="47"/>
        <v>209000</v>
      </c>
      <c r="G385" s="1" t="s">
        <v>70</v>
      </c>
      <c r="H385" s="26">
        <f t="shared" ca="1" si="45"/>
        <v>0.16433417086869517</v>
      </c>
      <c r="I385" s="4">
        <f>IF(G385="Yes",-$C$8,0)</f>
        <v>-500</v>
      </c>
      <c r="J385" s="4">
        <f>IF(G385="Yes",$C$8-I385,0)</f>
        <v>1000</v>
      </c>
      <c r="K385" s="4">
        <f ca="1">IF(H385&gt;=$C$4,J385+I385,I385)</f>
        <v>-500</v>
      </c>
      <c r="M385" s="61">
        <f t="shared" si="52"/>
        <v>305.60000000000002</v>
      </c>
      <c r="N385" s="61">
        <f t="shared" si="53"/>
        <v>76.399999999999977</v>
      </c>
      <c r="O385" s="4">
        <f t="shared" si="48"/>
        <v>152800</v>
      </c>
      <c r="P385" s="4">
        <f t="shared" si="49"/>
        <v>-38199.999999999985</v>
      </c>
      <c r="Q385" s="4">
        <f t="shared" si="50"/>
        <v>114600.00000000001</v>
      </c>
      <c r="R385" s="4">
        <f t="shared" si="51"/>
        <v>214600</v>
      </c>
    </row>
    <row r="386" spans="5:18" x14ac:dyDescent="0.25">
      <c r="E386" s="1">
        <f t="shared" si="46"/>
        <v>383</v>
      </c>
      <c r="F386" s="4">
        <f t="shared" ca="1" si="47"/>
        <v>209500</v>
      </c>
      <c r="G386" s="1" t="s">
        <v>70</v>
      </c>
      <c r="H386" s="26">
        <f t="shared" ca="1" si="45"/>
        <v>0.39851099220576192</v>
      </c>
      <c r="I386" s="4">
        <f>IF(G386="Yes",-$C$8,0)</f>
        <v>-500</v>
      </c>
      <c r="J386" s="4">
        <f>IF(G386="Yes",$C$8-I386,0)</f>
        <v>1000</v>
      </c>
      <c r="K386" s="4">
        <f ca="1">IF(H386&gt;=$C$4,J386+I386,I386)</f>
        <v>500</v>
      </c>
      <c r="M386" s="61">
        <f t="shared" si="52"/>
        <v>306.40000000000003</v>
      </c>
      <c r="N386" s="61">
        <f t="shared" si="53"/>
        <v>76.599999999999966</v>
      </c>
      <c r="O386" s="4">
        <f t="shared" si="48"/>
        <v>153200.00000000003</v>
      </c>
      <c r="P386" s="4">
        <f t="shared" si="49"/>
        <v>-38299.999999999985</v>
      </c>
      <c r="Q386" s="4">
        <f t="shared" si="50"/>
        <v>114900.00000000004</v>
      </c>
      <c r="R386" s="4">
        <f t="shared" si="51"/>
        <v>214900.00000000006</v>
      </c>
    </row>
    <row r="387" spans="5:18" x14ac:dyDescent="0.25">
      <c r="E387" s="1">
        <f t="shared" si="46"/>
        <v>384</v>
      </c>
      <c r="F387" s="4">
        <f t="shared" ca="1" si="47"/>
        <v>210000</v>
      </c>
      <c r="G387" s="1" t="s">
        <v>70</v>
      </c>
      <c r="H387" s="26">
        <f t="shared" ca="1" si="45"/>
        <v>0.52503661075637964</v>
      </c>
      <c r="I387" s="4">
        <f>IF(G387="Yes",-$C$8,0)</f>
        <v>-500</v>
      </c>
      <c r="J387" s="4">
        <f>IF(G387="Yes",$C$8-I387,0)</f>
        <v>1000</v>
      </c>
      <c r="K387" s="4">
        <f ca="1">IF(H387&gt;=$C$4,J387+I387,I387)</f>
        <v>500</v>
      </c>
      <c r="M387" s="61">
        <f t="shared" si="52"/>
        <v>307.20000000000005</v>
      </c>
      <c r="N387" s="61">
        <f t="shared" si="53"/>
        <v>76.799999999999955</v>
      </c>
      <c r="O387" s="4">
        <f t="shared" si="48"/>
        <v>153600.00000000003</v>
      </c>
      <c r="P387" s="4">
        <f t="shared" si="49"/>
        <v>-38399.999999999978</v>
      </c>
      <c r="Q387" s="4">
        <f t="shared" si="50"/>
        <v>115200.00000000006</v>
      </c>
      <c r="R387" s="4">
        <f t="shared" si="51"/>
        <v>215200.00000000006</v>
      </c>
    </row>
    <row r="388" spans="5:18" x14ac:dyDescent="0.25">
      <c r="E388" s="1">
        <f t="shared" si="46"/>
        <v>385</v>
      </c>
      <c r="F388" s="4">
        <f t="shared" ca="1" si="47"/>
        <v>210500</v>
      </c>
      <c r="G388" s="1" t="s">
        <v>70</v>
      </c>
      <c r="H388" s="26">
        <f t="shared" ref="H388:H451" ca="1" si="54">RAND()</f>
        <v>0.44598049809031093</v>
      </c>
      <c r="I388" s="4">
        <f>IF(G388="Yes",-$C$8,0)</f>
        <v>-500</v>
      </c>
      <c r="J388" s="4">
        <f>IF(G388="Yes",$C$8-I388,0)</f>
        <v>1000</v>
      </c>
      <c r="K388" s="4">
        <f ca="1">IF(H388&gt;=$C$4,J388+I388,I388)</f>
        <v>500</v>
      </c>
      <c r="M388" s="61">
        <f t="shared" si="52"/>
        <v>308</v>
      </c>
      <c r="N388" s="61">
        <f t="shared" si="53"/>
        <v>77</v>
      </c>
      <c r="O388" s="4">
        <f t="shared" si="48"/>
        <v>154000</v>
      </c>
      <c r="P388" s="4">
        <f t="shared" si="49"/>
        <v>-38500</v>
      </c>
      <c r="Q388" s="4">
        <f t="shared" si="50"/>
        <v>115500</v>
      </c>
      <c r="R388" s="4">
        <f t="shared" si="51"/>
        <v>215500</v>
      </c>
    </row>
    <row r="389" spans="5:18" x14ac:dyDescent="0.25">
      <c r="E389" s="1">
        <f t="shared" ref="E389:E452" si="55">E388+1</f>
        <v>386</v>
      </c>
      <c r="F389" s="4">
        <f t="shared" ref="F389:F452" ca="1" si="56">F388+K389</f>
        <v>211000</v>
      </c>
      <c r="G389" s="1" t="s">
        <v>70</v>
      </c>
      <c r="H389" s="26">
        <f t="shared" ca="1" si="54"/>
        <v>0.27814447198796266</v>
      </c>
      <c r="I389" s="4">
        <f>IF(G389="Yes",-$C$8,0)</f>
        <v>-500</v>
      </c>
      <c r="J389" s="4">
        <f>IF(G389="Yes",$C$8-I389,0)</f>
        <v>1000</v>
      </c>
      <c r="K389" s="4">
        <f ca="1">IF(H389&gt;=$C$4,J389+I389,I389)</f>
        <v>500</v>
      </c>
      <c r="M389" s="61">
        <f t="shared" si="52"/>
        <v>308.8</v>
      </c>
      <c r="N389" s="61">
        <f t="shared" si="53"/>
        <v>77.199999999999989</v>
      </c>
      <c r="O389" s="4">
        <f t="shared" ref="O389:O452" si="57">M389*$C$8</f>
        <v>154400</v>
      </c>
      <c r="P389" s="4">
        <f t="shared" ref="P389:P452" si="58">N389*(-$C$8)</f>
        <v>-38599.999999999993</v>
      </c>
      <c r="Q389" s="4">
        <f t="shared" ref="Q389:Q452" si="59">O389+P389</f>
        <v>115800</v>
      </c>
      <c r="R389" s="4">
        <f t="shared" ref="R389:R452" si="60">$C$7+Q389</f>
        <v>215800</v>
      </c>
    </row>
    <row r="390" spans="5:18" x14ac:dyDescent="0.25">
      <c r="E390" s="1">
        <f t="shared" si="55"/>
        <v>387</v>
      </c>
      <c r="F390" s="4">
        <f t="shared" ca="1" si="56"/>
        <v>211500</v>
      </c>
      <c r="G390" s="1" t="s">
        <v>70</v>
      </c>
      <c r="H390" s="26">
        <f t="shared" ca="1" si="54"/>
        <v>0.70881882527445961</v>
      </c>
      <c r="I390" s="4">
        <f>IF(G390="Yes",-$C$8,0)</f>
        <v>-500</v>
      </c>
      <c r="J390" s="4">
        <f>IF(G390="Yes",$C$8-I390,0)</f>
        <v>1000</v>
      </c>
      <c r="K390" s="4">
        <f ca="1">IF(H390&gt;=$C$4,J390+I390,I390)</f>
        <v>500</v>
      </c>
      <c r="M390" s="61">
        <f t="shared" si="52"/>
        <v>309.60000000000002</v>
      </c>
      <c r="N390" s="61">
        <f t="shared" si="53"/>
        <v>77.399999999999977</v>
      </c>
      <c r="O390" s="4">
        <f t="shared" si="57"/>
        <v>154800</v>
      </c>
      <c r="P390" s="4">
        <f t="shared" si="58"/>
        <v>-38699.999999999985</v>
      </c>
      <c r="Q390" s="4">
        <f t="shared" si="59"/>
        <v>116100.00000000001</v>
      </c>
      <c r="R390" s="4">
        <f t="shared" si="60"/>
        <v>216100</v>
      </c>
    </row>
    <row r="391" spans="5:18" x14ac:dyDescent="0.25">
      <c r="E391" s="1">
        <f t="shared" si="55"/>
        <v>388</v>
      </c>
      <c r="F391" s="4">
        <f t="shared" ca="1" si="56"/>
        <v>212000</v>
      </c>
      <c r="G391" s="1" t="s">
        <v>70</v>
      </c>
      <c r="H391" s="26">
        <f t="shared" ca="1" si="54"/>
        <v>0.75154434608149145</v>
      </c>
      <c r="I391" s="4">
        <f>IF(G391="Yes",-$C$8,0)</f>
        <v>-500</v>
      </c>
      <c r="J391" s="4">
        <f>IF(G391="Yes",$C$8-I391,0)</f>
        <v>1000</v>
      </c>
      <c r="K391" s="4">
        <f ca="1">IF(H391&gt;=$C$4,J391+I391,I391)</f>
        <v>500</v>
      </c>
      <c r="M391" s="61">
        <f t="shared" si="52"/>
        <v>310.40000000000003</v>
      </c>
      <c r="N391" s="61">
        <f t="shared" si="53"/>
        <v>77.599999999999966</v>
      </c>
      <c r="O391" s="4">
        <f t="shared" si="57"/>
        <v>155200.00000000003</v>
      </c>
      <c r="P391" s="4">
        <f t="shared" si="58"/>
        <v>-38799.999999999985</v>
      </c>
      <c r="Q391" s="4">
        <f t="shared" si="59"/>
        <v>116400.00000000004</v>
      </c>
      <c r="R391" s="4">
        <f t="shared" si="60"/>
        <v>216400.00000000006</v>
      </c>
    </row>
    <row r="392" spans="5:18" x14ac:dyDescent="0.25">
      <c r="E392" s="1">
        <f t="shared" si="55"/>
        <v>389</v>
      </c>
      <c r="F392" s="4">
        <f t="shared" ca="1" si="56"/>
        <v>211500</v>
      </c>
      <c r="G392" s="1" t="s">
        <v>70</v>
      </c>
      <c r="H392" s="26">
        <f t="shared" ca="1" si="54"/>
        <v>0.11231774329162914</v>
      </c>
      <c r="I392" s="4">
        <f>IF(G392="Yes",-$C$8,0)</f>
        <v>-500</v>
      </c>
      <c r="J392" s="4">
        <f>IF(G392="Yes",$C$8-I392,0)</f>
        <v>1000</v>
      </c>
      <c r="K392" s="4">
        <f ca="1">IF(H392&gt;=$C$4,J392+I392,I392)</f>
        <v>-500</v>
      </c>
      <c r="M392" s="61">
        <f t="shared" si="52"/>
        <v>311.20000000000005</v>
      </c>
      <c r="N392" s="61">
        <f t="shared" si="53"/>
        <v>77.799999999999955</v>
      </c>
      <c r="O392" s="4">
        <f t="shared" si="57"/>
        <v>155600.00000000003</v>
      </c>
      <c r="P392" s="4">
        <f t="shared" si="58"/>
        <v>-38899.999999999978</v>
      </c>
      <c r="Q392" s="4">
        <f t="shared" si="59"/>
        <v>116700.00000000006</v>
      </c>
      <c r="R392" s="4">
        <f t="shared" si="60"/>
        <v>216700.00000000006</v>
      </c>
    </row>
    <row r="393" spans="5:18" x14ac:dyDescent="0.25">
      <c r="E393" s="1">
        <f t="shared" si="55"/>
        <v>390</v>
      </c>
      <c r="F393" s="4">
        <f t="shared" ca="1" si="56"/>
        <v>212000</v>
      </c>
      <c r="G393" s="1" t="s">
        <v>70</v>
      </c>
      <c r="H393" s="26">
        <f t="shared" ca="1" si="54"/>
        <v>0.34297899989967884</v>
      </c>
      <c r="I393" s="4">
        <f>IF(G393="Yes",-$C$8,0)</f>
        <v>-500</v>
      </c>
      <c r="J393" s="4">
        <f>IF(G393="Yes",$C$8-I393,0)</f>
        <v>1000</v>
      </c>
      <c r="K393" s="4">
        <f ca="1">IF(H393&gt;=$C$4,J393+I393,I393)</f>
        <v>500</v>
      </c>
      <c r="M393" s="61">
        <f t="shared" si="52"/>
        <v>312</v>
      </c>
      <c r="N393" s="61">
        <f t="shared" si="53"/>
        <v>78</v>
      </c>
      <c r="O393" s="4">
        <f t="shared" si="57"/>
        <v>156000</v>
      </c>
      <c r="P393" s="4">
        <f t="shared" si="58"/>
        <v>-39000</v>
      </c>
      <c r="Q393" s="4">
        <f t="shared" si="59"/>
        <v>117000</v>
      </c>
      <c r="R393" s="4">
        <f t="shared" si="60"/>
        <v>217000</v>
      </c>
    </row>
    <row r="394" spans="5:18" x14ac:dyDescent="0.25">
      <c r="E394" s="1">
        <f t="shared" si="55"/>
        <v>391</v>
      </c>
      <c r="F394" s="4">
        <f t="shared" ca="1" si="56"/>
        <v>211500</v>
      </c>
      <c r="G394" s="1" t="s">
        <v>70</v>
      </c>
      <c r="H394" s="26">
        <f t="shared" ca="1" si="54"/>
        <v>0.19423734605501597</v>
      </c>
      <c r="I394" s="4">
        <f>IF(G394="Yes",-$C$8,0)</f>
        <v>-500</v>
      </c>
      <c r="J394" s="4">
        <f>IF(G394="Yes",$C$8-I394,0)</f>
        <v>1000</v>
      </c>
      <c r="K394" s="4">
        <f ca="1">IF(H394&gt;=$C$4,J394+I394,I394)</f>
        <v>-500</v>
      </c>
      <c r="M394" s="61">
        <f t="shared" si="52"/>
        <v>312.8</v>
      </c>
      <c r="N394" s="61">
        <f t="shared" si="53"/>
        <v>78.199999999999989</v>
      </c>
      <c r="O394" s="4">
        <f t="shared" si="57"/>
        <v>156400</v>
      </c>
      <c r="P394" s="4">
        <f t="shared" si="58"/>
        <v>-39099.999999999993</v>
      </c>
      <c r="Q394" s="4">
        <f t="shared" si="59"/>
        <v>117300</v>
      </c>
      <c r="R394" s="4">
        <f t="shared" si="60"/>
        <v>217300</v>
      </c>
    </row>
    <row r="395" spans="5:18" x14ac:dyDescent="0.25">
      <c r="E395" s="1">
        <f t="shared" si="55"/>
        <v>392</v>
      </c>
      <c r="F395" s="4">
        <f t="shared" ca="1" si="56"/>
        <v>212000</v>
      </c>
      <c r="G395" s="1" t="s">
        <v>70</v>
      </c>
      <c r="H395" s="26">
        <f t="shared" ca="1" si="54"/>
        <v>0.32944265819881369</v>
      </c>
      <c r="I395" s="4">
        <f>IF(G395="Yes",-$C$8,0)</f>
        <v>-500</v>
      </c>
      <c r="J395" s="4">
        <f>IF(G395="Yes",$C$8-I395,0)</f>
        <v>1000</v>
      </c>
      <c r="K395" s="4">
        <f ca="1">IF(H395&gt;=$C$4,J395+I395,I395)</f>
        <v>500</v>
      </c>
      <c r="M395" s="61">
        <f t="shared" si="52"/>
        <v>313.60000000000002</v>
      </c>
      <c r="N395" s="61">
        <f t="shared" si="53"/>
        <v>78.399999999999977</v>
      </c>
      <c r="O395" s="4">
        <f t="shared" si="57"/>
        <v>156800</v>
      </c>
      <c r="P395" s="4">
        <f t="shared" si="58"/>
        <v>-39199.999999999985</v>
      </c>
      <c r="Q395" s="4">
        <f t="shared" si="59"/>
        <v>117600.00000000001</v>
      </c>
      <c r="R395" s="4">
        <f t="shared" si="60"/>
        <v>217600</v>
      </c>
    </row>
    <row r="396" spans="5:18" x14ac:dyDescent="0.25">
      <c r="E396" s="1">
        <f t="shared" si="55"/>
        <v>393</v>
      </c>
      <c r="F396" s="4">
        <f t="shared" ca="1" si="56"/>
        <v>212500</v>
      </c>
      <c r="G396" s="1" t="s">
        <v>70</v>
      </c>
      <c r="H396" s="26">
        <f t="shared" ca="1" si="54"/>
        <v>0.4925763396968017</v>
      </c>
      <c r="I396" s="4">
        <f>IF(G396="Yes",-$C$8,0)</f>
        <v>-500</v>
      </c>
      <c r="J396" s="4">
        <f>IF(G396="Yes",$C$8-I396,0)</f>
        <v>1000</v>
      </c>
      <c r="K396" s="4">
        <f ca="1">IF(H396&gt;=$C$4,J396+I396,I396)</f>
        <v>500</v>
      </c>
      <c r="M396" s="61">
        <f t="shared" si="52"/>
        <v>314.40000000000003</v>
      </c>
      <c r="N396" s="61">
        <f t="shared" si="53"/>
        <v>78.599999999999966</v>
      </c>
      <c r="O396" s="4">
        <f t="shared" si="57"/>
        <v>157200.00000000003</v>
      </c>
      <c r="P396" s="4">
        <f t="shared" si="58"/>
        <v>-39299.999999999985</v>
      </c>
      <c r="Q396" s="4">
        <f t="shared" si="59"/>
        <v>117900.00000000004</v>
      </c>
      <c r="R396" s="4">
        <f t="shared" si="60"/>
        <v>217900.00000000006</v>
      </c>
    </row>
    <row r="397" spans="5:18" x14ac:dyDescent="0.25">
      <c r="E397" s="1">
        <f t="shared" si="55"/>
        <v>394</v>
      </c>
      <c r="F397" s="4">
        <f t="shared" ca="1" si="56"/>
        <v>213000</v>
      </c>
      <c r="G397" s="1" t="s">
        <v>70</v>
      </c>
      <c r="H397" s="26">
        <f t="shared" ca="1" si="54"/>
        <v>0.86709061893671224</v>
      </c>
      <c r="I397" s="4">
        <f>IF(G397="Yes",-$C$8,0)</f>
        <v>-500</v>
      </c>
      <c r="J397" s="4">
        <f>IF(G397="Yes",$C$8-I397,0)</f>
        <v>1000</v>
      </c>
      <c r="K397" s="4">
        <f ca="1">IF(H397&gt;=$C$4,J397+I397,I397)</f>
        <v>500</v>
      </c>
      <c r="M397" s="61">
        <f t="shared" si="52"/>
        <v>315.20000000000005</v>
      </c>
      <c r="N397" s="61">
        <f t="shared" si="53"/>
        <v>78.799999999999955</v>
      </c>
      <c r="O397" s="4">
        <f t="shared" si="57"/>
        <v>157600.00000000003</v>
      </c>
      <c r="P397" s="4">
        <f t="shared" si="58"/>
        <v>-39399.999999999978</v>
      </c>
      <c r="Q397" s="4">
        <f t="shared" si="59"/>
        <v>118200.00000000006</v>
      </c>
      <c r="R397" s="4">
        <f t="shared" si="60"/>
        <v>218200.00000000006</v>
      </c>
    </row>
    <row r="398" spans="5:18" x14ac:dyDescent="0.25">
      <c r="E398" s="1">
        <f t="shared" si="55"/>
        <v>395</v>
      </c>
      <c r="F398" s="4">
        <f t="shared" ca="1" si="56"/>
        <v>213500</v>
      </c>
      <c r="G398" s="1" t="s">
        <v>70</v>
      </c>
      <c r="H398" s="26">
        <f t="shared" ca="1" si="54"/>
        <v>0.48782982847279488</v>
      </c>
      <c r="I398" s="4">
        <f>IF(G398="Yes",-$C$8,0)</f>
        <v>-500</v>
      </c>
      <c r="J398" s="4">
        <f>IF(G398="Yes",$C$8-I398,0)</f>
        <v>1000</v>
      </c>
      <c r="K398" s="4">
        <f ca="1">IF(H398&gt;=$C$4,J398+I398,I398)</f>
        <v>500</v>
      </c>
      <c r="M398" s="61">
        <f t="shared" ref="M398:M461" si="61">E398*$C$3</f>
        <v>316</v>
      </c>
      <c r="N398" s="61">
        <f t="shared" ref="N398:N461" si="62">E398-M398</f>
        <v>79</v>
      </c>
      <c r="O398" s="4">
        <f t="shared" si="57"/>
        <v>158000</v>
      </c>
      <c r="P398" s="4">
        <f t="shared" si="58"/>
        <v>-39500</v>
      </c>
      <c r="Q398" s="4">
        <f t="shared" si="59"/>
        <v>118500</v>
      </c>
      <c r="R398" s="4">
        <f t="shared" si="60"/>
        <v>218500</v>
      </c>
    </row>
    <row r="399" spans="5:18" x14ac:dyDescent="0.25">
      <c r="E399" s="1">
        <f t="shared" si="55"/>
        <v>396</v>
      </c>
      <c r="F399" s="4">
        <f t="shared" ca="1" si="56"/>
        <v>214000</v>
      </c>
      <c r="G399" s="1" t="s">
        <v>70</v>
      </c>
      <c r="H399" s="26">
        <f t="shared" ca="1" si="54"/>
        <v>0.58662971070133263</v>
      </c>
      <c r="I399" s="4">
        <f>IF(G399="Yes",-$C$8,0)</f>
        <v>-500</v>
      </c>
      <c r="J399" s="4">
        <f>IF(G399="Yes",$C$8-I399,0)</f>
        <v>1000</v>
      </c>
      <c r="K399" s="4">
        <f ca="1">IF(H399&gt;=$C$4,J399+I399,I399)</f>
        <v>500</v>
      </c>
      <c r="M399" s="61">
        <f t="shared" si="61"/>
        <v>316.8</v>
      </c>
      <c r="N399" s="61">
        <f t="shared" si="62"/>
        <v>79.199999999999989</v>
      </c>
      <c r="O399" s="4">
        <f t="shared" si="57"/>
        <v>158400</v>
      </c>
      <c r="P399" s="4">
        <f t="shared" si="58"/>
        <v>-39599.999999999993</v>
      </c>
      <c r="Q399" s="4">
        <f t="shared" si="59"/>
        <v>118800</v>
      </c>
      <c r="R399" s="4">
        <f t="shared" si="60"/>
        <v>218800</v>
      </c>
    </row>
    <row r="400" spans="5:18" x14ac:dyDescent="0.25">
      <c r="E400" s="1">
        <f t="shared" si="55"/>
        <v>397</v>
      </c>
      <c r="F400" s="4">
        <f t="shared" ca="1" si="56"/>
        <v>214500</v>
      </c>
      <c r="G400" s="1" t="s">
        <v>70</v>
      </c>
      <c r="H400" s="26">
        <f t="shared" ca="1" si="54"/>
        <v>0.64111111239702157</v>
      </c>
      <c r="I400" s="4">
        <f>IF(G400="Yes",-$C$8,0)</f>
        <v>-500</v>
      </c>
      <c r="J400" s="4">
        <f>IF(G400="Yes",$C$8-I400,0)</f>
        <v>1000</v>
      </c>
      <c r="K400" s="4">
        <f ca="1">IF(H400&gt;=$C$4,J400+I400,I400)</f>
        <v>500</v>
      </c>
      <c r="M400" s="61">
        <f t="shared" si="61"/>
        <v>317.60000000000002</v>
      </c>
      <c r="N400" s="61">
        <f t="shared" si="62"/>
        <v>79.399999999999977</v>
      </c>
      <c r="O400" s="4">
        <f t="shared" si="57"/>
        <v>158800</v>
      </c>
      <c r="P400" s="4">
        <f t="shared" si="58"/>
        <v>-39699.999999999985</v>
      </c>
      <c r="Q400" s="4">
        <f t="shared" si="59"/>
        <v>119100.00000000001</v>
      </c>
      <c r="R400" s="4">
        <f t="shared" si="60"/>
        <v>219100</v>
      </c>
    </row>
    <row r="401" spans="5:18" x14ac:dyDescent="0.25">
      <c r="E401" s="1">
        <f t="shared" si="55"/>
        <v>398</v>
      </c>
      <c r="F401" s="4">
        <f t="shared" ca="1" si="56"/>
        <v>215000</v>
      </c>
      <c r="G401" s="1" t="s">
        <v>70</v>
      </c>
      <c r="H401" s="26">
        <f t="shared" ca="1" si="54"/>
        <v>0.86490591453082255</v>
      </c>
      <c r="I401" s="4">
        <f>IF(G401="Yes",-$C$8,0)</f>
        <v>-500</v>
      </c>
      <c r="J401" s="4">
        <f>IF(G401="Yes",$C$8-I401,0)</f>
        <v>1000</v>
      </c>
      <c r="K401" s="4">
        <f ca="1">IF(H401&gt;=$C$4,J401+I401,I401)</f>
        <v>500</v>
      </c>
      <c r="M401" s="61">
        <f t="shared" si="61"/>
        <v>318.40000000000003</v>
      </c>
      <c r="N401" s="61">
        <f t="shared" si="62"/>
        <v>79.599999999999966</v>
      </c>
      <c r="O401" s="4">
        <f t="shared" si="57"/>
        <v>159200.00000000003</v>
      </c>
      <c r="P401" s="4">
        <f t="shared" si="58"/>
        <v>-39799.999999999985</v>
      </c>
      <c r="Q401" s="4">
        <f t="shared" si="59"/>
        <v>119400.00000000004</v>
      </c>
      <c r="R401" s="4">
        <f t="shared" si="60"/>
        <v>219400.00000000006</v>
      </c>
    </row>
    <row r="402" spans="5:18" x14ac:dyDescent="0.25">
      <c r="E402" s="1">
        <f t="shared" si="55"/>
        <v>399</v>
      </c>
      <c r="F402" s="4">
        <f t="shared" ca="1" si="56"/>
        <v>215500</v>
      </c>
      <c r="G402" s="1" t="s">
        <v>70</v>
      </c>
      <c r="H402" s="26">
        <f t="shared" ca="1" si="54"/>
        <v>0.226295489121912</v>
      </c>
      <c r="I402" s="4">
        <f>IF(G402="Yes",-$C$8,0)</f>
        <v>-500</v>
      </c>
      <c r="J402" s="4">
        <f>IF(G402="Yes",$C$8-I402,0)</f>
        <v>1000</v>
      </c>
      <c r="K402" s="4">
        <f ca="1">IF(H402&gt;=$C$4,J402+I402,I402)</f>
        <v>500</v>
      </c>
      <c r="M402" s="61">
        <f t="shared" si="61"/>
        <v>319.20000000000005</v>
      </c>
      <c r="N402" s="61">
        <f t="shared" si="62"/>
        <v>79.799999999999955</v>
      </c>
      <c r="O402" s="4">
        <f t="shared" si="57"/>
        <v>159600.00000000003</v>
      </c>
      <c r="P402" s="4">
        <f t="shared" si="58"/>
        <v>-39899.999999999978</v>
      </c>
      <c r="Q402" s="4">
        <f t="shared" si="59"/>
        <v>119700.00000000006</v>
      </c>
      <c r="R402" s="4">
        <f t="shared" si="60"/>
        <v>219700.00000000006</v>
      </c>
    </row>
    <row r="403" spans="5:18" x14ac:dyDescent="0.25">
      <c r="E403" s="1">
        <f t="shared" si="55"/>
        <v>400</v>
      </c>
      <c r="F403" s="4">
        <f t="shared" ca="1" si="56"/>
        <v>216000</v>
      </c>
      <c r="G403" s="1" t="s">
        <v>70</v>
      </c>
      <c r="H403" s="26">
        <f t="shared" ca="1" si="54"/>
        <v>0.74993847712533068</v>
      </c>
      <c r="I403" s="4">
        <f>IF(G403="Yes",-$C$8,0)</f>
        <v>-500</v>
      </c>
      <c r="J403" s="4">
        <f>IF(G403="Yes",$C$8-I403,0)</f>
        <v>1000</v>
      </c>
      <c r="K403" s="4">
        <f ca="1">IF(H403&gt;=$C$4,J403+I403,I403)</f>
        <v>500</v>
      </c>
      <c r="M403" s="61">
        <f t="shared" si="61"/>
        <v>320</v>
      </c>
      <c r="N403" s="61">
        <f t="shared" si="62"/>
        <v>80</v>
      </c>
      <c r="O403" s="4">
        <f t="shared" si="57"/>
        <v>160000</v>
      </c>
      <c r="P403" s="4">
        <f t="shared" si="58"/>
        <v>-40000</v>
      </c>
      <c r="Q403" s="4">
        <f t="shared" si="59"/>
        <v>120000</v>
      </c>
      <c r="R403" s="4">
        <f t="shared" si="60"/>
        <v>220000</v>
      </c>
    </row>
    <row r="404" spans="5:18" x14ac:dyDescent="0.25">
      <c r="E404" s="1">
        <f t="shared" si="55"/>
        <v>401</v>
      </c>
      <c r="F404" s="4">
        <f t="shared" ca="1" si="56"/>
        <v>216500</v>
      </c>
      <c r="G404" s="1" t="s">
        <v>70</v>
      </c>
      <c r="H404" s="26">
        <f t="shared" ca="1" si="54"/>
        <v>0.48941428681579213</v>
      </c>
      <c r="I404" s="4">
        <f>IF(G404="Yes",-$C$8,0)</f>
        <v>-500</v>
      </c>
      <c r="J404" s="4">
        <f>IF(G404="Yes",$C$8-I404,0)</f>
        <v>1000</v>
      </c>
      <c r="K404" s="4">
        <f ca="1">IF(H404&gt;=$C$4,J404+I404,I404)</f>
        <v>500</v>
      </c>
      <c r="M404" s="61">
        <f t="shared" si="61"/>
        <v>320.8</v>
      </c>
      <c r="N404" s="61">
        <f t="shared" si="62"/>
        <v>80.199999999999989</v>
      </c>
      <c r="O404" s="4">
        <f t="shared" si="57"/>
        <v>160400</v>
      </c>
      <c r="P404" s="4">
        <f t="shared" si="58"/>
        <v>-40099.999999999993</v>
      </c>
      <c r="Q404" s="4">
        <f t="shared" si="59"/>
        <v>120300</v>
      </c>
      <c r="R404" s="4">
        <f t="shared" si="60"/>
        <v>220300</v>
      </c>
    </row>
    <row r="405" spans="5:18" x14ac:dyDescent="0.25">
      <c r="E405" s="1">
        <f t="shared" si="55"/>
        <v>402</v>
      </c>
      <c r="F405" s="4">
        <f t="shared" ca="1" si="56"/>
        <v>216000</v>
      </c>
      <c r="G405" s="1" t="s">
        <v>70</v>
      </c>
      <c r="H405" s="26">
        <f t="shared" ca="1" si="54"/>
        <v>0.1993762055196906</v>
      </c>
      <c r="I405" s="4">
        <f>IF(G405="Yes",-$C$8,0)</f>
        <v>-500</v>
      </c>
      <c r="J405" s="4">
        <f>IF(G405="Yes",$C$8-I405,0)</f>
        <v>1000</v>
      </c>
      <c r="K405" s="4">
        <f ca="1">IF(H405&gt;=$C$4,J405+I405,I405)</f>
        <v>-500</v>
      </c>
      <c r="M405" s="61">
        <f t="shared" si="61"/>
        <v>321.60000000000002</v>
      </c>
      <c r="N405" s="61">
        <f t="shared" si="62"/>
        <v>80.399999999999977</v>
      </c>
      <c r="O405" s="4">
        <f t="shared" si="57"/>
        <v>160800</v>
      </c>
      <c r="P405" s="4">
        <f t="shared" si="58"/>
        <v>-40199.999999999985</v>
      </c>
      <c r="Q405" s="4">
        <f t="shared" si="59"/>
        <v>120600.00000000001</v>
      </c>
      <c r="R405" s="4">
        <f t="shared" si="60"/>
        <v>220600</v>
      </c>
    </row>
    <row r="406" spans="5:18" x14ac:dyDescent="0.25">
      <c r="E406" s="1">
        <f t="shared" si="55"/>
        <v>403</v>
      </c>
      <c r="F406" s="4">
        <f t="shared" ca="1" si="56"/>
        <v>216500</v>
      </c>
      <c r="G406" s="1" t="s">
        <v>70</v>
      </c>
      <c r="H406" s="26">
        <f t="shared" ca="1" si="54"/>
        <v>0.65421716740857971</v>
      </c>
      <c r="I406" s="4">
        <f>IF(G406="Yes",-$C$8,0)</f>
        <v>-500</v>
      </c>
      <c r="J406" s="4">
        <f>IF(G406="Yes",$C$8-I406,0)</f>
        <v>1000</v>
      </c>
      <c r="K406" s="4">
        <f ca="1">IF(H406&gt;=$C$4,J406+I406,I406)</f>
        <v>500</v>
      </c>
      <c r="M406" s="61">
        <f t="shared" si="61"/>
        <v>322.40000000000003</v>
      </c>
      <c r="N406" s="61">
        <f t="shared" si="62"/>
        <v>80.599999999999966</v>
      </c>
      <c r="O406" s="4">
        <f t="shared" si="57"/>
        <v>161200.00000000003</v>
      </c>
      <c r="P406" s="4">
        <f t="shared" si="58"/>
        <v>-40299.999999999985</v>
      </c>
      <c r="Q406" s="4">
        <f t="shared" si="59"/>
        <v>120900.00000000004</v>
      </c>
      <c r="R406" s="4">
        <f t="shared" si="60"/>
        <v>220900.00000000006</v>
      </c>
    </row>
    <row r="407" spans="5:18" x14ac:dyDescent="0.25">
      <c r="E407" s="1">
        <f t="shared" si="55"/>
        <v>404</v>
      </c>
      <c r="F407" s="4">
        <f t="shared" ca="1" si="56"/>
        <v>216000</v>
      </c>
      <c r="G407" s="1" t="s">
        <v>70</v>
      </c>
      <c r="H407" s="26">
        <f t="shared" ca="1" si="54"/>
        <v>9.5194569937564255E-2</v>
      </c>
      <c r="I407" s="4">
        <f>IF(G407="Yes",-$C$8,0)</f>
        <v>-500</v>
      </c>
      <c r="J407" s="4">
        <f>IF(G407="Yes",$C$8-I407,0)</f>
        <v>1000</v>
      </c>
      <c r="K407" s="4">
        <f ca="1">IF(H407&gt;=$C$4,J407+I407,I407)</f>
        <v>-500</v>
      </c>
      <c r="M407" s="61">
        <f t="shared" si="61"/>
        <v>323.20000000000005</v>
      </c>
      <c r="N407" s="61">
        <f t="shared" si="62"/>
        <v>80.799999999999955</v>
      </c>
      <c r="O407" s="4">
        <f t="shared" si="57"/>
        <v>161600.00000000003</v>
      </c>
      <c r="P407" s="4">
        <f t="shared" si="58"/>
        <v>-40399.999999999978</v>
      </c>
      <c r="Q407" s="4">
        <f t="shared" si="59"/>
        <v>121200.00000000006</v>
      </c>
      <c r="R407" s="4">
        <f t="shared" si="60"/>
        <v>221200.00000000006</v>
      </c>
    </row>
    <row r="408" spans="5:18" x14ac:dyDescent="0.25">
      <c r="E408" s="1">
        <f t="shared" si="55"/>
        <v>405</v>
      </c>
      <c r="F408" s="4">
        <f t="shared" ca="1" si="56"/>
        <v>216500</v>
      </c>
      <c r="G408" s="1" t="s">
        <v>70</v>
      </c>
      <c r="H408" s="26">
        <f t="shared" ca="1" si="54"/>
        <v>0.85908797936886938</v>
      </c>
      <c r="I408" s="4">
        <f>IF(G408="Yes",-$C$8,0)</f>
        <v>-500</v>
      </c>
      <c r="J408" s="4">
        <f>IF(G408="Yes",$C$8-I408,0)</f>
        <v>1000</v>
      </c>
      <c r="K408" s="4">
        <f ca="1">IF(H408&gt;=$C$4,J408+I408,I408)</f>
        <v>500</v>
      </c>
      <c r="M408" s="61">
        <f t="shared" si="61"/>
        <v>324</v>
      </c>
      <c r="N408" s="61">
        <f t="shared" si="62"/>
        <v>81</v>
      </c>
      <c r="O408" s="4">
        <f t="shared" si="57"/>
        <v>162000</v>
      </c>
      <c r="P408" s="4">
        <f t="shared" si="58"/>
        <v>-40500</v>
      </c>
      <c r="Q408" s="4">
        <f t="shared" si="59"/>
        <v>121500</v>
      </c>
      <c r="R408" s="4">
        <f t="shared" si="60"/>
        <v>221500</v>
      </c>
    </row>
    <row r="409" spans="5:18" x14ac:dyDescent="0.25">
      <c r="E409" s="1">
        <f t="shared" si="55"/>
        <v>406</v>
      </c>
      <c r="F409" s="4">
        <f t="shared" ca="1" si="56"/>
        <v>217000</v>
      </c>
      <c r="G409" s="1" t="s">
        <v>70</v>
      </c>
      <c r="H409" s="26">
        <f t="shared" ca="1" si="54"/>
        <v>0.69810102519523021</v>
      </c>
      <c r="I409" s="4">
        <f>IF(G409="Yes",-$C$8,0)</f>
        <v>-500</v>
      </c>
      <c r="J409" s="4">
        <f>IF(G409="Yes",$C$8-I409,0)</f>
        <v>1000</v>
      </c>
      <c r="K409" s="4">
        <f ca="1">IF(H409&gt;=$C$4,J409+I409,I409)</f>
        <v>500</v>
      </c>
      <c r="M409" s="61">
        <f t="shared" si="61"/>
        <v>324.8</v>
      </c>
      <c r="N409" s="61">
        <f t="shared" si="62"/>
        <v>81.199999999999989</v>
      </c>
      <c r="O409" s="4">
        <f t="shared" si="57"/>
        <v>162400</v>
      </c>
      <c r="P409" s="4">
        <f t="shared" si="58"/>
        <v>-40599.999999999993</v>
      </c>
      <c r="Q409" s="4">
        <f t="shared" si="59"/>
        <v>121800</v>
      </c>
      <c r="R409" s="4">
        <f t="shared" si="60"/>
        <v>221800</v>
      </c>
    </row>
    <row r="410" spans="5:18" x14ac:dyDescent="0.25">
      <c r="E410" s="1">
        <f t="shared" si="55"/>
        <v>407</v>
      </c>
      <c r="F410" s="4">
        <f t="shared" ca="1" si="56"/>
        <v>217500</v>
      </c>
      <c r="G410" s="1" t="s">
        <v>70</v>
      </c>
      <c r="H410" s="26">
        <f t="shared" ca="1" si="54"/>
        <v>0.75630255747380615</v>
      </c>
      <c r="I410" s="4">
        <f>IF(G410="Yes",-$C$8,0)</f>
        <v>-500</v>
      </c>
      <c r="J410" s="4">
        <f>IF(G410="Yes",$C$8-I410,0)</f>
        <v>1000</v>
      </c>
      <c r="K410" s="4">
        <f ca="1">IF(H410&gt;=$C$4,J410+I410,I410)</f>
        <v>500</v>
      </c>
      <c r="M410" s="61">
        <f t="shared" si="61"/>
        <v>325.60000000000002</v>
      </c>
      <c r="N410" s="61">
        <f t="shared" si="62"/>
        <v>81.399999999999977</v>
      </c>
      <c r="O410" s="4">
        <f t="shared" si="57"/>
        <v>162800</v>
      </c>
      <c r="P410" s="4">
        <f t="shared" si="58"/>
        <v>-40699.999999999985</v>
      </c>
      <c r="Q410" s="4">
        <f t="shared" si="59"/>
        <v>122100.00000000001</v>
      </c>
      <c r="R410" s="4">
        <f t="shared" si="60"/>
        <v>222100</v>
      </c>
    </row>
    <row r="411" spans="5:18" x14ac:dyDescent="0.25">
      <c r="E411" s="1">
        <f t="shared" si="55"/>
        <v>408</v>
      </c>
      <c r="F411" s="4">
        <f t="shared" ca="1" si="56"/>
        <v>218000</v>
      </c>
      <c r="G411" s="1" t="s">
        <v>70</v>
      </c>
      <c r="H411" s="26">
        <f t="shared" ca="1" si="54"/>
        <v>0.99846798826601357</v>
      </c>
      <c r="I411" s="4">
        <f>IF(G411="Yes",-$C$8,0)</f>
        <v>-500</v>
      </c>
      <c r="J411" s="4">
        <f>IF(G411="Yes",$C$8-I411,0)</f>
        <v>1000</v>
      </c>
      <c r="K411" s="4">
        <f ca="1">IF(H411&gt;=$C$4,J411+I411,I411)</f>
        <v>500</v>
      </c>
      <c r="M411" s="61">
        <f t="shared" si="61"/>
        <v>326.40000000000003</v>
      </c>
      <c r="N411" s="61">
        <f t="shared" si="62"/>
        <v>81.599999999999966</v>
      </c>
      <c r="O411" s="4">
        <f t="shared" si="57"/>
        <v>163200.00000000003</v>
      </c>
      <c r="P411" s="4">
        <f t="shared" si="58"/>
        <v>-40799.999999999985</v>
      </c>
      <c r="Q411" s="4">
        <f t="shared" si="59"/>
        <v>122400.00000000004</v>
      </c>
      <c r="R411" s="4">
        <f t="shared" si="60"/>
        <v>222400.00000000006</v>
      </c>
    </row>
    <row r="412" spans="5:18" x14ac:dyDescent="0.25">
      <c r="E412" s="1">
        <f t="shared" si="55"/>
        <v>409</v>
      </c>
      <c r="F412" s="4">
        <f t="shared" ca="1" si="56"/>
        <v>218500</v>
      </c>
      <c r="G412" s="1" t="s">
        <v>70</v>
      </c>
      <c r="H412" s="26">
        <f t="shared" ca="1" si="54"/>
        <v>0.5616351212139401</v>
      </c>
      <c r="I412" s="4">
        <f>IF(G412="Yes",-$C$8,0)</f>
        <v>-500</v>
      </c>
      <c r="J412" s="4">
        <f>IF(G412="Yes",$C$8-I412,0)</f>
        <v>1000</v>
      </c>
      <c r="K412" s="4">
        <f ca="1">IF(H412&gt;=$C$4,J412+I412,I412)</f>
        <v>500</v>
      </c>
      <c r="M412" s="61">
        <f t="shared" si="61"/>
        <v>327.20000000000005</v>
      </c>
      <c r="N412" s="61">
        <f t="shared" si="62"/>
        <v>81.799999999999955</v>
      </c>
      <c r="O412" s="4">
        <f t="shared" si="57"/>
        <v>163600.00000000003</v>
      </c>
      <c r="P412" s="4">
        <f t="shared" si="58"/>
        <v>-40899.999999999978</v>
      </c>
      <c r="Q412" s="4">
        <f t="shared" si="59"/>
        <v>122700.00000000006</v>
      </c>
      <c r="R412" s="4">
        <f t="shared" si="60"/>
        <v>222700.00000000006</v>
      </c>
    </row>
    <row r="413" spans="5:18" x14ac:dyDescent="0.25">
      <c r="E413" s="1">
        <f t="shared" si="55"/>
        <v>410</v>
      </c>
      <c r="F413" s="4">
        <f t="shared" ca="1" si="56"/>
        <v>218000</v>
      </c>
      <c r="G413" s="1" t="s">
        <v>70</v>
      </c>
      <c r="H413" s="26">
        <f t="shared" ca="1" si="54"/>
        <v>0.16426931346154638</v>
      </c>
      <c r="I413" s="4">
        <f>IF(G413="Yes",-$C$8,0)</f>
        <v>-500</v>
      </c>
      <c r="J413" s="4">
        <f>IF(G413="Yes",$C$8-I413,0)</f>
        <v>1000</v>
      </c>
      <c r="K413" s="4">
        <f ca="1">IF(H413&gt;=$C$4,J413+I413,I413)</f>
        <v>-500</v>
      </c>
      <c r="M413" s="61">
        <f t="shared" si="61"/>
        <v>328</v>
      </c>
      <c r="N413" s="61">
        <f t="shared" si="62"/>
        <v>82</v>
      </c>
      <c r="O413" s="4">
        <f t="shared" si="57"/>
        <v>164000</v>
      </c>
      <c r="P413" s="4">
        <f t="shared" si="58"/>
        <v>-41000</v>
      </c>
      <c r="Q413" s="4">
        <f t="shared" si="59"/>
        <v>123000</v>
      </c>
      <c r="R413" s="4">
        <f t="shared" si="60"/>
        <v>223000</v>
      </c>
    </row>
    <row r="414" spans="5:18" x14ac:dyDescent="0.25">
      <c r="E414" s="1">
        <f t="shared" si="55"/>
        <v>411</v>
      </c>
      <c r="F414" s="4">
        <f t="shared" ca="1" si="56"/>
        <v>218500</v>
      </c>
      <c r="G414" s="1" t="s">
        <v>70</v>
      </c>
      <c r="H414" s="26">
        <f t="shared" ca="1" si="54"/>
        <v>0.68413746747713455</v>
      </c>
      <c r="I414" s="4">
        <f>IF(G414="Yes",-$C$8,0)</f>
        <v>-500</v>
      </c>
      <c r="J414" s="4">
        <f>IF(G414="Yes",$C$8-I414,0)</f>
        <v>1000</v>
      </c>
      <c r="K414" s="4">
        <f ca="1">IF(H414&gt;=$C$4,J414+I414,I414)</f>
        <v>500</v>
      </c>
      <c r="M414" s="61">
        <f t="shared" si="61"/>
        <v>328.8</v>
      </c>
      <c r="N414" s="61">
        <f t="shared" si="62"/>
        <v>82.199999999999989</v>
      </c>
      <c r="O414" s="4">
        <f t="shared" si="57"/>
        <v>164400</v>
      </c>
      <c r="P414" s="4">
        <f t="shared" si="58"/>
        <v>-41099.999999999993</v>
      </c>
      <c r="Q414" s="4">
        <f t="shared" si="59"/>
        <v>123300</v>
      </c>
      <c r="R414" s="4">
        <f t="shared" si="60"/>
        <v>223300</v>
      </c>
    </row>
    <row r="415" spans="5:18" x14ac:dyDescent="0.25">
      <c r="E415" s="1">
        <f t="shared" si="55"/>
        <v>412</v>
      </c>
      <c r="F415" s="4">
        <f t="shared" ca="1" si="56"/>
        <v>219000</v>
      </c>
      <c r="G415" s="1" t="s">
        <v>70</v>
      </c>
      <c r="H415" s="26">
        <f t="shared" ca="1" si="54"/>
        <v>0.44923114503995276</v>
      </c>
      <c r="I415" s="4">
        <f>IF(G415="Yes",-$C$8,0)</f>
        <v>-500</v>
      </c>
      <c r="J415" s="4">
        <f>IF(G415="Yes",$C$8-I415,0)</f>
        <v>1000</v>
      </c>
      <c r="K415" s="4">
        <f ca="1">IF(H415&gt;=$C$4,J415+I415,I415)</f>
        <v>500</v>
      </c>
      <c r="M415" s="61">
        <f t="shared" si="61"/>
        <v>329.6</v>
      </c>
      <c r="N415" s="61">
        <f t="shared" si="62"/>
        <v>82.399999999999977</v>
      </c>
      <c r="O415" s="4">
        <f t="shared" si="57"/>
        <v>164800</v>
      </c>
      <c r="P415" s="4">
        <f t="shared" si="58"/>
        <v>-41199.999999999985</v>
      </c>
      <c r="Q415" s="4">
        <f t="shared" si="59"/>
        <v>123600.00000000001</v>
      </c>
      <c r="R415" s="4">
        <f t="shared" si="60"/>
        <v>223600</v>
      </c>
    </row>
    <row r="416" spans="5:18" x14ac:dyDescent="0.25">
      <c r="E416" s="1">
        <f t="shared" si="55"/>
        <v>413</v>
      </c>
      <c r="F416" s="4">
        <f t="shared" ca="1" si="56"/>
        <v>219500</v>
      </c>
      <c r="G416" s="1" t="s">
        <v>70</v>
      </c>
      <c r="H416" s="26">
        <f t="shared" ca="1" si="54"/>
        <v>0.99051113279734782</v>
      </c>
      <c r="I416" s="4">
        <f>IF(G416="Yes",-$C$8,0)</f>
        <v>-500</v>
      </c>
      <c r="J416" s="4">
        <f>IF(G416="Yes",$C$8-I416,0)</f>
        <v>1000</v>
      </c>
      <c r="K416" s="4">
        <f ca="1">IF(H416&gt;=$C$4,J416+I416,I416)</f>
        <v>500</v>
      </c>
      <c r="M416" s="61">
        <f t="shared" si="61"/>
        <v>330.40000000000003</v>
      </c>
      <c r="N416" s="61">
        <f t="shared" si="62"/>
        <v>82.599999999999966</v>
      </c>
      <c r="O416" s="4">
        <f t="shared" si="57"/>
        <v>165200.00000000003</v>
      </c>
      <c r="P416" s="4">
        <f t="shared" si="58"/>
        <v>-41299.999999999985</v>
      </c>
      <c r="Q416" s="4">
        <f t="shared" si="59"/>
        <v>123900.00000000004</v>
      </c>
      <c r="R416" s="4">
        <f t="shared" si="60"/>
        <v>223900.00000000006</v>
      </c>
    </row>
    <row r="417" spans="5:18" x14ac:dyDescent="0.25">
      <c r="E417" s="1">
        <f t="shared" si="55"/>
        <v>414</v>
      </c>
      <c r="F417" s="4">
        <f t="shared" ca="1" si="56"/>
        <v>219000</v>
      </c>
      <c r="G417" s="1" t="s">
        <v>70</v>
      </c>
      <c r="H417" s="26">
        <f t="shared" ca="1" si="54"/>
        <v>6.8674538951283615E-2</v>
      </c>
      <c r="I417" s="4">
        <f>IF(G417="Yes",-$C$8,0)</f>
        <v>-500</v>
      </c>
      <c r="J417" s="4">
        <f>IF(G417="Yes",$C$8-I417,0)</f>
        <v>1000</v>
      </c>
      <c r="K417" s="4">
        <f ca="1">IF(H417&gt;=$C$4,J417+I417,I417)</f>
        <v>-500</v>
      </c>
      <c r="M417" s="61">
        <f t="shared" si="61"/>
        <v>331.20000000000005</v>
      </c>
      <c r="N417" s="61">
        <f t="shared" si="62"/>
        <v>82.799999999999955</v>
      </c>
      <c r="O417" s="4">
        <f t="shared" si="57"/>
        <v>165600.00000000003</v>
      </c>
      <c r="P417" s="4">
        <f t="shared" si="58"/>
        <v>-41399.999999999978</v>
      </c>
      <c r="Q417" s="4">
        <f t="shared" si="59"/>
        <v>124200.00000000006</v>
      </c>
      <c r="R417" s="4">
        <f t="shared" si="60"/>
        <v>224200.00000000006</v>
      </c>
    </row>
    <row r="418" spans="5:18" x14ac:dyDescent="0.25">
      <c r="E418" s="1">
        <f t="shared" si="55"/>
        <v>415</v>
      </c>
      <c r="F418" s="4">
        <f t="shared" ca="1" si="56"/>
        <v>219500</v>
      </c>
      <c r="G418" s="1" t="s">
        <v>70</v>
      </c>
      <c r="H418" s="26">
        <f t="shared" ca="1" si="54"/>
        <v>0.42900160245869523</v>
      </c>
      <c r="I418" s="4">
        <f>IF(G418="Yes",-$C$8,0)</f>
        <v>-500</v>
      </c>
      <c r="J418" s="4">
        <f>IF(G418="Yes",$C$8-I418,0)</f>
        <v>1000</v>
      </c>
      <c r="K418" s="4">
        <f ca="1">IF(H418&gt;=$C$4,J418+I418,I418)</f>
        <v>500</v>
      </c>
      <c r="M418" s="61">
        <f t="shared" si="61"/>
        <v>332</v>
      </c>
      <c r="N418" s="61">
        <f t="shared" si="62"/>
        <v>83</v>
      </c>
      <c r="O418" s="4">
        <f t="shared" si="57"/>
        <v>166000</v>
      </c>
      <c r="P418" s="4">
        <f t="shared" si="58"/>
        <v>-41500</v>
      </c>
      <c r="Q418" s="4">
        <f t="shared" si="59"/>
        <v>124500</v>
      </c>
      <c r="R418" s="4">
        <f t="shared" si="60"/>
        <v>224500</v>
      </c>
    </row>
    <row r="419" spans="5:18" x14ac:dyDescent="0.25">
      <c r="E419" s="1">
        <f t="shared" si="55"/>
        <v>416</v>
      </c>
      <c r="F419" s="4">
        <f t="shared" ca="1" si="56"/>
        <v>219000</v>
      </c>
      <c r="G419" s="1" t="s">
        <v>70</v>
      </c>
      <c r="H419" s="26">
        <f t="shared" ca="1" si="54"/>
        <v>0.16402404741453447</v>
      </c>
      <c r="I419" s="4">
        <f>IF(G419="Yes",-$C$8,0)</f>
        <v>-500</v>
      </c>
      <c r="J419" s="4">
        <f>IF(G419="Yes",$C$8-I419,0)</f>
        <v>1000</v>
      </c>
      <c r="K419" s="4">
        <f ca="1">IF(H419&gt;=$C$4,J419+I419,I419)</f>
        <v>-500</v>
      </c>
      <c r="M419" s="61">
        <f t="shared" si="61"/>
        <v>332.8</v>
      </c>
      <c r="N419" s="61">
        <f t="shared" si="62"/>
        <v>83.199999999999989</v>
      </c>
      <c r="O419" s="4">
        <f t="shared" si="57"/>
        <v>166400</v>
      </c>
      <c r="P419" s="4">
        <f t="shared" si="58"/>
        <v>-41599.999999999993</v>
      </c>
      <c r="Q419" s="4">
        <f t="shared" si="59"/>
        <v>124800</v>
      </c>
      <c r="R419" s="4">
        <f t="shared" si="60"/>
        <v>224800</v>
      </c>
    </row>
    <row r="420" spans="5:18" x14ac:dyDescent="0.25">
      <c r="E420" s="1">
        <f t="shared" si="55"/>
        <v>417</v>
      </c>
      <c r="F420" s="4">
        <f t="shared" ca="1" si="56"/>
        <v>218500</v>
      </c>
      <c r="G420" s="1" t="s">
        <v>70</v>
      </c>
      <c r="H420" s="26">
        <f t="shared" ca="1" si="54"/>
        <v>0.13892549794264886</v>
      </c>
      <c r="I420" s="4">
        <f>IF(G420="Yes",-$C$8,0)</f>
        <v>-500</v>
      </c>
      <c r="J420" s="4">
        <f>IF(G420="Yes",$C$8-I420,0)</f>
        <v>1000</v>
      </c>
      <c r="K420" s="4">
        <f ca="1">IF(H420&gt;=$C$4,J420+I420,I420)</f>
        <v>-500</v>
      </c>
      <c r="M420" s="61">
        <f t="shared" si="61"/>
        <v>333.6</v>
      </c>
      <c r="N420" s="61">
        <f t="shared" si="62"/>
        <v>83.399999999999977</v>
      </c>
      <c r="O420" s="4">
        <f t="shared" si="57"/>
        <v>166800</v>
      </c>
      <c r="P420" s="4">
        <f t="shared" si="58"/>
        <v>-41699.999999999985</v>
      </c>
      <c r="Q420" s="4">
        <f t="shared" si="59"/>
        <v>125100.00000000001</v>
      </c>
      <c r="R420" s="4">
        <f t="shared" si="60"/>
        <v>225100</v>
      </c>
    </row>
    <row r="421" spans="5:18" x14ac:dyDescent="0.25">
      <c r="E421" s="1">
        <f t="shared" si="55"/>
        <v>418</v>
      </c>
      <c r="F421" s="4">
        <f t="shared" ca="1" si="56"/>
        <v>219000</v>
      </c>
      <c r="G421" s="1" t="s">
        <v>70</v>
      </c>
      <c r="H421" s="26">
        <f t="shared" ca="1" si="54"/>
        <v>0.44737046174742545</v>
      </c>
      <c r="I421" s="4">
        <f>IF(G421="Yes",-$C$8,0)</f>
        <v>-500</v>
      </c>
      <c r="J421" s="4">
        <f>IF(G421="Yes",$C$8-I421,0)</f>
        <v>1000</v>
      </c>
      <c r="K421" s="4">
        <f ca="1">IF(H421&gt;=$C$4,J421+I421,I421)</f>
        <v>500</v>
      </c>
      <c r="M421" s="61">
        <f t="shared" si="61"/>
        <v>334.40000000000003</v>
      </c>
      <c r="N421" s="61">
        <f t="shared" si="62"/>
        <v>83.599999999999966</v>
      </c>
      <c r="O421" s="4">
        <f t="shared" si="57"/>
        <v>167200.00000000003</v>
      </c>
      <c r="P421" s="4">
        <f t="shared" si="58"/>
        <v>-41799.999999999985</v>
      </c>
      <c r="Q421" s="4">
        <f t="shared" si="59"/>
        <v>125400.00000000004</v>
      </c>
      <c r="R421" s="4">
        <f t="shared" si="60"/>
        <v>225400.00000000006</v>
      </c>
    </row>
    <row r="422" spans="5:18" x14ac:dyDescent="0.25">
      <c r="E422" s="1">
        <f t="shared" si="55"/>
        <v>419</v>
      </c>
      <c r="F422" s="4">
        <f t="shared" ca="1" si="56"/>
        <v>219500</v>
      </c>
      <c r="G422" s="1" t="s">
        <v>70</v>
      </c>
      <c r="H422" s="26">
        <f t="shared" ca="1" si="54"/>
        <v>0.95635113426274287</v>
      </c>
      <c r="I422" s="4">
        <f>IF(G422="Yes",-$C$8,0)</f>
        <v>-500</v>
      </c>
      <c r="J422" s="4">
        <f>IF(G422="Yes",$C$8-I422,0)</f>
        <v>1000</v>
      </c>
      <c r="K422" s="4">
        <f ca="1">IF(H422&gt;=$C$4,J422+I422,I422)</f>
        <v>500</v>
      </c>
      <c r="M422" s="61">
        <f t="shared" si="61"/>
        <v>335.20000000000005</v>
      </c>
      <c r="N422" s="61">
        <f t="shared" si="62"/>
        <v>83.799999999999955</v>
      </c>
      <c r="O422" s="4">
        <f t="shared" si="57"/>
        <v>167600.00000000003</v>
      </c>
      <c r="P422" s="4">
        <f t="shared" si="58"/>
        <v>-41899.999999999978</v>
      </c>
      <c r="Q422" s="4">
        <f t="shared" si="59"/>
        <v>125700.00000000006</v>
      </c>
      <c r="R422" s="4">
        <f t="shared" si="60"/>
        <v>225700.00000000006</v>
      </c>
    </row>
    <row r="423" spans="5:18" x14ac:dyDescent="0.25">
      <c r="E423" s="1">
        <f t="shared" si="55"/>
        <v>420</v>
      </c>
      <c r="F423" s="4">
        <f t="shared" ca="1" si="56"/>
        <v>220000</v>
      </c>
      <c r="G423" s="1" t="s">
        <v>70</v>
      </c>
      <c r="H423" s="26">
        <f t="shared" ca="1" si="54"/>
        <v>0.97894091696478003</v>
      </c>
      <c r="I423" s="4">
        <f>IF(G423="Yes",-$C$8,0)</f>
        <v>-500</v>
      </c>
      <c r="J423" s="4">
        <f>IF(G423="Yes",$C$8-I423,0)</f>
        <v>1000</v>
      </c>
      <c r="K423" s="4">
        <f ca="1">IF(H423&gt;=$C$4,J423+I423,I423)</f>
        <v>500</v>
      </c>
      <c r="M423" s="61">
        <f t="shared" si="61"/>
        <v>336</v>
      </c>
      <c r="N423" s="61">
        <f t="shared" si="62"/>
        <v>84</v>
      </c>
      <c r="O423" s="4">
        <f t="shared" si="57"/>
        <v>168000</v>
      </c>
      <c r="P423" s="4">
        <f t="shared" si="58"/>
        <v>-42000</v>
      </c>
      <c r="Q423" s="4">
        <f t="shared" si="59"/>
        <v>126000</v>
      </c>
      <c r="R423" s="4">
        <f t="shared" si="60"/>
        <v>226000</v>
      </c>
    </row>
    <row r="424" spans="5:18" x14ac:dyDescent="0.25">
      <c r="E424" s="1">
        <f t="shared" si="55"/>
        <v>421</v>
      </c>
      <c r="F424" s="4">
        <f t="shared" ca="1" si="56"/>
        <v>220500</v>
      </c>
      <c r="G424" s="1" t="s">
        <v>70</v>
      </c>
      <c r="H424" s="26">
        <f t="shared" ca="1" si="54"/>
        <v>0.56892555737929285</v>
      </c>
      <c r="I424" s="4">
        <f>IF(G424="Yes",-$C$8,0)</f>
        <v>-500</v>
      </c>
      <c r="J424" s="4">
        <f>IF(G424="Yes",$C$8-I424,0)</f>
        <v>1000</v>
      </c>
      <c r="K424" s="4">
        <f ca="1">IF(H424&gt;=$C$4,J424+I424,I424)</f>
        <v>500</v>
      </c>
      <c r="M424" s="61">
        <f t="shared" si="61"/>
        <v>336.8</v>
      </c>
      <c r="N424" s="61">
        <f t="shared" si="62"/>
        <v>84.199999999999989</v>
      </c>
      <c r="O424" s="4">
        <f t="shared" si="57"/>
        <v>168400</v>
      </c>
      <c r="P424" s="4">
        <f t="shared" si="58"/>
        <v>-42099.999999999993</v>
      </c>
      <c r="Q424" s="4">
        <f t="shared" si="59"/>
        <v>126300</v>
      </c>
      <c r="R424" s="4">
        <f t="shared" si="60"/>
        <v>226300</v>
      </c>
    </row>
    <row r="425" spans="5:18" x14ac:dyDescent="0.25">
      <c r="E425" s="1">
        <f t="shared" si="55"/>
        <v>422</v>
      </c>
      <c r="F425" s="4">
        <f t="shared" ca="1" si="56"/>
        <v>221000</v>
      </c>
      <c r="G425" s="1" t="s">
        <v>70</v>
      </c>
      <c r="H425" s="26">
        <f t="shared" ca="1" si="54"/>
        <v>0.60710248974740533</v>
      </c>
      <c r="I425" s="4">
        <f>IF(G425="Yes",-$C$8,0)</f>
        <v>-500</v>
      </c>
      <c r="J425" s="4">
        <f>IF(G425="Yes",$C$8-I425,0)</f>
        <v>1000</v>
      </c>
      <c r="K425" s="4">
        <f ca="1">IF(H425&gt;=$C$4,J425+I425,I425)</f>
        <v>500</v>
      </c>
      <c r="M425" s="61">
        <f t="shared" si="61"/>
        <v>337.6</v>
      </c>
      <c r="N425" s="61">
        <f t="shared" si="62"/>
        <v>84.399999999999977</v>
      </c>
      <c r="O425" s="4">
        <f t="shared" si="57"/>
        <v>168800</v>
      </c>
      <c r="P425" s="4">
        <f t="shared" si="58"/>
        <v>-42199.999999999985</v>
      </c>
      <c r="Q425" s="4">
        <f t="shared" si="59"/>
        <v>126600.00000000001</v>
      </c>
      <c r="R425" s="4">
        <f t="shared" si="60"/>
        <v>226600</v>
      </c>
    </row>
    <row r="426" spans="5:18" x14ac:dyDescent="0.25">
      <c r="E426" s="1">
        <f t="shared" si="55"/>
        <v>423</v>
      </c>
      <c r="F426" s="4">
        <f t="shared" ca="1" si="56"/>
        <v>221500</v>
      </c>
      <c r="G426" s="1" t="s">
        <v>70</v>
      </c>
      <c r="H426" s="26">
        <f t="shared" ca="1" si="54"/>
        <v>0.56160858572088956</v>
      </c>
      <c r="I426" s="4">
        <f>IF(G426="Yes",-$C$8,0)</f>
        <v>-500</v>
      </c>
      <c r="J426" s="4">
        <f>IF(G426="Yes",$C$8-I426,0)</f>
        <v>1000</v>
      </c>
      <c r="K426" s="4">
        <f ca="1">IF(H426&gt;=$C$4,J426+I426,I426)</f>
        <v>500</v>
      </c>
      <c r="M426" s="61">
        <f t="shared" si="61"/>
        <v>338.40000000000003</v>
      </c>
      <c r="N426" s="61">
        <f t="shared" si="62"/>
        <v>84.599999999999966</v>
      </c>
      <c r="O426" s="4">
        <f t="shared" si="57"/>
        <v>169200.00000000003</v>
      </c>
      <c r="P426" s="4">
        <f t="shared" si="58"/>
        <v>-42299.999999999985</v>
      </c>
      <c r="Q426" s="4">
        <f t="shared" si="59"/>
        <v>126900.00000000004</v>
      </c>
      <c r="R426" s="4">
        <f t="shared" si="60"/>
        <v>226900.00000000006</v>
      </c>
    </row>
    <row r="427" spans="5:18" x14ac:dyDescent="0.25">
      <c r="E427" s="1">
        <f t="shared" si="55"/>
        <v>424</v>
      </c>
      <c r="F427" s="4">
        <f t="shared" ca="1" si="56"/>
        <v>221000</v>
      </c>
      <c r="G427" s="1" t="s">
        <v>70</v>
      </c>
      <c r="H427" s="26">
        <f t="shared" ca="1" si="54"/>
        <v>0.14805399846689637</v>
      </c>
      <c r="I427" s="4">
        <f>IF(G427="Yes",-$C$8,0)</f>
        <v>-500</v>
      </c>
      <c r="J427" s="4">
        <f>IF(G427="Yes",$C$8-I427,0)</f>
        <v>1000</v>
      </c>
      <c r="K427" s="4">
        <f ca="1">IF(H427&gt;=$C$4,J427+I427,I427)</f>
        <v>-500</v>
      </c>
      <c r="M427" s="61">
        <f t="shared" si="61"/>
        <v>339.20000000000005</v>
      </c>
      <c r="N427" s="61">
        <f t="shared" si="62"/>
        <v>84.799999999999955</v>
      </c>
      <c r="O427" s="4">
        <f t="shared" si="57"/>
        <v>169600.00000000003</v>
      </c>
      <c r="P427" s="4">
        <f t="shared" si="58"/>
        <v>-42399.999999999978</v>
      </c>
      <c r="Q427" s="4">
        <f t="shared" si="59"/>
        <v>127200.00000000006</v>
      </c>
      <c r="R427" s="4">
        <f t="shared" si="60"/>
        <v>227200.00000000006</v>
      </c>
    </row>
    <row r="428" spans="5:18" x14ac:dyDescent="0.25">
      <c r="E428" s="1">
        <f t="shared" si="55"/>
        <v>425</v>
      </c>
      <c r="F428" s="4">
        <f t="shared" ca="1" si="56"/>
        <v>221500</v>
      </c>
      <c r="G428" s="1" t="s">
        <v>70</v>
      </c>
      <c r="H428" s="26">
        <f t="shared" ca="1" si="54"/>
        <v>0.57133671737966774</v>
      </c>
      <c r="I428" s="4">
        <f>IF(G428="Yes",-$C$8,0)</f>
        <v>-500</v>
      </c>
      <c r="J428" s="4">
        <f>IF(G428="Yes",$C$8-I428,0)</f>
        <v>1000</v>
      </c>
      <c r="K428" s="4">
        <f ca="1">IF(H428&gt;=$C$4,J428+I428,I428)</f>
        <v>500</v>
      </c>
      <c r="M428" s="61">
        <f t="shared" si="61"/>
        <v>340</v>
      </c>
      <c r="N428" s="61">
        <f t="shared" si="62"/>
        <v>85</v>
      </c>
      <c r="O428" s="4">
        <f t="shared" si="57"/>
        <v>170000</v>
      </c>
      <c r="P428" s="4">
        <f t="shared" si="58"/>
        <v>-42500</v>
      </c>
      <c r="Q428" s="4">
        <f t="shared" si="59"/>
        <v>127500</v>
      </c>
      <c r="R428" s="4">
        <f t="shared" si="60"/>
        <v>227500</v>
      </c>
    </row>
    <row r="429" spans="5:18" x14ac:dyDescent="0.25">
      <c r="E429" s="1">
        <f t="shared" si="55"/>
        <v>426</v>
      </c>
      <c r="F429" s="4">
        <f t="shared" ca="1" si="56"/>
        <v>222000</v>
      </c>
      <c r="G429" s="1" t="s">
        <v>70</v>
      </c>
      <c r="H429" s="26">
        <f t="shared" ca="1" si="54"/>
        <v>0.84502550199333326</v>
      </c>
      <c r="I429" s="4">
        <f>IF(G429="Yes",-$C$8,0)</f>
        <v>-500</v>
      </c>
      <c r="J429" s="4">
        <f>IF(G429="Yes",$C$8-I429,0)</f>
        <v>1000</v>
      </c>
      <c r="K429" s="4">
        <f ca="1">IF(H429&gt;=$C$4,J429+I429,I429)</f>
        <v>500</v>
      </c>
      <c r="M429" s="61">
        <f t="shared" si="61"/>
        <v>340.8</v>
      </c>
      <c r="N429" s="61">
        <f t="shared" si="62"/>
        <v>85.199999999999989</v>
      </c>
      <c r="O429" s="4">
        <f t="shared" si="57"/>
        <v>170400</v>
      </c>
      <c r="P429" s="4">
        <f t="shared" si="58"/>
        <v>-42599.999999999993</v>
      </c>
      <c r="Q429" s="4">
        <f t="shared" si="59"/>
        <v>127800</v>
      </c>
      <c r="R429" s="4">
        <f t="shared" si="60"/>
        <v>227800</v>
      </c>
    </row>
    <row r="430" spans="5:18" x14ac:dyDescent="0.25">
      <c r="E430" s="1">
        <f t="shared" si="55"/>
        <v>427</v>
      </c>
      <c r="F430" s="4">
        <f t="shared" ca="1" si="56"/>
        <v>222500</v>
      </c>
      <c r="G430" s="1" t="s">
        <v>70</v>
      </c>
      <c r="H430" s="26">
        <f t="shared" ca="1" si="54"/>
        <v>0.63056668303245422</v>
      </c>
      <c r="I430" s="4">
        <f>IF(G430="Yes",-$C$8,0)</f>
        <v>-500</v>
      </c>
      <c r="J430" s="4">
        <f>IF(G430="Yes",$C$8-I430,0)</f>
        <v>1000</v>
      </c>
      <c r="K430" s="4">
        <f ca="1">IF(H430&gt;=$C$4,J430+I430,I430)</f>
        <v>500</v>
      </c>
      <c r="M430" s="61">
        <f t="shared" si="61"/>
        <v>341.6</v>
      </c>
      <c r="N430" s="61">
        <f t="shared" si="62"/>
        <v>85.399999999999977</v>
      </c>
      <c r="O430" s="4">
        <f t="shared" si="57"/>
        <v>170800</v>
      </c>
      <c r="P430" s="4">
        <f t="shared" si="58"/>
        <v>-42699.999999999985</v>
      </c>
      <c r="Q430" s="4">
        <f t="shared" si="59"/>
        <v>128100.00000000001</v>
      </c>
      <c r="R430" s="4">
        <f t="shared" si="60"/>
        <v>228100</v>
      </c>
    </row>
    <row r="431" spans="5:18" x14ac:dyDescent="0.25">
      <c r="E431" s="1">
        <f t="shared" si="55"/>
        <v>428</v>
      </c>
      <c r="F431" s="4">
        <f t="shared" ca="1" si="56"/>
        <v>223000</v>
      </c>
      <c r="G431" s="1" t="s">
        <v>70</v>
      </c>
      <c r="H431" s="26">
        <f t="shared" ca="1" si="54"/>
        <v>0.3894184654476347</v>
      </c>
      <c r="I431" s="4">
        <f>IF(G431="Yes",-$C$8,0)</f>
        <v>-500</v>
      </c>
      <c r="J431" s="4">
        <f>IF(G431="Yes",$C$8-I431,0)</f>
        <v>1000</v>
      </c>
      <c r="K431" s="4">
        <f ca="1">IF(H431&gt;=$C$4,J431+I431,I431)</f>
        <v>500</v>
      </c>
      <c r="M431" s="61">
        <f t="shared" si="61"/>
        <v>342.40000000000003</v>
      </c>
      <c r="N431" s="61">
        <f t="shared" si="62"/>
        <v>85.599999999999966</v>
      </c>
      <c r="O431" s="4">
        <f t="shared" si="57"/>
        <v>171200.00000000003</v>
      </c>
      <c r="P431" s="4">
        <f t="shared" si="58"/>
        <v>-42799.999999999985</v>
      </c>
      <c r="Q431" s="4">
        <f t="shared" si="59"/>
        <v>128400.00000000004</v>
      </c>
      <c r="R431" s="4">
        <f t="shared" si="60"/>
        <v>228400.00000000006</v>
      </c>
    </row>
    <row r="432" spans="5:18" x14ac:dyDescent="0.25">
      <c r="E432" s="1">
        <f t="shared" si="55"/>
        <v>429</v>
      </c>
      <c r="F432" s="4">
        <f t="shared" ca="1" si="56"/>
        <v>223500</v>
      </c>
      <c r="G432" s="1" t="s">
        <v>70</v>
      </c>
      <c r="H432" s="26">
        <f t="shared" ca="1" si="54"/>
        <v>0.79088938800413811</v>
      </c>
      <c r="I432" s="4">
        <f>IF(G432="Yes",-$C$8,0)</f>
        <v>-500</v>
      </c>
      <c r="J432" s="4">
        <f>IF(G432="Yes",$C$8-I432,0)</f>
        <v>1000</v>
      </c>
      <c r="K432" s="4">
        <f ca="1">IF(H432&gt;=$C$4,J432+I432,I432)</f>
        <v>500</v>
      </c>
      <c r="M432" s="61">
        <f t="shared" si="61"/>
        <v>343.20000000000005</v>
      </c>
      <c r="N432" s="61">
        <f t="shared" si="62"/>
        <v>85.799999999999955</v>
      </c>
      <c r="O432" s="4">
        <f t="shared" si="57"/>
        <v>171600.00000000003</v>
      </c>
      <c r="P432" s="4">
        <f t="shared" si="58"/>
        <v>-42899.999999999978</v>
      </c>
      <c r="Q432" s="4">
        <f t="shared" si="59"/>
        <v>128700.00000000006</v>
      </c>
      <c r="R432" s="4">
        <f t="shared" si="60"/>
        <v>228700.00000000006</v>
      </c>
    </row>
    <row r="433" spans="5:18" x14ac:dyDescent="0.25">
      <c r="E433" s="1">
        <f t="shared" si="55"/>
        <v>430</v>
      </c>
      <c r="F433" s="4">
        <f t="shared" ca="1" si="56"/>
        <v>224000</v>
      </c>
      <c r="G433" s="1" t="s">
        <v>70</v>
      </c>
      <c r="H433" s="26">
        <f t="shared" ca="1" si="54"/>
        <v>0.47272609571638791</v>
      </c>
      <c r="I433" s="4">
        <f>IF(G433="Yes",-$C$8,0)</f>
        <v>-500</v>
      </c>
      <c r="J433" s="4">
        <f>IF(G433="Yes",$C$8-I433,0)</f>
        <v>1000</v>
      </c>
      <c r="K433" s="4">
        <f ca="1">IF(H433&gt;=$C$4,J433+I433,I433)</f>
        <v>500</v>
      </c>
      <c r="M433" s="61">
        <f t="shared" si="61"/>
        <v>344</v>
      </c>
      <c r="N433" s="61">
        <f t="shared" si="62"/>
        <v>86</v>
      </c>
      <c r="O433" s="4">
        <f t="shared" si="57"/>
        <v>172000</v>
      </c>
      <c r="P433" s="4">
        <f t="shared" si="58"/>
        <v>-43000</v>
      </c>
      <c r="Q433" s="4">
        <f t="shared" si="59"/>
        <v>129000</v>
      </c>
      <c r="R433" s="4">
        <f t="shared" si="60"/>
        <v>229000</v>
      </c>
    </row>
    <row r="434" spans="5:18" x14ac:dyDescent="0.25">
      <c r="E434" s="1">
        <f t="shared" si="55"/>
        <v>431</v>
      </c>
      <c r="F434" s="4">
        <f t="shared" ca="1" si="56"/>
        <v>224500</v>
      </c>
      <c r="G434" s="1" t="s">
        <v>70</v>
      </c>
      <c r="H434" s="26">
        <f t="shared" ca="1" si="54"/>
        <v>0.49008733192786313</v>
      </c>
      <c r="I434" s="4">
        <f>IF(G434="Yes",-$C$8,0)</f>
        <v>-500</v>
      </c>
      <c r="J434" s="4">
        <f>IF(G434="Yes",$C$8-I434,0)</f>
        <v>1000</v>
      </c>
      <c r="K434" s="4">
        <f ca="1">IF(H434&gt;=$C$4,J434+I434,I434)</f>
        <v>500</v>
      </c>
      <c r="M434" s="61">
        <f t="shared" si="61"/>
        <v>344.8</v>
      </c>
      <c r="N434" s="61">
        <f t="shared" si="62"/>
        <v>86.199999999999989</v>
      </c>
      <c r="O434" s="4">
        <f t="shared" si="57"/>
        <v>172400</v>
      </c>
      <c r="P434" s="4">
        <f t="shared" si="58"/>
        <v>-43099.999999999993</v>
      </c>
      <c r="Q434" s="4">
        <f t="shared" si="59"/>
        <v>129300</v>
      </c>
      <c r="R434" s="4">
        <f t="shared" si="60"/>
        <v>229300</v>
      </c>
    </row>
    <row r="435" spans="5:18" x14ac:dyDescent="0.25">
      <c r="E435" s="1">
        <f t="shared" si="55"/>
        <v>432</v>
      </c>
      <c r="F435" s="4">
        <f t="shared" ca="1" si="56"/>
        <v>225000</v>
      </c>
      <c r="G435" s="1" t="s">
        <v>70</v>
      </c>
      <c r="H435" s="26">
        <f t="shared" ca="1" si="54"/>
        <v>0.54987495032422073</v>
      </c>
      <c r="I435" s="4">
        <f>IF(G435="Yes",-$C$8,0)</f>
        <v>-500</v>
      </c>
      <c r="J435" s="4">
        <f>IF(G435="Yes",$C$8-I435,0)</f>
        <v>1000</v>
      </c>
      <c r="K435" s="4">
        <f ca="1">IF(H435&gt;=$C$4,J435+I435,I435)</f>
        <v>500</v>
      </c>
      <c r="M435" s="61">
        <f t="shared" si="61"/>
        <v>345.6</v>
      </c>
      <c r="N435" s="61">
        <f t="shared" si="62"/>
        <v>86.399999999999977</v>
      </c>
      <c r="O435" s="4">
        <f t="shared" si="57"/>
        <v>172800</v>
      </c>
      <c r="P435" s="4">
        <f t="shared" si="58"/>
        <v>-43199.999999999985</v>
      </c>
      <c r="Q435" s="4">
        <f t="shared" si="59"/>
        <v>129600.00000000001</v>
      </c>
      <c r="R435" s="4">
        <f t="shared" si="60"/>
        <v>229600</v>
      </c>
    </row>
    <row r="436" spans="5:18" x14ac:dyDescent="0.25">
      <c r="E436" s="1">
        <f t="shared" si="55"/>
        <v>433</v>
      </c>
      <c r="F436" s="4">
        <f t="shared" ca="1" si="56"/>
        <v>225500</v>
      </c>
      <c r="G436" s="1" t="s">
        <v>70</v>
      </c>
      <c r="H436" s="26">
        <f t="shared" ca="1" si="54"/>
        <v>0.53748787234417184</v>
      </c>
      <c r="I436" s="4">
        <f>IF(G436="Yes",-$C$8,0)</f>
        <v>-500</v>
      </c>
      <c r="J436" s="4">
        <f>IF(G436="Yes",$C$8-I436,0)</f>
        <v>1000</v>
      </c>
      <c r="K436" s="4">
        <f ca="1">IF(H436&gt;=$C$4,J436+I436,I436)</f>
        <v>500</v>
      </c>
      <c r="M436" s="61">
        <f t="shared" si="61"/>
        <v>346.40000000000003</v>
      </c>
      <c r="N436" s="61">
        <f t="shared" si="62"/>
        <v>86.599999999999966</v>
      </c>
      <c r="O436" s="4">
        <f t="shared" si="57"/>
        <v>173200.00000000003</v>
      </c>
      <c r="P436" s="4">
        <f t="shared" si="58"/>
        <v>-43299.999999999985</v>
      </c>
      <c r="Q436" s="4">
        <f t="shared" si="59"/>
        <v>129900.00000000004</v>
      </c>
      <c r="R436" s="4">
        <f t="shared" si="60"/>
        <v>229900.00000000006</v>
      </c>
    </row>
    <row r="437" spans="5:18" x14ac:dyDescent="0.25">
      <c r="E437" s="1">
        <f t="shared" si="55"/>
        <v>434</v>
      </c>
      <c r="F437" s="4">
        <f t="shared" ca="1" si="56"/>
        <v>226000</v>
      </c>
      <c r="G437" s="1" t="s">
        <v>70</v>
      </c>
      <c r="H437" s="26">
        <f t="shared" ca="1" si="54"/>
        <v>0.84263824597606318</v>
      </c>
      <c r="I437" s="4">
        <f>IF(G437="Yes",-$C$8,0)</f>
        <v>-500</v>
      </c>
      <c r="J437" s="4">
        <f>IF(G437="Yes",$C$8-I437,0)</f>
        <v>1000</v>
      </c>
      <c r="K437" s="4">
        <f ca="1">IF(H437&gt;=$C$4,J437+I437,I437)</f>
        <v>500</v>
      </c>
      <c r="M437" s="61">
        <f t="shared" si="61"/>
        <v>347.20000000000005</v>
      </c>
      <c r="N437" s="61">
        <f t="shared" si="62"/>
        <v>86.799999999999955</v>
      </c>
      <c r="O437" s="4">
        <f t="shared" si="57"/>
        <v>173600.00000000003</v>
      </c>
      <c r="P437" s="4">
        <f t="shared" si="58"/>
        <v>-43399.999999999978</v>
      </c>
      <c r="Q437" s="4">
        <f t="shared" si="59"/>
        <v>130200.00000000006</v>
      </c>
      <c r="R437" s="4">
        <f t="shared" si="60"/>
        <v>230200.00000000006</v>
      </c>
    </row>
    <row r="438" spans="5:18" x14ac:dyDescent="0.25">
      <c r="E438" s="1">
        <f t="shared" si="55"/>
        <v>435</v>
      </c>
      <c r="F438" s="4">
        <f t="shared" ca="1" si="56"/>
        <v>226500</v>
      </c>
      <c r="G438" s="1" t="s">
        <v>70</v>
      </c>
      <c r="H438" s="26">
        <f t="shared" ca="1" si="54"/>
        <v>0.76624799223561368</v>
      </c>
      <c r="I438" s="4">
        <f>IF(G438="Yes",-$C$8,0)</f>
        <v>-500</v>
      </c>
      <c r="J438" s="4">
        <f>IF(G438="Yes",$C$8-I438,0)</f>
        <v>1000</v>
      </c>
      <c r="K438" s="4">
        <f ca="1">IF(H438&gt;=$C$4,J438+I438,I438)</f>
        <v>500</v>
      </c>
      <c r="M438" s="61">
        <f t="shared" si="61"/>
        <v>348</v>
      </c>
      <c r="N438" s="61">
        <f t="shared" si="62"/>
        <v>87</v>
      </c>
      <c r="O438" s="4">
        <f t="shared" si="57"/>
        <v>174000</v>
      </c>
      <c r="P438" s="4">
        <f t="shared" si="58"/>
        <v>-43500</v>
      </c>
      <c r="Q438" s="4">
        <f t="shared" si="59"/>
        <v>130500</v>
      </c>
      <c r="R438" s="4">
        <f t="shared" si="60"/>
        <v>230500</v>
      </c>
    </row>
    <row r="439" spans="5:18" x14ac:dyDescent="0.25">
      <c r="E439" s="1">
        <f t="shared" si="55"/>
        <v>436</v>
      </c>
      <c r="F439" s="4">
        <f t="shared" ca="1" si="56"/>
        <v>227000</v>
      </c>
      <c r="G439" s="1" t="s">
        <v>70</v>
      </c>
      <c r="H439" s="26">
        <f t="shared" ca="1" si="54"/>
        <v>0.45489570628714193</v>
      </c>
      <c r="I439" s="4">
        <f>IF(G439="Yes",-$C$8,0)</f>
        <v>-500</v>
      </c>
      <c r="J439" s="4">
        <f>IF(G439="Yes",$C$8-I439,0)</f>
        <v>1000</v>
      </c>
      <c r="K439" s="4">
        <f ca="1">IF(H439&gt;=$C$4,J439+I439,I439)</f>
        <v>500</v>
      </c>
      <c r="M439" s="61">
        <f t="shared" si="61"/>
        <v>348.8</v>
      </c>
      <c r="N439" s="61">
        <f t="shared" si="62"/>
        <v>87.199999999999989</v>
      </c>
      <c r="O439" s="4">
        <f t="shared" si="57"/>
        <v>174400</v>
      </c>
      <c r="P439" s="4">
        <f t="shared" si="58"/>
        <v>-43599.999999999993</v>
      </c>
      <c r="Q439" s="4">
        <f t="shared" si="59"/>
        <v>130800</v>
      </c>
      <c r="R439" s="4">
        <f t="shared" si="60"/>
        <v>230800</v>
      </c>
    </row>
    <row r="440" spans="5:18" x14ac:dyDescent="0.25">
      <c r="E440" s="1">
        <f t="shared" si="55"/>
        <v>437</v>
      </c>
      <c r="F440" s="4">
        <f t="shared" ca="1" si="56"/>
        <v>227500</v>
      </c>
      <c r="G440" s="1" t="s">
        <v>70</v>
      </c>
      <c r="H440" s="26">
        <f t="shared" ca="1" si="54"/>
        <v>0.36298491359035245</v>
      </c>
      <c r="I440" s="4">
        <f>IF(G440="Yes",-$C$8,0)</f>
        <v>-500</v>
      </c>
      <c r="J440" s="4">
        <f>IF(G440="Yes",$C$8-I440,0)</f>
        <v>1000</v>
      </c>
      <c r="K440" s="4">
        <f ca="1">IF(H440&gt;=$C$4,J440+I440,I440)</f>
        <v>500</v>
      </c>
      <c r="M440" s="61">
        <f t="shared" si="61"/>
        <v>349.6</v>
      </c>
      <c r="N440" s="61">
        <f t="shared" si="62"/>
        <v>87.399999999999977</v>
      </c>
      <c r="O440" s="4">
        <f t="shared" si="57"/>
        <v>174800</v>
      </c>
      <c r="P440" s="4">
        <f t="shared" si="58"/>
        <v>-43699.999999999985</v>
      </c>
      <c r="Q440" s="4">
        <f t="shared" si="59"/>
        <v>131100</v>
      </c>
      <c r="R440" s="4">
        <f t="shared" si="60"/>
        <v>231100</v>
      </c>
    </row>
    <row r="441" spans="5:18" x14ac:dyDescent="0.25">
      <c r="E441" s="1">
        <f t="shared" si="55"/>
        <v>438</v>
      </c>
      <c r="F441" s="4">
        <f t="shared" ca="1" si="56"/>
        <v>228000</v>
      </c>
      <c r="G441" s="1" t="s">
        <v>70</v>
      </c>
      <c r="H441" s="26">
        <f t="shared" ca="1" si="54"/>
        <v>0.81708503675889943</v>
      </c>
      <c r="I441" s="4">
        <f>IF(G441="Yes",-$C$8,0)</f>
        <v>-500</v>
      </c>
      <c r="J441" s="4">
        <f>IF(G441="Yes",$C$8-I441,0)</f>
        <v>1000</v>
      </c>
      <c r="K441" s="4">
        <f ca="1">IF(H441&gt;=$C$4,J441+I441,I441)</f>
        <v>500</v>
      </c>
      <c r="M441" s="61">
        <f t="shared" si="61"/>
        <v>350.40000000000003</v>
      </c>
      <c r="N441" s="61">
        <f t="shared" si="62"/>
        <v>87.599999999999966</v>
      </c>
      <c r="O441" s="4">
        <f t="shared" si="57"/>
        <v>175200.00000000003</v>
      </c>
      <c r="P441" s="4">
        <f t="shared" si="58"/>
        <v>-43799.999999999985</v>
      </c>
      <c r="Q441" s="4">
        <f t="shared" si="59"/>
        <v>131400.00000000006</v>
      </c>
      <c r="R441" s="4">
        <f t="shared" si="60"/>
        <v>231400.00000000006</v>
      </c>
    </row>
    <row r="442" spans="5:18" x14ac:dyDescent="0.25">
      <c r="E442" s="1">
        <f t="shared" si="55"/>
        <v>439</v>
      </c>
      <c r="F442" s="4">
        <f t="shared" ca="1" si="56"/>
        <v>228500</v>
      </c>
      <c r="G442" s="1" t="s">
        <v>70</v>
      </c>
      <c r="H442" s="26">
        <f t="shared" ca="1" si="54"/>
        <v>0.77649741818229667</v>
      </c>
      <c r="I442" s="4">
        <f>IF(G442="Yes",-$C$8,0)</f>
        <v>-500</v>
      </c>
      <c r="J442" s="4">
        <f>IF(G442="Yes",$C$8-I442,0)</f>
        <v>1000</v>
      </c>
      <c r="K442" s="4">
        <f ca="1">IF(H442&gt;=$C$4,J442+I442,I442)</f>
        <v>500</v>
      </c>
      <c r="M442" s="61">
        <f t="shared" si="61"/>
        <v>351.20000000000005</v>
      </c>
      <c r="N442" s="61">
        <f t="shared" si="62"/>
        <v>87.799999999999955</v>
      </c>
      <c r="O442" s="4">
        <f t="shared" si="57"/>
        <v>175600.00000000003</v>
      </c>
      <c r="P442" s="4">
        <f t="shared" si="58"/>
        <v>-43899.999999999978</v>
      </c>
      <c r="Q442" s="4">
        <f t="shared" si="59"/>
        <v>131700.00000000006</v>
      </c>
      <c r="R442" s="4">
        <f t="shared" si="60"/>
        <v>231700.00000000006</v>
      </c>
    </row>
    <row r="443" spans="5:18" x14ac:dyDescent="0.25">
      <c r="E443" s="1">
        <f t="shared" si="55"/>
        <v>440</v>
      </c>
      <c r="F443" s="4">
        <f t="shared" ca="1" si="56"/>
        <v>229000</v>
      </c>
      <c r="G443" s="1" t="s">
        <v>70</v>
      </c>
      <c r="H443" s="26">
        <f t="shared" ca="1" si="54"/>
        <v>0.73565205650358867</v>
      </c>
      <c r="I443" s="4">
        <f>IF(G443="Yes",-$C$8,0)</f>
        <v>-500</v>
      </c>
      <c r="J443" s="4">
        <f>IF(G443="Yes",$C$8-I443,0)</f>
        <v>1000</v>
      </c>
      <c r="K443" s="4">
        <f ca="1">IF(H443&gt;=$C$4,J443+I443,I443)</f>
        <v>500</v>
      </c>
      <c r="M443" s="61">
        <f t="shared" si="61"/>
        <v>352</v>
      </c>
      <c r="N443" s="61">
        <f t="shared" si="62"/>
        <v>88</v>
      </c>
      <c r="O443" s="4">
        <f t="shared" si="57"/>
        <v>176000</v>
      </c>
      <c r="P443" s="4">
        <f t="shared" si="58"/>
        <v>-44000</v>
      </c>
      <c r="Q443" s="4">
        <f t="shared" si="59"/>
        <v>132000</v>
      </c>
      <c r="R443" s="4">
        <f t="shared" si="60"/>
        <v>232000</v>
      </c>
    </row>
    <row r="444" spans="5:18" x14ac:dyDescent="0.25">
      <c r="E444" s="1">
        <f t="shared" si="55"/>
        <v>441</v>
      </c>
      <c r="F444" s="4">
        <f t="shared" ca="1" si="56"/>
        <v>229500</v>
      </c>
      <c r="G444" s="1" t="s">
        <v>70</v>
      </c>
      <c r="H444" s="26">
        <f t="shared" ca="1" si="54"/>
        <v>0.5870782742678069</v>
      </c>
      <c r="I444" s="4">
        <f>IF(G444="Yes",-$C$8,0)</f>
        <v>-500</v>
      </c>
      <c r="J444" s="4">
        <f>IF(G444="Yes",$C$8-I444,0)</f>
        <v>1000</v>
      </c>
      <c r="K444" s="4">
        <f ca="1">IF(H444&gt;=$C$4,J444+I444,I444)</f>
        <v>500</v>
      </c>
      <c r="M444" s="61">
        <f t="shared" si="61"/>
        <v>352.8</v>
      </c>
      <c r="N444" s="61">
        <f t="shared" si="62"/>
        <v>88.199999999999989</v>
      </c>
      <c r="O444" s="4">
        <f t="shared" si="57"/>
        <v>176400</v>
      </c>
      <c r="P444" s="4">
        <f t="shared" si="58"/>
        <v>-44099.999999999993</v>
      </c>
      <c r="Q444" s="4">
        <f t="shared" si="59"/>
        <v>132300</v>
      </c>
      <c r="R444" s="4">
        <f t="shared" si="60"/>
        <v>232300</v>
      </c>
    </row>
    <row r="445" spans="5:18" x14ac:dyDescent="0.25">
      <c r="E445" s="1">
        <f t="shared" si="55"/>
        <v>442</v>
      </c>
      <c r="F445" s="4">
        <f t="shared" ca="1" si="56"/>
        <v>230000</v>
      </c>
      <c r="G445" s="1" t="s">
        <v>70</v>
      </c>
      <c r="H445" s="26">
        <f t="shared" ca="1" si="54"/>
        <v>0.69169899612138652</v>
      </c>
      <c r="I445" s="4">
        <f>IF(G445="Yes",-$C$8,0)</f>
        <v>-500</v>
      </c>
      <c r="J445" s="4">
        <f>IF(G445="Yes",$C$8-I445,0)</f>
        <v>1000</v>
      </c>
      <c r="K445" s="4">
        <f ca="1">IF(H445&gt;=$C$4,J445+I445,I445)</f>
        <v>500</v>
      </c>
      <c r="M445" s="61">
        <f t="shared" si="61"/>
        <v>353.6</v>
      </c>
      <c r="N445" s="61">
        <f t="shared" si="62"/>
        <v>88.399999999999977</v>
      </c>
      <c r="O445" s="4">
        <f t="shared" si="57"/>
        <v>176800</v>
      </c>
      <c r="P445" s="4">
        <f t="shared" si="58"/>
        <v>-44199.999999999985</v>
      </c>
      <c r="Q445" s="4">
        <f t="shared" si="59"/>
        <v>132600</v>
      </c>
      <c r="R445" s="4">
        <f t="shared" si="60"/>
        <v>232600</v>
      </c>
    </row>
    <row r="446" spans="5:18" x14ac:dyDescent="0.25">
      <c r="E446" s="1">
        <f t="shared" si="55"/>
        <v>443</v>
      </c>
      <c r="F446" s="4">
        <f t="shared" ca="1" si="56"/>
        <v>230500</v>
      </c>
      <c r="G446" s="1" t="s">
        <v>70</v>
      </c>
      <c r="H446" s="26">
        <f t="shared" ca="1" si="54"/>
        <v>0.53088701952783868</v>
      </c>
      <c r="I446" s="4">
        <f>IF(G446="Yes",-$C$8,0)</f>
        <v>-500</v>
      </c>
      <c r="J446" s="4">
        <f>IF(G446="Yes",$C$8-I446,0)</f>
        <v>1000</v>
      </c>
      <c r="K446" s="4">
        <f ca="1">IF(H446&gt;=$C$4,J446+I446,I446)</f>
        <v>500</v>
      </c>
      <c r="M446" s="61">
        <f t="shared" si="61"/>
        <v>354.40000000000003</v>
      </c>
      <c r="N446" s="61">
        <f t="shared" si="62"/>
        <v>88.599999999999966</v>
      </c>
      <c r="O446" s="4">
        <f t="shared" si="57"/>
        <v>177200.00000000003</v>
      </c>
      <c r="P446" s="4">
        <f t="shared" si="58"/>
        <v>-44299.999999999985</v>
      </c>
      <c r="Q446" s="4">
        <f t="shared" si="59"/>
        <v>132900.00000000006</v>
      </c>
      <c r="R446" s="4">
        <f t="shared" si="60"/>
        <v>232900.00000000006</v>
      </c>
    </row>
    <row r="447" spans="5:18" x14ac:dyDescent="0.25">
      <c r="E447" s="1">
        <f t="shared" si="55"/>
        <v>444</v>
      </c>
      <c r="F447" s="4">
        <f t="shared" ca="1" si="56"/>
        <v>231000</v>
      </c>
      <c r="G447" s="1" t="s">
        <v>70</v>
      </c>
      <c r="H447" s="26">
        <f t="shared" ca="1" si="54"/>
        <v>0.7866056516266996</v>
      </c>
      <c r="I447" s="4">
        <f>IF(G447="Yes",-$C$8,0)</f>
        <v>-500</v>
      </c>
      <c r="J447" s="4">
        <f>IF(G447="Yes",$C$8-I447,0)</f>
        <v>1000</v>
      </c>
      <c r="K447" s="4">
        <f ca="1">IF(H447&gt;=$C$4,J447+I447,I447)</f>
        <v>500</v>
      </c>
      <c r="M447" s="61">
        <f t="shared" si="61"/>
        <v>355.20000000000005</v>
      </c>
      <c r="N447" s="61">
        <f t="shared" si="62"/>
        <v>88.799999999999955</v>
      </c>
      <c r="O447" s="4">
        <f t="shared" si="57"/>
        <v>177600.00000000003</v>
      </c>
      <c r="P447" s="4">
        <f t="shared" si="58"/>
        <v>-44399.999999999978</v>
      </c>
      <c r="Q447" s="4">
        <f t="shared" si="59"/>
        <v>133200.00000000006</v>
      </c>
      <c r="R447" s="4">
        <f t="shared" si="60"/>
        <v>233200.00000000006</v>
      </c>
    </row>
    <row r="448" spans="5:18" x14ac:dyDescent="0.25">
      <c r="E448" s="1">
        <f t="shared" si="55"/>
        <v>445</v>
      </c>
      <c r="F448" s="4">
        <f t="shared" ca="1" si="56"/>
        <v>231500</v>
      </c>
      <c r="G448" s="1" t="s">
        <v>70</v>
      </c>
      <c r="H448" s="26">
        <f t="shared" ca="1" si="54"/>
        <v>0.68594525768459003</v>
      </c>
      <c r="I448" s="4">
        <f>IF(G448="Yes",-$C$8,0)</f>
        <v>-500</v>
      </c>
      <c r="J448" s="4">
        <f>IF(G448="Yes",$C$8-I448,0)</f>
        <v>1000</v>
      </c>
      <c r="K448" s="4">
        <f ca="1">IF(H448&gt;=$C$4,J448+I448,I448)</f>
        <v>500</v>
      </c>
      <c r="M448" s="61">
        <f t="shared" si="61"/>
        <v>356</v>
      </c>
      <c r="N448" s="61">
        <f t="shared" si="62"/>
        <v>89</v>
      </c>
      <c r="O448" s="4">
        <f t="shared" si="57"/>
        <v>178000</v>
      </c>
      <c r="P448" s="4">
        <f t="shared" si="58"/>
        <v>-44500</v>
      </c>
      <c r="Q448" s="4">
        <f t="shared" si="59"/>
        <v>133500</v>
      </c>
      <c r="R448" s="4">
        <f t="shared" si="60"/>
        <v>233500</v>
      </c>
    </row>
    <row r="449" spans="5:18" x14ac:dyDescent="0.25">
      <c r="E449" s="1">
        <f t="shared" si="55"/>
        <v>446</v>
      </c>
      <c r="F449" s="4">
        <f t="shared" ca="1" si="56"/>
        <v>232000</v>
      </c>
      <c r="G449" s="1" t="s">
        <v>70</v>
      </c>
      <c r="H449" s="26">
        <f t="shared" ca="1" si="54"/>
        <v>0.62945529051136762</v>
      </c>
      <c r="I449" s="4">
        <f>IF(G449="Yes",-$C$8,0)</f>
        <v>-500</v>
      </c>
      <c r="J449" s="4">
        <f>IF(G449="Yes",$C$8-I449,0)</f>
        <v>1000</v>
      </c>
      <c r="K449" s="4">
        <f ca="1">IF(H449&gt;=$C$4,J449+I449,I449)</f>
        <v>500</v>
      </c>
      <c r="M449" s="61">
        <f t="shared" si="61"/>
        <v>356.8</v>
      </c>
      <c r="N449" s="61">
        <f t="shared" si="62"/>
        <v>89.199999999999989</v>
      </c>
      <c r="O449" s="4">
        <f t="shared" si="57"/>
        <v>178400</v>
      </c>
      <c r="P449" s="4">
        <f t="shared" si="58"/>
        <v>-44599.999999999993</v>
      </c>
      <c r="Q449" s="4">
        <f t="shared" si="59"/>
        <v>133800</v>
      </c>
      <c r="R449" s="4">
        <f t="shared" si="60"/>
        <v>233800</v>
      </c>
    </row>
    <row r="450" spans="5:18" x14ac:dyDescent="0.25">
      <c r="E450" s="1">
        <f t="shared" si="55"/>
        <v>447</v>
      </c>
      <c r="F450" s="4">
        <f t="shared" ca="1" si="56"/>
        <v>232500</v>
      </c>
      <c r="G450" s="1" t="s">
        <v>70</v>
      </c>
      <c r="H450" s="26">
        <f t="shared" ca="1" si="54"/>
        <v>0.59786328690661217</v>
      </c>
      <c r="I450" s="4">
        <f>IF(G450="Yes",-$C$8,0)</f>
        <v>-500</v>
      </c>
      <c r="J450" s="4">
        <f>IF(G450="Yes",$C$8-I450,0)</f>
        <v>1000</v>
      </c>
      <c r="K450" s="4">
        <f ca="1">IF(H450&gt;=$C$4,J450+I450,I450)</f>
        <v>500</v>
      </c>
      <c r="M450" s="61">
        <f t="shared" si="61"/>
        <v>357.6</v>
      </c>
      <c r="N450" s="61">
        <f t="shared" si="62"/>
        <v>89.399999999999977</v>
      </c>
      <c r="O450" s="4">
        <f t="shared" si="57"/>
        <v>178800</v>
      </c>
      <c r="P450" s="4">
        <f t="shared" si="58"/>
        <v>-44699.999999999985</v>
      </c>
      <c r="Q450" s="4">
        <f t="shared" si="59"/>
        <v>134100</v>
      </c>
      <c r="R450" s="4">
        <f t="shared" si="60"/>
        <v>234100</v>
      </c>
    </row>
    <row r="451" spans="5:18" x14ac:dyDescent="0.25">
      <c r="E451" s="1">
        <f t="shared" si="55"/>
        <v>448</v>
      </c>
      <c r="F451" s="4">
        <f t="shared" ca="1" si="56"/>
        <v>232000</v>
      </c>
      <c r="G451" s="1" t="s">
        <v>70</v>
      </c>
      <c r="H451" s="26">
        <f t="shared" ca="1" si="54"/>
        <v>3.4044220836908168E-2</v>
      </c>
      <c r="I451" s="4">
        <f>IF(G451="Yes",-$C$8,0)</f>
        <v>-500</v>
      </c>
      <c r="J451" s="4">
        <f>IF(G451="Yes",$C$8-I451,0)</f>
        <v>1000</v>
      </c>
      <c r="K451" s="4">
        <f ca="1">IF(H451&gt;=$C$4,J451+I451,I451)</f>
        <v>-500</v>
      </c>
      <c r="M451" s="61">
        <f t="shared" si="61"/>
        <v>358.40000000000003</v>
      </c>
      <c r="N451" s="61">
        <f t="shared" si="62"/>
        <v>89.599999999999966</v>
      </c>
      <c r="O451" s="4">
        <f t="shared" si="57"/>
        <v>179200.00000000003</v>
      </c>
      <c r="P451" s="4">
        <f t="shared" si="58"/>
        <v>-44799.999999999985</v>
      </c>
      <c r="Q451" s="4">
        <f t="shared" si="59"/>
        <v>134400.00000000006</v>
      </c>
      <c r="R451" s="4">
        <f t="shared" si="60"/>
        <v>234400.00000000006</v>
      </c>
    </row>
    <row r="452" spans="5:18" x14ac:dyDescent="0.25">
      <c r="E452" s="1">
        <f t="shared" si="55"/>
        <v>449</v>
      </c>
      <c r="F452" s="4">
        <f t="shared" ca="1" si="56"/>
        <v>232500</v>
      </c>
      <c r="G452" s="1" t="s">
        <v>70</v>
      </c>
      <c r="H452" s="26">
        <f t="shared" ref="H452:H515" ca="1" si="63">RAND()</f>
        <v>0.20961844904510318</v>
      </c>
      <c r="I452" s="4">
        <f>IF(G452="Yes",-$C$8,0)</f>
        <v>-500</v>
      </c>
      <c r="J452" s="4">
        <f>IF(G452="Yes",$C$8-I452,0)</f>
        <v>1000</v>
      </c>
      <c r="K452" s="4">
        <f ca="1">IF(H452&gt;=$C$4,J452+I452,I452)</f>
        <v>500</v>
      </c>
      <c r="M452" s="61">
        <f t="shared" si="61"/>
        <v>359.20000000000005</v>
      </c>
      <c r="N452" s="61">
        <f t="shared" si="62"/>
        <v>89.799999999999955</v>
      </c>
      <c r="O452" s="4">
        <f t="shared" si="57"/>
        <v>179600.00000000003</v>
      </c>
      <c r="P452" s="4">
        <f t="shared" si="58"/>
        <v>-44899.999999999978</v>
      </c>
      <c r="Q452" s="4">
        <f t="shared" si="59"/>
        <v>134700.00000000006</v>
      </c>
      <c r="R452" s="4">
        <f t="shared" si="60"/>
        <v>234700.00000000006</v>
      </c>
    </row>
    <row r="453" spans="5:18" x14ac:dyDescent="0.25">
      <c r="E453" s="1">
        <f t="shared" ref="E453:E516" si="64">E452+1</f>
        <v>450</v>
      </c>
      <c r="F453" s="4">
        <f t="shared" ref="F453:F516" ca="1" si="65">F452+K453</f>
        <v>233000</v>
      </c>
      <c r="G453" s="1" t="s">
        <v>70</v>
      </c>
      <c r="H453" s="26">
        <f t="shared" ca="1" si="63"/>
        <v>0.29222871966910335</v>
      </c>
      <c r="I453" s="4">
        <f>IF(G453="Yes",-$C$8,0)</f>
        <v>-500</v>
      </c>
      <c r="J453" s="4">
        <f>IF(G453="Yes",$C$8-I453,0)</f>
        <v>1000</v>
      </c>
      <c r="K453" s="4">
        <f ca="1">IF(H453&gt;=$C$4,J453+I453,I453)</f>
        <v>500</v>
      </c>
      <c r="M453" s="61">
        <f t="shared" si="61"/>
        <v>360</v>
      </c>
      <c r="N453" s="61">
        <f t="shared" si="62"/>
        <v>90</v>
      </c>
      <c r="O453" s="4">
        <f t="shared" ref="O453:O516" si="66">M453*$C$8</f>
        <v>180000</v>
      </c>
      <c r="P453" s="4">
        <f t="shared" ref="P453:P516" si="67">N453*(-$C$8)</f>
        <v>-45000</v>
      </c>
      <c r="Q453" s="4">
        <f t="shared" ref="Q453:Q516" si="68">O453+P453</f>
        <v>135000</v>
      </c>
      <c r="R453" s="4">
        <f t="shared" ref="R453:R516" si="69">$C$7+Q453</f>
        <v>235000</v>
      </c>
    </row>
    <row r="454" spans="5:18" x14ac:dyDescent="0.25">
      <c r="E454" s="1">
        <f t="shared" si="64"/>
        <v>451</v>
      </c>
      <c r="F454" s="4">
        <f t="shared" ca="1" si="65"/>
        <v>233500</v>
      </c>
      <c r="G454" s="1" t="s">
        <v>70</v>
      </c>
      <c r="H454" s="26">
        <f t="shared" ca="1" si="63"/>
        <v>0.63885185731284089</v>
      </c>
      <c r="I454" s="4">
        <f>IF(G454="Yes",-$C$8,0)</f>
        <v>-500</v>
      </c>
      <c r="J454" s="4">
        <f>IF(G454="Yes",$C$8-I454,0)</f>
        <v>1000</v>
      </c>
      <c r="K454" s="4">
        <f ca="1">IF(H454&gt;=$C$4,J454+I454,I454)</f>
        <v>500</v>
      </c>
      <c r="M454" s="61">
        <f t="shared" si="61"/>
        <v>360.8</v>
      </c>
      <c r="N454" s="61">
        <f t="shared" si="62"/>
        <v>90.199999999999989</v>
      </c>
      <c r="O454" s="4">
        <f t="shared" si="66"/>
        <v>180400</v>
      </c>
      <c r="P454" s="4">
        <f t="shared" si="67"/>
        <v>-45099.999999999993</v>
      </c>
      <c r="Q454" s="4">
        <f t="shared" si="68"/>
        <v>135300</v>
      </c>
      <c r="R454" s="4">
        <f t="shared" si="69"/>
        <v>235300</v>
      </c>
    </row>
    <row r="455" spans="5:18" x14ac:dyDescent="0.25">
      <c r="E455" s="1">
        <f t="shared" si="64"/>
        <v>452</v>
      </c>
      <c r="F455" s="4">
        <f t="shared" ca="1" si="65"/>
        <v>234000</v>
      </c>
      <c r="G455" s="1" t="s">
        <v>70</v>
      </c>
      <c r="H455" s="26">
        <f t="shared" ca="1" si="63"/>
        <v>0.58562885473092485</v>
      </c>
      <c r="I455" s="4">
        <f>IF(G455="Yes",-$C$8,0)</f>
        <v>-500</v>
      </c>
      <c r="J455" s="4">
        <f>IF(G455="Yes",$C$8-I455,0)</f>
        <v>1000</v>
      </c>
      <c r="K455" s="4">
        <f ca="1">IF(H455&gt;=$C$4,J455+I455,I455)</f>
        <v>500</v>
      </c>
      <c r="M455" s="61">
        <f t="shared" si="61"/>
        <v>361.6</v>
      </c>
      <c r="N455" s="61">
        <f t="shared" si="62"/>
        <v>90.399999999999977</v>
      </c>
      <c r="O455" s="4">
        <f t="shared" si="66"/>
        <v>180800</v>
      </c>
      <c r="P455" s="4">
        <f t="shared" si="67"/>
        <v>-45199.999999999985</v>
      </c>
      <c r="Q455" s="4">
        <f t="shared" si="68"/>
        <v>135600</v>
      </c>
      <c r="R455" s="4">
        <f t="shared" si="69"/>
        <v>235600</v>
      </c>
    </row>
    <row r="456" spans="5:18" x14ac:dyDescent="0.25">
      <c r="E456" s="1">
        <f t="shared" si="64"/>
        <v>453</v>
      </c>
      <c r="F456" s="4">
        <f t="shared" ca="1" si="65"/>
        <v>234500</v>
      </c>
      <c r="G456" s="1" t="s">
        <v>70</v>
      </c>
      <c r="H456" s="26">
        <f t="shared" ca="1" si="63"/>
        <v>0.72091393398868431</v>
      </c>
      <c r="I456" s="4">
        <f>IF(G456="Yes",-$C$8,0)</f>
        <v>-500</v>
      </c>
      <c r="J456" s="4">
        <f>IF(G456="Yes",$C$8-I456,0)</f>
        <v>1000</v>
      </c>
      <c r="K456" s="4">
        <f ca="1">IF(H456&gt;=$C$4,J456+I456,I456)</f>
        <v>500</v>
      </c>
      <c r="M456" s="61">
        <f t="shared" si="61"/>
        <v>362.40000000000003</v>
      </c>
      <c r="N456" s="61">
        <f t="shared" si="62"/>
        <v>90.599999999999966</v>
      </c>
      <c r="O456" s="4">
        <f t="shared" si="66"/>
        <v>181200.00000000003</v>
      </c>
      <c r="P456" s="4">
        <f t="shared" si="67"/>
        <v>-45299.999999999985</v>
      </c>
      <c r="Q456" s="4">
        <f t="shared" si="68"/>
        <v>135900.00000000006</v>
      </c>
      <c r="R456" s="4">
        <f t="shared" si="69"/>
        <v>235900.00000000006</v>
      </c>
    </row>
    <row r="457" spans="5:18" x14ac:dyDescent="0.25">
      <c r="E457" s="1">
        <f t="shared" si="64"/>
        <v>454</v>
      </c>
      <c r="F457" s="4">
        <f t="shared" ca="1" si="65"/>
        <v>235000</v>
      </c>
      <c r="G457" s="1" t="s">
        <v>70</v>
      </c>
      <c r="H457" s="26">
        <f t="shared" ca="1" si="63"/>
        <v>0.92702589331037066</v>
      </c>
      <c r="I457" s="4">
        <f>IF(G457="Yes",-$C$8,0)</f>
        <v>-500</v>
      </c>
      <c r="J457" s="4">
        <f>IF(G457="Yes",$C$8-I457,0)</f>
        <v>1000</v>
      </c>
      <c r="K457" s="4">
        <f ca="1">IF(H457&gt;=$C$4,J457+I457,I457)</f>
        <v>500</v>
      </c>
      <c r="M457" s="61">
        <f t="shared" si="61"/>
        <v>363.20000000000005</v>
      </c>
      <c r="N457" s="61">
        <f t="shared" si="62"/>
        <v>90.799999999999955</v>
      </c>
      <c r="O457" s="4">
        <f t="shared" si="66"/>
        <v>181600.00000000003</v>
      </c>
      <c r="P457" s="4">
        <f t="shared" si="67"/>
        <v>-45399.999999999978</v>
      </c>
      <c r="Q457" s="4">
        <f t="shared" si="68"/>
        <v>136200.00000000006</v>
      </c>
      <c r="R457" s="4">
        <f t="shared" si="69"/>
        <v>236200.00000000006</v>
      </c>
    </row>
    <row r="458" spans="5:18" x14ac:dyDescent="0.25">
      <c r="E458" s="1">
        <f t="shared" si="64"/>
        <v>455</v>
      </c>
      <c r="F458" s="4">
        <f t="shared" ca="1" si="65"/>
        <v>235500</v>
      </c>
      <c r="G458" s="1" t="s">
        <v>70</v>
      </c>
      <c r="H458" s="26">
        <f t="shared" ca="1" si="63"/>
        <v>0.24989299203504667</v>
      </c>
      <c r="I458" s="4">
        <f>IF(G458="Yes",-$C$8,0)</f>
        <v>-500</v>
      </c>
      <c r="J458" s="4">
        <f>IF(G458="Yes",$C$8-I458,0)</f>
        <v>1000</v>
      </c>
      <c r="K458" s="4">
        <f ca="1">IF(H458&gt;=$C$4,J458+I458,I458)</f>
        <v>500</v>
      </c>
      <c r="M458" s="61">
        <f t="shared" si="61"/>
        <v>364</v>
      </c>
      <c r="N458" s="61">
        <f t="shared" si="62"/>
        <v>91</v>
      </c>
      <c r="O458" s="4">
        <f t="shared" si="66"/>
        <v>182000</v>
      </c>
      <c r="P458" s="4">
        <f t="shared" si="67"/>
        <v>-45500</v>
      </c>
      <c r="Q458" s="4">
        <f t="shared" si="68"/>
        <v>136500</v>
      </c>
      <c r="R458" s="4">
        <f t="shared" si="69"/>
        <v>236500</v>
      </c>
    </row>
    <row r="459" spans="5:18" x14ac:dyDescent="0.25">
      <c r="E459" s="1">
        <f t="shared" si="64"/>
        <v>456</v>
      </c>
      <c r="F459" s="4">
        <f t="shared" ca="1" si="65"/>
        <v>236000</v>
      </c>
      <c r="G459" s="1" t="s">
        <v>70</v>
      </c>
      <c r="H459" s="26">
        <f t="shared" ca="1" si="63"/>
        <v>0.71678292958485967</v>
      </c>
      <c r="I459" s="4">
        <f>IF(G459="Yes",-$C$8,0)</f>
        <v>-500</v>
      </c>
      <c r="J459" s="4">
        <f>IF(G459="Yes",$C$8-I459,0)</f>
        <v>1000</v>
      </c>
      <c r="K459" s="4">
        <f ca="1">IF(H459&gt;=$C$4,J459+I459,I459)</f>
        <v>500</v>
      </c>
      <c r="M459" s="61">
        <f t="shared" si="61"/>
        <v>364.8</v>
      </c>
      <c r="N459" s="61">
        <f t="shared" si="62"/>
        <v>91.199999999999989</v>
      </c>
      <c r="O459" s="4">
        <f t="shared" si="66"/>
        <v>182400</v>
      </c>
      <c r="P459" s="4">
        <f t="shared" si="67"/>
        <v>-45599.999999999993</v>
      </c>
      <c r="Q459" s="4">
        <f t="shared" si="68"/>
        <v>136800</v>
      </c>
      <c r="R459" s="4">
        <f t="shared" si="69"/>
        <v>236800</v>
      </c>
    </row>
    <row r="460" spans="5:18" x14ac:dyDescent="0.25">
      <c r="E460" s="1">
        <f t="shared" si="64"/>
        <v>457</v>
      </c>
      <c r="F460" s="4">
        <f t="shared" ca="1" si="65"/>
        <v>236500</v>
      </c>
      <c r="G460" s="1" t="s">
        <v>70</v>
      </c>
      <c r="H460" s="26">
        <f t="shared" ca="1" si="63"/>
        <v>0.20238142539377812</v>
      </c>
      <c r="I460" s="4">
        <f>IF(G460="Yes",-$C$8,0)</f>
        <v>-500</v>
      </c>
      <c r="J460" s="4">
        <f>IF(G460="Yes",$C$8-I460,0)</f>
        <v>1000</v>
      </c>
      <c r="K460" s="4">
        <f ca="1">IF(H460&gt;=$C$4,J460+I460,I460)</f>
        <v>500</v>
      </c>
      <c r="M460" s="61">
        <f t="shared" si="61"/>
        <v>365.6</v>
      </c>
      <c r="N460" s="61">
        <f t="shared" si="62"/>
        <v>91.399999999999977</v>
      </c>
      <c r="O460" s="4">
        <f t="shared" si="66"/>
        <v>182800</v>
      </c>
      <c r="P460" s="4">
        <f t="shared" si="67"/>
        <v>-45699.999999999985</v>
      </c>
      <c r="Q460" s="4">
        <f t="shared" si="68"/>
        <v>137100</v>
      </c>
      <c r="R460" s="4">
        <f t="shared" si="69"/>
        <v>237100</v>
      </c>
    </row>
    <row r="461" spans="5:18" x14ac:dyDescent="0.25">
      <c r="E461" s="1">
        <f t="shared" si="64"/>
        <v>458</v>
      </c>
      <c r="F461" s="4">
        <f t="shared" ca="1" si="65"/>
        <v>237000</v>
      </c>
      <c r="G461" s="1" t="s">
        <v>70</v>
      </c>
      <c r="H461" s="26">
        <f t="shared" ca="1" si="63"/>
        <v>0.91180634264046123</v>
      </c>
      <c r="I461" s="4">
        <f>IF(G461="Yes",-$C$8,0)</f>
        <v>-500</v>
      </c>
      <c r="J461" s="4">
        <f>IF(G461="Yes",$C$8-I461,0)</f>
        <v>1000</v>
      </c>
      <c r="K461" s="4">
        <f ca="1">IF(H461&gt;=$C$4,J461+I461,I461)</f>
        <v>500</v>
      </c>
      <c r="M461" s="61">
        <f t="shared" si="61"/>
        <v>366.40000000000003</v>
      </c>
      <c r="N461" s="61">
        <f t="shared" si="62"/>
        <v>91.599999999999966</v>
      </c>
      <c r="O461" s="4">
        <f t="shared" si="66"/>
        <v>183200.00000000003</v>
      </c>
      <c r="P461" s="4">
        <f t="shared" si="67"/>
        <v>-45799.999999999985</v>
      </c>
      <c r="Q461" s="4">
        <f t="shared" si="68"/>
        <v>137400.00000000006</v>
      </c>
      <c r="R461" s="4">
        <f t="shared" si="69"/>
        <v>237400.00000000006</v>
      </c>
    </row>
    <row r="462" spans="5:18" x14ac:dyDescent="0.25">
      <c r="E462" s="1">
        <f t="shared" si="64"/>
        <v>459</v>
      </c>
      <c r="F462" s="4">
        <f t="shared" ca="1" si="65"/>
        <v>237500</v>
      </c>
      <c r="G462" s="1" t="s">
        <v>70</v>
      </c>
      <c r="H462" s="26">
        <f t="shared" ca="1" si="63"/>
        <v>0.42609434123270962</v>
      </c>
      <c r="I462" s="4">
        <f>IF(G462="Yes",-$C$8,0)</f>
        <v>-500</v>
      </c>
      <c r="J462" s="4">
        <f>IF(G462="Yes",$C$8-I462,0)</f>
        <v>1000</v>
      </c>
      <c r="K462" s="4">
        <f ca="1">IF(H462&gt;=$C$4,J462+I462,I462)</f>
        <v>500</v>
      </c>
      <c r="M462" s="61">
        <f t="shared" ref="M462:M525" si="70">E462*$C$3</f>
        <v>367.20000000000005</v>
      </c>
      <c r="N462" s="61">
        <f t="shared" ref="N462:N525" si="71">E462-M462</f>
        <v>91.799999999999955</v>
      </c>
      <c r="O462" s="4">
        <f t="shared" si="66"/>
        <v>183600.00000000003</v>
      </c>
      <c r="P462" s="4">
        <f t="shared" si="67"/>
        <v>-45899.999999999978</v>
      </c>
      <c r="Q462" s="4">
        <f t="shared" si="68"/>
        <v>137700.00000000006</v>
      </c>
      <c r="R462" s="4">
        <f t="shared" si="69"/>
        <v>237700.00000000006</v>
      </c>
    </row>
    <row r="463" spans="5:18" x14ac:dyDescent="0.25">
      <c r="E463" s="1">
        <f t="shared" si="64"/>
        <v>460</v>
      </c>
      <c r="F463" s="4">
        <f t="shared" ca="1" si="65"/>
        <v>238000</v>
      </c>
      <c r="G463" s="1" t="s">
        <v>70</v>
      </c>
      <c r="H463" s="26">
        <f t="shared" ca="1" si="63"/>
        <v>0.64232384641222307</v>
      </c>
      <c r="I463" s="4">
        <f>IF(G463="Yes",-$C$8,0)</f>
        <v>-500</v>
      </c>
      <c r="J463" s="4">
        <f>IF(G463="Yes",$C$8-I463,0)</f>
        <v>1000</v>
      </c>
      <c r="K463" s="4">
        <f ca="1">IF(H463&gt;=$C$4,J463+I463,I463)</f>
        <v>500</v>
      </c>
      <c r="M463" s="61">
        <f t="shared" si="70"/>
        <v>368</v>
      </c>
      <c r="N463" s="61">
        <f t="shared" si="71"/>
        <v>92</v>
      </c>
      <c r="O463" s="4">
        <f t="shared" si="66"/>
        <v>184000</v>
      </c>
      <c r="P463" s="4">
        <f t="shared" si="67"/>
        <v>-46000</v>
      </c>
      <c r="Q463" s="4">
        <f t="shared" si="68"/>
        <v>138000</v>
      </c>
      <c r="R463" s="4">
        <f t="shared" si="69"/>
        <v>238000</v>
      </c>
    </row>
    <row r="464" spans="5:18" x14ac:dyDescent="0.25">
      <c r="E464" s="1">
        <f t="shared" si="64"/>
        <v>461</v>
      </c>
      <c r="F464" s="4">
        <f t="shared" ca="1" si="65"/>
        <v>238500</v>
      </c>
      <c r="G464" s="1" t="s">
        <v>70</v>
      </c>
      <c r="H464" s="26">
        <f t="shared" ca="1" si="63"/>
        <v>0.7505045232111679</v>
      </c>
      <c r="I464" s="4">
        <f>IF(G464="Yes",-$C$8,0)</f>
        <v>-500</v>
      </c>
      <c r="J464" s="4">
        <f>IF(G464="Yes",$C$8-I464,0)</f>
        <v>1000</v>
      </c>
      <c r="K464" s="4">
        <f ca="1">IF(H464&gt;=$C$4,J464+I464,I464)</f>
        <v>500</v>
      </c>
      <c r="M464" s="61">
        <f t="shared" si="70"/>
        <v>368.8</v>
      </c>
      <c r="N464" s="61">
        <f t="shared" si="71"/>
        <v>92.199999999999989</v>
      </c>
      <c r="O464" s="4">
        <f t="shared" si="66"/>
        <v>184400</v>
      </c>
      <c r="P464" s="4">
        <f t="shared" si="67"/>
        <v>-46099.999999999993</v>
      </c>
      <c r="Q464" s="4">
        <f t="shared" si="68"/>
        <v>138300</v>
      </c>
      <c r="R464" s="4">
        <f t="shared" si="69"/>
        <v>238300</v>
      </c>
    </row>
    <row r="465" spans="5:18" x14ac:dyDescent="0.25">
      <c r="E465" s="1">
        <f t="shared" si="64"/>
        <v>462</v>
      </c>
      <c r="F465" s="4">
        <f t="shared" ca="1" si="65"/>
        <v>239000</v>
      </c>
      <c r="G465" s="1" t="s">
        <v>70</v>
      </c>
      <c r="H465" s="26">
        <f t="shared" ca="1" si="63"/>
        <v>0.78645439254476046</v>
      </c>
      <c r="I465" s="4">
        <f>IF(G465="Yes",-$C$8,0)</f>
        <v>-500</v>
      </c>
      <c r="J465" s="4">
        <f>IF(G465="Yes",$C$8-I465,0)</f>
        <v>1000</v>
      </c>
      <c r="K465" s="4">
        <f ca="1">IF(H465&gt;=$C$4,J465+I465,I465)</f>
        <v>500</v>
      </c>
      <c r="M465" s="61">
        <f t="shared" si="70"/>
        <v>369.6</v>
      </c>
      <c r="N465" s="61">
        <f t="shared" si="71"/>
        <v>92.399999999999977</v>
      </c>
      <c r="O465" s="4">
        <f t="shared" si="66"/>
        <v>184800</v>
      </c>
      <c r="P465" s="4">
        <f t="shared" si="67"/>
        <v>-46199.999999999985</v>
      </c>
      <c r="Q465" s="4">
        <f t="shared" si="68"/>
        <v>138600</v>
      </c>
      <c r="R465" s="4">
        <f t="shared" si="69"/>
        <v>238600</v>
      </c>
    </row>
    <row r="466" spans="5:18" x14ac:dyDescent="0.25">
      <c r="E466" s="1">
        <f t="shared" si="64"/>
        <v>463</v>
      </c>
      <c r="F466" s="4">
        <f t="shared" ca="1" si="65"/>
        <v>239500</v>
      </c>
      <c r="G466" s="1" t="s">
        <v>70</v>
      </c>
      <c r="H466" s="26">
        <f t="shared" ca="1" si="63"/>
        <v>0.7723419731329294</v>
      </c>
      <c r="I466" s="4">
        <f>IF(G466="Yes",-$C$8,0)</f>
        <v>-500</v>
      </c>
      <c r="J466" s="4">
        <f>IF(G466="Yes",$C$8-I466,0)</f>
        <v>1000</v>
      </c>
      <c r="K466" s="4">
        <f ca="1">IF(H466&gt;=$C$4,J466+I466,I466)</f>
        <v>500</v>
      </c>
      <c r="M466" s="61">
        <f t="shared" si="70"/>
        <v>370.40000000000003</v>
      </c>
      <c r="N466" s="61">
        <f t="shared" si="71"/>
        <v>92.599999999999966</v>
      </c>
      <c r="O466" s="4">
        <f t="shared" si="66"/>
        <v>185200.00000000003</v>
      </c>
      <c r="P466" s="4">
        <f t="shared" si="67"/>
        <v>-46299.999999999985</v>
      </c>
      <c r="Q466" s="4">
        <f t="shared" si="68"/>
        <v>138900.00000000006</v>
      </c>
      <c r="R466" s="4">
        <f t="shared" si="69"/>
        <v>238900.00000000006</v>
      </c>
    </row>
    <row r="467" spans="5:18" x14ac:dyDescent="0.25">
      <c r="E467" s="1">
        <f t="shared" si="64"/>
        <v>464</v>
      </c>
      <c r="F467" s="4">
        <f t="shared" ca="1" si="65"/>
        <v>240000</v>
      </c>
      <c r="G467" s="1" t="s">
        <v>70</v>
      </c>
      <c r="H467" s="26">
        <f t="shared" ca="1" si="63"/>
        <v>0.70816116558667574</v>
      </c>
      <c r="I467" s="4">
        <f>IF(G467="Yes",-$C$8,0)</f>
        <v>-500</v>
      </c>
      <c r="J467" s="4">
        <f>IF(G467="Yes",$C$8-I467,0)</f>
        <v>1000</v>
      </c>
      <c r="K467" s="4">
        <f ca="1">IF(H467&gt;=$C$4,J467+I467,I467)</f>
        <v>500</v>
      </c>
      <c r="M467" s="61">
        <f t="shared" si="70"/>
        <v>371.20000000000005</v>
      </c>
      <c r="N467" s="61">
        <f t="shared" si="71"/>
        <v>92.799999999999955</v>
      </c>
      <c r="O467" s="4">
        <f t="shared" si="66"/>
        <v>185600.00000000003</v>
      </c>
      <c r="P467" s="4">
        <f t="shared" si="67"/>
        <v>-46399.999999999978</v>
      </c>
      <c r="Q467" s="4">
        <f t="shared" si="68"/>
        <v>139200.00000000006</v>
      </c>
      <c r="R467" s="4">
        <f t="shared" si="69"/>
        <v>239200.00000000006</v>
      </c>
    </row>
    <row r="468" spans="5:18" x14ac:dyDescent="0.25">
      <c r="E468" s="1">
        <f t="shared" si="64"/>
        <v>465</v>
      </c>
      <c r="F468" s="4">
        <f t="shared" ca="1" si="65"/>
        <v>240500</v>
      </c>
      <c r="G468" s="1" t="s">
        <v>70</v>
      </c>
      <c r="H468" s="26">
        <f t="shared" ca="1" si="63"/>
        <v>0.28772415188483325</v>
      </c>
      <c r="I468" s="4">
        <f>IF(G468="Yes",-$C$8,0)</f>
        <v>-500</v>
      </c>
      <c r="J468" s="4">
        <f>IF(G468="Yes",$C$8-I468,0)</f>
        <v>1000</v>
      </c>
      <c r="K468" s="4">
        <f ca="1">IF(H468&gt;=$C$4,J468+I468,I468)</f>
        <v>500</v>
      </c>
      <c r="M468" s="61">
        <f t="shared" si="70"/>
        <v>372</v>
      </c>
      <c r="N468" s="61">
        <f t="shared" si="71"/>
        <v>93</v>
      </c>
      <c r="O468" s="4">
        <f t="shared" si="66"/>
        <v>186000</v>
      </c>
      <c r="P468" s="4">
        <f t="shared" si="67"/>
        <v>-46500</v>
      </c>
      <c r="Q468" s="4">
        <f t="shared" si="68"/>
        <v>139500</v>
      </c>
      <c r="R468" s="4">
        <f t="shared" si="69"/>
        <v>239500</v>
      </c>
    </row>
    <row r="469" spans="5:18" x14ac:dyDescent="0.25">
      <c r="E469" s="1">
        <f t="shared" si="64"/>
        <v>466</v>
      </c>
      <c r="F469" s="4">
        <f t="shared" ca="1" si="65"/>
        <v>241000</v>
      </c>
      <c r="G469" s="1" t="s">
        <v>70</v>
      </c>
      <c r="H469" s="26">
        <f t="shared" ca="1" si="63"/>
        <v>0.4291438127976297</v>
      </c>
      <c r="I469" s="4">
        <f>IF(G469="Yes",-$C$8,0)</f>
        <v>-500</v>
      </c>
      <c r="J469" s="4">
        <f>IF(G469="Yes",$C$8-I469,0)</f>
        <v>1000</v>
      </c>
      <c r="K469" s="4">
        <f ca="1">IF(H469&gt;=$C$4,J469+I469,I469)</f>
        <v>500</v>
      </c>
      <c r="M469" s="61">
        <f t="shared" si="70"/>
        <v>372.8</v>
      </c>
      <c r="N469" s="61">
        <f t="shared" si="71"/>
        <v>93.199999999999989</v>
      </c>
      <c r="O469" s="4">
        <f t="shared" si="66"/>
        <v>186400</v>
      </c>
      <c r="P469" s="4">
        <f t="shared" si="67"/>
        <v>-46599.999999999993</v>
      </c>
      <c r="Q469" s="4">
        <f t="shared" si="68"/>
        <v>139800</v>
      </c>
      <c r="R469" s="4">
        <f t="shared" si="69"/>
        <v>239800</v>
      </c>
    </row>
    <row r="470" spans="5:18" x14ac:dyDescent="0.25">
      <c r="E470" s="1">
        <f t="shared" si="64"/>
        <v>467</v>
      </c>
      <c r="F470" s="4">
        <f t="shared" ca="1" si="65"/>
        <v>241500</v>
      </c>
      <c r="G470" s="1" t="s">
        <v>70</v>
      </c>
      <c r="H470" s="26">
        <f t="shared" ca="1" si="63"/>
        <v>0.36100165206031565</v>
      </c>
      <c r="I470" s="4">
        <f>IF(G470="Yes",-$C$8,0)</f>
        <v>-500</v>
      </c>
      <c r="J470" s="4">
        <f>IF(G470="Yes",$C$8-I470,0)</f>
        <v>1000</v>
      </c>
      <c r="K470" s="4">
        <f ca="1">IF(H470&gt;=$C$4,J470+I470,I470)</f>
        <v>500</v>
      </c>
      <c r="M470" s="61">
        <f t="shared" si="70"/>
        <v>373.6</v>
      </c>
      <c r="N470" s="61">
        <f t="shared" si="71"/>
        <v>93.399999999999977</v>
      </c>
      <c r="O470" s="4">
        <f t="shared" si="66"/>
        <v>186800</v>
      </c>
      <c r="P470" s="4">
        <f t="shared" si="67"/>
        <v>-46699.999999999985</v>
      </c>
      <c r="Q470" s="4">
        <f t="shared" si="68"/>
        <v>140100</v>
      </c>
      <c r="R470" s="4">
        <f t="shared" si="69"/>
        <v>240100</v>
      </c>
    </row>
    <row r="471" spans="5:18" x14ac:dyDescent="0.25">
      <c r="E471" s="1">
        <f t="shared" si="64"/>
        <v>468</v>
      </c>
      <c r="F471" s="4">
        <f t="shared" ca="1" si="65"/>
        <v>242000</v>
      </c>
      <c r="G471" s="1" t="s">
        <v>70</v>
      </c>
      <c r="H471" s="26">
        <f t="shared" ca="1" si="63"/>
        <v>0.74442015482322232</v>
      </c>
      <c r="I471" s="4">
        <f>IF(G471="Yes",-$C$8,0)</f>
        <v>-500</v>
      </c>
      <c r="J471" s="4">
        <f>IF(G471="Yes",$C$8-I471,0)</f>
        <v>1000</v>
      </c>
      <c r="K471" s="4">
        <f ca="1">IF(H471&gt;=$C$4,J471+I471,I471)</f>
        <v>500</v>
      </c>
      <c r="M471" s="61">
        <f t="shared" si="70"/>
        <v>374.40000000000003</v>
      </c>
      <c r="N471" s="61">
        <f t="shared" si="71"/>
        <v>93.599999999999966</v>
      </c>
      <c r="O471" s="4">
        <f t="shared" si="66"/>
        <v>187200.00000000003</v>
      </c>
      <c r="P471" s="4">
        <f t="shared" si="67"/>
        <v>-46799.999999999985</v>
      </c>
      <c r="Q471" s="4">
        <f t="shared" si="68"/>
        <v>140400.00000000006</v>
      </c>
      <c r="R471" s="4">
        <f t="shared" si="69"/>
        <v>240400.00000000006</v>
      </c>
    </row>
    <row r="472" spans="5:18" x14ac:dyDescent="0.25">
      <c r="E472" s="1">
        <f t="shared" si="64"/>
        <v>469</v>
      </c>
      <c r="F472" s="4">
        <f t="shared" ca="1" si="65"/>
        <v>242500</v>
      </c>
      <c r="G472" s="1" t="s">
        <v>70</v>
      </c>
      <c r="H472" s="26">
        <f t="shared" ca="1" si="63"/>
        <v>0.40825590924561017</v>
      </c>
      <c r="I472" s="4">
        <f>IF(G472="Yes",-$C$8,0)</f>
        <v>-500</v>
      </c>
      <c r="J472" s="4">
        <f>IF(G472="Yes",$C$8-I472,0)</f>
        <v>1000</v>
      </c>
      <c r="K472" s="4">
        <f ca="1">IF(H472&gt;=$C$4,J472+I472,I472)</f>
        <v>500</v>
      </c>
      <c r="M472" s="61">
        <f t="shared" si="70"/>
        <v>375.20000000000005</v>
      </c>
      <c r="N472" s="61">
        <f t="shared" si="71"/>
        <v>93.799999999999955</v>
      </c>
      <c r="O472" s="4">
        <f t="shared" si="66"/>
        <v>187600.00000000003</v>
      </c>
      <c r="P472" s="4">
        <f t="shared" si="67"/>
        <v>-46899.999999999978</v>
      </c>
      <c r="Q472" s="4">
        <f t="shared" si="68"/>
        <v>140700.00000000006</v>
      </c>
      <c r="R472" s="4">
        <f t="shared" si="69"/>
        <v>240700.00000000006</v>
      </c>
    </row>
    <row r="473" spans="5:18" x14ac:dyDescent="0.25">
      <c r="E473" s="1">
        <f t="shared" si="64"/>
        <v>470</v>
      </c>
      <c r="F473" s="4">
        <f t="shared" ca="1" si="65"/>
        <v>243000</v>
      </c>
      <c r="G473" s="1" t="s">
        <v>70</v>
      </c>
      <c r="H473" s="26">
        <f t="shared" ca="1" si="63"/>
        <v>0.24419073893417886</v>
      </c>
      <c r="I473" s="4">
        <f>IF(G473="Yes",-$C$8,0)</f>
        <v>-500</v>
      </c>
      <c r="J473" s="4">
        <f>IF(G473="Yes",$C$8-I473,0)</f>
        <v>1000</v>
      </c>
      <c r="K473" s="4">
        <f ca="1">IF(H473&gt;=$C$4,J473+I473,I473)</f>
        <v>500</v>
      </c>
      <c r="M473" s="61">
        <f t="shared" si="70"/>
        <v>376</v>
      </c>
      <c r="N473" s="61">
        <f t="shared" si="71"/>
        <v>94</v>
      </c>
      <c r="O473" s="4">
        <f t="shared" si="66"/>
        <v>188000</v>
      </c>
      <c r="P473" s="4">
        <f t="shared" si="67"/>
        <v>-47000</v>
      </c>
      <c r="Q473" s="4">
        <f t="shared" si="68"/>
        <v>141000</v>
      </c>
      <c r="R473" s="4">
        <f t="shared" si="69"/>
        <v>241000</v>
      </c>
    </row>
    <row r="474" spans="5:18" x14ac:dyDescent="0.25">
      <c r="E474" s="1">
        <f t="shared" si="64"/>
        <v>471</v>
      </c>
      <c r="F474" s="4">
        <f t="shared" ca="1" si="65"/>
        <v>243500</v>
      </c>
      <c r="G474" s="1" t="s">
        <v>70</v>
      </c>
      <c r="H474" s="26">
        <f t="shared" ca="1" si="63"/>
        <v>0.99584284844631354</v>
      </c>
      <c r="I474" s="4">
        <f>IF(G474="Yes",-$C$8,0)</f>
        <v>-500</v>
      </c>
      <c r="J474" s="4">
        <f>IF(G474="Yes",$C$8-I474,0)</f>
        <v>1000</v>
      </c>
      <c r="K474" s="4">
        <f ca="1">IF(H474&gt;=$C$4,J474+I474,I474)</f>
        <v>500</v>
      </c>
      <c r="M474" s="61">
        <f t="shared" si="70"/>
        <v>376.8</v>
      </c>
      <c r="N474" s="61">
        <f t="shared" si="71"/>
        <v>94.199999999999989</v>
      </c>
      <c r="O474" s="4">
        <f t="shared" si="66"/>
        <v>188400</v>
      </c>
      <c r="P474" s="4">
        <f t="shared" si="67"/>
        <v>-47099.999999999993</v>
      </c>
      <c r="Q474" s="4">
        <f t="shared" si="68"/>
        <v>141300</v>
      </c>
      <c r="R474" s="4">
        <f t="shared" si="69"/>
        <v>241300</v>
      </c>
    </row>
    <row r="475" spans="5:18" x14ac:dyDescent="0.25">
      <c r="E475" s="1">
        <f t="shared" si="64"/>
        <v>472</v>
      </c>
      <c r="F475" s="4">
        <f t="shared" ca="1" si="65"/>
        <v>243000</v>
      </c>
      <c r="G475" s="1" t="s">
        <v>70</v>
      </c>
      <c r="H475" s="26">
        <f t="shared" ca="1" si="63"/>
        <v>3.3424483509298275E-2</v>
      </c>
      <c r="I475" s="4">
        <f>IF(G475="Yes",-$C$8,0)</f>
        <v>-500</v>
      </c>
      <c r="J475" s="4">
        <f>IF(G475="Yes",$C$8-I475,0)</f>
        <v>1000</v>
      </c>
      <c r="K475" s="4">
        <f ca="1">IF(H475&gt;=$C$4,J475+I475,I475)</f>
        <v>-500</v>
      </c>
      <c r="M475" s="61">
        <f t="shared" si="70"/>
        <v>377.6</v>
      </c>
      <c r="N475" s="61">
        <f t="shared" si="71"/>
        <v>94.399999999999977</v>
      </c>
      <c r="O475" s="4">
        <f t="shared" si="66"/>
        <v>188800</v>
      </c>
      <c r="P475" s="4">
        <f t="shared" si="67"/>
        <v>-47199.999999999985</v>
      </c>
      <c r="Q475" s="4">
        <f t="shared" si="68"/>
        <v>141600</v>
      </c>
      <c r="R475" s="4">
        <f t="shared" si="69"/>
        <v>241600</v>
      </c>
    </row>
    <row r="476" spans="5:18" x14ac:dyDescent="0.25">
      <c r="E476" s="1">
        <f t="shared" si="64"/>
        <v>473</v>
      </c>
      <c r="F476" s="4">
        <f t="shared" ca="1" si="65"/>
        <v>243500</v>
      </c>
      <c r="G476" s="1" t="s">
        <v>70</v>
      </c>
      <c r="H476" s="26">
        <f t="shared" ca="1" si="63"/>
        <v>0.4847941759413954</v>
      </c>
      <c r="I476" s="4">
        <f>IF(G476="Yes",-$C$8,0)</f>
        <v>-500</v>
      </c>
      <c r="J476" s="4">
        <f>IF(G476="Yes",$C$8-I476,0)</f>
        <v>1000</v>
      </c>
      <c r="K476" s="4">
        <f ca="1">IF(H476&gt;=$C$4,J476+I476,I476)</f>
        <v>500</v>
      </c>
      <c r="M476" s="61">
        <f t="shared" si="70"/>
        <v>378.40000000000003</v>
      </c>
      <c r="N476" s="61">
        <f t="shared" si="71"/>
        <v>94.599999999999966</v>
      </c>
      <c r="O476" s="4">
        <f t="shared" si="66"/>
        <v>189200.00000000003</v>
      </c>
      <c r="P476" s="4">
        <f t="shared" si="67"/>
        <v>-47299.999999999985</v>
      </c>
      <c r="Q476" s="4">
        <f t="shared" si="68"/>
        <v>141900.00000000006</v>
      </c>
      <c r="R476" s="4">
        <f t="shared" si="69"/>
        <v>241900.00000000006</v>
      </c>
    </row>
    <row r="477" spans="5:18" x14ac:dyDescent="0.25">
      <c r="E477" s="1">
        <f t="shared" si="64"/>
        <v>474</v>
      </c>
      <c r="F477" s="4">
        <f t="shared" ca="1" si="65"/>
        <v>244000</v>
      </c>
      <c r="G477" s="1" t="s">
        <v>70</v>
      </c>
      <c r="H477" s="26">
        <f t="shared" ca="1" si="63"/>
        <v>0.30712392491987961</v>
      </c>
      <c r="I477" s="4">
        <f>IF(G477="Yes",-$C$8,0)</f>
        <v>-500</v>
      </c>
      <c r="J477" s="4">
        <f>IF(G477="Yes",$C$8-I477,0)</f>
        <v>1000</v>
      </c>
      <c r="K477" s="4">
        <f ca="1">IF(H477&gt;=$C$4,J477+I477,I477)</f>
        <v>500</v>
      </c>
      <c r="M477" s="61">
        <f t="shared" si="70"/>
        <v>379.20000000000005</v>
      </c>
      <c r="N477" s="61">
        <f t="shared" si="71"/>
        <v>94.799999999999955</v>
      </c>
      <c r="O477" s="4">
        <f t="shared" si="66"/>
        <v>189600.00000000003</v>
      </c>
      <c r="P477" s="4">
        <f t="shared" si="67"/>
        <v>-47399.999999999978</v>
      </c>
      <c r="Q477" s="4">
        <f t="shared" si="68"/>
        <v>142200.00000000006</v>
      </c>
      <c r="R477" s="4">
        <f t="shared" si="69"/>
        <v>242200.00000000006</v>
      </c>
    </row>
    <row r="478" spans="5:18" x14ac:dyDescent="0.25">
      <c r="E478" s="1">
        <f t="shared" si="64"/>
        <v>475</v>
      </c>
      <c r="F478" s="4">
        <f t="shared" ca="1" si="65"/>
        <v>244500</v>
      </c>
      <c r="G478" s="1" t="s">
        <v>70</v>
      </c>
      <c r="H478" s="26">
        <f t="shared" ca="1" si="63"/>
        <v>0.85431925987197932</v>
      </c>
      <c r="I478" s="4">
        <f>IF(G478="Yes",-$C$8,0)</f>
        <v>-500</v>
      </c>
      <c r="J478" s="4">
        <f>IF(G478="Yes",$C$8-I478,0)</f>
        <v>1000</v>
      </c>
      <c r="K478" s="4">
        <f ca="1">IF(H478&gt;=$C$4,J478+I478,I478)</f>
        <v>500</v>
      </c>
      <c r="M478" s="61">
        <f t="shared" si="70"/>
        <v>380</v>
      </c>
      <c r="N478" s="61">
        <f t="shared" si="71"/>
        <v>95</v>
      </c>
      <c r="O478" s="4">
        <f t="shared" si="66"/>
        <v>190000</v>
      </c>
      <c r="P478" s="4">
        <f t="shared" si="67"/>
        <v>-47500</v>
      </c>
      <c r="Q478" s="4">
        <f t="shared" si="68"/>
        <v>142500</v>
      </c>
      <c r="R478" s="4">
        <f t="shared" si="69"/>
        <v>242500</v>
      </c>
    </row>
    <row r="479" spans="5:18" x14ac:dyDescent="0.25">
      <c r="E479" s="1">
        <f t="shared" si="64"/>
        <v>476</v>
      </c>
      <c r="F479" s="4">
        <f t="shared" ca="1" si="65"/>
        <v>244000</v>
      </c>
      <c r="G479" s="1" t="s">
        <v>70</v>
      </c>
      <c r="H479" s="26">
        <f t="shared" ca="1" si="63"/>
        <v>6.5354145578268685E-2</v>
      </c>
      <c r="I479" s="4">
        <f>IF(G479="Yes",-$C$8,0)</f>
        <v>-500</v>
      </c>
      <c r="J479" s="4">
        <f>IF(G479="Yes",$C$8-I479,0)</f>
        <v>1000</v>
      </c>
      <c r="K479" s="4">
        <f ca="1">IF(H479&gt;=$C$4,J479+I479,I479)</f>
        <v>-500</v>
      </c>
      <c r="M479" s="61">
        <f t="shared" si="70"/>
        <v>380.8</v>
      </c>
      <c r="N479" s="61">
        <f t="shared" si="71"/>
        <v>95.199999999999989</v>
      </c>
      <c r="O479" s="4">
        <f t="shared" si="66"/>
        <v>190400</v>
      </c>
      <c r="P479" s="4">
        <f t="shared" si="67"/>
        <v>-47599.999999999993</v>
      </c>
      <c r="Q479" s="4">
        <f t="shared" si="68"/>
        <v>142800</v>
      </c>
      <c r="R479" s="4">
        <f t="shared" si="69"/>
        <v>242800</v>
      </c>
    </row>
    <row r="480" spans="5:18" x14ac:dyDescent="0.25">
      <c r="E480" s="1">
        <f t="shared" si="64"/>
        <v>477</v>
      </c>
      <c r="F480" s="4">
        <f t="shared" ca="1" si="65"/>
        <v>244500</v>
      </c>
      <c r="G480" s="1" t="s">
        <v>70</v>
      </c>
      <c r="H480" s="26">
        <f t="shared" ca="1" si="63"/>
        <v>0.66649848253350852</v>
      </c>
      <c r="I480" s="4">
        <f>IF(G480="Yes",-$C$8,0)</f>
        <v>-500</v>
      </c>
      <c r="J480" s="4">
        <f>IF(G480="Yes",$C$8-I480,0)</f>
        <v>1000</v>
      </c>
      <c r="K480" s="4">
        <f ca="1">IF(H480&gt;=$C$4,J480+I480,I480)</f>
        <v>500</v>
      </c>
      <c r="M480" s="61">
        <f t="shared" si="70"/>
        <v>381.6</v>
      </c>
      <c r="N480" s="61">
        <f t="shared" si="71"/>
        <v>95.399999999999977</v>
      </c>
      <c r="O480" s="4">
        <f t="shared" si="66"/>
        <v>190800</v>
      </c>
      <c r="P480" s="4">
        <f t="shared" si="67"/>
        <v>-47699.999999999985</v>
      </c>
      <c r="Q480" s="4">
        <f t="shared" si="68"/>
        <v>143100</v>
      </c>
      <c r="R480" s="4">
        <f t="shared" si="69"/>
        <v>243100</v>
      </c>
    </row>
    <row r="481" spans="5:18" x14ac:dyDescent="0.25">
      <c r="E481" s="1">
        <f t="shared" si="64"/>
        <v>478</v>
      </c>
      <c r="F481" s="4">
        <f t="shared" ca="1" si="65"/>
        <v>245000</v>
      </c>
      <c r="G481" s="1" t="s">
        <v>70</v>
      </c>
      <c r="H481" s="26">
        <f t="shared" ca="1" si="63"/>
        <v>0.48127838724002248</v>
      </c>
      <c r="I481" s="4">
        <f>IF(G481="Yes",-$C$8,0)</f>
        <v>-500</v>
      </c>
      <c r="J481" s="4">
        <f>IF(G481="Yes",$C$8-I481,0)</f>
        <v>1000</v>
      </c>
      <c r="K481" s="4">
        <f ca="1">IF(H481&gt;=$C$4,J481+I481,I481)</f>
        <v>500</v>
      </c>
      <c r="M481" s="61">
        <f t="shared" si="70"/>
        <v>382.40000000000003</v>
      </c>
      <c r="N481" s="61">
        <f t="shared" si="71"/>
        <v>95.599999999999966</v>
      </c>
      <c r="O481" s="4">
        <f t="shared" si="66"/>
        <v>191200.00000000003</v>
      </c>
      <c r="P481" s="4">
        <f t="shared" si="67"/>
        <v>-47799.999999999985</v>
      </c>
      <c r="Q481" s="4">
        <f t="shared" si="68"/>
        <v>143400.00000000006</v>
      </c>
      <c r="R481" s="4">
        <f t="shared" si="69"/>
        <v>243400.00000000006</v>
      </c>
    </row>
    <row r="482" spans="5:18" x14ac:dyDescent="0.25">
      <c r="E482" s="1">
        <f t="shared" si="64"/>
        <v>479</v>
      </c>
      <c r="F482" s="4">
        <f t="shared" ca="1" si="65"/>
        <v>244500</v>
      </c>
      <c r="G482" s="1" t="s">
        <v>70</v>
      </c>
      <c r="H482" s="26">
        <f t="shared" ca="1" si="63"/>
        <v>4.1258081669738211E-2</v>
      </c>
      <c r="I482" s="4">
        <f>IF(G482="Yes",-$C$8,0)</f>
        <v>-500</v>
      </c>
      <c r="J482" s="4">
        <f>IF(G482="Yes",$C$8-I482,0)</f>
        <v>1000</v>
      </c>
      <c r="K482" s="4">
        <f ca="1">IF(H482&gt;=$C$4,J482+I482,I482)</f>
        <v>-500</v>
      </c>
      <c r="M482" s="61">
        <f t="shared" si="70"/>
        <v>383.20000000000005</v>
      </c>
      <c r="N482" s="61">
        <f t="shared" si="71"/>
        <v>95.799999999999955</v>
      </c>
      <c r="O482" s="4">
        <f t="shared" si="66"/>
        <v>191600.00000000003</v>
      </c>
      <c r="P482" s="4">
        <f t="shared" si="67"/>
        <v>-47899.999999999978</v>
      </c>
      <c r="Q482" s="4">
        <f t="shared" si="68"/>
        <v>143700.00000000006</v>
      </c>
      <c r="R482" s="4">
        <f t="shared" si="69"/>
        <v>243700.00000000006</v>
      </c>
    </row>
    <row r="483" spans="5:18" x14ac:dyDescent="0.25">
      <c r="E483" s="1">
        <f t="shared" si="64"/>
        <v>480</v>
      </c>
      <c r="F483" s="4">
        <f t="shared" ca="1" si="65"/>
        <v>245000</v>
      </c>
      <c r="G483" s="1" t="s">
        <v>70</v>
      </c>
      <c r="H483" s="26">
        <f t="shared" ca="1" si="63"/>
        <v>0.30945433734243022</v>
      </c>
      <c r="I483" s="4">
        <f>IF(G483="Yes",-$C$8,0)</f>
        <v>-500</v>
      </c>
      <c r="J483" s="4">
        <f>IF(G483="Yes",$C$8-I483,0)</f>
        <v>1000</v>
      </c>
      <c r="K483" s="4">
        <f ca="1">IF(H483&gt;=$C$4,J483+I483,I483)</f>
        <v>500</v>
      </c>
      <c r="M483" s="61">
        <f t="shared" si="70"/>
        <v>384</v>
      </c>
      <c r="N483" s="61">
        <f t="shared" si="71"/>
        <v>96</v>
      </c>
      <c r="O483" s="4">
        <f t="shared" si="66"/>
        <v>192000</v>
      </c>
      <c r="P483" s="4">
        <f t="shared" si="67"/>
        <v>-48000</v>
      </c>
      <c r="Q483" s="4">
        <f t="shared" si="68"/>
        <v>144000</v>
      </c>
      <c r="R483" s="4">
        <f t="shared" si="69"/>
        <v>244000</v>
      </c>
    </row>
    <row r="484" spans="5:18" x14ac:dyDescent="0.25">
      <c r="E484" s="1">
        <f t="shared" si="64"/>
        <v>481</v>
      </c>
      <c r="F484" s="4">
        <f t="shared" ca="1" si="65"/>
        <v>244500</v>
      </c>
      <c r="G484" s="1" t="s">
        <v>70</v>
      </c>
      <c r="H484" s="26">
        <f t="shared" ca="1" si="63"/>
        <v>7.1916771837247095E-2</v>
      </c>
      <c r="I484" s="4">
        <f>IF(G484="Yes",-$C$8,0)</f>
        <v>-500</v>
      </c>
      <c r="J484" s="4">
        <f>IF(G484="Yes",$C$8-I484,0)</f>
        <v>1000</v>
      </c>
      <c r="K484" s="4">
        <f ca="1">IF(H484&gt;=$C$4,J484+I484,I484)</f>
        <v>-500</v>
      </c>
      <c r="M484" s="61">
        <f t="shared" si="70"/>
        <v>384.8</v>
      </c>
      <c r="N484" s="61">
        <f t="shared" si="71"/>
        <v>96.199999999999989</v>
      </c>
      <c r="O484" s="4">
        <f t="shared" si="66"/>
        <v>192400</v>
      </c>
      <c r="P484" s="4">
        <f t="shared" si="67"/>
        <v>-48099.999999999993</v>
      </c>
      <c r="Q484" s="4">
        <f t="shared" si="68"/>
        <v>144300</v>
      </c>
      <c r="R484" s="4">
        <f t="shared" si="69"/>
        <v>244300</v>
      </c>
    </row>
    <row r="485" spans="5:18" x14ac:dyDescent="0.25">
      <c r="E485" s="1">
        <f t="shared" si="64"/>
        <v>482</v>
      </c>
      <c r="F485" s="4">
        <f t="shared" ca="1" si="65"/>
        <v>245000</v>
      </c>
      <c r="G485" s="1" t="s">
        <v>70</v>
      </c>
      <c r="H485" s="26">
        <f t="shared" ca="1" si="63"/>
        <v>0.47026389634937793</v>
      </c>
      <c r="I485" s="4">
        <f>IF(G485="Yes",-$C$8,0)</f>
        <v>-500</v>
      </c>
      <c r="J485" s="4">
        <f>IF(G485="Yes",$C$8-I485,0)</f>
        <v>1000</v>
      </c>
      <c r="K485" s="4">
        <f ca="1">IF(H485&gt;=$C$4,J485+I485,I485)</f>
        <v>500</v>
      </c>
      <c r="M485" s="61">
        <f t="shared" si="70"/>
        <v>385.6</v>
      </c>
      <c r="N485" s="61">
        <f t="shared" si="71"/>
        <v>96.399999999999977</v>
      </c>
      <c r="O485" s="4">
        <f t="shared" si="66"/>
        <v>192800</v>
      </c>
      <c r="P485" s="4">
        <f t="shared" si="67"/>
        <v>-48199.999999999985</v>
      </c>
      <c r="Q485" s="4">
        <f t="shared" si="68"/>
        <v>144600</v>
      </c>
      <c r="R485" s="4">
        <f t="shared" si="69"/>
        <v>244600</v>
      </c>
    </row>
    <row r="486" spans="5:18" x14ac:dyDescent="0.25">
      <c r="E486" s="1">
        <f t="shared" si="64"/>
        <v>483</v>
      </c>
      <c r="F486" s="4">
        <f t="shared" ca="1" si="65"/>
        <v>245500</v>
      </c>
      <c r="G486" s="1" t="s">
        <v>70</v>
      </c>
      <c r="H486" s="26">
        <f t="shared" ca="1" si="63"/>
        <v>0.27128802712563083</v>
      </c>
      <c r="I486" s="4">
        <f>IF(G486="Yes",-$C$8,0)</f>
        <v>-500</v>
      </c>
      <c r="J486" s="4">
        <f>IF(G486="Yes",$C$8-I486,0)</f>
        <v>1000</v>
      </c>
      <c r="K486" s="4">
        <f ca="1">IF(H486&gt;=$C$4,J486+I486,I486)</f>
        <v>500</v>
      </c>
      <c r="M486" s="61">
        <f t="shared" si="70"/>
        <v>386.40000000000003</v>
      </c>
      <c r="N486" s="61">
        <f t="shared" si="71"/>
        <v>96.599999999999966</v>
      </c>
      <c r="O486" s="4">
        <f t="shared" si="66"/>
        <v>193200.00000000003</v>
      </c>
      <c r="P486" s="4">
        <f t="shared" si="67"/>
        <v>-48299.999999999985</v>
      </c>
      <c r="Q486" s="4">
        <f t="shared" si="68"/>
        <v>144900.00000000006</v>
      </c>
      <c r="R486" s="4">
        <f t="shared" si="69"/>
        <v>244900.00000000006</v>
      </c>
    </row>
    <row r="487" spans="5:18" x14ac:dyDescent="0.25">
      <c r="E487" s="1">
        <f t="shared" si="64"/>
        <v>484</v>
      </c>
      <c r="F487" s="4">
        <f t="shared" ca="1" si="65"/>
        <v>246000</v>
      </c>
      <c r="G487" s="1" t="s">
        <v>70</v>
      </c>
      <c r="H487" s="26">
        <f t="shared" ca="1" si="63"/>
        <v>0.26856556259986708</v>
      </c>
      <c r="I487" s="4">
        <f>IF(G487="Yes",-$C$8,0)</f>
        <v>-500</v>
      </c>
      <c r="J487" s="4">
        <f>IF(G487="Yes",$C$8-I487,0)</f>
        <v>1000</v>
      </c>
      <c r="K487" s="4">
        <f ca="1">IF(H487&gt;=$C$4,J487+I487,I487)</f>
        <v>500</v>
      </c>
      <c r="M487" s="61">
        <f t="shared" si="70"/>
        <v>387.20000000000005</v>
      </c>
      <c r="N487" s="61">
        <f t="shared" si="71"/>
        <v>96.799999999999955</v>
      </c>
      <c r="O487" s="4">
        <f t="shared" si="66"/>
        <v>193600.00000000003</v>
      </c>
      <c r="P487" s="4">
        <f t="shared" si="67"/>
        <v>-48399.999999999978</v>
      </c>
      <c r="Q487" s="4">
        <f t="shared" si="68"/>
        <v>145200.00000000006</v>
      </c>
      <c r="R487" s="4">
        <f t="shared" si="69"/>
        <v>245200.00000000006</v>
      </c>
    </row>
    <row r="488" spans="5:18" x14ac:dyDescent="0.25">
      <c r="E488" s="1">
        <f t="shared" si="64"/>
        <v>485</v>
      </c>
      <c r="F488" s="4">
        <f t="shared" ca="1" si="65"/>
        <v>246500</v>
      </c>
      <c r="G488" s="1" t="s">
        <v>70</v>
      </c>
      <c r="H488" s="26">
        <f t="shared" ca="1" si="63"/>
        <v>0.71474908678363203</v>
      </c>
      <c r="I488" s="4">
        <f>IF(G488="Yes",-$C$8,0)</f>
        <v>-500</v>
      </c>
      <c r="J488" s="4">
        <f>IF(G488="Yes",$C$8-I488,0)</f>
        <v>1000</v>
      </c>
      <c r="K488" s="4">
        <f ca="1">IF(H488&gt;=$C$4,J488+I488,I488)</f>
        <v>500</v>
      </c>
      <c r="M488" s="61">
        <f t="shared" si="70"/>
        <v>388</v>
      </c>
      <c r="N488" s="61">
        <f t="shared" si="71"/>
        <v>97</v>
      </c>
      <c r="O488" s="4">
        <f t="shared" si="66"/>
        <v>194000</v>
      </c>
      <c r="P488" s="4">
        <f t="shared" si="67"/>
        <v>-48500</v>
      </c>
      <c r="Q488" s="4">
        <f t="shared" si="68"/>
        <v>145500</v>
      </c>
      <c r="R488" s="4">
        <f t="shared" si="69"/>
        <v>245500</v>
      </c>
    </row>
    <row r="489" spans="5:18" x14ac:dyDescent="0.25">
      <c r="E489" s="1">
        <f t="shared" si="64"/>
        <v>486</v>
      </c>
      <c r="F489" s="4">
        <f t="shared" ca="1" si="65"/>
        <v>246000</v>
      </c>
      <c r="G489" s="1" t="s">
        <v>70</v>
      </c>
      <c r="H489" s="26">
        <f t="shared" ca="1" si="63"/>
        <v>5.0054689402699637E-2</v>
      </c>
      <c r="I489" s="4">
        <f>IF(G489="Yes",-$C$8,0)</f>
        <v>-500</v>
      </c>
      <c r="J489" s="4">
        <f>IF(G489="Yes",$C$8-I489,0)</f>
        <v>1000</v>
      </c>
      <c r="K489" s="4">
        <f ca="1">IF(H489&gt;=$C$4,J489+I489,I489)</f>
        <v>-500</v>
      </c>
      <c r="M489" s="61">
        <f t="shared" si="70"/>
        <v>388.8</v>
      </c>
      <c r="N489" s="61">
        <f t="shared" si="71"/>
        <v>97.199999999999989</v>
      </c>
      <c r="O489" s="4">
        <f t="shared" si="66"/>
        <v>194400</v>
      </c>
      <c r="P489" s="4">
        <f t="shared" si="67"/>
        <v>-48599.999999999993</v>
      </c>
      <c r="Q489" s="4">
        <f t="shared" si="68"/>
        <v>145800</v>
      </c>
      <c r="R489" s="4">
        <f t="shared" si="69"/>
        <v>245800</v>
      </c>
    </row>
    <row r="490" spans="5:18" x14ac:dyDescent="0.25">
      <c r="E490" s="1">
        <f t="shared" si="64"/>
        <v>487</v>
      </c>
      <c r="F490" s="4">
        <f t="shared" ca="1" si="65"/>
        <v>246500</v>
      </c>
      <c r="G490" s="1" t="s">
        <v>70</v>
      </c>
      <c r="H490" s="26">
        <f t="shared" ca="1" si="63"/>
        <v>0.5318378247691512</v>
      </c>
      <c r="I490" s="4">
        <f>IF(G490="Yes",-$C$8,0)</f>
        <v>-500</v>
      </c>
      <c r="J490" s="4">
        <f>IF(G490="Yes",$C$8-I490,0)</f>
        <v>1000</v>
      </c>
      <c r="K490" s="4">
        <f ca="1">IF(H490&gt;=$C$4,J490+I490,I490)</f>
        <v>500</v>
      </c>
      <c r="M490" s="61">
        <f t="shared" si="70"/>
        <v>389.6</v>
      </c>
      <c r="N490" s="61">
        <f t="shared" si="71"/>
        <v>97.399999999999977</v>
      </c>
      <c r="O490" s="4">
        <f t="shared" si="66"/>
        <v>194800</v>
      </c>
      <c r="P490" s="4">
        <f t="shared" si="67"/>
        <v>-48699.999999999985</v>
      </c>
      <c r="Q490" s="4">
        <f t="shared" si="68"/>
        <v>146100</v>
      </c>
      <c r="R490" s="4">
        <f t="shared" si="69"/>
        <v>246100</v>
      </c>
    </row>
    <row r="491" spans="5:18" x14ac:dyDescent="0.25">
      <c r="E491" s="1">
        <f t="shared" si="64"/>
        <v>488</v>
      </c>
      <c r="F491" s="4">
        <f t="shared" ca="1" si="65"/>
        <v>247000</v>
      </c>
      <c r="G491" s="1" t="s">
        <v>70</v>
      </c>
      <c r="H491" s="26">
        <f t="shared" ca="1" si="63"/>
        <v>0.69198227102022658</v>
      </c>
      <c r="I491" s="4">
        <f>IF(G491="Yes",-$C$8,0)</f>
        <v>-500</v>
      </c>
      <c r="J491" s="4">
        <f>IF(G491="Yes",$C$8-I491,0)</f>
        <v>1000</v>
      </c>
      <c r="K491" s="4">
        <f ca="1">IF(H491&gt;=$C$4,J491+I491,I491)</f>
        <v>500</v>
      </c>
      <c r="M491" s="61">
        <f t="shared" si="70"/>
        <v>390.40000000000003</v>
      </c>
      <c r="N491" s="61">
        <f t="shared" si="71"/>
        <v>97.599999999999966</v>
      </c>
      <c r="O491" s="4">
        <f t="shared" si="66"/>
        <v>195200.00000000003</v>
      </c>
      <c r="P491" s="4">
        <f t="shared" si="67"/>
        <v>-48799.999999999985</v>
      </c>
      <c r="Q491" s="4">
        <f t="shared" si="68"/>
        <v>146400.00000000006</v>
      </c>
      <c r="R491" s="4">
        <f t="shared" si="69"/>
        <v>246400.00000000006</v>
      </c>
    </row>
    <row r="492" spans="5:18" x14ac:dyDescent="0.25">
      <c r="E492" s="1">
        <f t="shared" si="64"/>
        <v>489</v>
      </c>
      <c r="F492" s="4">
        <f t="shared" ca="1" si="65"/>
        <v>247500</v>
      </c>
      <c r="G492" s="1" t="s">
        <v>70</v>
      </c>
      <c r="H492" s="26">
        <f t="shared" ca="1" si="63"/>
        <v>0.6733206208169904</v>
      </c>
      <c r="I492" s="4">
        <f>IF(G492="Yes",-$C$8,0)</f>
        <v>-500</v>
      </c>
      <c r="J492" s="4">
        <f>IF(G492="Yes",$C$8-I492,0)</f>
        <v>1000</v>
      </c>
      <c r="K492" s="4">
        <f ca="1">IF(H492&gt;=$C$4,J492+I492,I492)</f>
        <v>500</v>
      </c>
      <c r="M492" s="61">
        <f t="shared" si="70"/>
        <v>391.20000000000005</v>
      </c>
      <c r="N492" s="61">
        <f t="shared" si="71"/>
        <v>97.799999999999955</v>
      </c>
      <c r="O492" s="4">
        <f t="shared" si="66"/>
        <v>195600.00000000003</v>
      </c>
      <c r="P492" s="4">
        <f t="shared" si="67"/>
        <v>-48899.999999999978</v>
      </c>
      <c r="Q492" s="4">
        <f t="shared" si="68"/>
        <v>146700.00000000006</v>
      </c>
      <c r="R492" s="4">
        <f t="shared" si="69"/>
        <v>246700.00000000006</v>
      </c>
    </row>
    <row r="493" spans="5:18" x14ac:dyDescent="0.25">
      <c r="E493" s="1">
        <f t="shared" si="64"/>
        <v>490</v>
      </c>
      <c r="F493" s="4">
        <f t="shared" ca="1" si="65"/>
        <v>247000</v>
      </c>
      <c r="G493" s="1" t="s">
        <v>70</v>
      </c>
      <c r="H493" s="26">
        <f t="shared" ca="1" si="63"/>
        <v>0.17381520566166475</v>
      </c>
      <c r="I493" s="4">
        <f>IF(G493="Yes",-$C$8,0)</f>
        <v>-500</v>
      </c>
      <c r="J493" s="4">
        <f>IF(G493="Yes",$C$8-I493,0)</f>
        <v>1000</v>
      </c>
      <c r="K493" s="4">
        <f ca="1">IF(H493&gt;=$C$4,J493+I493,I493)</f>
        <v>-500</v>
      </c>
      <c r="M493" s="61">
        <f t="shared" si="70"/>
        <v>392</v>
      </c>
      <c r="N493" s="61">
        <f t="shared" si="71"/>
        <v>98</v>
      </c>
      <c r="O493" s="4">
        <f t="shared" si="66"/>
        <v>196000</v>
      </c>
      <c r="P493" s="4">
        <f t="shared" si="67"/>
        <v>-49000</v>
      </c>
      <c r="Q493" s="4">
        <f t="shared" si="68"/>
        <v>147000</v>
      </c>
      <c r="R493" s="4">
        <f t="shared" si="69"/>
        <v>247000</v>
      </c>
    </row>
    <row r="494" spans="5:18" x14ac:dyDescent="0.25">
      <c r="E494" s="1">
        <f t="shared" si="64"/>
        <v>491</v>
      </c>
      <c r="F494" s="4">
        <f t="shared" ca="1" si="65"/>
        <v>246500</v>
      </c>
      <c r="G494" s="1" t="s">
        <v>70</v>
      </c>
      <c r="H494" s="26">
        <f t="shared" ca="1" si="63"/>
        <v>5.1147612365897044E-2</v>
      </c>
      <c r="I494" s="4">
        <f>IF(G494="Yes",-$C$8,0)</f>
        <v>-500</v>
      </c>
      <c r="J494" s="4">
        <f>IF(G494="Yes",$C$8-I494,0)</f>
        <v>1000</v>
      </c>
      <c r="K494" s="4">
        <f ca="1">IF(H494&gt;=$C$4,J494+I494,I494)</f>
        <v>-500</v>
      </c>
      <c r="M494" s="61">
        <f t="shared" si="70"/>
        <v>392.8</v>
      </c>
      <c r="N494" s="61">
        <f t="shared" si="71"/>
        <v>98.199999999999989</v>
      </c>
      <c r="O494" s="4">
        <f t="shared" si="66"/>
        <v>196400</v>
      </c>
      <c r="P494" s="4">
        <f t="shared" si="67"/>
        <v>-49099.999999999993</v>
      </c>
      <c r="Q494" s="4">
        <f t="shared" si="68"/>
        <v>147300</v>
      </c>
      <c r="R494" s="4">
        <f t="shared" si="69"/>
        <v>247300</v>
      </c>
    </row>
    <row r="495" spans="5:18" x14ac:dyDescent="0.25">
      <c r="E495" s="1">
        <f t="shared" si="64"/>
        <v>492</v>
      </c>
      <c r="F495" s="4">
        <f t="shared" ca="1" si="65"/>
        <v>247000</v>
      </c>
      <c r="G495" s="1" t="s">
        <v>70</v>
      </c>
      <c r="H495" s="26">
        <f t="shared" ca="1" si="63"/>
        <v>0.29956685612817702</v>
      </c>
      <c r="I495" s="4">
        <f>IF(G495="Yes",-$C$8,0)</f>
        <v>-500</v>
      </c>
      <c r="J495" s="4">
        <f>IF(G495="Yes",$C$8-I495,0)</f>
        <v>1000</v>
      </c>
      <c r="K495" s="4">
        <f ca="1">IF(H495&gt;=$C$4,J495+I495,I495)</f>
        <v>500</v>
      </c>
      <c r="M495" s="61">
        <f t="shared" si="70"/>
        <v>393.6</v>
      </c>
      <c r="N495" s="61">
        <f t="shared" si="71"/>
        <v>98.399999999999977</v>
      </c>
      <c r="O495" s="4">
        <f t="shared" si="66"/>
        <v>196800</v>
      </c>
      <c r="P495" s="4">
        <f t="shared" si="67"/>
        <v>-49199.999999999985</v>
      </c>
      <c r="Q495" s="4">
        <f t="shared" si="68"/>
        <v>147600</v>
      </c>
      <c r="R495" s="4">
        <f t="shared" si="69"/>
        <v>247600</v>
      </c>
    </row>
    <row r="496" spans="5:18" x14ac:dyDescent="0.25">
      <c r="E496" s="1">
        <f t="shared" si="64"/>
        <v>493</v>
      </c>
      <c r="F496" s="4">
        <f t="shared" ca="1" si="65"/>
        <v>247500</v>
      </c>
      <c r="G496" s="1" t="s">
        <v>70</v>
      </c>
      <c r="H496" s="26">
        <f t="shared" ca="1" si="63"/>
        <v>0.72633151444664568</v>
      </c>
      <c r="I496" s="4">
        <f>IF(G496="Yes",-$C$8,0)</f>
        <v>-500</v>
      </c>
      <c r="J496" s="4">
        <f>IF(G496="Yes",$C$8-I496,0)</f>
        <v>1000</v>
      </c>
      <c r="K496" s="4">
        <f ca="1">IF(H496&gt;=$C$4,J496+I496,I496)</f>
        <v>500</v>
      </c>
      <c r="M496" s="61">
        <f t="shared" si="70"/>
        <v>394.40000000000003</v>
      </c>
      <c r="N496" s="61">
        <f t="shared" si="71"/>
        <v>98.599999999999966</v>
      </c>
      <c r="O496" s="4">
        <f t="shared" si="66"/>
        <v>197200.00000000003</v>
      </c>
      <c r="P496" s="4">
        <f t="shared" si="67"/>
        <v>-49299.999999999985</v>
      </c>
      <c r="Q496" s="4">
        <f t="shared" si="68"/>
        <v>147900.00000000006</v>
      </c>
      <c r="R496" s="4">
        <f t="shared" si="69"/>
        <v>247900.00000000006</v>
      </c>
    </row>
    <row r="497" spans="5:18" x14ac:dyDescent="0.25">
      <c r="E497" s="1">
        <f t="shared" si="64"/>
        <v>494</v>
      </c>
      <c r="F497" s="4">
        <f t="shared" ca="1" si="65"/>
        <v>248000</v>
      </c>
      <c r="G497" s="1" t="s">
        <v>70</v>
      </c>
      <c r="H497" s="26">
        <f t="shared" ca="1" si="63"/>
        <v>0.36218848901502709</v>
      </c>
      <c r="I497" s="4">
        <f>IF(G497="Yes",-$C$8,0)</f>
        <v>-500</v>
      </c>
      <c r="J497" s="4">
        <f>IF(G497="Yes",$C$8-I497,0)</f>
        <v>1000</v>
      </c>
      <c r="K497" s="4">
        <f ca="1">IF(H497&gt;=$C$4,J497+I497,I497)</f>
        <v>500</v>
      </c>
      <c r="M497" s="61">
        <f t="shared" si="70"/>
        <v>395.20000000000005</v>
      </c>
      <c r="N497" s="61">
        <f t="shared" si="71"/>
        <v>98.799999999999955</v>
      </c>
      <c r="O497" s="4">
        <f t="shared" si="66"/>
        <v>197600.00000000003</v>
      </c>
      <c r="P497" s="4">
        <f t="shared" si="67"/>
        <v>-49399.999999999978</v>
      </c>
      <c r="Q497" s="4">
        <f t="shared" si="68"/>
        <v>148200.00000000006</v>
      </c>
      <c r="R497" s="4">
        <f t="shared" si="69"/>
        <v>248200.00000000006</v>
      </c>
    </row>
    <row r="498" spans="5:18" x14ac:dyDescent="0.25">
      <c r="E498" s="1">
        <f t="shared" si="64"/>
        <v>495</v>
      </c>
      <c r="F498" s="4">
        <f t="shared" ca="1" si="65"/>
        <v>248500</v>
      </c>
      <c r="G498" s="1" t="s">
        <v>70</v>
      </c>
      <c r="H498" s="26">
        <f t="shared" ca="1" si="63"/>
        <v>0.67426775683182283</v>
      </c>
      <c r="I498" s="4">
        <f>IF(G498="Yes",-$C$8,0)</f>
        <v>-500</v>
      </c>
      <c r="J498" s="4">
        <f>IF(G498="Yes",$C$8-I498,0)</f>
        <v>1000</v>
      </c>
      <c r="K498" s="4">
        <f ca="1">IF(H498&gt;=$C$4,J498+I498,I498)</f>
        <v>500</v>
      </c>
      <c r="M498" s="61">
        <f t="shared" si="70"/>
        <v>396</v>
      </c>
      <c r="N498" s="61">
        <f t="shared" si="71"/>
        <v>99</v>
      </c>
      <c r="O498" s="4">
        <f t="shared" si="66"/>
        <v>198000</v>
      </c>
      <c r="P498" s="4">
        <f t="shared" si="67"/>
        <v>-49500</v>
      </c>
      <c r="Q498" s="4">
        <f t="shared" si="68"/>
        <v>148500</v>
      </c>
      <c r="R498" s="4">
        <f t="shared" si="69"/>
        <v>248500</v>
      </c>
    </row>
    <row r="499" spans="5:18" x14ac:dyDescent="0.25">
      <c r="E499" s="1">
        <f t="shared" si="64"/>
        <v>496</v>
      </c>
      <c r="F499" s="4">
        <f t="shared" ca="1" si="65"/>
        <v>249000</v>
      </c>
      <c r="G499" s="1" t="s">
        <v>70</v>
      </c>
      <c r="H499" s="26">
        <f t="shared" ca="1" si="63"/>
        <v>0.2583097473423005</v>
      </c>
      <c r="I499" s="4">
        <f>IF(G499="Yes",-$C$8,0)</f>
        <v>-500</v>
      </c>
      <c r="J499" s="4">
        <f>IF(G499="Yes",$C$8-I499,0)</f>
        <v>1000</v>
      </c>
      <c r="K499" s="4">
        <f ca="1">IF(H499&gt;=$C$4,J499+I499,I499)</f>
        <v>500</v>
      </c>
      <c r="M499" s="61">
        <f t="shared" si="70"/>
        <v>396.8</v>
      </c>
      <c r="N499" s="61">
        <f t="shared" si="71"/>
        <v>99.199999999999989</v>
      </c>
      <c r="O499" s="4">
        <f t="shared" si="66"/>
        <v>198400</v>
      </c>
      <c r="P499" s="4">
        <f t="shared" si="67"/>
        <v>-49599.999999999993</v>
      </c>
      <c r="Q499" s="4">
        <f t="shared" si="68"/>
        <v>148800</v>
      </c>
      <c r="R499" s="4">
        <f t="shared" si="69"/>
        <v>248800</v>
      </c>
    </row>
    <row r="500" spans="5:18" x14ac:dyDescent="0.25">
      <c r="E500" s="1">
        <f t="shared" si="64"/>
        <v>497</v>
      </c>
      <c r="F500" s="4">
        <f t="shared" ca="1" si="65"/>
        <v>249500</v>
      </c>
      <c r="G500" s="1" t="s">
        <v>70</v>
      </c>
      <c r="H500" s="26">
        <f t="shared" ca="1" si="63"/>
        <v>0.70797191211652999</v>
      </c>
      <c r="I500" s="4">
        <f>IF(G500="Yes",-$C$8,0)</f>
        <v>-500</v>
      </c>
      <c r="J500" s="4">
        <f>IF(G500="Yes",$C$8-I500,0)</f>
        <v>1000</v>
      </c>
      <c r="K500" s="4">
        <f ca="1">IF(H500&gt;=$C$4,J500+I500,I500)</f>
        <v>500</v>
      </c>
      <c r="M500" s="61">
        <f t="shared" si="70"/>
        <v>397.6</v>
      </c>
      <c r="N500" s="61">
        <f t="shared" si="71"/>
        <v>99.399999999999977</v>
      </c>
      <c r="O500" s="4">
        <f t="shared" si="66"/>
        <v>198800</v>
      </c>
      <c r="P500" s="4">
        <f t="shared" si="67"/>
        <v>-49699.999999999985</v>
      </c>
      <c r="Q500" s="4">
        <f t="shared" si="68"/>
        <v>149100</v>
      </c>
      <c r="R500" s="4">
        <f t="shared" si="69"/>
        <v>249100</v>
      </c>
    </row>
    <row r="501" spans="5:18" x14ac:dyDescent="0.25">
      <c r="E501" s="1">
        <f t="shared" si="64"/>
        <v>498</v>
      </c>
      <c r="F501" s="4">
        <f t="shared" ca="1" si="65"/>
        <v>250000</v>
      </c>
      <c r="G501" s="1" t="s">
        <v>70</v>
      </c>
      <c r="H501" s="26">
        <f t="shared" ca="1" si="63"/>
        <v>0.45061912801570869</v>
      </c>
      <c r="I501" s="4">
        <f>IF(G501="Yes",-$C$8,0)</f>
        <v>-500</v>
      </c>
      <c r="J501" s="4">
        <f>IF(G501="Yes",$C$8-I501,0)</f>
        <v>1000</v>
      </c>
      <c r="K501" s="4">
        <f ca="1">IF(H501&gt;=$C$4,J501+I501,I501)</f>
        <v>500</v>
      </c>
      <c r="M501" s="61">
        <f t="shared" si="70"/>
        <v>398.40000000000003</v>
      </c>
      <c r="N501" s="61">
        <f t="shared" si="71"/>
        <v>99.599999999999966</v>
      </c>
      <c r="O501" s="4">
        <f t="shared" si="66"/>
        <v>199200.00000000003</v>
      </c>
      <c r="P501" s="4">
        <f t="shared" si="67"/>
        <v>-49799.999999999985</v>
      </c>
      <c r="Q501" s="4">
        <f t="shared" si="68"/>
        <v>149400.00000000006</v>
      </c>
      <c r="R501" s="4">
        <f t="shared" si="69"/>
        <v>249400.00000000006</v>
      </c>
    </row>
    <row r="502" spans="5:18" x14ac:dyDescent="0.25">
      <c r="E502" s="1">
        <f t="shared" si="64"/>
        <v>499</v>
      </c>
      <c r="F502" s="4">
        <f t="shared" ca="1" si="65"/>
        <v>250500</v>
      </c>
      <c r="G502" s="1" t="s">
        <v>70</v>
      </c>
      <c r="H502" s="26">
        <f t="shared" ca="1" si="63"/>
        <v>0.46665051232324839</v>
      </c>
      <c r="I502" s="4">
        <f>IF(G502="Yes",-$C$8,0)</f>
        <v>-500</v>
      </c>
      <c r="J502" s="4">
        <f>IF(G502="Yes",$C$8-I502,0)</f>
        <v>1000</v>
      </c>
      <c r="K502" s="4">
        <f ca="1">IF(H502&gt;=$C$4,J502+I502,I502)</f>
        <v>500</v>
      </c>
      <c r="M502" s="61">
        <f t="shared" si="70"/>
        <v>399.20000000000005</v>
      </c>
      <c r="N502" s="61">
        <f t="shared" si="71"/>
        <v>99.799999999999955</v>
      </c>
      <c r="O502" s="4">
        <f t="shared" si="66"/>
        <v>199600.00000000003</v>
      </c>
      <c r="P502" s="4">
        <f t="shared" si="67"/>
        <v>-49899.999999999978</v>
      </c>
      <c r="Q502" s="4">
        <f t="shared" si="68"/>
        <v>149700.00000000006</v>
      </c>
      <c r="R502" s="4">
        <f t="shared" si="69"/>
        <v>249700.00000000006</v>
      </c>
    </row>
    <row r="503" spans="5:18" x14ac:dyDescent="0.25">
      <c r="E503" s="1">
        <f t="shared" si="64"/>
        <v>500</v>
      </c>
      <c r="F503" s="4">
        <f t="shared" ca="1" si="65"/>
        <v>250000</v>
      </c>
      <c r="G503" s="1" t="s">
        <v>70</v>
      </c>
      <c r="H503" s="26">
        <f t="shared" ca="1" si="63"/>
        <v>8.0465889408384172E-2</v>
      </c>
      <c r="I503" s="4">
        <f>IF(G503="Yes",-$C$8,0)</f>
        <v>-500</v>
      </c>
      <c r="J503" s="4">
        <f>IF(G503="Yes",$C$8-I503,0)</f>
        <v>1000</v>
      </c>
      <c r="K503" s="4">
        <f ca="1">IF(H503&gt;=$C$4,J503+I503,I503)</f>
        <v>-500</v>
      </c>
      <c r="M503" s="61">
        <f t="shared" si="70"/>
        <v>400</v>
      </c>
      <c r="N503" s="61">
        <f t="shared" si="71"/>
        <v>100</v>
      </c>
      <c r="O503" s="4">
        <f t="shared" si="66"/>
        <v>200000</v>
      </c>
      <c r="P503" s="4">
        <f t="shared" si="67"/>
        <v>-50000</v>
      </c>
      <c r="Q503" s="4">
        <f t="shared" si="68"/>
        <v>150000</v>
      </c>
      <c r="R503" s="4">
        <f t="shared" si="69"/>
        <v>250000</v>
      </c>
    </row>
    <row r="504" spans="5:18" x14ac:dyDescent="0.25">
      <c r="E504" s="1">
        <f t="shared" si="64"/>
        <v>501</v>
      </c>
      <c r="F504" s="4">
        <f t="shared" ca="1" si="65"/>
        <v>250500</v>
      </c>
      <c r="G504" s="1" t="s">
        <v>70</v>
      </c>
      <c r="H504" s="26">
        <f t="shared" ca="1" si="63"/>
        <v>0.8459314037876815</v>
      </c>
      <c r="I504" s="4">
        <f>IF(G504="Yes",-$C$8,0)</f>
        <v>-500</v>
      </c>
      <c r="J504" s="4">
        <f>IF(G504="Yes",$C$8-I504,0)</f>
        <v>1000</v>
      </c>
      <c r="K504" s="4">
        <f ca="1">IF(H504&gt;=$C$4,J504+I504,I504)</f>
        <v>500</v>
      </c>
      <c r="M504" s="61">
        <f t="shared" si="70"/>
        <v>400.8</v>
      </c>
      <c r="N504" s="61">
        <f t="shared" si="71"/>
        <v>100.19999999999999</v>
      </c>
      <c r="O504" s="4">
        <f t="shared" si="66"/>
        <v>200400</v>
      </c>
      <c r="P504" s="4">
        <f t="shared" si="67"/>
        <v>-50099.999999999993</v>
      </c>
      <c r="Q504" s="4">
        <f t="shared" si="68"/>
        <v>150300</v>
      </c>
      <c r="R504" s="4">
        <f t="shared" si="69"/>
        <v>250300</v>
      </c>
    </row>
    <row r="505" spans="5:18" x14ac:dyDescent="0.25">
      <c r="E505" s="1">
        <f t="shared" si="64"/>
        <v>502</v>
      </c>
      <c r="F505" s="4">
        <f t="shared" ca="1" si="65"/>
        <v>251000</v>
      </c>
      <c r="G505" s="1" t="s">
        <v>70</v>
      </c>
      <c r="H505" s="26">
        <f t="shared" ca="1" si="63"/>
        <v>0.3944064130346695</v>
      </c>
      <c r="I505" s="4">
        <f>IF(G505="Yes",-$C$8,0)</f>
        <v>-500</v>
      </c>
      <c r="J505" s="4">
        <f>IF(G505="Yes",$C$8-I505,0)</f>
        <v>1000</v>
      </c>
      <c r="K505" s="4">
        <f ca="1">IF(H505&gt;=$C$4,J505+I505,I505)</f>
        <v>500</v>
      </c>
      <c r="M505" s="61">
        <f t="shared" si="70"/>
        <v>401.6</v>
      </c>
      <c r="N505" s="61">
        <f t="shared" si="71"/>
        <v>100.39999999999998</v>
      </c>
      <c r="O505" s="4">
        <f t="shared" si="66"/>
        <v>200800</v>
      </c>
      <c r="P505" s="4">
        <f t="shared" si="67"/>
        <v>-50199.999999999985</v>
      </c>
      <c r="Q505" s="4">
        <f t="shared" si="68"/>
        <v>150600</v>
      </c>
      <c r="R505" s="4">
        <f t="shared" si="69"/>
        <v>250600</v>
      </c>
    </row>
    <row r="506" spans="5:18" x14ac:dyDescent="0.25">
      <c r="E506" s="1">
        <f t="shared" si="64"/>
        <v>503</v>
      </c>
      <c r="F506" s="4">
        <f t="shared" ca="1" si="65"/>
        <v>251500</v>
      </c>
      <c r="G506" s="1" t="s">
        <v>70</v>
      </c>
      <c r="H506" s="26">
        <f t="shared" ca="1" si="63"/>
        <v>0.55799015546962527</v>
      </c>
      <c r="I506" s="4">
        <f>IF(G506="Yes",-$C$8,0)</f>
        <v>-500</v>
      </c>
      <c r="J506" s="4">
        <f>IF(G506="Yes",$C$8-I506,0)</f>
        <v>1000</v>
      </c>
      <c r="K506" s="4">
        <f ca="1">IF(H506&gt;=$C$4,J506+I506,I506)</f>
        <v>500</v>
      </c>
      <c r="M506" s="61">
        <f t="shared" si="70"/>
        <v>402.40000000000003</v>
      </c>
      <c r="N506" s="61">
        <f t="shared" si="71"/>
        <v>100.59999999999997</v>
      </c>
      <c r="O506" s="4">
        <f t="shared" si="66"/>
        <v>201200.00000000003</v>
      </c>
      <c r="P506" s="4">
        <f t="shared" si="67"/>
        <v>-50299.999999999985</v>
      </c>
      <c r="Q506" s="4">
        <f t="shared" si="68"/>
        <v>150900.00000000006</v>
      </c>
      <c r="R506" s="4">
        <f t="shared" si="69"/>
        <v>250900.00000000006</v>
      </c>
    </row>
    <row r="507" spans="5:18" x14ac:dyDescent="0.25">
      <c r="E507" s="1">
        <f t="shared" si="64"/>
        <v>504</v>
      </c>
      <c r="F507" s="4">
        <f t="shared" ca="1" si="65"/>
        <v>252000</v>
      </c>
      <c r="G507" s="1" t="s">
        <v>70</v>
      </c>
      <c r="H507" s="26">
        <f t="shared" ca="1" si="63"/>
        <v>0.92637638296384761</v>
      </c>
      <c r="I507" s="4">
        <f>IF(G507="Yes",-$C$8,0)</f>
        <v>-500</v>
      </c>
      <c r="J507" s="4">
        <f>IF(G507="Yes",$C$8-I507,0)</f>
        <v>1000</v>
      </c>
      <c r="K507" s="4">
        <f ca="1">IF(H507&gt;=$C$4,J507+I507,I507)</f>
        <v>500</v>
      </c>
      <c r="M507" s="61">
        <f t="shared" si="70"/>
        <v>403.20000000000005</v>
      </c>
      <c r="N507" s="61">
        <f t="shared" si="71"/>
        <v>100.79999999999995</v>
      </c>
      <c r="O507" s="4">
        <f t="shared" si="66"/>
        <v>201600.00000000003</v>
      </c>
      <c r="P507" s="4">
        <f t="shared" si="67"/>
        <v>-50399.999999999978</v>
      </c>
      <c r="Q507" s="4">
        <f t="shared" si="68"/>
        <v>151200.00000000006</v>
      </c>
      <c r="R507" s="4">
        <f t="shared" si="69"/>
        <v>251200.00000000006</v>
      </c>
    </row>
    <row r="508" spans="5:18" x14ac:dyDescent="0.25">
      <c r="E508" s="1">
        <f t="shared" si="64"/>
        <v>505</v>
      </c>
      <c r="F508" s="4">
        <f t="shared" ca="1" si="65"/>
        <v>251500</v>
      </c>
      <c r="G508" s="1" t="s">
        <v>70</v>
      </c>
      <c r="H508" s="26">
        <f t="shared" ca="1" si="63"/>
        <v>0.18311987348171344</v>
      </c>
      <c r="I508" s="4">
        <f>IF(G508="Yes",-$C$8,0)</f>
        <v>-500</v>
      </c>
      <c r="J508" s="4">
        <f>IF(G508="Yes",$C$8-I508,0)</f>
        <v>1000</v>
      </c>
      <c r="K508" s="4">
        <f ca="1">IF(H508&gt;=$C$4,J508+I508,I508)</f>
        <v>-500</v>
      </c>
      <c r="M508" s="61">
        <f t="shared" si="70"/>
        <v>404</v>
      </c>
      <c r="N508" s="61">
        <f t="shared" si="71"/>
        <v>101</v>
      </c>
      <c r="O508" s="4">
        <f t="shared" si="66"/>
        <v>202000</v>
      </c>
      <c r="P508" s="4">
        <f t="shared" si="67"/>
        <v>-50500</v>
      </c>
      <c r="Q508" s="4">
        <f t="shared" si="68"/>
        <v>151500</v>
      </c>
      <c r="R508" s="4">
        <f t="shared" si="69"/>
        <v>251500</v>
      </c>
    </row>
    <row r="509" spans="5:18" x14ac:dyDescent="0.25">
      <c r="E509" s="1">
        <f t="shared" si="64"/>
        <v>506</v>
      </c>
      <c r="F509" s="4">
        <f t="shared" ca="1" si="65"/>
        <v>251000</v>
      </c>
      <c r="G509" s="1" t="s">
        <v>70</v>
      </c>
      <c r="H509" s="26">
        <f t="shared" ca="1" si="63"/>
        <v>8.0759987607518791E-2</v>
      </c>
      <c r="I509" s="4">
        <f>IF(G509="Yes",-$C$8,0)</f>
        <v>-500</v>
      </c>
      <c r="J509" s="4">
        <f>IF(G509="Yes",$C$8-I509,0)</f>
        <v>1000</v>
      </c>
      <c r="K509" s="4">
        <f ca="1">IF(H509&gt;=$C$4,J509+I509,I509)</f>
        <v>-500</v>
      </c>
      <c r="M509" s="61">
        <f t="shared" si="70"/>
        <v>404.8</v>
      </c>
      <c r="N509" s="61">
        <f t="shared" si="71"/>
        <v>101.19999999999999</v>
      </c>
      <c r="O509" s="4">
        <f t="shared" si="66"/>
        <v>202400</v>
      </c>
      <c r="P509" s="4">
        <f t="shared" si="67"/>
        <v>-50599.999999999993</v>
      </c>
      <c r="Q509" s="4">
        <f t="shared" si="68"/>
        <v>151800</v>
      </c>
      <c r="R509" s="4">
        <f t="shared" si="69"/>
        <v>251800</v>
      </c>
    </row>
    <row r="510" spans="5:18" x14ac:dyDescent="0.25">
      <c r="E510" s="1">
        <f t="shared" si="64"/>
        <v>507</v>
      </c>
      <c r="F510" s="4">
        <f t="shared" ca="1" si="65"/>
        <v>251500</v>
      </c>
      <c r="G510" s="1" t="s">
        <v>70</v>
      </c>
      <c r="H510" s="26">
        <f t="shared" ca="1" si="63"/>
        <v>0.74856774458722852</v>
      </c>
      <c r="I510" s="4">
        <f>IF(G510="Yes",-$C$8,0)</f>
        <v>-500</v>
      </c>
      <c r="J510" s="4">
        <f>IF(G510="Yes",$C$8-I510,0)</f>
        <v>1000</v>
      </c>
      <c r="K510" s="4">
        <f ca="1">IF(H510&gt;=$C$4,J510+I510,I510)</f>
        <v>500</v>
      </c>
      <c r="M510" s="61">
        <f t="shared" si="70"/>
        <v>405.6</v>
      </c>
      <c r="N510" s="61">
        <f t="shared" si="71"/>
        <v>101.39999999999998</v>
      </c>
      <c r="O510" s="4">
        <f t="shared" si="66"/>
        <v>202800</v>
      </c>
      <c r="P510" s="4">
        <f t="shared" si="67"/>
        <v>-50699.999999999985</v>
      </c>
      <c r="Q510" s="4">
        <f t="shared" si="68"/>
        <v>152100</v>
      </c>
      <c r="R510" s="4">
        <f t="shared" si="69"/>
        <v>252100</v>
      </c>
    </row>
    <row r="511" spans="5:18" x14ac:dyDescent="0.25">
      <c r="E511" s="1">
        <f t="shared" si="64"/>
        <v>508</v>
      </c>
      <c r="F511" s="4">
        <f t="shared" ca="1" si="65"/>
        <v>252000</v>
      </c>
      <c r="G511" s="1" t="s">
        <v>70</v>
      </c>
      <c r="H511" s="26">
        <f t="shared" ca="1" si="63"/>
        <v>0.70727756944396325</v>
      </c>
      <c r="I511" s="4">
        <f>IF(G511="Yes",-$C$8,0)</f>
        <v>-500</v>
      </c>
      <c r="J511" s="4">
        <f>IF(G511="Yes",$C$8-I511,0)</f>
        <v>1000</v>
      </c>
      <c r="K511" s="4">
        <f ca="1">IF(H511&gt;=$C$4,J511+I511,I511)</f>
        <v>500</v>
      </c>
      <c r="M511" s="61">
        <f t="shared" si="70"/>
        <v>406.40000000000003</v>
      </c>
      <c r="N511" s="61">
        <f t="shared" si="71"/>
        <v>101.59999999999997</v>
      </c>
      <c r="O511" s="4">
        <f t="shared" si="66"/>
        <v>203200.00000000003</v>
      </c>
      <c r="P511" s="4">
        <f t="shared" si="67"/>
        <v>-50799.999999999985</v>
      </c>
      <c r="Q511" s="4">
        <f t="shared" si="68"/>
        <v>152400.00000000006</v>
      </c>
      <c r="R511" s="4">
        <f t="shared" si="69"/>
        <v>252400.00000000006</v>
      </c>
    </row>
    <row r="512" spans="5:18" x14ac:dyDescent="0.25">
      <c r="E512" s="1">
        <f t="shared" si="64"/>
        <v>509</v>
      </c>
      <c r="F512" s="4">
        <f t="shared" ca="1" si="65"/>
        <v>251500</v>
      </c>
      <c r="G512" s="1" t="s">
        <v>70</v>
      </c>
      <c r="H512" s="26">
        <f t="shared" ca="1" si="63"/>
        <v>9.8711532038301408E-3</v>
      </c>
      <c r="I512" s="4">
        <f>IF(G512="Yes",-$C$8,0)</f>
        <v>-500</v>
      </c>
      <c r="J512" s="4">
        <f>IF(G512="Yes",$C$8-I512,0)</f>
        <v>1000</v>
      </c>
      <c r="K512" s="4">
        <f ca="1">IF(H512&gt;=$C$4,J512+I512,I512)</f>
        <v>-500</v>
      </c>
      <c r="M512" s="61">
        <f t="shared" si="70"/>
        <v>407.20000000000005</v>
      </c>
      <c r="N512" s="61">
        <f t="shared" si="71"/>
        <v>101.79999999999995</v>
      </c>
      <c r="O512" s="4">
        <f t="shared" si="66"/>
        <v>203600.00000000003</v>
      </c>
      <c r="P512" s="4">
        <f t="shared" si="67"/>
        <v>-50899.999999999978</v>
      </c>
      <c r="Q512" s="4">
        <f t="shared" si="68"/>
        <v>152700.00000000006</v>
      </c>
      <c r="R512" s="4">
        <f t="shared" si="69"/>
        <v>252700.00000000006</v>
      </c>
    </row>
    <row r="513" spans="5:18" x14ac:dyDescent="0.25">
      <c r="E513" s="1">
        <f t="shared" si="64"/>
        <v>510</v>
      </c>
      <c r="F513" s="4">
        <f t="shared" ca="1" si="65"/>
        <v>252000</v>
      </c>
      <c r="G513" s="1" t="s">
        <v>70</v>
      </c>
      <c r="H513" s="26">
        <f t="shared" ca="1" si="63"/>
        <v>0.39057356270162846</v>
      </c>
      <c r="I513" s="4">
        <f>IF(G513="Yes",-$C$8,0)</f>
        <v>-500</v>
      </c>
      <c r="J513" s="4">
        <f>IF(G513="Yes",$C$8-I513,0)</f>
        <v>1000</v>
      </c>
      <c r="K513" s="4">
        <f ca="1">IF(H513&gt;=$C$4,J513+I513,I513)</f>
        <v>500</v>
      </c>
      <c r="M513" s="61">
        <f t="shared" si="70"/>
        <v>408</v>
      </c>
      <c r="N513" s="61">
        <f t="shared" si="71"/>
        <v>102</v>
      </c>
      <c r="O513" s="4">
        <f t="shared" si="66"/>
        <v>204000</v>
      </c>
      <c r="P513" s="4">
        <f t="shared" si="67"/>
        <v>-51000</v>
      </c>
      <c r="Q513" s="4">
        <f t="shared" si="68"/>
        <v>153000</v>
      </c>
      <c r="R513" s="4">
        <f t="shared" si="69"/>
        <v>253000</v>
      </c>
    </row>
    <row r="514" spans="5:18" x14ac:dyDescent="0.25">
      <c r="E514" s="1">
        <f t="shared" si="64"/>
        <v>511</v>
      </c>
      <c r="F514" s="4">
        <f t="shared" ca="1" si="65"/>
        <v>252500</v>
      </c>
      <c r="G514" s="1" t="s">
        <v>70</v>
      </c>
      <c r="H514" s="26">
        <f t="shared" ca="1" si="63"/>
        <v>0.38206897966774667</v>
      </c>
      <c r="I514" s="4">
        <f>IF(G514="Yes",-$C$8,0)</f>
        <v>-500</v>
      </c>
      <c r="J514" s="4">
        <f>IF(G514="Yes",$C$8-I514,0)</f>
        <v>1000</v>
      </c>
      <c r="K514" s="4">
        <f ca="1">IF(H514&gt;=$C$4,J514+I514,I514)</f>
        <v>500</v>
      </c>
      <c r="M514" s="61">
        <f t="shared" si="70"/>
        <v>408.8</v>
      </c>
      <c r="N514" s="61">
        <f t="shared" si="71"/>
        <v>102.19999999999999</v>
      </c>
      <c r="O514" s="4">
        <f t="shared" si="66"/>
        <v>204400</v>
      </c>
      <c r="P514" s="4">
        <f t="shared" si="67"/>
        <v>-51099.999999999993</v>
      </c>
      <c r="Q514" s="4">
        <f t="shared" si="68"/>
        <v>153300</v>
      </c>
      <c r="R514" s="4">
        <f t="shared" si="69"/>
        <v>253300</v>
      </c>
    </row>
    <row r="515" spans="5:18" x14ac:dyDescent="0.25">
      <c r="E515" s="1">
        <f t="shared" si="64"/>
        <v>512</v>
      </c>
      <c r="F515" s="4">
        <f t="shared" ca="1" si="65"/>
        <v>252000</v>
      </c>
      <c r="G515" s="1" t="s">
        <v>70</v>
      </c>
      <c r="H515" s="26">
        <f t="shared" ca="1" si="63"/>
        <v>8.0298316472922737E-2</v>
      </c>
      <c r="I515" s="4">
        <f>IF(G515="Yes",-$C$8,0)</f>
        <v>-500</v>
      </c>
      <c r="J515" s="4">
        <f>IF(G515="Yes",$C$8-I515,0)</f>
        <v>1000</v>
      </c>
      <c r="K515" s="4">
        <f ca="1">IF(H515&gt;=$C$4,J515+I515,I515)</f>
        <v>-500</v>
      </c>
      <c r="M515" s="61">
        <f t="shared" si="70"/>
        <v>409.6</v>
      </c>
      <c r="N515" s="61">
        <f t="shared" si="71"/>
        <v>102.39999999999998</v>
      </c>
      <c r="O515" s="4">
        <f t="shared" si="66"/>
        <v>204800</v>
      </c>
      <c r="P515" s="4">
        <f t="shared" si="67"/>
        <v>-51199.999999999985</v>
      </c>
      <c r="Q515" s="4">
        <f t="shared" si="68"/>
        <v>153600</v>
      </c>
      <c r="R515" s="4">
        <f t="shared" si="69"/>
        <v>253600</v>
      </c>
    </row>
    <row r="516" spans="5:18" x14ac:dyDescent="0.25">
      <c r="E516" s="1">
        <f t="shared" si="64"/>
        <v>513</v>
      </c>
      <c r="F516" s="4">
        <f t="shared" ca="1" si="65"/>
        <v>252500</v>
      </c>
      <c r="G516" s="1" t="s">
        <v>70</v>
      </c>
      <c r="H516" s="26">
        <f t="shared" ref="H516:H579" ca="1" si="72">RAND()</f>
        <v>0.86960430979794889</v>
      </c>
      <c r="I516" s="4">
        <f>IF(G516="Yes",-$C$8,0)</f>
        <v>-500</v>
      </c>
      <c r="J516" s="4">
        <f>IF(G516="Yes",$C$8-I516,0)</f>
        <v>1000</v>
      </c>
      <c r="K516" s="4">
        <f ca="1">IF(H516&gt;=$C$4,J516+I516,I516)</f>
        <v>500</v>
      </c>
      <c r="M516" s="61">
        <f t="shared" si="70"/>
        <v>410.40000000000003</v>
      </c>
      <c r="N516" s="61">
        <f t="shared" si="71"/>
        <v>102.59999999999997</v>
      </c>
      <c r="O516" s="4">
        <f t="shared" si="66"/>
        <v>205200.00000000003</v>
      </c>
      <c r="P516" s="4">
        <f t="shared" si="67"/>
        <v>-51299.999999999985</v>
      </c>
      <c r="Q516" s="4">
        <f t="shared" si="68"/>
        <v>153900.00000000006</v>
      </c>
      <c r="R516" s="4">
        <f t="shared" si="69"/>
        <v>253900.00000000006</v>
      </c>
    </row>
    <row r="517" spans="5:18" x14ac:dyDescent="0.25">
      <c r="E517" s="1">
        <f t="shared" ref="E517:E580" si="73">E516+1</f>
        <v>514</v>
      </c>
      <c r="F517" s="4">
        <f t="shared" ref="F517:F580" ca="1" si="74">F516+K517</f>
        <v>253000</v>
      </c>
      <c r="G517" s="1" t="s">
        <v>70</v>
      </c>
      <c r="H517" s="26">
        <f t="shared" ca="1" si="72"/>
        <v>0.67622638780864275</v>
      </c>
      <c r="I517" s="4">
        <f>IF(G517="Yes",-$C$8,0)</f>
        <v>-500</v>
      </c>
      <c r="J517" s="4">
        <f>IF(G517="Yes",$C$8-I517,0)</f>
        <v>1000</v>
      </c>
      <c r="K517" s="4">
        <f ca="1">IF(H517&gt;=$C$4,J517+I517,I517)</f>
        <v>500</v>
      </c>
      <c r="M517" s="61">
        <f t="shared" si="70"/>
        <v>411.20000000000005</v>
      </c>
      <c r="N517" s="61">
        <f t="shared" si="71"/>
        <v>102.79999999999995</v>
      </c>
      <c r="O517" s="4">
        <f t="shared" ref="O517:O580" si="75">M517*$C$8</f>
        <v>205600.00000000003</v>
      </c>
      <c r="P517" s="4">
        <f t="shared" ref="P517:P580" si="76">N517*(-$C$8)</f>
        <v>-51399.999999999978</v>
      </c>
      <c r="Q517" s="4">
        <f t="shared" ref="Q517:Q580" si="77">O517+P517</f>
        <v>154200.00000000006</v>
      </c>
      <c r="R517" s="4">
        <f t="shared" ref="R517:R580" si="78">$C$7+Q517</f>
        <v>254200.00000000006</v>
      </c>
    </row>
    <row r="518" spans="5:18" x14ac:dyDescent="0.25">
      <c r="E518" s="1">
        <f t="shared" si="73"/>
        <v>515</v>
      </c>
      <c r="F518" s="4">
        <f t="shared" ca="1" si="74"/>
        <v>253500</v>
      </c>
      <c r="G518" s="1" t="s">
        <v>70</v>
      </c>
      <c r="H518" s="26">
        <f t="shared" ca="1" si="72"/>
        <v>0.80731532559448638</v>
      </c>
      <c r="I518" s="4">
        <f>IF(G518="Yes",-$C$8,0)</f>
        <v>-500</v>
      </c>
      <c r="J518" s="4">
        <f>IF(G518="Yes",$C$8-I518,0)</f>
        <v>1000</v>
      </c>
      <c r="K518" s="4">
        <f ca="1">IF(H518&gt;=$C$4,J518+I518,I518)</f>
        <v>500</v>
      </c>
      <c r="M518" s="61">
        <f t="shared" si="70"/>
        <v>412</v>
      </c>
      <c r="N518" s="61">
        <f t="shared" si="71"/>
        <v>103</v>
      </c>
      <c r="O518" s="4">
        <f t="shared" si="75"/>
        <v>206000</v>
      </c>
      <c r="P518" s="4">
        <f t="shared" si="76"/>
        <v>-51500</v>
      </c>
      <c r="Q518" s="4">
        <f t="shared" si="77"/>
        <v>154500</v>
      </c>
      <c r="R518" s="4">
        <f t="shared" si="78"/>
        <v>254500</v>
      </c>
    </row>
    <row r="519" spans="5:18" x14ac:dyDescent="0.25">
      <c r="E519" s="1">
        <f t="shared" si="73"/>
        <v>516</v>
      </c>
      <c r="F519" s="4">
        <f t="shared" ca="1" si="74"/>
        <v>254000</v>
      </c>
      <c r="G519" s="1" t="s">
        <v>70</v>
      </c>
      <c r="H519" s="26">
        <f t="shared" ca="1" si="72"/>
        <v>0.34180121516830131</v>
      </c>
      <c r="I519" s="4">
        <f>IF(G519="Yes",-$C$8,0)</f>
        <v>-500</v>
      </c>
      <c r="J519" s="4">
        <f>IF(G519="Yes",$C$8-I519,0)</f>
        <v>1000</v>
      </c>
      <c r="K519" s="4">
        <f ca="1">IF(H519&gt;=$C$4,J519+I519,I519)</f>
        <v>500</v>
      </c>
      <c r="M519" s="61">
        <f t="shared" si="70"/>
        <v>412.8</v>
      </c>
      <c r="N519" s="61">
        <f t="shared" si="71"/>
        <v>103.19999999999999</v>
      </c>
      <c r="O519" s="4">
        <f t="shared" si="75"/>
        <v>206400</v>
      </c>
      <c r="P519" s="4">
        <f t="shared" si="76"/>
        <v>-51599.999999999993</v>
      </c>
      <c r="Q519" s="4">
        <f t="shared" si="77"/>
        <v>154800</v>
      </c>
      <c r="R519" s="4">
        <f t="shared" si="78"/>
        <v>254800</v>
      </c>
    </row>
    <row r="520" spans="5:18" x14ac:dyDescent="0.25">
      <c r="E520" s="1">
        <f t="shared" si="73"/>
        <v>517</v>
      </c>
      <c r="F520" s="4">
        <f t="shared" ca="1" si="74"/>
        <v>254500</v>
      </c>
      <c r="G520" s="1" t="s">
        <v>70</v>
      </c>
      <c r="H520" s="26">
        <f t="shared" ca="1" si="72"/>
        <v>0.85546604489582689</v>
      </c>
      <c r="I520" s="4">
        <f>IF(G520="Yes",-$C$8,0)</f>
        <v>-500</v>
      </c>
      <c r="J520" s="4">
        <f>IF(G520="Yes",$C$8-I520,0)</f>
        <v>1000</v>
      </c>
      <c r="K520" s="4">
        <f ca="1">IF(H520&gt;=$C$4,J520+I520,I520)</f>
        <v>500</v>
      </c>
      <c r="M520" s="61">
        <f t="shared" si="70"/>
        <v>413.6</v>
      </c>
      <c r="N520" s="61">
        <f t="shared" si="71"/>
        <v>103.39999999999998</v>
      </c>
      <c r="O520" s="4">
        <f t="shared" si="75"/>
        <v>206800</v>
      </c>
      <c r="P520" s="4">
        <f t="shared" si="76"/>
        <v>-51699.999999999985</v>
      </c>
      <c r="Q520" s="4">
        <f t="shared" si="77"/>
        <v>155100</v>
      </c>
      <c r="R520" s="4">
        <f t="shared" si="78"/>
        <v>255100</v>
      </c>
    </row>
    <row r="521" spans="5:18" x14ac:dyDescent="0.25">
      <c r="E521" s="1">
        <f t="shared" si="73"/>
        <v>518</v>
      </c>
      <c r="F521" s="4">
        <f t="shared" ca="1" si="74"/>
        <v>255000</v>
      </c>
      <c r="G521" s="1" t="s">
        <v>70</v>
      </c>
      <c r="H521" s="26">
        <f t="shared" ca="1" si="72"/>
        <v>0.56723616217255957</v>
      </c>
      <c r="I521" s="4">
        <f>IF(G521="Yes",-$C$8,0)</f>
        <v>-500</v>
      </c>
      <c r="J521" s="4">
        <f>IF(G521="Yes",$C$8-I521,0)</f>
        <v>1000</v>
      </c>
      <c r="K521" s="4">
        <f ca="1">IF(H521&gt;=$C$4,J521+I521,I521)</f>
        <v>500</v>
      </c>
      <c r="M521" s="61">
        <f t="shared" si="70"/>
        <v>414.40000000000003</v>
      </c>
      <c r="N521" s="61">
        <f t="shared" si="71"/>
        <v>103.59999999999997</v>
      </c>
      <c r="O521" s="4">
        <f t="shared" si="75"/>
        <v>207200.00000000003</v>
      </c>
      <c r="P521" s="4">
        <f t="shared" si="76"/>
        <v>-51799.999999999985</v>
      </c>
      <c r="Q521" s="4">
        <f t="shared" si="77"/>
        <v>155400.00000000006</v>
      </c>
      <c r="R521" s="4">
        <f t="shared" si="78"/>
        <v>255400.00000000006</v>
      </c>
    </row>
    <row r="522" spans="5:18" x14ac:dyDescent="0.25">
      <c r="E522" s="1">
        <f t="shared" si="73"/>
        <v>519</v>
      </c>
      <c r="F522" s="4">
        <f t="shared" ca="1" si="74"/>
        <v>255500</v>
      </c>
      <c r="G522" s="1" t="s">
        <v>70</v>
      </c>
      <c r="H522" s="26">
        <f t="shared" ca="1" si="72"/>
        <v>0.55484859422882948</v>
      </c>
      <c r="I522" s="4">
        <f>IF(G522="Yes",-$C$8,0)</f>
        <v>-500</v>
      </c>
      <c r="J522" s="4">
        <f>IF(G522="Yes",$C$8-I522,0)</f>
        <v>1000</v>
      </c>
      <c r="K522" s="4">
        <f ca="1">IF(H522&gt;=$C$4,J522+I522,I522)</f>
        <v>500</v>
      </c>
      <c r="M522" s="61">
        <f t="shared" si="70"/>
        <v>415.20000000000005</v>
      </c>
      <c r="N522" s="61">
        <f t="shared" si="71"/>
        <v>103.79999999999995</v>
      </c>
      <c r="O522" s="4">
        <f t="shared" si="75"/>
        <v>207600.00000000003</v>
      </c>
      <c r="P522" s="4">
        <f t="shared" si="76"/>
        <v>-51899.999999999978</v>
      </c>
      <c r="Q522" s="4">
        <f t="shared" si="77"/>
        <v>155700.00000000006</v>
      </c>
      <c r="R522" s="4">
        <f t="shared" si="78"/>
        <v>255700.00000000006</v>
      </c>
    </row>
    <row r="523" spans="5:18" x14ac:dyDescent="0.25">
      <c r="E523" s="1">
        <f t="shared" si="73"/>
        <v>520</v>
      </c>
      <c r="F523" s="4">
        <f t="shared" ca="1" si="74"/>
        <v>256000</v>
      </c>
      <c r="G523" s="1" t="s">
        <v>70</v>
      </c>
      <c r="H523" s="26">
        <f t="shared" ca="1" si="72"/>
        <v>0.48082285671065084</v>
      </c>
      <c r="I523" s="4">
        <f>IF(G523="Yes",-$C$8,0)</f>
        <v>-500</v>
      </c>
      <c r="J523" s="4">
        <f>IF(G523="Yes",$C$8-I523,0)</f>
        <v>1000</v>
      </c>
      <c r="K523" s="4">
        <f ca="1">IF(H523&gt;=$C$4,J523+I523,I523)</f>
        <v>500</v>
      </c>
      <c r="M523" s="61">
        <f t="shared" si="70"/>
        <v>416</v>
      </c>
      <c r="N523" s="61">
        <f t="shared" si="71"/>
        <v>104</v>
      </c>
      <c r="O523" s="4">
        <f t="shared" si="75"/>
        <v>208000</v>
      </c>
      <c r="P523" s="4">
        <f t="shared" si="76"/>
        <v>-52000</v>
      </c>
      <c r="Q523" s="4">
        <f t="shared" si="77"/>
        <v>156000</v>
      </c>
      <c r="R523" s="4">
        <f t="shared" si="78"/>
        <v>256000</v>
      </c>
    </row>
    <row r="524" spans="5:18" x14ac:dyDescent="0.25">
      <c r="E524" s="1">
        <f t="shared" si="73"/>
        <v>521</v>
      </c>
      <c r="F524" s="4">
        <f t="shared" ca="1" si="74"/>
        <v>256500</v>
      </c>
      <c r="G524" s="1" t="s">
        <v>70</v>
      </c>
      <c r="H524" s="26">
        <f t="shared" ca="1" si="72"/>
        <v>0.95893505474140106</v>
      </c>
      <c r="I524" s="4">
        <f>IF(G524="Yes",-$C$8,0)</f>
        <v>-500</v>
      </c>
      <c r="J524" s="4">
        <f>IF(G524="Yes",$C$8-I524,0)</f>
        <v>1000</v>
      </c>
      <c r="K524" s="4">
        <f ca="1">IF(H524&gt;=$C$4,J524+I524,I524)</f>
        <v>500</v>
      </c>
      <c r="M524" s="61">
        <f t="shared" si="70"/>
        <v>416.8</v>
      </c>
      <c r="N524" s="61">
        <f t="shared" si="71"/>
        <v>104.19999999999999</v>
      </c>
      <c r="O524" s="4">
        <f t="shared" si="75"/>
        <v>208400</v>
      </c>
      <c r="P524" s="4">
        <f t="shared" si="76"/>
        <v>-52099.999999999993</v>
      </c>
      <c r="Q524" s="4">
        <f t="shared" si="77"/>
        <v>156300</v>
      </c>
      <c r="R524" s="4">
        <f t="shared" si="78"/>
        <v>256300</v>
      </c>
    </row>
    <row r="525" spans="5:18" x14ac:dyDescent="0.25">
      <c r="E525" s="1">
        <f t="shared" si="73"/>
        <v>522</v>
      </c>
      <c r="F525" s="4">
        <f t="shared" ca="1" si="74"/>
        <v>256000</v>
      </c>
      <c r="G525" s="1" t="s">
        <v>70</v>
      </c>
      <c r="H525" s="26">
        <f t="shared" ca="1" si="72"/>
        <v>4.2521955492837993E-3</v>
      </c>
      <c r="I525" s="4">
        <f>IF(G525="Yes",-$C$8,0)</f>
        <v>-500</v>
      </c>
      <c r="J525" s="4">
        <f>IF(G525="Yes",$C$8-I525,0)</f>
        <v>1000</v>
      </c>
      <c r="K525" s="4">
        <f ca="1">IF(H525&gt;=$C$4,J525+I525,I525)</f>
        <v>-500</v>
      </c>
      <c r="M525" s="61">
        <f t="shared" si="70"/>
        <v>417.6</v>
      </c>
      <c r="N525" s="61">
        <f t="shared" si="71"/>
        <v>104.39999999999998</v>
      </c>
      <c r="O525" s="4">
        <f t="shared" si="75"/>
        <v>208800</v>
      </c>
      <c r="P525" s="4">
        <f t="shared" si="76"/>
        <v>-52199.999999999985</v>
      </c>
      <c r="Q525" s="4">
        <f t="shared" si="77"/>
        <v>156600</v>
      </c>
      <c r="R525" s="4">
        <f t="shared" si="78"/>
        <v>256600</v>
      </c>
    </row>
    <row r="526" spans="5:18" x14ac:dyDescent="0.25">
      <c r="E526" s="1">
        <f t="shared" si="73"/>
        <v>523</v>
      </c>
      <c r="F526" s="4">
        <f t="shared" ca="1" si="74"/>
        <v>256500</v>
      </c>
      <c r="G526" s="1" t="s">
        <v>70</v>
      </c>
      <c r="H526" s="26">
        <f t="shared" ca="1" si="72"/>
        <v>0.23589335437789571</v>
      </c>
      <c r="I526" s="4">
        <f>IF(G526="Yes",-$C$8,0)</f>
        <v>-500</v>
      </c>
      <c r="J526" s="4">
        <f>IF(G526="Yes",$C$8-I526,0)</f>
        <v>1000</v>
      </c>
      <c r="K526" s="4">
        <f ca="1">IF(H526&gt;=$C$4,J526+I526,I526)</f>
        <v>500</v>
      </c>
      <c r="M526" s="61">
        <f t="shared" ref="M526:M589" si="79">E526*$C$3</f>
        <v>418.40000000000003</v>
      </c>
      <c r="N526" s="61">
        <f t="shared" ref="N526:N589" si="80">E526-M526</f>
        <v>104.59999999999997</v>
      </c>
      <c r="O526" s="4">
        <f t="shared" si="75"/>
        <v>209200.00000000003</v>
      </c>
      <c r="P526" s="4">
        <f t="shared" si="76"/>
        <v>-52299.999999999985</v>
      </c>
      <c r="Q526" s="4">
        <f t="shared" si="77"/>
        <v>156900.00000000006</v>
      </c>
      <c r="R526" s="4">
        <f t="shared" si="78"/>
        <v>256900.00000000006</v>
      </c>
    </row>
    <row r="527" spans="5:18" x14ac:dyDescent="0.25">
      <c r="E527" s="1">
        <f t="shared" si="73"/>
        <v>524</v>
      </c>
      <c r="F527" s="4">
        <f t="shared" ca="1" si="74"/>
        <v>257000</v>
      </c>
      <c r="G527" s="1" t="s">
        <v>70</v>
      </c>
      <c r="H527" s="26">
        <f t="shared" ca="1" si="72"/>
        <v>0.501158984709136</v>
      </c>
      <c r="I527" s="4">
        <f>IF(G527="Yes",-$C$8,0)</f>
        <v>-500</v>
      </c>
      <c r="J527" s="4">
        <f>IF(G527="Yes",$C$8-I527,0)</f>
        <v>1000</v>
      </c>
      <c r="K527" s="4">
        <f ca="1">IF(H527&gt;=$C$4,J527+I527,I527)</f>
        <v>500</v>
      </c>
      <c r="M527" s="61">
        <f t="shared" si="79"/>
        <v>419.20000000000005</v>
      </c>
      <c r="N527" s="61">
        <f t="shared" si="80"/>
        <v>104.79999999999995</v>
      </c>
      <c r="O527" s="4">
        <f t="shared" si="75"/>
        <v>209600.00000000003</v>
      </c>
      <c r="P527" s="4">
        <f t="shared" si="76"/>
        <v>-52399.999999999978</v>
      </c>
      <c r="Q527" s="4">
        <f t="shared" si="77"/>
        <v>157200.00000000006</v>
      </c>
      <c r="R527" s="4">
        <f t="shared" si="78"/>
        <v>257200.00000000006</v>
      </c>
    </row>
    <row r="528" spans="5:18" x14ac:dyDescent="0.25">
      <c r="E528" s="1">
        <f t="shared" si="73"/>
        <v>525</v>
      </c>
      <c r="F528" s="4">
        <f t="shared" ca="1" si="74"/>
        <v>256500</v>
      </c>
      <c r="G528" s="1" t="s">
        <v>70</v>
      </c>
      <c r="H528" s="26">
        <f t="shared" ca="1" si="72"/>
        <v>3.6763241807998392E-2</v>
      </c>
      <c r="I528" s="4">
        <f>IF(G528="Yes",-$C$8,0)</f>
        <v>-500</v>
      </c>
      <c r="J528" s="4">
        <f>IF(G528="Yes",$C$8-I528,0)</f>
        <v>1000</v>
      </c>
      <c r="K528" s="4">
        <f ca="1">IF(H528&gt;=$C$4,J528+I528,I528)</f>
        <v>-500</v>
      </c>
      <c r="M528" s="61">
        <f t="shared" si="79"/>
        <v>420</v>
      </c>
      <c r="N528" s="61">
        <f t="shared" si="80"/>
        <v>105</v>
      </c>
      <c r="O528" s="4">
        <f t="shared" si="75"/>
        <v>210000</v>
      </c>
      <c r="P528" s="4">
        <f t="shared" si="76"/>
        <v>-52500</v>
      </c>
      <c r="Q528" s="4">
        <f t="shared" si="77"/>
        <v>157500</v>
      </c>
      <c r="R528" s="4">
        <f t="shared" si="78"/>
        <v>257500</v>
      </c>
    </row>
    <row r="529" spans="5:18" x14ac:dyDescent="0.25">
      <c r="E529" s="1">
        <f t="shared" si="73"/>
        <v>526</v>
      </c>
      <c r="F529" s="4">
        <f t="shared" ca="1" si="74"/>
        <v>257000</v>
      </c>
      <c r="G529" s="1" t="s">
        <v>70</v>
      </c>
      <c r="H529" s="26">
        <f t="shared" ca="1" si="72"/>
        <v>0.50722918454366062</v>
      </c>
      <c r="I529" s="4">
        <f>IF(G529="Yes",-$C$8,0)</f>
        <v>-500</v>
      </c>
      <c r="J529" s="4">
        <f>IF(G529="Yes",$C$8-I529,0)</f>
        <v>1000</v>
      </c>
      <c r="K529" s="4">
        <f ca="1">IF(H529&gt;=$C$4,J529+I529,I529)</f>
        <v>500</v>
      </c>
      <c r="M529" s="61">
        <f t="shared" si="79"/>
        <v>420.8</v>
      </c>
      <c r="N529" s="61">
        <f t="shared" si="80"/>
        <v>105.19999999999999</v>
      </c>
      <c r="O529" s="4">
        <f t="shared" si="75"/>
        <v>210400</v>
      </c>
      <c r="P529" s="4">
        <f t="shared" si="76"/>
        <v>-52599.999999999993</v>
      </c>
      <c r="Q529" s="4">
        <f t="shared" si="77"/>
        <v>157800</v>
      </c>
      <c r="R529" s="4">
        <f t="shared" si="78"/>
        <v>257800</v>
      </c>
    </row>
    <row r="530" spans="5:18" x14ac:dyDescent="0.25">
      <c r="E530" s="1">
        <f t="shared" si="73"/>
        <v>527</v>
      </c>
      <c r="F530" s="4">
        <f t="shared" ca="1" si="74"/>
        <v>257500</v>
      </c>
      <c r="G530" s="1" t="s">
        <v>70</v>
      </c>
      <c r="H530" s="26">
        <f t="shared" ca="1" si="72"/>
        <v>0.39130925899800439</v>
      </c>
      <c r="I530" s="4">
        <f>IF(G530="Yes",-$C$8,0)</f>
        <v>-500</v>
      </c>
      <c r="J530" s="4">
        <f>IF(G530="Yes",$C$8-I530,0)</f>
        <v>1000</v>
      </c>
      <c r="K530" s="4">
        <f ca="1">IF(H530&gt;=$C$4,J530+I530,I530)</f>
        <v>500</v>
      </c>
      <c r="M530" s="61">
        <f t="shared" si="79"/>
        <v>421.6</v>
      </c>
      <c r="N530" s="61">
        <f t="shared" si="80"/>
        <v>105.39999999999998</v>
      </c>
      <c r="O530" s="4">
        <f t="shared" si="75"/>
        <v>210800</v>
      </c>
      <c r="P530" s="4">
        <f t="shared" si="76"/>
        <v>-52699.999999999985</v>
      </c>
      <c r="Q530" s="4">
        <f t="shared" si="77"/>
        <v>158100</v>
      </c>
      <c r="R530" s="4">
        <f t="shared" si="78"/>
        <v>258100</v>
      </c>
    </row>
    <row r="531" spans="5:18" x14ac:dyDescent="0.25">
      <c r="E531" s="1">
        <f t="shared" si="73"/>
        <v>528</v>
      </c>
      <c r="F531" s="4">
        <f t="shared" ca="1" si="74"/>
        <v>258000</v>
      </c>
      <c r="G531" s="1" t="s">
        <v>70</v>
      </c>
      <c r="H531" s="26">
        <f t="shared" ca="1" si="72"/>
        <v>0.44917450829429884</v>
      </c>
      <c r="I531" s="4">
        <f>IF(G531="Yes",-$C$8,0)</f>
        <v>-500</v>
      </c>
      <c r="J531" s="4">
        <f>IF(G531="Yes",$C$8-I531,0)</f>
        <v>1000</v>
      </c>
      <c r="K531" s="4">
        <f ca="1">IF(H531&gt;=$C$4,J531+I531,I531)</f>
        <v>500</v>
      </c>
      <c r="M531" s="61">
        <f t="shared" si="79"/>
        <v>422.40000000000003</v>
      </c>
      <c r="N531" s="61">
        <f t="shared" si="80"/>
        <v>105.59999999999997</v>
      </c>
      <c r="O531" s="4">
        <f t="shared" si="75"/>
        <v>211200.00000000003</v>
      </c>
      <c r="P531" s="4">
        <f t="shared" si="76"/>
        <v>-52799.999999999985</v>
      </c>
      <c r="Q531" s="4">
        <f t="shared" si="77"/>
        <v>158400.00000000006</v>
      </c>
      <c r="R531" s="4">
        <f t="shared" si="78"/>
        <v>258400.00000000006</v>
      </c>
    </row>
    <row r="532" spans="5:18" x14ac:dyDescent="0.25">
      <c r="E532" s="1">
        <f t="shared" si="73"/>
        <v>529</v>
      </c>
      <c r="F532" s="4">
        <f t="shared" ca="1" si="74"/>
        <v>258500</v>
      </c>
      <c r="G532" s="1" t="s">
        <v>70</v>
      </c>
      <c r="H532" s="26">
        <f t="shared" ca="1" si="72"/>
        <v>0.81493633584318348</v>
      </c>
      <c r="I532" s="4">
        <f>IF(G532="Yes",-$C$8,0)</f>
        <v>-500</v>
      </c>
      <c r="J532" s="4">
        <f>IF(G532="Yes",$C$8-I532,0)</f>
        <v>1000</v>
      </c>
      <c r="K532" s="4">
        <f ca="1">IF(H532&gt;=$C$4,J532+I532,I532)</f>
        <v>500</v>
      </c>
      <c r="M532" s="61">
        <f t="shared" si="79"/>
        <v>423.20000000000005</v>
      </c>
      <c r="N532" s="61">
        <f t="shared" si="80"/>
        <v>105.79999999999995</v>
      </c>
      <c r="O532" s="4">
        <f t="shared" si="75"/>
        <v>211600.00000000003</v>
      </c>
      <c r="P532" s="4">
        <f t="shared" si="76"/>
        <v>-52899.999999999978</v>
      </c>
      <c r="Q532" s="4">
        <f t="shared" si="77"/>
        <v>158700.00000000006</v>
      </c>
      <c r="R532" s="4">
        <f t="shared" si="78"/>
        <v>258700.00000000006</v>
      </c>
    </row>
    <row r="533" spans="5:18" x14ac:dyDescent="0.25">
      <c r="E533" s="1">
        <f t="shared" si="73"/>
        <v>530</v>
      </c>
      <c r="F533" s="4">
        <f t="shared" ca="1" si="74"/>
        <v>259000</v>
      </c>
      <c r="G533" s="1" t="s">
        <v>70</v>
      </c>
      <c r="H533" s="26">
        <f t="shared" ca="1" si="72"/>
        <v>0.71090643135262976</v>
      </c>
      <c r="I533" s="4">
        <f>IF(G533="Yes",-$C$8,0)</f>
        <v>-500</v>
      </c>
      <c r="J533" s="4">
        <f>IF(G533="Yes",$C$8-I533,0)</f>
        <v>1000</v>
      </c>
      <c r="K533" s="4">
        <f ca="1">IF(H533&gt;=$C$4,J533+I533,I533)</f>
        <v>500</v>
      </c>
      <c r="M533" s="61">
        <f t="shared" si="79"/>
        <v>424</v>
      </c>
      <c r="N533" s="61">
        <f t="shared" si="80"/>
        <v>106</v>
      </c>
      <c r="O533" s="4">
        <f t="shared" si="75"/>
        <v>212000</v>
      </c>
      <c r="P533" s="4">
        <f t="shared" si="76"/>
        <v>-53000</v>
      </c>
      <c r="Q533" s="4">
        <f t="shared" si="77"/>
        <v>159000</v>
      </c>
      <c r="R533" s="4">
        <f t="shared" si="78"/>
        <v>259000</v>
      </c>
    </row>
    <row r="534" spans="5:18" x14ac:dyDescent="0.25">
      <c r="E534" s="1">
        <f t="shared" si="73"/>
        <v>531</v>
      </c>
      <c r="F534" s="4">
        <f t="shared" ca="1" si="74"/>
        <v>259500</v>
      </c>
      <c r="G534" s="1" t="s">
        <v>70</v>
      </c>
      <c r="H534" s="26">
        <f t="shared" ca="1" si="72"/>
        <v>0.32285884010430577</v>
      </c>
      <c r="I534" s="4">
        <f>IF(G534="Yes",-$C$8,0)</f>
        <v>-500</v>
      </c>
      <c r="J534" s="4">
        <f>IF(G534="Yes",$C$8-I534,0)</f>
        <v>1000</v>
      </c>
      <c r="K534" s="4">
        <f ca="1">IF(H534&gt;=$C$4,J534+I534,I534)</f>
        <v>500</v>
      </c>
      <c r="M534" s="61">
        <f t="shared" si="79"/>
        <v>424.8</v>
      </c>
      <c r="N534" s="61">
        <f t="shared" si="80"/>
        <v>106.19999999999999</v>
      </c>
      <c r="O534" s="4">
        <f t="shared" si="75"/>
        <v>212400</v>
      </c>
      <c r="P534" s="4">
        <f t="shared" si="76"/>
        <v>-53099.999999999993</v>
      </c>
      <c r="Q534" s="4">
        <f t="shared" si="77"/>
        <v>159300</v>
      </c>
      <c r="R534" s="4">
        <f t="shared" si="78"/>
        <v>259300</v>
      </c>
    </row>
    <row r="535" spans="5:18" x14ac:dyDescent="0.25">
      <c r="E535" s="1">
        <f t="shared" si="73"/>
        <v>532</v>
      </c>
      <c r="F535" s="4">
        <f t="shared" ca="1" si="74"/>
        <v>260000</v>
      </c>
      <c r="G535" s="1" t="s">
        <v>70</v>
      </c>
      <c r="H535" s="26">
        <f t="shared" ca="1" si="72"/>
        <v>0.74008682627305244</v>
      </c>
      <c r="I535" s="4">
        <f>IF(G535="Yes",-$C$8,0)</f>
        <v>-500</v>
      </c>
      <c r="J535" s="4">
        <f>IF(G535="Yes",$C$8-I535,0)</f>
        <v>1000</v>
      </c>
      <c r="K535" s="4">
        <f ca="1">IF(H535&gt;=$C$4,J535+I535,I535)</f>
        <v>500</v>
      </c>
      <c r="M535" s="61">
        <f t="shared" si="79"/>
        <v>425.6</v>
      </c>
      <c r="N535" s="61">
        <f t="shared" si="80"/>
        <v>106.39999999999998</v>
      </c>
      <c r="O535" s="4">
        <f t="shared" si="75"/>
        <v>212800</v>
      </c>
      <c r="P535" s="4">
        <f t="shared" si="76"/>
        <v>-53199.999999999985</v>
      </c>
      <c r="Q535" s="4">
        <f t="shared" si="77"/>
        <v>159600</v>
      </c>
      <c r="R535" s="4">
        <f t="shared" si="78"/>
        <v>259600</v>
      </c>
    </row>
    <row r="536" spans="5:18" x14ac:dyDescent="0.25">
      <c r="E536" s="1">
        <f t="shared" si="73"/>
        <v>533</v>
      </c>
      <c r="F536" s="4">
        <f t="shared" ca="1" si="74"/>
        <v>259500</v>
      </c>
      <c r="G536" s="1" t="s">
        <v>70</v>
      </c>
      <c r="H536" s="26">
        <f t="shared" ca="1" si="72"/>
        <v>0.10083126543316634</v>
      </c>
      <c r="I536" s="4">
        <f>IF(G536="Yes",-$C$8,0)</f>
        <v>-500</v>
      </c>
      <c r="J536" s="4">
        <f>IF(G536="Yes",$C$8-I536,0)</f>
        <v>1000</v>
      </c>
      <c r="K536" s="4">
        <f ca="1">IF(H536&gt;=$C$4,J536+I536,I536)</f>
        <v>-500</v>
      </c>
      <c r="M536" s="61">
        <f t="shared" si="79"/>
        <v>426.40000000000003</v>
      </c>
      <c r="N536" s="61">
        <f t="shared" si="80"/>
        <v>106.59999999999997</v>
      </c>
      <c r="O536" s="4">
        <f t="shared" si="75"/>
        <v>213200.00000000003</v>
      </c>
      <c r="P536" s="4">
        <f t="shared" si="76"/>
        <v>-53299.999999999985</v>
      </c>
      <c r="Q536" s="4">
        <f t="shared" si="77"/>
        <v>159900.00000000006</v>
      </c>
      <c r="R536" s="4">
        <f t="shared" si="78"/>
        <v>259900.00000000006</v>
      </c>
    </row>
    <row r="537" spans="5:18" x14ac:dyDescent="0.25">
      <c r="E537" s="1">
        <f t="shared" si="73"/>
        <v>534</v>
      </c>
      <c r="F537" s="4">
        <f t="shared" ca="1" si="74"/>
        <v>260000</v>
      </c>
      <c r="G537" s="1" t="s">
        <v>70</v>
      </c>
      <c r="H537" s="26">
        <f t="shared" ca="1" si="72"/>
        <v>0.4233086010067304</v>
      </c>
      <c r="I537" s="4">
        <f>IF(G537="Yes",-$C$8,0)</f>
        <v>-500</v>
      </c>
      <c r="J537" s="4">
        <f>IF(G537="Yes",$C$8-I537,0)</f>
        <v>1000</v>
      </c>
      <c r="K537" s="4">
        <f ca="1">IF(H537&gt;=$C$4,J537+I537,I537)</f>
        <v>500</v>
      </c>
      <c r="M537" s="61">
        <f t="shared" si="79"/>
        <v>427.20000000000005</v>
      </c>
      <c r="N537" s="61">
        <f t="shared" si="80"/>
        <v>106.79999999999995</v>
      </c>
      <c r="O537" s="4">
        <f t="shared" si="75"/>
        <v>213600.00000000003</v>
      </c>
      <c r="P537" s="4">
        <f t="shared" si="76"/>
        <v>-53399.999999999978</v>
      </c>
      <c r="Q537" s="4">
        <f t="shared" si="77"/>
        <v>160200.00000000006</v>
      </c>
      <c r="R537" s="4">
        <f t="shared" si="78"/>
        <v>260200.00000000006</v>
      </c>
    </row>
    <row r="538" spans="5:18" x14ac:dyDescent="0.25">
      <c r="E538" s="1">
        <f t="shared" si="73"/>
        <v>535</v>
      </c>
      <c r="F538" s="4">
        <f t="shared" ca="1" si="74"/>
        <v>260500</v>
      </c>
      <c r="G538" s="1" t="s">
        <v>70</v>
      </c>
      <c r="H538" s="26">
        <f t="shared" ca="1" si="72"/>
        <v>0.23380151912907432</v>
      </c>
      <c r="I538" s="4">
        <f>IF(G538="Yes",-$C$8,0)</f>
        <v>-500</v>
      </c>
      <c r="J538" s="4">
        <f>IF(G538="Yes",$C$8-I538,0)</f>
        <v>1000</v>
      </c>
      <c r="K538" s="4">
        <f ca="1">IF(H538&gt;=$C$4,J538+I538,I538)</f>
        <v>500</v>
      </c>
      <c r="M538" s="61">
        <f t="shared" si="79"/>
        <v>428</v>
      </c>
      <c r="N538" s="61">
        <f t="shared" si="80"/>
        <v>107</v>
      </c>
      <c r="O538" s="4">
        <f t="shared" si="75"/>
        <v>214000</v>
      </c>
      <c r="P538" s="4">
        <f t="shared" si="76"/>
        <v>-53500</v>
      </c>
      <c r="Q538" s="4">
        <f t="shared" si="77"/>
        <v>160500</v>
      </c>
      <c r="R538" s="4">
        <f t="shared" si="78"/>
        <v>260500</v>
      </c>
    </row>
    <row r="539" spans="5:18" x14ac:dyDescent="0.25">
      <c r="E539" s="1">
        <f t="shared" si="73"/>
        <v>536</v>
      </c>
      <c r="F539" s="4">
        <f t="shared" ca="1" si="74"/>
        <v>260000</v>
      </c>
      <c r="G539" s="1" t="s">
        <v>70</v>
      </c>
      <c r="H539" s="26">
        <f t="shared" ca="1" si="72"/>
        <v>1.7410340168962812E-2</v>
      </c>
      <c r="I539" s="4">
        <f>IF(G539="Yes",-$C$8,0)</f>
        <v>-500</v>
      </c>
      <c r="J539" s="4">
        <f>IF(G539="Yes",$C$8-I539,0)</f>
        <v>1000</v>
      </c>
      <c r="K539" s="4">
        <f ca="1">IF(H539&gt;=$C$4,J539+I539,I539)</f>
        <v>-500</v>
      </c>
      <c r="M539" s="61">
        <f t="shared" si="79"/>
        <v>428.8</v>
      </c>
      <c r="N539" s="61">
        <f t="shared" si="80"/>
        <v>107.19999999999999</v>
      </c>
      <c r="O539" s="4">
        <f t="shared" si="75"/>
        <v>214400</v>
      </c>
      <c r="P539" s="4">
        <f t="shared" si="76"/>
        <v>-53599.999999999993</v>
      </c>
      <c r="Q539" s="4">
        <f t="shared" si="77"/>
        <v>160800</v>
      </c>
      <c r="R539" s="4">
        <f t="shared" si="78"/>
        <v>260800</v>
      </c>
    </row>
    <row r="540" spans="5:18" x14ac:dyDescent="0.25">
      <c r="E540" s="1">
        <f t="shared" si="73"/>
        <v>537</v>
      </c>
      <c r="F540" s="4">
        <f t="shared" ca="1" si="74"/>
        <v>260500</v>
      </c>
      <c r="G540" s="1" t="s">
        <v>70</v>
      </c>
      <c r="H540" s="26">
        <f t="shared" ca="1" si="72"/>
        <v>0.59083434173572302</v>
      </c>
      <c r="I540" s="4">
        <f>IF(G540="Yes",-$C$8,0)</f>
        <v>-500</v>
      </c>
      <c r="J540" s="4">
        <f>IF(G540="Yes",$C$8-I540,0)</f>
        <v>1000</v>
      </c>
      <c r="K540" s="4">
        <f ca="1">IF(H540&gt;=$C$4,J540+I540,I540)</f>
        <v>500</v>
      </c>
      <c r="M540" s="61">
        <f t="shared" si="79"/>
        <v>429.6</v>
      </c>
      <c r="N540" s="61">
        <f t="shared" si="80"/>
        <v>107.39999999999998</v>
      </c>
      <c r="O540" s="4">
        <f t="shared" si="75"/>
        <v>214800</v>
      </c>
      <c r="P540" s="4">
        <f t="shared" si="76"/>
        <v>-53699.999999999985</v>
      </c>
      <c r="Q540" s="4">
        <f t="shared" si="77"/>
        <v>161100</v>
      </c>
      <c r="R540" s="4">
        <f t="shared" si="78"/>
        <v>261100</v>
      </c>
    </row>
    <row r="541" spans="5:18" x14ac:dyDescent="0.25">
      <c r="E541" s="1">
        <f t="shared" si="73"/>
        <v>538</v>
      </c>
      <c r="F541" s="4">
        <f t="shared" ca="1" si="74"/>
        <v>260000</v>
      </c>
      <c r="G541" s="1" t="s">
        <v>70</v>
      </c>
      <c r="H541" s="26">
        <f t="shared" ca="1" si="72"/>
        <v>6.8507392247767807E-2</v>
      </c>
      <c r="I541" s="4">
        <f>IF(G541="Yes",-$C$8,0)</f>
        <v>-500</v>
      </c>
      <c r="J541" s="4">
        <f>IF(G541="Yes",$C$8-I541,0)</f>
        <v>1000</v>
      </c>
      <c r="K541" s="4">
        <f ca="1">IF(H541&gt;=$C$4,J541+I541,I541)</f>
        <v>-500</v>
      </c>
      <c r="M541" s="61">
        <f t="shared" si="79"/>
        <v>430.40000000000003</v>
      </c>
      <c r="N541" s="61">
        <f t="shared" si="80"/>
        <v>107.59999999999997</v>
      </c>
      <c r="O541" s="4">
        <f t="shared" si="75"/>
        <v>215200.00000000003</v>
      </c>
      <c r="P541" s="4">
        <f t="shared" si="76"/>
        <v>-53799.999999999985</v>
      </c>
      <c r="Q541" s="4">
        <f t="shared" si="77"/>
        <v>161400.00000000006</v>
      </c>
      <c r="R541" s="4">
        <f t="shared" si="78"/>
        <v>261400.00000000006</v>
      </c>
    </row>
    <row r="542" spans="5:18" x14ac:dyDescent="0.25">
      <c r="E542" s="1">
        <f t="shared" si="73"/>
        <v>539</v>
      </c>
      <c r="F542" s="4">
        <f t="shared" ca="1" si="74"/>
        <v>259500</v>
      </c>
      <c r="G542" s="1" t="s">
        <v>70</v>
      </c>
      <c r="H542" s="26">
        <f t="shared" ca="1" si="72"/>
        <v>7.5474124317118418E-2</v>
      </c>
      <c r="I542" s="4">
        <f>IF(G542="Yes",-$C$8,0)</f>
        <v>-500</v>
      </c>
      <c r="J542" s="4">
        <f>IF(G542="Yes",$C$8-I542,0)</f>
        <v>1000</v>
      </c>
      <c r="K542" s="4">
        <f ca="1">IF(H542&gt;=$C$4,J542+I542,I542)</f>
        <v>-500</v>
      </c>
      <c r="M542" s="61">
        <f t="shared" si="79"/>
        <v>431.20000000000005</v>
      </c>
      <c r="N542" s="61">
        <f t="shared" si="80"/>
        <v>107.79999999999995</v>
      </c>
      <c r="O542" s="4">
        <f t="shared" si="75"/>
        <v>215600.00000000003</v>
      </c>
      <c r="P542" s="4">
        <f t="shared" si="76"/>
        <v>-53899.999999999978</v>
      </c>
      <c r="Q542" s="4">
        <f t="shared" si="77"/>
        <v>161700.00000000006</v>
      </c>
      <c r="R542" s="4">
        <f t="shared" si="78"/>
        <v>261700.00000000006</v>
      </c>
    </row>
    <row r="543" spans="5:18" x14ac:dyDescent="0.25">
      <c r="E543" s="1">
        <f t="shared" si="73"/>
        <v>540</v>
      </c>
      <c r="F543" s="4">
        <f t="shared" ca="1" si="74"/>
        <v>260000</v>
      </c>
      <c r="G543" s="1" t="s">
        <v>70</v>
      </c>
      <c r="H543" s="26">
        <f t="shared" ca="1" si="72"/>
        <v>0.87884662578370265</v>
      </c>
      <c r="I543" s="4">
        <f>IF(G543="Yes",-$C$8,0)</f>
        <v>-500</v>
      </c>
      <c r="J543" s="4">
        <f>IF(G543="Yes",$C$8-I543,0)</f>
        <v>1000</v>
      </c>
      <c r="K543" s="4">
        <f ca="1">IF(H543&gt;=$C$4,J543+I543,I543)</f>
        <v>500</v>
      </c>
      <c r="M543" s="61">
        <f t="shared" si="79"/>
        <v>432</v>
      </c>
      <c r="N543" s="61">
        <f t="shared" si="80"/>
        <v>108</v>
      </c>
      <c r="O543" s="4">
        <f t="shared" si="75"/>
        <v>216000</v>
      </c>
      <c r="P543" s="4">
        <f t="shared" si="76"/>
        <v>-54000</v>
      </c>
      <c r="Q543" s="4">
        <f t="shared" si="77"/>
        <v>162000</v>
      </c>
      <c r="R543" s="4">
        <f t="shared" si="78"/>
        <v>262000</v>
      </c>
    </row>
    <row r="544" spans="5:18" x14ac:dyDescent="0.25">
      <c r="E544" s="1">
        <f t="shared" si="73"/>
        <v>541</v>
      </c>
      <c r="F544" s="4">
        <f t="shared" ca="1" si="74"/>
        <v>260500</v>
      </c>
      <c r="G544" s="1" t="s">
        <v>70</v>
      </c>
      <c r="H544" s="26">
        <f t="shared" ca="1" si="72"/>
        <v>0.69040829620499045</v>
      </c>
      <c r="I544" s="4">
        <f>IF(G544="Yes",-$C$8,0)</f>
        <v>-500</v>
      </c>
      <c r="J544" s="4">
        <f>IF(G544="Yes",$C$8-I544,0)</f>
        <v>1000</v>
      </c>
      <c r="K544" s="4">
        <f ca="1">IF(H544&gt;=$C$4,J544+I544,I544)</f>
        <v>500</v>
      </c>
      <c r="M544" s="61">
        <f t="shared" si="79"/>
        <v>432.8</v>
      </c>
      <c r="N544" s="61">
        <f t="shared" si="80"/>
        <v>108.19999999999999</v>
      </c>
      <c r="O544" s="4">
        <f t="shared" si="75"/>
        <v>216400</v>
      </c>
      <c r="P544" s="4">
        <f t="shared" si="76"/>
        <v>-54099.999999999993</v>
      </c>
      <c r="Q544" s="4">
        <f t="shared" si="77"/>
        <v>162300</v>
      </c>
      <c r="R544" s="4">
        <f t="shared" si="78"/>
        <v>262300</v>
      </c>
    </row>
    <row r="545" spans="5:18" x14ac:dyDescent="0.25">
      <c r="E545" s="1">
        <f t="shared" si="73"/>
        <v>542</v>
      </c>
      <c r="F545" s="4">
        <f t="shared" ca="1" si="74"/>
        <v>261000</v>
      </c>
      <c r="G545" s="1" t="s">
        <v>70</v>
      </c>
      <c r="H545" s="26">
        <f t="shared" ca="1" si="72"/>
        <v>0.46476564598460568</v>
      </c>
      <c r="I545" s="4">
        <f>IF(G545="Yes",-$C$8,0)</f>
        <v>-500</v>
      </c>
      <c r="J545" s="4">
        <f>IF(G545="Yes",$C$8-I545,0)</f>
        <v>1000</v>
      </c>
      <c r="K545" s="4">
        <f ca="1">IF(H545&gt;=$C$4,J545+I545,I545)</f>
        <v>500</v>
      </c>
      <c r="M545" s="61">
        <f t="shared" si="79"/>
        <v>433.6</v>
      </c>
      <c r="N545" s="61">
        <f t="shared" si="80"/>
        <v>108.39999999999998</v>
      </c>
      <c r="O545" s="4">
        <f t="shared" si="75"/>
        <v>216800</v>
      </c>
      <c r="P545" s="4">
        <f t="shared" si="76"/>
        <v>-54199.999999999985</v>
      </c>
      <c r="Q545" s="4">
        <f t="shared" si="77"/>
        <v>162600</v>
      </c>
      <c r="R545" s="4">
        <f t="shared" si="78"/>
        <v>262600</v>
      </c>
    </row>
    <row r="546" spans="5:18" x14ac:dyDescent="0.25">
      <c r="E546" s="1">
        <f t="shared" si="73"/>
        <v>543</v>
      </c>
      <c r="F546" s="4">
        <f t="shared" ca="1" si="74"/>
        <v>261500</v>
      </c>
      <c r="G546" s="1" t="s">
        <v>70</v>
      </c>
      <c r="H546" s="26">
        <f t="shared" ca="1" si="72"/>
        <v>0.39503001774414559</v>
      </c>
      <c r="I546" s="4">
        <f>IF(G546="Yes",-$C$8,0)</f>
        <v>-500</v>
      </c>
      <c r="J546" s="4">
        <f>IF(G546="Yes",$C$8-I546,0)</f>
        <v>1000</v>
      </c>
      <c r="K546" s="4">
        <f ca="1">IF(H546&gt;=$C$4,J546+I546,I546)</f>
        <v>500</v>
      </c>
      <c r="M546" s="61">
        <f t="shared" si="79"/>
        <v>434.40000000000003</v>
      </c>
      <c r="N546" s="61">
        <f t="shared" si="80"/>
        <v>108.59999999999997</v>
      </c>
      <c r="O546" s="4">
        <f t="shared" si="75"/>
        <v>217200.00000000003</v>
      </c>
      <c r="P546" s="4">
        <f t="shared" si="76"/>
        <v>-54299.999999999985</v>
      </c>
      <c r="Q546" s="4">
        <f t="shared" si="77"/>
        <v>162900.00000000006</v>
      </c>
      <c r="R546" s="4">
        <f t="shared" si="78"/>
        <v>262900.00000000006</v>
      </c>
    </row>
    <row r="547" spans="5:18" x14ac:dyDescent="0.25">
      <c r="E547" s="1">
        <f t="shared" si="73"/>
        <v>544</v>
      </c>
      <c r="F547" s="4">
        <f t="shared" ca="1" si="74"/>
        <v>261000</v>
      </c>
      <c r="G547" s="1" t="s">
        <v>70</v>
      </c>
      <c r="H547" s="26">
        <f t="shared" ca="1" si="72"/>
        <v>0.16909711436636987</v>
      </c>
      <c r="I547" s="4">
        <f>IF(G547="Yes",-$C$8,0)</f>
        <v>-500</v>
      </c>
      <c r="J547" s="4">
        <f>IF(G547="Yes",$C$8-I547,0)</f>
        <v>1000</v>
      </c>
      <c r="K547" s="4">
        <f ca="1">IF(H547&gt;=$C$4,J547+I547,I547)</f>
        <v>-500</v>
      </c>
      <c r="M547" s="61">
        <f t="shared" si="79"/>
        <v>435.20000000000005</v>
      </c>
      <c r="N547" s="61">
        <f t="shared" si="80"/>
        <v>108.79999999999995</v>
      </c>
      <c r="O547" s="4">
        <f t="shared" si="75"/>
        <v>217600.00000000003</v>
      </c>
      <c r="P547" s="4">
        <f t="shared" si="76"/>
        <v>-54399.999999999978</v>
      </c>
      <c r="Q547" s="4">
        <f t="shared" si="77"/>
        <v>163200.00000000006</v>
      </c>
      <c r="R547" s="4">
        <f t="shared" si="78"/>
        <v>263200.00000000006</v>
      </c>
    </row>
    <row r="548" spans="5:18" x14ac:dyDescent="0.25">
      <c r="E548" s="1">
        <f t="shared" si="73"/>
        <v>545</v>
      </c>
      <c r="F548" s="4">
        <f t="shared" ca="1" si="74"/>
        <v>261500</v>
      </c>
      <c r="G548" s="1" t="s">
        <v>70</v>
      </c>
      <c r="H548" s="26">
        <f t="shared" ca="1" si="72"/>
        <v>0.603196126988784</v>
      </c>
      <c r="I548" s="4">
        <f>IF(G548="Yes",-$C$8,0)</f>
        <v>-500</v>
      </c>
      <c r="J548" s="4">
        <f>IF(G548="Yes",$C$8-I548,0)</f>
        <v>1000</v>
      </c>
      <c r="K548" s="4">
        <f ca="1">IF(H548&gt;=$C$4,J548+I548,I548)</f>
        <v>500</v>
      </c>
      <c r="M548" s="61">
        <f t="shared" si="79"/>
        <v>436</v>
      </c>
      <c r="N548" s="61">
        <f t="shared" si="80"/>
        <v>109</v>
      </c>
      <c r="O548" s="4">
        <f t="shared" si="75"/>
        <v>218000</v>
      </c>
      <c r="P548" s="4">
        <f t="shared" si="76"/>
        <v>-54500</v>
      </c>
      <c r="Q548" s="4">
        <f t="shared" si="77"/>
        <v>163500</v>
      </c>
      <c r="R548" s="4">
        <f t="shared" si="78"/>
        <v>263500</v>
      </c>
    </row>
    <row r="549" spans="5:18" x14ac:dyDescent="0.25">
      <c r="E549" s="1">
        <f t="shared" si="73"/>
        <v>546</v>
      </c>
      <c r="F549" s="4">
        <f t="shared" ca="1" si="74"/>
        <v>261000</v>
      </c>
      <c r="G549" s="1" t="s">
        <v>70</v>
      </c>
      <c r="H549" s="26">
        <f t="shared" ca="1" si="72"/>
        <v>0.10598433151303233</v>
      </c>
      <c r="I549" s="4">
        <f>IF(G549="Yes",-$C$8,0)</f>
        <v>-500</v>
      </c>
      <c r="J549" s="4">
        <f>IF(G549="Yes",$C$8-I549,0)</f>
        <v>1000</v>
      </c>
      <c r="K549" s="4">
        <f ca="1">IF(H549&gt;=$C$4,J549+I549,I549)</f>
        <v>-500</v>
      </c>
      <c r="M549" s="61">
        <f t="shared" si="79"/>
        <v>436.8</v>
      </c>
      <c r="N549" s="61">
        <f t="shared" si="80"/>
        <v>109.19999999999999</v>
      </c>
      <c r="O549" s="4">
        <f t="shared" si="75"/>
        <v>218400</v>
      </c>
      <c r="P549" s="4">
        <f t="shared" si="76"/>
        <v>-54599.999999999993</v>
      </c>
      <c r="Q549" s="4">
        <f t="shared" si="77"/>
        <v>163800</v>
      </c>
      <c r="R549" s="4">
        <f t="shared" si="78"/>
        <v>263800</v>
      </c>
    </row>
    <row r="550" spans="5:18" x14ac:dyDescent="0.25">
      <c r="E550" s="1">
        <f t="shared" si="73"/>
        <v>547</v>
      </c>
      <c r="F550" s="4">
        <f t="shared" ca="1" si="74"/>
        <v>261500</v>
      </c>
      <c r="G550" s="1" t="s">
        <v>70</v>
      </c>
      <c r="H550" s="26">
        <f t="shared" ca="1" si="72"/>
        <v>0.25837211542935379</v>
      </c>
      <c r="I550" s="4">
        <f>IF(G550="Yes",-$C$8,0)</f>
        <v>-500</v>
      </c>
      <c r="J550" s="4">
        <f>IF(G550="Yes",$C$8-I550,0)</f>
        <v>1000</v>
      </c>
      <c r="K550" s="4">
        <f ca="1">IF(H550&gt;=$C$4,J550+I550,I550)</f>
        <v>500</v>
      </c>
      <c r="M550" s="61">
        <f t="shared" si="79"/>
        <v>437.6</v>
      </c>
      <c r="N550" s="61">
        <f t="shared" si="80"/>
        <v>109.39999999999998</v>
      </c>
      <c r="O550" s="4">
        <f t="shared" si="75"/>
        <v>218800</v>
      </c>
      <c r="P550" s="4">
        <f t="shared" si="76"/>
        <v>-54699.999999999985</v>
      </c>
      <c r="Q550" s="4">
        <f t="shared" si="77"/>
        <v>164100</v>
      </c>
      <c r="R550" s="4">
        <f t="shared" si="78"/>
        <v>264100</v>
      </c>
    </row>
    <row r="551" spans="5:18" x14ac:dyDescent="0.25">
      <c r="E551" s="1">
        <f t="shared" si="73"/>
        <v>548</v>
      </c>
      <c r="F551" s="4">
        <f t="shared" ca="1" si="74"/>
        <v>262000</v>
      </c>
      <c r="G551" s="1" t="s">
        <v>70</v>
      </c>
      <c r="H551" s="26">
        <f t="shared" ca="1" si="72"/>
        <v>0.90364285257093491</v>
      </c>
      <c r="I551" s="4">
        <f>IF(G551="Yes",-$C$8,0)</f>
        <v>-500</v>
      </c>
      <c r="J551" s="4">
        <f>IF(G551="Yes",$C$8-I551,0)</f>
        <v>1000</v>
      </c>
      <c r="K551" s="4">
        <f ca="1">IF(H551&gt;=$C$4,J551+I551,I551)</f>
        <v>500</v>
      </c>
      <c r="M551" s="61">
        <f t="shared" si="79"/>
        <v>438.40000000000003</v>
      </c>
      <c r="N551" s="61">
        <f t="shared" si="80"/>
        <v>109.59999999999997</v>
      </c>
      <c r="O551" s="4">
        <f t="shared" si="75"/>
        <v>219200.00000000003</v>
      </c>
      <c r="P551" s="4">
        <f t="shared" si="76"/>
        <v>-54799.999999999985</v>
      </c>
      <c r="Q551" s="4">
        <f t="shared" si="77"/>
        <v>164400.00000000006</v>
      </c>
      <c r="R551" s="4">
        <f t="shared" si="78"/>
        <v>264400.00000000006</v>
      </c>
    </row>
    <row r="552" spans="5:18" x14ac:dyDescent="0.25">
      <c r="E552" s="1">
        <f t="shared" si="73"/>
        <v>549</v>
      </c>
      <c r="F552" s="4">
        <f t="shared" ca="1" si="74"/>
        <v>262500</v>
      </c>
      <c r="G552" s="1" t="s">
        <v>70</v>
      </c>
      <c r="H552" s="26">
        <f t="shared" ca="1" si="72"/>
        <v>0.27949320550881784</v>
      </c>
      <c r="I552" s="4">
        <f>IF(G552="Yes",-$C$8,0)</f>
        <v>-500</v>
      </c>
      <c r="J552" s="4">
        <f>IF(G552="Yes",$C$8-I552,0)</f>
        <v>1000</v>
      </c>
      <c r="K552" s="4">
        <f ca="1">IF(H552&gt;=$C$4,J552+I552,I552)</f>
        <v>500</v>
      </c>
      <c r="M552" s="61">
        <f t="shared" si="79"/>
        <v>439.20000000000005</v>
      </c>
      <c r="N552" s="61">
        <f t="shared" si="80"/>
        <v>109.79999999999995</v>
      </c>
      <c r="O552" s="4">
        <f t="shared" si="75"/>
        <v>219600.00000000003</v>
      </c>
      <c r="P552" s="4">
        <f t="shared" si="76"/>
        <v>-54899.999999999978</v>
      </c>
      <c r="Q552" s="4">
        <f t="shared" si="77"/>
        <v>164700.00000000006</v>
      </c>
      <c r="R552" s="4">
        <f t="shared" si="78"/>
        <v>264700.00000000006</v>
      </c>
    </row>
    <row r="553" spans="5:18" x14ac:dyDescent="0.25">
      <c r="E553" s="1">
        <f t="shared" si="73"/>
        <v>550</v>
      </c>
      <c r="F553" s="4">
        <f t="shared" ca="1" si="74"/>
        <v>262000</v>
      </c>
      <c r="G553" s="1" t="s">
        <v>70</v>
      </c>
      <c r="H553" s="26">
        <f t="shared" ca="1" si="72"/>
        <v>9.2047111171047469E-3</v>
      </c>
      <c r="I553" s="4">
        <f>IF(G553="Yes",-$C$8,0)</f>
        <v>-500</v>
      </c>
      <c r="J553" s="4">
        <f>IF(G553="Yes",$C$8-I553,0)</f>
        <v>1000</v>
      </c>
      <c r="K553" s="4">
        <f ca="1">IF(H553&gt;=$C$4,J553+I553,I553)</f>
        <v>-500</v>
      </c>
      <c r="M553" s="61">
        <f t="shared" si="79"/>
        <v>440</v>
      </c>
      <c r="N553" s="61">
        <f t="shared" si="80"/>
        <v>110</v>
      </c>
      <c r="O553" s="4">
        <f t="shared" si="75"/>
        <v>220000</v>
      </c>
      <c r="P553" s="4">
        <f t="shared" si="76"/>
        <v>-55000</v>
      </c>
      <c r="Q553" s="4">
        <f t="shared" si="77"/>
        <v>165000</v>
      </c>
      <c r="R553" s="4">
        <f t="shared" si="78"/>
        <v>265000</v>
      </c>
    </row>
    <row r="554" spans="5:18" x14ac:dyDescent="0.25">
      <c r="E554" s="1">
        <f t="shared" si="73"/>
        <v>551</v>
      </c>
      <c r="F554" s="4">
        <f t="shared" ca="1" si="74"/>
        <v>262500</v>
      </c>
      <c r="G554" s="1" t="s">
        <v>70</v>
      </c>
      <c r="H554" s="26">
        <f t="shared" ca="1" si="72"/>
        <v>0.67413244835489805</v>
      </c>
      <c r="I554" s="4">
        <f>IF(G554="Yes",-$C$8,0)</f>
        <v>-500</v>
      </c>
      <c r="J554" s="4">
        <f>IF(G554="Yes",$C$8-I554,0)</f>
        <v>1000</v>
      </c>
      <c r="K554" s="4">
        <f ca="1">IF(H554&gt;=$C$4,J554+I554,I554)</f>
        <v>500</v>
      </c>
      <c r="M554" s="61">
        <f t="shared" si="79"/>
        <v>440.8</v>
      </c>
      <c r="N554" s="61">
        <f t="shared" si="80"/>
        <v>110.19999999999999</v>
      </c>
      <c r="O554" s="4">
        <f t="shared" si="75"/>
        <v>220400</v>
      </c>
      <c r="P554" s="4">
        <f t="shared" si="76"/>
        <v>-55099.999999999993</v>
      </c>
      <c r="Q554" s="4">
        <f t="shared" si="77"/>
        <v>165300</v>
      </c>
      <c r="R554" s="4">
        <f t="shared" si="78"/>
        <v>265300</v>
      </c>
    </row>
    <row r="555" spans="5:18" x14ac:dyDescent="0.25">
      <c r="E555" s="1">
        <f t="shared" si="73"/>
        <v>552</v>
      </c>
      <c r="F555" s="4">
        <f t="shared" ca="1" si="74"/>
        <v>263000</v>
      </c>
      <c r="G555" s="1" t="s">
        <v>70</v>
      </c>
      <c r="H555" s="26">
        <f t="shared" ca="1" si="72"/>
        <v>0.76717319752801261</v>
      </c>
      <c r="I555" s="4">
        <f>IF(G555="Yes",-$C$8,0)</f>
        <v>-500</v>
      </c>
      <c r="J555" s="4">
        <f>IF(G555="Yes",$C$8-I555,0)</f>
        <v>1000</v>
      </c>
      <c r="K555" s="4">
        <f ca="1">IF(H555&gt;=$C$4,J555+I555,I555)</f>
        <v>500</v>
      </c>
      <c r="M555" s="61">
        <f t="shared" si="79"/>
        <v>441.6</v>
      </c>
      <c r="N555" s="61">
        <f t="shared" si="80"/>
        <v>110.39999999999998</v>
      </c>
      <c r="O555" s="4">
        <f t="shared" si="75"/>
        <v>220800</v>
      </c>
      <c r="P555" s="4">
        <f t="shared" si="76"/>
        <v>-55199.999999999985</v>
      </c>
      <c r="Q555" s="4">
        <f t="shared" si="77"/>
        <v>165600</v>
      </c>
      <c r="R555" s="4">
        <f t="shared" si="78"/>
        <v>265600</v>
      </c>
    </row>
    <row r="556" spans="5:18" x14ac:dyDescent="0.25">
      <c r="E556" s="1">
        <f t="shared" si="73"/>
        <v>553</v>
      </c>
      <c r="F556" s="4">
        <f t="shared" ca="1" si="74"/>
        <v>263500</v>
      </c>
      <c r="G556" s="1" t="s">
        <v>70</v>
      </c>
      <c r="H556" s="26">
        <f t="shared" ca="1" si="72"/>
        <v>0.50905298894430873</v>
      </c>
      <c r="I556" s="4">
        <f>IF(G556="Yes",-$C$8,0)</f>
        <v>-500</v>
      </c>
      <c r="J556" s="4">
        <f>IF(G556="Yes",$C$8-I556,0)</f>
        <v>1000</v>
      </c>
      <c r="K556" s="4">
        <f ca="1">IF(H556&gt;=$C$4,J556+I556,I556)</f>
        <v>500</v>
      </c>
      <c r="M556" s="61">
        <f t="shared" si="79"/>
        <v>442.40000000000003</v>
      </c>
      <c r="N556" s="61">
        <f t="shared" si="80"/>
        <v>110.59999999999997</v>
      </c>
      <c r="O556" s="4">
        <f t="shared" si="75"/>
        <v>221200.00000000003</v>
      </c>
      <c r="P556" s="4">
        <f t="shared" si="76"/>
        <v>-55299.999999999985</v>
      </c>
      <c r="Q556" s="4">
        <f t="shared" si="77"/>
        <v>165900.00000000006</v>
      </c>
      <c r="R556" s="4">
        <f t="shared" si="78"/>
        <v>265900.00000000006</v>
      </c>
    </row>
    <row r="557" spans="5:18" x14ac:dyDescent="0.25">
      <c r="E557" s="1">
        <f t="shared" si="73"/>
        <v>554</v>
      </c>
      <c r="F557" s="4">
        <f t="shared" ca="1" si="74"/>
        <v>264000</v>
      </c>
      <c r="G557" s="1" t="s">
        <v>70</v>
      </c>
      <c r="H557" s="26">
        <f t="shared" ca="1" si="72"/>
        <v>0.52694200945150926</v>
      </c>
      <c r="I557" s="4">
        <f>IF(G557="Yes",-$C$8,0)</f>
        <v>-500</v>
      </c>
      <c r="J557" s="4">
        <f>IF(G557="Yes",$C$8-I557,0)</f>
        <v>1000</v>
      </c>
      <c r="K557" s="4">
        <f ca="1">IF(H557&gt;=$C$4,J557+I557,I557)</f>
        <v>500</v>
      </c>
      <c r="M557" s="61">
        <f t="shared" si="79"/>
        <v>443.20000000000005</v>
      </c>
      <c r="N557" s="61">
        <f t="shared" si="80"/>
        <v>110.79999999999995</v>
      </c>
      <c r="O557" s="4">
        <f t="shared" si="75"/>
        <v>221600.00000000003</v>
      </c>
      <c r="P557" s="4">
        <f t="shared" si="76"/>
        <v>-55399.999999999978</v>
      </c>
      <c r="Q557" s="4">
        <f t="shared" si="77"/>
        <v>166200.00000000006</v>
      </c>
      <c r="R557" s="4">
        <f t="shared" si="78"/>
        <v>266200.00000000006</v>
      </c>
    </row>
    <row r="558" spans="5:18" x14ac:dyDescent="0.25">
      <c r="E558" s="1">
        <f t="shared" si="73"/>
        <v>555</v>
      </c>
      <c r="F558" s="4">
        <f t="shared" ca="1" si="74"/>
        <v>264500</v>
      </c>
      <c r="G558" s="1" t="s">
        <v>70</v>
      </c>
      <c r="H558" s="26">
        <f t="shared" ca="1" si="72"/>
        <v>0.29217214007463699</v>
      </c>
      <c r="I558" s="4">
        <f>IF(G558="Yes",-$C$8,0)</f>
        <v>-500</v>
      </c>
      <c r="J558" s="4">
        <f>IF(G558="Yes",$C$8-I558,0)</f>
        <v>1000</v>
      </c>
      <c r="K558" s="4">
        <f ca="1">IF(H558&gt;=$C$4,J558+I558,I558)</f>
        <v>500</v>
      </c>
      <c r="M558" s="61">
        <f t="shared" si="79"/>
        <v>444</v>
      </c>
      <c r="N558" s="61">
        <f t="shared" si="80"/>
        <v>111</v>
      </c>
      <c r="O558" s="4">
        <f t="shared" si="75"/>
        <v>222000</v>
      </c>
      <c r="P558" s="4">
        <f t="shared" si="76"/>
        <v>-55500</v>
      </c>
      <c r="Q558" s="4">
        <f t="shared" si="77"/>
        <v>166500</v>
      </c>
      <c r="R558" s="4">
        <f t="shared" si="78"/>
        <v>266500</v>
      </c>
    </row>
    <row r="559" spans="5:18" x14ac:dyDescent="0.25">
      <c r="E559" s="1">
        <f t="shared" si="73"/>
        <v>556</v>
      </c>
      <c r="F559" s="4">
        <f t="shared" ca="1" si="74"/>
        <v>265000</v>
      </c>
      <c r="G559" s="1" t="s">
        <v>70</v>
      </c>
      <c r="H559" s="26">
        <f t="shared" ca="1" si="72"/>
        <v>0.24222111202876395</v>
      </c>
      <c r="I559" s="4">
        <f>IF(G559="Yes",-$C$8,0)</f>
        <v>-500</v>
      </c>
      <c r="J559" s="4">
        <f>IF(G559="Yes",$C$8-I559,0)</f>
        <v>1000</v>
      </c>
      <c r="K559" s="4">
        <f ca="1">IF(H559&gt;=$C$4,J559+I559,I559)</f>
        <v>500</v>
      </c>
      <c r="M559" s="61">
        <f t="shared" si="79"/>
        <v>444.8</v>
      </c>
      <c r="N559" s="61">
        <f t="shared" si="80"/>
        <v>111.19999999999999</v>
      </c>
      <c r="O559" s="4">
        <f t="shared" si="75"/>
        <v>222400</v>
      </c>
      <c r="P559" s="4">
        <f t="shared" si="76"/>
        <v>-55599.999999999993</v>
      </c>
      <c r="Q559" s="4">
        <f t="shared" si="77"/>
        <v>166800</v>
      </c>
      <c r="R559" s="4">
        <f t="shared" si="78"/>
        <v>266800</v>
      </c>
    </row>
    <row r="560" spans="5:18" x14ac:dyDescent="0.25">
      <c r="E560" s="1">
        <f t="shared" si="73"/>
        <v>557</v>
      </c>
      <c r="F560" s="4">
        <f t="shared" ca="1" si="74"/>
        <v>265500</v>
      </c>
      <c r="G560" s="1" t="s">
        <v>70</v>
      </c>
      <c r="H560" s="26">
        <f t="shared" ca="1" si="72"/>
        <v>0.93044917932755788</v>
      </c>
      <c r="I560" s="4">
        <f>IF(G560="Yes",-$C$8,0)</f>
        <v>-500</v>
      </c>
      <c r="J560" s="4">
        <f>IF(G560="Yes",$C$8-I560,0)</f>
        <v>1000</v>
      </c>
      <c r="K560" s="4">
        <f ca="1">IF(H560&gt;=$C$4,J560+I560,I560)</f>
        <v>500</v>
      </c>
      <c r="M560" s="61">
        <f t="shared" si="79"/>
        <v>445.6</v>
      </c>
      <c r="N560" s="61">
        <f t="shared" si="80"/>
        <v>111.39999999999998</v>
      </c>
      <c r="O560" s="4">
        <f t="shared" si="75"/>
        <v>222800</v>
      </c>
      <c r="P560" s="4">
        <f t="shared" si="76"/>
        <v>-55699.999999999985</v>
      </c>
      <c r="Q560" s="4">
        <f t="shared" si="77"/>
        <v>167100</v>
      </c>
      <c r="R560" s="4">
        <f t="shared" si="78"/>
        <v>267100</v>
      </c>
    </row>
    <row r="561" spans="5:18" x14ac:dyDescent="0.25">
      <c r="E561" s="1">
        <f t="shared" si="73"/>
        <v>558</v>
      </c>
      <c r="F561" s="4">
        <f t="shared" ca="1" si="74"/>
        <v>266000</v>
      </c>
      <c r="G561" s="1" t="s">
        <v>70</v>
      </c>
      <c r="H561" s="26">
        <f t="shared" ca="1" si="72"/>
        <v>0.4587146321504183</v>
      </c>
      <c r="I561" s="4">
        <f>IF(G561="Yes",-$C$8,0)</f>
        <v>-500</v>
      </c>
      <c r="J561" s="4">
        <f>IF(G561="Yes",$C$8-I561,0)</f>
        <v>1000</v>
      </c>
      <c r="K561" s="4">
        <f ca="1">IF(H561&gt;=$C$4,J561+I561,I561)</f>
        <v>500</v>
      </c>
      <c r="M561" s="61">
        <f t="shared" si="79"/>
        <v>446.40000000000003</v>
      </c>
      <c r="N561" s="61">
        <f t="shared" si="80"/>
        <v>111.59999999999997</v>
      </c>
      <c r="O561" s="4">
        <f t="shared" si="75"/>
        <v>223200.00000000003</v>
      </c>
      <c r="P561" s="4">
        <f t="shared" si="76"/>
        <v>-55799.999999999985</v>
      </c>
      <c r="Q561" s="4">
        <f t="shared" si="77"/>
        <v>167400.00000000006</v>
      </c>
      <c r="R561" s="4">
        <f t="shared" si="78"/>
        <v>267400.00000000006</v>
      </c>
    </row>
    <row r="562" spans="5:18" x14ac:dyDescent="0.25">
      <c r="E562" s="1">
        <f t="shared" si="73"/>
        <v>559</v>
      </c>
      <c r="F562" s="4">
        <f t="shared" ca="1" si="74"/>
        <v>266500</v>
      </c>
      <c r="G562" s="1" t="s">
        <v>70</v>
      </c>
      <c r="H562" s="26">
        <f t="shared" ca="1" si="72"/>
        <v>0.70282042597701877</v>
      </c>
      <c r="I562" s="4">
        <f>IF(G562="Yes",-$C$8,0)</f>
        <v>-500</v>
      </c>
      <c r="J562" s="4">
        <f>IF(G562="Yes",$C$8-I562,0)</f>
        <v>1000</v>
      </c>
      <c r="K562" s="4">
        <f ca="1">IF(H562&gt;=$C$4,J562+I562,I562)</f>
        <v>500</v>
      </c>
      <c r="M562" s="61">
        <f t="shared" si="79"/>
        <v>447.20000000000005</v>
      </c>
      <c r="N562" s="61">
        <f t="shared" si="80"/>
        <v>111.79999999999995</v>
      </c>
      <c r="O562" s="4">
        <f t="shared" si="75"/>
        <v>223600.00000000003</v>
      </c>
      <c r="P562" s="4">
        <f t="shared" si="76"/>
        <v>-55899.999999999978</v>
      </c>
      <c r="Q562" s="4">
        <f t="shared" si="77"/>
        <v>167700.00000000006</v>
      </c>
      <c r="R562" s="4">
        <f t="shared" si="78"/>
        <v>267700.00000000006</v>
      </c>
    </row>
    <row r="563" spans="5:18" x14ac:dyDescent="0.25">
      <c r="E563" s="1">
        <f t="shared" si="73"/>
        <v>560</v>
      </c>
      <c r="F563" s="4">
        <f t="shared" ca="1" si="74"/>
        <v>266000</v>
      </c>
      <c r="G563" s="1" t="s">
        <v>70</v>
      </c>
      <c r="H563" s="26">
        <f t="shared" ca="1" si="72"/>
        <v>2.214953094520522E-2</v>
      </c>
      <c r="I563" s="4">
        <f>IF(G563="Yes",-$C$8,0)</f>
        <v>-500</v>
      </c>
      <c r="J563" s="4">
        <f>IF(G563="Yes",$C$8-I563,0)</f>
        <v>1000</v>
      </c>
      <c r="K563" s="4">
        <f ca="1">IF(H563&gt;=$C$4,J563+I563,I563)</f>
        <v>-500</v>
      </c>
      <c r="M563" s="61">
        <f t="shared" si="79"/>
        <v>448</v>
      </c>
      <c r="N563" s="61">
        <f t="shared" si="80"/>
        <v>112</v>
      </c>
      <c r="O563" s="4">
        <f t="shared" si="75"/>
        <v>224000</v>
      </c>
      <c r="P563" s="4">
        <f t="shared" si="76"/>
        <v>-56000</v>
      </c>
      <c r="Q563" s="4">
        <f t="shared" si="77"/>
        <v>168000</v>
      </c>
      <c r="R563" s="4">
        <f t="shared" si="78"/>
        <v>268000</v>
      </c>
    </row>
    <row r="564" spans="5:18" x14ac:dyDescent="0.25">
      <c r="E564" s="1">
        <f t="shared" si="73"/>
        <v>561</v>
      </c>
      <c r="F564" s="4">
        <f t="shared" ca="1" si="74"/>
        <v>266500</v>
      </c>
      <c r="G564" s="1" t="s">
        <v>70</v>
      </c>
      <c r="H564" s="26">
        <f t="shared" ca="1" si="72"/>
        <v>0.21789518804794572</v>
      </c>
      <c r="I564" s="4">
        <f>IF(G564="Yes",-$C$8,0)</f>
        <v>-500</v>
      </c>
      <c r="J564" s="4">
        <f>IF(G564="Yes",$C$8-I564,0)</f>
        <v>1000</v>
      </c>
      <c r="K564" s="4">
        <f ca="1">IF(H564&gt;=$C$4,J564+I564,I564)</f>
        <v>500</v>
      </c>
      <c r="M564" s="61">
        <f t="shared" si="79"/>
        <v>448.8</v>
      </c>
      <c r="N564" s="61">
        <f t="shared" si="80"/>
        <v>112.19999999999999</v>
      </c>
      <c r="O564" s="4">
        <f t="shared" si="75"/>
        <v>224400</v>
      </c>
      <c r="P564" s="4">
        <f t="shared" si="76"/>
        <v>-56099.999999999993</v>
      </c>
      <c r="Q564" s="4">
        <f t="shared" si="77"/>
        <v>168300</v>
      </c>
      <c r="R564" s="4">
        <f t="shared" si="78"/>
        <v>268300</v>
      </c>
    </row>
    <row r="565" spans="5:18" x14ac:dyDescent="0.25">
      <c r="E565" s="1">
        <f t="shared" si="73"/>
        <v>562</v>
      </c>
      <c r="F565" s="4">
        <f t="shared" ca="1" si="74"/>
        <v>267000</v>
      </c>
      <c r="G565" s="1" t="s">
        <v>70</v>
      </c>
      <c r="H565" s="26">
        <f t="shared" ca="1" si="72"/>
        <v>0.36493610909620267</v>
      </c>
      <c r="I565" s="4">
        <f>IF(G565="Yes",-$C$8,0)</f>
        <v>-500</v>
      </c>
      <c r="J565" s="4">
        <f>IF(G565="Yes",$C$8-I565,0)</f>
        <v>1000</v>
      </c>
      <c r="K565" s="4">
        <f ca="1">IF(H565&gt;=$C$4,J565+I565,I565)</f>
        <v>500</v>
      </c>
      <c r="M565" s="61">
        <f t="shared" si="79"/>
        <v>449.6</v>
      </c>
      <c r="N565" s="61">
        <f t="shared" si="80"/>
        <v>112.39999999999998</v>
      </c>
      <c r="O565" s="4">
        <f t="shared" si="75"/>
        <v>224800</v>
      </c>
      <c r="P565" s="4">
        <f t="shared" si="76"/>
        <v>-56199.999999999985</v>
      </c>
      <c r="Q565" s="4">
        <f t="shared" si="77"/>
        <v>168600</v>
      </c>
      <c r="R565" s="4">
        <f t="shared" si="78"/>
        <v>268600</v>
      </c>
    </row>
    <row r="566" spans="5:18" x14ac:dyDescent="0.25">
      <c r="E566" s="1">
        <f t="shared" si="73"/>
        <v>563</v>
      </c>
      <c r="F566" s="4">
        <f t="shared" ca="1" si="74"/>
        <v>267500</v>
      </c>
      <c r="G566" s="1" t="s">
        <v>70</v>
      </c>
      <c r="H566" s="26">
        <f t="shared" ca="1" si="72"/>
        <v>0.8489653780858506</v>
      </c>
      <c r="I566" s="4">
        <f>IF(G566="Yes",-$C$8,0)</f>
        <v>-500</v>
      </c>
      <c r="J566" s="4">
        <f>IF(G566="Yes",$C$8-I566,0)</f>
        <v>1000</v>
      </c>
      <c r="K566" s="4">
        <f ca="1">IF(H566&gt;=$C$4,J566+I566,I566)</f>
        <v>500</v>
      </c>
      <c r="M566" s="61">
        <f t="shared" si="79"/>
        <v>450.40000000000003</v>
      </c>
      <c r="N566" s="61">
        <f t="shared" si="80"/>
        <v>112.59999999999997</v>
      </c>
      <c r="O566" s="4">
        <f t="shared" si="75"/>
        <v>225200.00000000003</v>
      </c>
      <c r="P566" s="4">
        <f t="shared" si="76"/>
        <v>-56299.999999999985</v>
      </c>
      <c r="Q566" s="4">
        <f t="shared" si="77"/>
        <v>168900.00000000006</v>
      </c>
      <c r="R566" s="4">
        <f t="shared" si="78"/>
        <v>268900.00000000006</v>
      </c>
    </row>
    <row r="567" spans="5:18" x14ac:dyDescent="0.25">
      <c r="E567" s="1">
        <f t="shared" si="73"/>
        <v>564</v>
      </c>
      <c r="F567" s="4">
        <f t="shared" ca="1" si="74"/>
        <v>268000</v>
      </c>
      <c r="G567" s="1" t="s">
        <v>70</v>
      </c>
      <c r="H567" s="26">
        <f t="shared" ca="1" si="72"/>
        <v>0.96426199864391071</v>
      </c>
      <c r="I567" s="4">
        <f>IF(G567="Yes",-$C$8,0)</f>
        <v>-500</v>
      </c>
      <c r="J567" s="4">
        <f>IF(G567="Yes",$C$8-I567,0)</f>
        <v>1000</v>
      </c>
      <c r="K567" s="4">
        <f ca="1">IF(H567&gt;=$C$4,J567+I567,I567)</f>
        <v>500</v>
      </c>
      <c r="M567" s="61">
        <f t="shared" si="79"/>
        <v>451.20000000000005</v>
      </c>
      <c r="N567" s="61">
        <f t="shared" si="80"/>
        <v>112.79999999999995</v>
      </c>
      <c r="O567" s="4">
        <f t="shared" si="75"/>
        <v>225600.00000000003</v>
      </c>
      <c r="P567" s="4">
        <f t="shared" si="76"/>
        <v>-56399.999999999978</v>
      </c>
      <c r="Q567" s="4">
        <f t="shared" si="77"/>
        <v>169200.00000000006</v>
      </c>
      <c r="R567" s="4">
        <f t="shared" si="78"/>
        <v>269200.00000000006</v>
      </c>
    </row>
    <row r="568" spans="5:18" x14ac:dyDescent="0.25">
      <c r="E568" s="1">
        <f t="shared" si="73"/>
        <v>565</v>
      </c>
      <c r="F568" s="4">
        <f t="shared" ca="1" si="74"/>
        <v>268500</v>
      </c>
      <c r="G568" s="1" t="s">
        <v>70</v>
      </c>
      <c r="H568" s="26">
        <f t="shared" ca="1" si="72"/>
        <v>0.47420608775015416</v>
      </c>
      <c r="I568" s="4">
        <f>IF(G568="Yes",-$C$8,0)</f>
        <v>-500</v>
      </c>
      <c r="J568" s="4">
        <f>IF(G568="Yes",$C$8-I568,0)</f>
        <v>1000</v>
      </c>
      <c r="K568" s="4">
        <f ca="1">IF(H568&gt;=$C$4,J568+I568,I568)</f>
        <v>500</v>
      </c>
      <c r="M568" s="61">
        <f t="shared" si="79"/>
        <v>452</v>
      </c>
      <c r="N568" s="61">
        <f t="shared" si="80"/>
        <v>113</v>
      </c>
      <c r="O568" s="4">
        <f t="shared" si="75"/>
        <v>226000</v>
      </c>
      <c r="P568" s="4">
        <f t="shared" si="76"/>
        <v>-56500</v>
      </c>
      <c r="Q568" s="4">
        <f t="shared" si="77"/>
        <v>169500</v>
      </c>
      <c r="R568" s="4">
        <f t="shared" si="78"/>
        <v>269500</v>
      </c>
    </row>
    <row r="569" spans="5:18" x14ac:dyDescent="0.25">
      <c r="E569" s="1">
        <f t="shared" si="73"/>
        <v>566</v>
      </c>
      <c r="F569" s="4">
        <f t="shared" ca="1" si="74"/>
        <v>269000</v>
      </c>
      <c r="G569" s="1" t="s">
        <v>70</v>
      </c>
      <c r="H569" s="26">
        <f t="shared" ca="1" si="72"/>
        <v>0.27055416893259876</v>
      </c>
      <c r="I569" s="4">
        <f>IF(G569="Yes",-$C$8,0)</f>
        <v>-500</v>
      </c>
      <c r="J569" s="4">
        <f>IF(G569="Yes",$C$8-I569,0)</f>
        <v>1000</v>
      </c>
      <c r="K569" s="4">
        <f ca="1">IF(H569&gt;=$C$4,J569+I569,I569)</f>
        <v>500</v>
      </c>
      <c r="M569" s="61">
        <f t="shared" si="79"/>
        <v>452.8</v>
      </c>
      <c r="N569" s="61">
        <f t="shared" si="80"/>
        <v>113.19999999999999</v>
      </c>
      <c r="O569" s="4">
        <f t="shared" si="75"/>
        <v>226400</v>
      </c>
      <c r="P569" s="4">
        <f t="shared" si="76"/>
        <v>-56599.999999999993</v>
      </c>
      <c r="Q569" s="4">
        <f t="shared" si="77"/>
        <v>169800</v>
      </c>
      <c r="R569" s="4">
        <f t="shared" si="78"/>
        <v>269800</v>
      </c>
    </row>
    <row r="570" spans="5:18" x14ac:dyDescent="0.25">
      <c r="E570" s="1">
        <f t="shared" si="73"/>
        <v>567</v>
      </c>
      <c r="F570" s="4">
        <f t="shared" ca="1" si="74"/>
        <v>269500</v>
      </c>
      <c r="G570" s="1" t="s">
        <v>70</v>
      </c>
      <c r="H570" s="26">
        <f t="shared" ca="1" si="72"/>
        <v>0.60489572050638118</v>
      </c>
      <c r="I570" s="4">
        <f>IF(G570="Yes",-$C$8,0)</f>
        <v>-500</v>
      </c>
      <c r="J570" s="4">
        <f>IF(G570="Yes",$C$8-I570,0)</f>
        <v>1000</v>
      </c>
      <c r="K570" s="4">
        <f ca="1">IF(H570&gt;=$C$4,J570+I570,I570)</f>
        <v>500</v>
      </c>
      <c r="M570" s="61">
        <f t="shared" si="79"/>
        <v>453.6</v>
      </c>
      <c r="N570" s="61">
        <f t="shared" si="80"/>
        <v>113.39999999999998</v>
      </c>
      <c r="O570" s="4">
        <f t="shared" si="75"/>
        <v>226800</v>
      </c>
      <c r="P570" s="4">
        <f t="shared" si="76"/>
        <v>-56699.999999999985</v>
      </c>
      <c r="Q570" s="4">
        <f t="shared" si="77"/>
        <v>170100</v>
      </c>
      <c r="R570" s="4">
        <f t="shared" si="78"/>
        <v>270100</v>
      </c>
    </row>
    <row r="571" spans="5:18" x14ac:dyDescent="0.25">
      <c r="E571" s="1">
        <f t="shared" si="73"/>
        <v>568</v>
      </c>
      <c r="F571" s="4">
        <f t="shared" ca="1" si="74"/>
        <v>270000</v>
      </c>
      <c r="G571" s="1" t="s">
        <v>70</v>
      </c>
      <c r="H571" s="26">
        <f t="shared" ca="1" si="72"/>
        <v>0.83030772439705636</v>
      </c>
      <c r="I571" s="4">
        <f>IF(G571="Yes",-$C$8,0)</f>
        <v>-500</v>
      </c>
      <c r="J571" s="4">
        <f>IF(G571="Yes",$C$8-I571,0)</f>
        <v>1000</v>
      </c>
      <c r="K571" s="4">
        <f ca="1">IF(H571&gt;=$C$4,J571+I571,I571)</f>
        <v>500</v>
      </c>
      <c r="M571" s="61">
        <f t="shared" si="79"/>
        <v>454.40000000000003</v>
      </c>
      <c r="N571" s="61">
        <f t="shared" si="80"/>
        <v>113.59999999999997</v>
      </c>
      <c r="O571" s="4">
        <f t="shared" si="75"/>
        <v>227200.00000000003</v>
      </c>
      <c r="P571" s="4">
        <f t="shared" si="76"/>
        <v>-56799.999999999985</v>
      </c>
      <c r="Q571" s="4">
        <f t="shared" si="77"/>
        <v>170400.00000000006</v>
      </c>
      <c r="R571" s="4">
        <f t="shared" si="78"/>
        <v>270400.00000000006</v>
      </c>
    </row>
    <row r="572" spans="5:18" x14ac:dyDescent="0.25">
      <c r="E572" s="1">
        <f t="shared" si="73"/>
        <v>569</v>
      </c>
      <c r="F572" s="4">
        <f t="shared" ca="1" si="74"/>
        <v>270500</v>
      </c>
      <c r="G572" s="1" t="s">
        <v>70</v>
      </c>
      <c r="H572" s="26">
        <f t="shared" ca="1" si="72"/>
        <v>0.35480886360758757</v>
      </c>
      <c r="I572" s="4">
        <f>IF(G572="Yes",-$C$8,0)</f>
        <v>-500</v>
      </c>
      <c r="J572" s="4">
        <f>IF(G572="Yes",$C$8-I572,0)</f>
        <v>1000</v>
      </c>
      <c r="K572" s="4">
        <f ca="1">IF(H572&gt;=$C$4,J572+I572,I572)</f>
        <v>500</v>
      </c>
      <c r="M572" s="61">
        <f t="shared" si="79"/>
        <v>455.20000000000005</v>
      </c>
      <c r="N572" s="61">
        <f t="shared" si="80"/>
        <v>113.79999999999995</v>
      </c>
      <c r="O572" s="4">
        <f t="shared" si="75"/>
        <v>227600.00000000003</v>
      </c>
      <c r="P572" s="4">
        <f t="shared" si="76"/>
        <v>-56899.999999999978</v>
      </c>
      <c r="Q572" s="4">
        <f t="shared" si="77"/>
        <v>170700.00000000006</v>
      </c>
      <c r="R572" s="4">
        <f t="shared" si="78"/>
        <v>270700.00000000006</v>
      </c>
    </row>
    <row r="573" spans="5:18" x14ac:dyDescent="0.25">
      <c r="E573" s="1">
        <f t="shared" si="73"/>
        <v>570</v>
      </c>
      <c r="F573" s="4">
        <f t="shared" ca="1" si="74"/>
        <v>270000</v>
      </c>
      <c r="G573" s="1" t="s">
        <v>70</v>
      </c>
      <c r="H573" s="26">
        <f t="shared" ca="1" si="72"/>
        <v>3.6841895524946211E-2</v>
      </c>
      <c r="I573" s="4">
        <f>IF(G573="Yes",-$C$8,0)</f>
        <v>-500</v>
      </c>
      <c r="J573" s="4">
        <f>IF(G573="Yes",$C$8-I573,0)</f>
        <v>1000</v>
      </c>
      <c r="K573" s="4">
        <f ca="1">IF(H573&gt;=$C$4,J573+I573,I573)</f>
        <v>-500</v>
      </c>
      <c r="M573" s="61">
        <f t="shared" si="79"/>
        <v>456</v>
      </c>
      <c r="N573" s="61">
        <f t="shared" si="80"/>
        <v>114</v>
      </c>
      <c r="O573" s="4">
        <f t="shared" si="75"/>
        <v>228000</v>
      </c>
      <c r="P573" s="4">
        <f t="shared" si="76"/>
        <v>-57000</v>
      </c>
      <c r="Q573" s="4">
        <f t="shared" si="77"/>
        <v>171000</v>
      </c>
      <c r="R573" s="4">
        <f t="shared" si="78"/>
        <v>271000</v>
      </c>
    </row>
    <row r="574" spans="5:18" x14ac:dyDescent="0.25">
      <c r="E574" s="1">
        <f t="shared" si="73"/>
        <v>571</v>
      </c>
      <c r="F574" s="4">
        <f t="shared" ca="1" si="74"/>
        <v>270500</v>
      </c>
      <c r="G574" s="1" t="s">
        <v>70</v>
      </c>
      <c r="H574" s="26">
        <f t="shared" ca="1" si="72"/>
        <v>0.28594087719982653</v>
      </c>
      <c r="I574" s="4">
        <f>IF(G574="Yes",-$C$8,0)</f>
        <v>-500</v>
      </c>
      <c r="J574" s="4">
        <f>IF(G574="Yes",$C$8-I574,0)</f>
        <v>1000</v>
      </c>
      <c r="K574" s="4">
        <f ca="1">IF(H574&gt;=$C$4,J574+I574,I574)</f>
        <v>500</v>
      </c>
      <c r="M574" s="61">
        <f t="shared" si="79"/>
        <v>456.8</v>
      </c>
      <c r="N574" s="61">
        <f t="shared" si="80"/>
        <v>114.19999999999999</v>
      </c>
      <c r="O574" s="4">
        <f t="shared" si="75"/>
        <v>228400</v>
      </c>
      <c r="P574" s="4">
        <f t="shared" si="76"/>
        <v>-57099.999999999993</v>
      </c>
      <c r="Q574" s="4">
        <f t="shared" si="77"/>
        <v>171300</v>
      </c>
      <c r="R574" s="4">
        <f t="shared" si="78"/>
        <v>271300</v>
      </c>
    </row>
    <row r="575" spans="5:18" x14ac:dyDescent="0.25">
      <c r="E575" s="1">
        <f t="shared" si="73"/>
        <v>572</v>
      </c>
      <c r="F575" s="4">
        <f t="shared" ca="1" si="74"/>
        <v>271000</v>
      </c>
      <c r="G575" s="1" t="s">
        <v>70</v>
      </c>
      <c r="H575" s="26">
        <f t="shared" ca="1" si="72"/>
        <v>0.35913442417161334</v>
      </c>
      <c r="I575" s="4">
        <f>IF(G575="Yes",-$C$8,0)</f>
        <v>-500</v>
      </c>
      <c r="J575" s="4">
        <f>IF(G575="Yes",$C$8-I575,0)</f>
        <v>1000</v>
      </c>
      <c r="K575" s="4">
        <f ca="1">IF(H575&gt;=$C$4,J575+I575,I575)</f>
        <v>500</v>
      </c>
      <c r="M575" s="61">
        <f t="shared" si="79"/>
        <v>457.6</v>
      </c>
      <c r="N575" s="61">
        <f t="shared" si="80"/>
        <v>114.39999999999998</v>
      </c>
      <c r="O575" s="4">
        <f t="shared" si="75"/>
        <v>228800</v>
      </c>
      <c r="P575" s="4">
        <f t="shared" si="76"/>
        <v>-57199.999999999985</v>
      </c>
      <c r="Q575" s="4">
        <f t="shared" si="77"/>
        <v>171600</v>
      </c>
      <c r="R575" s="4">
        <f t="shared" si="78"/>
        <v>271600</v>
      </c>
    </row>
    <row r="576" spans="5:18" x14ac:dyDescent="0.25">
      <c r="E576" s="1">
        <f t="shared" si="73"/>
        <v>573</v>
      </c>
      <c r="F576" s="4">
        <f t="shared" ca="1" si="74"/>
        <v>271500</v>
      </c>
      <c r="G576" s="1" t="s">
        <v>70</v>
      </c>
      <c r="H576" s="26">
        <f t="shared" ca="1" si="72"/>
        <v>0.73588838356279385</v>
      </c>
      <c r="I576" s="4">
        <f>IF(G576="Yes",-$C$8,0)</f>
        <v>-500</v>
      </c>
      <c r="J576" s="4">
        <f>IF(G576="Yes",$C$8-I576,0)</f>
        <v>1000</v>
      </c>
      <c r="K576" s="4">
        <f ca="1">IF(H576&gt;=$C$4,J576+I576,I576)</f>
        <v>500</v>
      </c>
      <c r="M576" s="61">
        <f t="shared" si="79"/>
        <v>458.40000000000003</v>
      </c>
      <c r="N576" s="61">
        <f t="shared" si="80"/>
        <v>114.59999999999997</v>
      </c>
      <c r="O576" s="4">
        <f t="shared" si="75"/>
        <v>229200.00000000003</v>
      </c>
      <c r="P576" s="4">
        <f t="shared" si="76"/>
        <v>-57299.999999999985</v>
      </c>
      <c r="Q576" s="4">
        <f t="shared" si="77"/>
        <v>171900.00000000006</v>
      </c>
      <c r="R576" s="4">
        <f t="shared" si="78"/>
        <v>271900.00000000006</v>
      </c>
    </row>
    <row r="577" spans="5:18" x14ac:dyDescent="0.25">
      <c r="E577" s="1">
        <f t="shared" si="73"/>
        <v>574</v>
      </c>
      <c r="F577" s="4">
        <f t="shared" ca="1" si="74"/>
        <v>272000</v>
      </c>
      <c r="G577" s="1" t="s">
        <v>70</v>
      </c>
      <c r="H577" s="26">
        <f t="shared" ca="1" si="72"/>
        <v>0.32685222372921741</v>
      </c>
      <c r="I577" s="4">
        <f>IF(G577="Yes",-$C$8,0)</f>
        <v>-500</v>
      </c>
      <c r="J577" s="4">
        <f>IF(G577="Yes",$C$8-I577,0)</f>
        <v>1000</v>
      </c>
      <c r="K577" s="4">
        <f ca="1">IF(H577&gt;=$C$4,J577+I577,I577)</f>
        <v>500</v>
      </c>
      <c r="M577" s="61">
        <f t="shared" si="79"/>
        <v>459.20000000000005</v>
      </c>
      <c r="N577" s="61">
        <f t="shared" si="80"/>
        <v>114.79999999999995</v>
      </c>
      <c r="O577" s="4">
        <f t="shared" si="75"/>
        <v>229600.00000000003</v>
      </c>
      <c r="P577" s="4">
        <f t="shared" si="76"/>
        <v>-57399.999999999978</v>
      </c>
      <c r="Q577" s="4">
        <f t="shared" si="77"/>
        <v>172200.00000000006</v>
      </c>
      <c r="R577" s="4">
        <f t="shared" si="78"/>
        <v>272200.00000000006</v>
      </c>
    </row>
    <row r="578" spans="5:18" x14ac:dyDescent="0.25">
      <c r="E578" s="1">
        <f t="shared" si="73"/>
        <v>575</v>
      </c>
      <c r="F578" s="4">
        <f t="shared" ca="1" si="74"/>
        <v>272500</v>
      </c>
      <c r="G578" s="1" t="s">
        <v>70</v>
      </c>
      <c r="H578" s="26">
        <f t="shared" ca="1" si="72"/>
        <v>0.47730638993729568</v>
      </c>
      <c r="I578" s="4">
        <f>IF(G578="Yes",-$C$8,0)</f>
        <v>-500</v>
      </c>
      <c r="J578" s="4">
        <f>IF(G578="Yes",$C$8-I578,0)</f>
        <v>1000</v>
      </c>
      <c r="K578" s="4">
        <f ca="1">IF(H578&gt;=$C$4,J578+I578,I578)</f>
        <v>500</v>
      </c>
      <c r="M578" s="61">
        <f t="shared" si="79"/>
        <v>460</v>
      </c>
      <c r="N578" s="61">
        <f t="shared" si="80"/>
        <v>115</v>
      </c>
      <c r="O578" s="4">
        <f t="shared" si="75"/>
        <v>230000</v>
      </c>
      <c r="P578" s="4">
        <f t="shared" si="76"/>
        <v>-57500</v>
      </c>
      <c r="Q578" s="4">
        <f t="shared" si="77"/>
        <v>172500</v>
      </c>
      <c r="R578" s="4">
        <f t="shared" si="78"/>
        <v>272500</v>
      </c>
    </row>
    <row r="579" spans="5:18" x14ac:dyDescent="0.25">
      <c r="E579" s="1">
        <f t="shared" si="73"/>
        <v>576</v>
      </c>
      <c r="F579" s="4">
        <f t="shared" ca="1" si="74"/>
        <v>273000</v>
      </c>
      <c r="G579" s="1" t="s">
        <v>70</v>
      </c>
      <c r="H579" s="26">
        <f t="shared" ca="1" si="72"/>
        <v>0.46089556831078971</v>
      </c>
      <c r="I579" s="4">
        <f>IF(G579="Yes",-$C$8,0)</f>
        <v>-500</v>
      </c>
      <c r="J579" s="4">
        <f>IF(G579="Yes",$C$8-I579,0)</f>
        <v>1000</v>
      </c>
      <c r="K579" s="4">
        <f ca="1">IF(H579&gt;=$C$4,J579+I579,I579)</f>
        <v>500</v>
      </c>
      <c r="M579" s="61">
        <f t="shared" si="79"/>
        <v>460.8</v>
      </c>
      <c r="N579" s="61">
        <f t="shared" si="80"/>
        <v>115.19999999999999</v>
      </c>
      <c r="O579" s="4">
        <f t="shared" si="75"/>
        <v>230400</v>
      </c>
      <c r="P579" s="4">
        <f t="shared" si="76"/>
        <v>-57599.999999999993</v>
      </c>
      <c r="Q579" s="4">
        <f t="shared" si="77"/>
        <v>172800</v>
      </c>
      <c r="R579" s="4">
        <f t="shared" si="78"/>
        <v>272800</v>
      </c>
    </row>
    <row r="580" spans="5:18" x14ac:dyDescent="0.25">
      <c r="E580" s="1">
        <f t="shared" si="73"/>
        <v>577</v>
      </c>
      <c r="F580" s="4">
        <f t="shared" ca="1" si="74"/>
        <v>273500</v>
      </c>
      <c r="G580" s="1" t="s">
        <v>70</v>
      </c>
      <c r="H580" s="26">
        <f t="shared" ref="H580:H643" ca="1" si="81">RAND()</f>
        <v>0.78502070715752992</v>
      </c>
      <c r="I580" s="4">
        <f>IF(G580="Yes",-$C$8,0)</f>
        <v>-500</v>
      </c>
      <c r="J580" s="4">
        <f>IF(G580="Yes",$C$8-I580,0)</f>
        <v>1000</v>
      </c>
      <c r="K580" s="4">
        <f ca="1">IF(H580&gt;=$C$4,J580+I580,I580)</f>
        <v>500</v>
      </c>
      <c r="M580" s="61">
        <f t="shared" si="79"/>
        <v>461.6</v>
      </c>
      <c r="N580" s="61">
        <f t="shared" si="80"/>
        <v>115.39999999999998</v>
      </c>
      <c r="O580" s="4">
        <f t="shared" si="75"/>
        <v>230800</v>
      </c>
      <c r="P580" s="4">
        <f t="shared" si="76"/>
        <v>-57699.999999999985</v>
      </c>
      <c r="Q580" s="4">
        <f t="shared" si="77"/>
        <v>173100</v>
      </c>
      <c r="R580" s="4">
        <f t="shared" si="78"/>
        <v>273100</v>
      </c>
    </row>
    <row r="581" spans="5:18" x14ac:dyDescent="0.25">
      <c r="E581" s="1">
        <f t="shared" ref="E581:E644" si="82">E580+1</f>
        <v>578</v>
      </c>
      <c r="F581" s="4">
        <f t="shared" ref="F581:F644" ca="1" si="83">F580+K581</f>
        <v>274000</v>
      </c>
      <c r="G581" s="1" t="s">
        <v>70</v>
      </c>
      <c r="H581" s="26">
        <f t="shared" ca="1" si="81"/>
        <v>0.67289395490034198</v>
      </c>
      <c r="I581" s="4">
        <f>IF(G581="Yes",-$C$8,0)</f>
        <v>-500</v>
      </c>
      <c r="J581" s="4">
        <f>IF(G581="Yes",$C$8-I581,0)</f>
        <v>1000</v>
      </c>
      <c r="K581" s="4">
        <f ca="1">IF(H581&gt;=$C$4,J581+I581,I581)</f>
        <v>500</v>
      </c>
      <c r="M581" s="61">
        <f t="shared" si="79"/>
        <v>462.40000000000003</v>
      </c>
      <c r="N581" s="61">
        <f t="shared" si="80"/>
        <v>115.59999999999997</v>
      </c>
      <c r="O581" s="4">
        <f t="shared" ref="O581:O644" si="84">M581*$C$8</f>
        <v>231200.00000000003</v>
      </c>
      <c r="P581" s="4">
        <f t="shared" ref="P581:P644" si="85">N581*(-$C$8)</f>
        <v>-57799.999999999985</v>
      </c>
      <c r="Q581" s="4">
        <f t="shared" ref="Q581:Q644" si="86">O581+P581</f>
        <v>173400.00000000006</v>
      </c>
      <c r="R581" s="4">
        <f t="shared" ref="R581:R644" si="87">$C$7+Q581</f>
        <v>273400.00000000006</v>
      </c>
    </row>
    <row r="582" spans="5:18" x14ac:dyDescent="0.25">
      <c r="E582" s="1">
        <f t="shared" si="82"/>
        <v>579</v>
      </c>
      <c r="F582" s="4">
        <f t="shared" ca="1" si="83"/>
        <v>274500</v>
      </c>
      <c r="G582" s="1" t="s">
        <v>70</v>
      </c>
      <c r="H582" s="26">
        <f t="shared" ca="1" si="81"/>
        <v>0.74023606759893246</v>
      </c>
      <c r="I582" s="4">
        <f>IF(G582="Yes",-$C$8,0)</f>
        <v>-500</v>
      </c>
      <c r="J582" s="4">
        <f>IF(G582="Yes",$C$8-I582,0)</f>
        <v>1000</v>
      </c>
      <c r="K582" s="4">
        <f ca="1">IF(H582&gt;=$C$4,J582+I582,I582)</f>
        <v>500</v>
      </c>
      <c r="M582" s="61">
        <f t="shared" si="79"/>
        <v>463.20000000000005</v>
      </c>
      <c r="N582" s="61">
        <f t="shared" si="80"/>
        <v>115.79999999999995</v>
      </c>
      <c r="O582" s="4">
        <f t="shared" si="84"/>
        <v>231600.00000000003</v>
      </c>
      <c r="P582" s="4">
        <f t="shared" si="85"/>
        <v>-57899.999999999978</v>
      </c>
      <c r="Q582" s="4">
        <f t="shared" si="86"/>
        <v>173700.00000000006</v>
      </c>
      <c r="R582" s="4">
        <f t="shared" si="87"/>
        <v>273700.00000000006</v>
      </c>
    </row>
    <row r="583" spans="5:18" x14ac:dyDescent="0.25">
      <c r="E583" s="1">
        <f t="shared" si="82"/>
        <v>580</v>
      </c>
      <c r="F583" s="4">
        <f t="shared" ca="1" si="83"/>
        <v>275000</v>
      </c>
      <c r="G583" s="1" t="s">
        <v>70</v>
      </c>
      <c r="H583" s="26">
        <f t="shared" ca="1" si="81"/>
        <v>0.26963834651507657</v>
      </c>
      <c r="I583" s="4">
        <f>IF(G583="Yes",-$C$8,0)</f>
        <v>-500</v>
      </c>
      <c r="J583" s="4">
        <f>IF(G583="Yes",$C$8-I583,0)</f>
        <v>1000</v>
      </c>
      <c r="K583" s="4">
        <f ca="1">IF(H583&gt;=$C$4,J583+I583,I583)</f>
        <v>500</v>
      </c>
      <c r="M583" s="61">
        <f t="shared" si="79"/>
        <v>464</v>
      </c>
      <c r="N583" s="61">
        <f t="shared" si="80"/>
        <v>116</v>
      </c>
      <c r="O583" s="4">
        <f t="shared" si="84"/>
        <v>232000</v>
      </c>
      <c r="P583" s="4">
        <f t="shared" si="85"/>
        <v>-58000</v>
      </c>
      <c r="Q583" s="4">
        <f t="shared" si="86"/>
        <v>174000</v>
      </c>
      <c r="R583" s="4">
        <f t="shared" si="87"/>
        <v>274000</v>
      </c>
    </row>
    <row r="584" spans="5:18" x14ac:dyDescent="0.25">
      <c r="E584" s="1">
        <f t="shared" si="82"/>
        <v>581</v>
      </c>
      <c r="F584" s="4">
        <f t="shared" ca="1" si="83"/>
        <v>275500</v>
      </c>
      <c r="G584" s="1" t="s">
        <v>70</v>
      </c>
      <c r="H584" s="26">
        <f t="shared" ca="1" si="81"/>
        <v>0.38323596295396867</v>
      </c>
      <c r="I584" s="4">
        <f>IF(G584="Yes",-$C$8,0)</f>
        <v>-500</v>
      </c>
      <c r="J584" s="4">
        <f>IF(G584="Yes",$C$8-I584,0)</f>
        <v>1000</v>
      </c>
      <c r="K584" s="4">
        <f ca="1">IF(H584&gt;=$C$4,J584+I584,I584)</f>
        <v>500</v>
      </c>
      <c r="M584" s="61">
        <f t="shared" si="79"/>
        <v>464.8</v>
      </c>
      <c r="N584" s="61">
        <f t="shared" si="80"/>
        <v>116.19999999999999</v>
      </c>
      <c r="O584" s="4">
        <f t="shared" si="84"/>
        <v>232400</v>
      </c>
      <c r="P584" s="4">
        <f t="shared" si="85"/>
        <v>-58099.999999999993</v>
      </c>
      <c r="Q584" s="4">
        <f t="shared" si="86"/>
        <v>174300</v>
      </c>
      <c r="R584" s="4">
        <f t="shared" si="87"/>
        <v>274300</v>
      </c>
    </row>
    <row r="585" spans="5:18" x14ac:dyDescent="0.25">
      <c r="E585" s="1">
        <f t="shared" si="82"/>
        <v>582</v>
      </c>
      <c r="F585" s="4">
        <f t="shared" ca="1" si="83"/>
        <v>275000</v>
      </c>
      <c r="G585" s="1" t="s">
        <v>70</v>
      </c>
      <c r="H585" s="26">
        <f t="shared" ca="1" si="81"/>
        <v>2.5300397787846318E-2</v>
      </c>
      <c r="I585" s="4">
        <f>IF(G585="Yes",-$C$8,0)</f>
        <v>-500</v>
      </c>
      <c r="J585" s="4">
        <f>IF(G585="Yes",$C$8-I585,0)</f>
        <v>1000</v>
      </c>
      <c r="K585" s="4">
        <f ca="1">IF(H585&gt;=$C$4,J585+I585,I585)</f>
        <v>-500</v>
      </c>
      <c r="M585" s="61">
        <f t="shared" si="79"/>
        <v>465.6</v>
      </c>
      <c r="N585" s="61">
        <f t="shared" si="80"/>
        <v>116.39999999999998</v>
      </c>
      <c r="O585" s="4">
        <f t="shared" si="84"/>
        <v>232800</v>
      </c>
      <c r="P585" s="4">
        <f t="shared" si="85"/>
        <v>-58199.999999999985</v>
      </c>
      <c r="Q585" s="4">
        <f t="shared" si="86"/>
        <v>174600</v>
      </c>
      <c r="R585" s="4">
        <f t="shared" si="87"/>
        <v>274600</v>
      </c>
    </row>
    <row r="586" spans="5:18" x14ac:dyDescent="0.25">
      <c r="E586" s="1">
        <f t="shared" si="82"/>
        <v>583</v>
      </c>
      <c r="F586" s="4">
        <f t="shared" ca="1" si="83"/>
        <v>275500</v>
      </c>
      <c r="G586" s="1" t="s">
        <v>70</v>
      </c>
      <c r="H586" s="26">
        <f t="shared" ca="1" si="81"/>
        <v>0.59417372287279135</v>
      </c>
      <c r="I586" s="4">
        <f>IF(G586="Yes",-$C$8,0)</f>
        <v>-500</v>
      </c>
      <c r="J586" s="4">
        <f>IF(G586="Yes",$C$8-I586,0)</f>
        <v>1000</v>
      </c>
      <c r="K586" s="4">
        <f ca="1">IF(H586&gt;=$C$4,J586+I586,I586)</f>
        <v>500</v>
      </c>
      <c r="M586" s="61">
        <f t="shared" si="79"/>
        <v>466.40000000000003</v>
      </c>
      <c r="N586" s="61">
        <f t="shared" si="80"/>
        <v>116.59999999999997</v>
      </c>
      <c r="O586" s="4">
        <f t="shared" si="84"/>
        <v>233200.00000000003</v>
      </c>
      <c r="P586" s="4">
        <f t="shared" si="85"/>
        <v>-58299.999999999985</v>
      </c>
      <c r="Q586" s="4">
        <f t="shared" si="86"/>
        <v>174900.00000000006</v>
      </c>
      <c r="R586" s="4">
        <f t="shared" si="87"/>
        <v>274900.00000000006</v>
      </c>
    </row>
    <row r="587" spans="5:18" x14ac:dyDescent="0.25">
      <c r="E587" s="1">
        <f t="shared" si="82"/>
        <v>584</v>
      </c>
      <c r="F587" s="4">
        <f t="shared" ca="1" si="83"/>
        <v>276000</v>
      </c>
      <c r="G587" s="1" t="s">
        <v>70</v>
      </c>
      <c r="H587" s="26">
        <f t="shared" ca="1" si="81"/>
        <v>0.77988642727693358</v>
      </c>
      <c r="I587" s="4">
        <f>IF(G587="Yes",-$C$8,0)</f>
        <v>-500</v>
      </c>
      <c r="J587" s="4">
        <f>IF(G587="Yes",$C$8-I587,0)</f>
        <v>1000</v>
      </c>
      <c r="K587" s="4">
        <f ca="1">IF(H587&gt;=$C$4,J587+I587,I587)</f>
        <v>500</v>
      </c>
      <c r="M587" s="61">
        <f t="shared" si="79"/>
        <v>467.20000000000005</v>
      </c>
      <c r="N587" s="61">
        <f t="shared" si="80"/>
        <v>116.79999999999995</v>
      </c>
      <c r="O587" s="4">
        <f t="shared" si="84"/>
        <v>233600.00000000003</v>
      </c>
      <c r="P587" s="4">
        <f t="shared" si="85"/>
        <v>-58399.999999999978</v>
      </c>
      <c r="Q587" s="4">
        <f t="shared" si="86"/>
        <v>175200.00000000006</v>
      </c>
      <c r="R587" s="4">
        <f t="shared" si="87"/>
        <v>275200.00000000006</v>
      </c>
    </row>
    <row r="588" spans="5:18" x14ac:dyDescent="0.25">
      <c r="E588" s="1">
        <f t="shared" si="82"/>
        <v>585</v>
      </c>
      <c r="F588" s="4">
        <f t="shared" ca="1" si="83"/>
        <v>275500</v>
      </c>
      <c r="G588" s="1" t="s">
        <v>70</v>
      </c>
      <c r="H588" s="26">
        <f t="shared" ca="1" si="81"/>
        <v>7.6451654885959175E-2</v>
      </c>
      <c r="I588" s="4">
        <f>IF(G588="Yes",-$C$8,0)</f>
        <v>-500</v>
      </c>
      <c r="J588" s="4">
        <f>IF(G588="Yes",$C$8-I588,0)</f>
        <v>1000</v>
      </c>
      <c r="K588" s="4">
        <f ca="1">IF(H588&gt;=$C$4,J588+I588,I588)</f>
        <v>-500</v>
      </c>
      <c r="M588" s="61">
        <f t="shared" si="79"/>
        <v>468</v>
      </c>
      <c r="N588" s="61">
        <f t="shared" si="80"/>
        <v>117</v>
      </c>
      <c r="O588" s="4">
        <f t="shared" si="84"/>
        <v>234000</v>
      </c>
      <c r="P588" s="4">
        <f t="shared" si="85"/>
        <v>-58500</v>
      </c>
      <c r="Q588" s="4">
        <f t="shared" si="86"/>
        <v>175500</v>
      </c>
      <c r="R588" s="4">
        <f t="shared" si="87"/>
        <v>275500</v>
      </c>
    </row>
    <row r="589" spans="5:18" x14ac:dyDescent="0.25">
      <c r="E589" s="1">
        <f t="shared" si="82"/>
        <v>586</v>
      </c>
      <c r="F589" s="4">
        <f t="shared" ca="1" si="83"/>
        <v>276000</v>
      </c>
      <c r="G589" s="1" t="s">
        <v>70</v>
      </c>
      <c r="H589" s="26">
        <f t="shared" ca="1" si="81"/>
        <v>0.60623386218199171</v>
      </c>
      <c r="I589" s="4">
        <f>IF(G589="Yes",-$C$8,0)</f>
        <v>-500</v>
      </c>
      <c r="J589" s="4">
        <f>IF(G589="Yes",$C$8-I589,0)</f>
        <v>1000</v>
      </c>
      <c r="K589" s="4">
        <f ca="1">IF(H589&gt;=$C$4,J589+I589,I589)</f>
        <v>500</v>
      </c>
      <c r="M589" s="61">
        <f t="shared" si="79"/>
        <v>468.8</v>
      </c>
      <c r="N589" s="61">
        <f t="shared" si="80"/>
        <v>117.19999999999999</v>
      </c>
      <c r="O589" s="4">
        <f t="shared" si="84"/>
        <v>234400</v>
      </c>
      <c r="P589" s="4">
        <f t="shared" si="85"/>
        <v>-58599.999999999993</v>
      </c>
      <c r="Q589" s="4">
        <f t="shared" si="86"/>
        <v>175800</v>
      </c>
      <c r="R589" s="4">
        <f t="shared" si="87"/>
        <v>275800</v>
      </c>
    </row>
    <row r="590" spans="5:18" x14ac:dyDescent="0.25">
      <c r="E590" s="1">
        <f t="shared" si="82"/>
        <v>587</v>
      </c>
      <c r="F590" s="4">
        <f t="shared" ca="1" si="83"/>
        <v>276500</v>
      </c>
      <c r="G590" s="1" t="s">
        <v>70</v>
      </c>
      <c r="H590" s="26">
        <f t="shared" ca="1" si="81"/>
        <v>0.72284265444920393</v>
      </c>
      <c r="I590" s="4">
        <f>IF(G590="Yes",-$C$8,0)</f>
        <v>-500</v>
      </c>
      <c r="J590" s="4">
        <f>IF(G590="Yes",$C$8-I590,0)</f>
        <v>1000</v>
      </c>
      <c r="K590" s="4">
        <f ca="1">IF(H590&gt;=$C$4,J590+I590,I590)</f>
        <v>500</v>
      </c>
      <c r="M590" s="61">
        <f t="shared" ref="M590:M653" si="88">E590*$C$3</f>
        <v>469.6</v>
      </c>
      <c r="N590" s="61">
        <f t="shared" ref="N590:N653" si="89">E590-M590</f>
        <v>117.39999999999998</v>
      </c>
      <c r="O590" s="4">
        <f t="shared" si="84"/>
        <v>234800</v>
      </c>
      <c r="P590" s="4">
        <f t="shared" si="85"/>
        <v>-58699.999999999985</v>
      </c>
      <c r="Q590" s="4">
        <f t="shared" si="86"/>
        <v>176100</v>
      </c>
      <c r="R590" s="4">
        <f t="shared" si="87"/>
        <v>276100</v>
      </c>
    </row>
    <row r="591" spans="5:18" x14ac:dyDescent="0.25">
      <c r="E591" s="1">
        <f t="shared" si="82"/>
        <v>588</v>
      </c>
      <c r="F591" s="4">
        <f t="shared" ca="1" si="83"/>
        <v>276000</v>
      </c>
      <c r="G591" s="1" t="s">
        <v>70</v>
      </c>
      <c r="H591" s="26">
        <f t="shared" ca="1" si="81"/>
        <v>0.18838626284515581</v>
      </c>
      <c r="I591" s="4">
        <f>IF(G591="Yes",-$C$8,0)</f>
        <v>-500</v>
      </c>
      <c r="J591" s="4">
        <f>IF(G591="Yes",$C$8-I591,0)</f>
        <v>1000</v>
      </c>
      <c r="K591" s="4">
        <f ca="1">IF(H591&gt;=$C$4,J591+I591,I591)</f>
        <v>-500</v>
      </c>
      <c r="M591" s="61">
        <f t="shared" si="88"/>
        <v>470.40000000000003</v>
      </c>
      <c r="N591" s="61">
        <f t="shared" si="89"/>
        <v>117.59999999999997</v>
      </c>
      <c r="O591" s="4">
        <f t="shared" si="84"/>
        <v>235200.00000000003</v>
      </c>
      <c r="P591" s="4">
        <f t="shared" si="85"/>
        <v>-58799.999999999985</v>
      </c>
      <c r="Q591" s="4">
        <f t="shared" si="86"/>
        <v>176400.00000000006</v>
      </c>
      <c r="R591" s="4">
        <f t="shared" si="87"/>
        <v>276400.00000000006</v>
      </c>
    </row>
    <row r="592" spans="5:18" x14ac:dyDescent="0.25">
      <c r="E592" s="1">
        <f t="shared" si="82"/>
        <v>589</v>
      </c>
      <c r="F592" s="4">
        <f t="shared" ca="1" si="83"/>
        <v>276500</v>
      </c>
      <c r="G592" s="1" t="s">
        <v>70</v>
      </c>
      <c r="H592" s="26">
        <f t="shared" ca="1" si="81"/>
        <v>0.93989000675930423</v>
      </c>
      <c r="I592" s="4">
        <f>IF(G592="Yes",-$C$8,0)</f>
        <v>-500</v>
      </c>
      <c r="J592" s="4">
        <f>IF(G592="Yes",$C$8-I592,0)</f>
        <v>1000</v>
      </c>
      <c r="K592" s="4">
        <f ca="1">IF(H592&gt;=$C$4,J592+I592,I592)</f>
        <v>500</v>
      </c>
      <c r="M592" s="61">
        <f t="shared" si="88"/>
        <v>471.20000000000005</v>
      </c>
      <c r="N592" s="61">
        <f t="shared" si="89"/>
        <v>117.79999999999995</v>
      </c>
      <c r="O592" s="4">
        <f t="shared" si="84"/>
        <v>235600.00000000003</v>
      </c>
      <c r="P592" s="4">
        <f t="shared" si="85"/>
        <v>-58899.999999999978</v>
      </c>
      <c r="Q592" s="4">
        <f t="shared" si="86"/>
        <v>176700.00000000006</v>
      </c>
      <c r="R592" s="4">
        <f t="shared" si="87"/>
        <v>276700.00000000006</v>
      </c>
    </row>
    <row r="593" spans="5:18" x14ac:dyDescent="0.25">
      <c r="E593" s="1">
        <f t="shared" si="82"/>
        <v>590</v>
      </c>
      <c r="F593" s="4">
        <f t="shared" ca="1" si="83"/>
        <v>277000</v>
      </c>
      <c r="G593" s="1" t="s">
        <v>70</v>
      </c>
      <c r="H593" s="26">
        <f t="shared" ca="1" si="81"/>
        <v>0.80634284194077188</v>
      </c>
      <c r="I593" s="4">
        <f>IF(G593="Yes",-$C$8,0)</f>
        <v>-500</v>
      </c>
      <c r="J593" s="4">
        <f>IF(G593="Yes",$C$8-I593,0)</f>
        <v>1000</v>
      </c>
      <c r="K593" s="4">
        <f ca="1">IF(H593&gt;=$C$4,J593+I593,I593)</f>
        <v>500</v>
      </c>
      <c r="M593" s="61">
        <f t="shared" si="88"/>
        <v>472</v>
      </c>
      <c r="N593" s="61">
        <f t="shared" si="89"/>
        <v>118</v>
      </c>
      <c r="O593" s="4">
        <f t="shared" si="84"/>
        <v>236000</v>
      </c>
      <c r="P593" s="4">
        <f t="shared" si="85"/>
        <v>-59000</v>
      </c>
      <c r="Q593" s="4">
        <f t="shared" si="86"/>
        <v>177000</v>
      </c>
      <c r="R593" s="4">
        <f t="shared" si="87"/>
        <v>277000</v>
      </c>
    </row>
    <row r="594" spans="5:18" x14ac:dyDescent="0.25">
      <c r="E594" s="1">
        <f t="shared" si="82"/>
        <v>591</v>
      </c>
      <c r="F594" s="4">
        <f t="shared" ca="1" si="83"/>
        <v>276500</v>
      </c>
      <c r="G594" s="1" t="s">
        <v>70</v>
      </c>
      <c r="H594" s="26">
        <f t="shared" ca="1" si="81"/>
        <v>0.18149687799317782</v>
      </c>
      <c r="I594" s="4">
        <f>IF(G594="Yes",-$C$8,0)</f>
        <v>-500</v>
      </c>
      <c r="J594" s="4">
        <f>IF(G594="Yes",$C$8-I594,0)</f>
        <v>1000</v>
      </c>
      <c r="K594" s="4">
        <f ca="1">IF(H594&gt;=$C$4,J594+I594,I594)</f>
        <v>-500</v>
      </c>
      <c r="M594" s="61">
        <f t="shared" si="88"/>
        <v>472.8</v>
      </c>
      <c r="N594" s="61">
        <f t="shared" si="89"/>
        <v>118.19999999999999</v>
      </c>
      <c r="O594" s="4">
        <f t="shared" si="84"/>
        <v>236400</v>
      </c>
      <c r="P594" s="4">
        <f t="shared" si="85"/>
        <v>-59099.999999999993</v>
      </c>
      <c r="Q594" s="4">
        <f t="shared" si="86"/>
        <v>177300</v>
      </c>
      <c r="R594" s="4">
        <f t="shared" si="87"/>
        <v>277300</v>
      </c>
    </row>
    <row r="595" spans="5:18" x14ac:dyDescent="0.25">
      <c r="E595" s="1">
        <f t="shared" si="82"/>
        <v>592</v>
      </c>
      <c r="F595" s="4">
        <f t="shared" ca="1" si="83"/>
        <v>276000</v>
      </c>
      <c r="G595" s="1" t="s">
        <v>70</v>
      </c>
      <c r="H595" s="26">
        <f t="shared" ca="1" si="81"/>
        <v>0.15813467166631978</v>
      </c>
      <c r="I595" s="4">
        <f>IF(G595="Yes",-$C$8,0)</f>
        <v>-500</v>
      </c>
      <c r="J595" s="4">
        <f>IF(G595="Yes",$C$8-I595,0)</f>
        <v>1000</v>
      </c>
      <c r="K595" s="4">
        <f ca="1">IF(H595&gt;=$C$4,J595+I595,I595)</f>
        <v>-500</v>
      </c>
      <c r="M595" s="61">
        <f t="shared" si="88"/>
        <v>473.6</v>
      </c>
      <c r="N595" s="61">
        <f t="shared" si="89"/>
        <v>118.39999999999998</v>
      </c>
      <c r="O595" s="4">
        <f t="shared" si="84"/>
        <v>236800</v>
      </c>
      <c r="P595" s="4">
        <f t="shared" si="85"/>
        <v>-59199.999999999985</v>
      </c>
      <c r="Q595" s="4">
        <f t="shared" si="86"/>
        <v>177600</v>
      </c>
      <c r="R595" s="4">
        <f t="shared" si="87"/>
        <v>277600</v>
      </c>
    </row>
    <row r="596" spans="5:18" x14ac:dyDescent="0.25">
      <c r="E596" s="1">
        <f t="shared" si="82"/>
        <v>593</v>
      </c>
      <c r="F596" s="4">
        <f t="shared" ca="1" si="83"/>
        <v>276500</v>
      </c>
      <c r="G596" s="1" t="s">
        <v>70</v>
      </c>
      <c r="H596" s="26">
        <f t="shared" ca="1" si="81"/>
        <v>0.37910062691772173</v>
      </c>
      <c r="I596" s="4">
        <f>IF(G596="Yes",-$C$8,0)</f>
        <v>-500</v>
      </c>
      <c r="J596" s="4">
        <f>IF(G596="Yes",$C$8-I596,0)</f>
        <v>1000</v>
      </c>
      <c r="K596" s="4">
        <f ca="1">IF(H596&gt;=$C$4,J596+I596,I596)</f>
        <v>500</v>
      </c>
      <c r="M596" s="61">
        <f t="shared" si="88"/>
        <v>474.40000000000003</v>
      </c>
      <c r="N596" s="61">
        <f t="shared" si="89"/>
        <v>118.59999999999997</v>
      </c>
      <c r="O596" s="4">
        <f t="shared" si="84"/>
        <v>237200.00000000003</v>
      </c>
      <c r="P596" s="4">
        <f t="shared" si="85"/>
        <v>-59299.999999999985</v>
      </c>
      <c r="Q596" s="4">
        <f t="shared" si="86"/>
        <v>177900.00000000006</v>
      </c>
      <c r="R596" s="4">
        <f t="shared" si="87"/>
        <v>277900.00000000006</v>
      </c>
    </row>
    <row r="597" spans="5:18" x14ac:dyDescent="0.25">
      <c r="E597" s="1">
        <f t="shared" si="82"/>
        <v>594</v>
      </c>
      <c r="F597" s="4">
        <f t="shared" ca="1" si="83"/>
        <v>277000</v>
      </c>
      <c r="G597" s="1" t="s">
        <v>70</v>
      </c>
      <c r="H597" s="26">
        <f t="shared" ca="1" si="81"/>
        <v>0.94286526648372404</v>
      </c>
      <c r="I597" s="4">
        <f>IF(G597="Yes",-$C$8,0)</f>
        <v>-500</v>
      </c>
      <c r="J597" s="4">
        <f>IF(G597="Yes",$C$8-I597,0)</f>
        <v>1000</v>
      </c>
      <c r="K597" s="4">
        <f ca="1">IF(H597&gt;=$C$4,J597+I597,I597)</f>
        <v>500</v>
      </c>
      <c r="M597" s="61">
        <f t="shared" si="88"/>
        <v>475.20000000000005</v>
      </c>
      <c r="N597" s="61">
        <f t="shared" si="89"/>
        <v>118.79999999999995</v>
      </c>
      <c r="O597" s="4">
        <f t="shared" si="84"/>
        <v>237600.00000000003</v>
      </c>
      <c r="P597" s="4">
        <f t="shared" si="85"/>
        <v>-59399.999999999978</v>
      </c>
      <c r="Q597" s="4">
        <f t="shared" si="86"/>
        <v>178200.00000000006</v>
      </c>
      <c r="R597" s="4">
        <f t="shared" si="87"/>
        <v>278200.00000000006</v>
      </c>
    </row>
    <row r="598" spans="5:18" x14ac:dyDescent="0.25">
      <c r="E598" s="1">
        <f t="shared" si="82"/>
        <v>595</v>
      </c>
      <c r="F598" s="4">
        <f t="shared" ca="1" si="83"/>
        <v>277500</v>
      </c>
      <c r="G598" s="1" t="s">
        <v>70</v>
      </c>
      <c r="H598" s="26">
        <f t="shared" ca="1" si="81"/>
        <v>0.88446153173684416</v>
      </c>
      <c r="I598" s="4">
        <f>IF(G598="Yes",-$C$8,0)</f>
        <v>-500</v>
      </c>
      <c r="J598" s="4">
        <f>IF(G598="Yes",$C$8-I598,0)</f>
        <v>1000</v>
      </c>
      <c r="K598" s="4">
        <f ca="1">IF(H598&gt;=$C$4,J598+I598,I598)</f>
        <v>500</v>
      </c>
      <c r="M598" s="61">
        <f t="shared" si="88"/>
        <v>476</v>
      </c>
      <c r="N598" s="61">
        <f t="shared" si="89"/>
        <v>119</v>
      </c>
      <c r="O598" s="4">
        <f t="shared" si="84"/>
        <v>238000</v>
      </c>
      <c r="P598" s="4">
        <f t="shared" si="85"/>
        <v>-59500</v>
      </c>
      <c r="Q598" s="4">
        <f t="shared" si="86"/>
        <v>178500</v>
      </c>
      <c r="R598" s="4">
        <f t="shared" si="87"/>
        <v>278500</v>
      </c>
    </row>
    <row r="599" spans="5:18" x14ac:dyDescent="0.25">
      <c r="E599" s="1">
        <f t="shared" si="82"/>
        <v>596</v>
      </c>
      <c r="F599" s="4">
        <f t="shared" ca="1" si="83"/>
        <v>277000</v>
      </c>
      <c r="G599" s="1" t="s">
        <v>70</v>
      </c>
      <c r="H599" s="26">
        <f t="shared" ca="1" si="81"/>
        <v>3.4204516271507668E-2</v>
      </c>
      <c r="I599" s="4">
        <f>IF(G599="Yes",-$C$8,0)</f>
        <v>-500</v>
      </c>
      <c r="J599" s="4">
        <f>IF(G599="Yes",$C$8-I599,0)</f>
        <v>1000</v>
      </c>
      <c r="K599" s="4">
        <f ca="1">IF(H599&gt;=$C$4,J599+I599,I599)</f>
        <v>-500</v>
      </c>
      <c r="M599" s="61">
        <f t="shared" si="88"/>
        <v>476.8</v>
      </c>
      <c r="N599" s="61">
        <f t="shared" si="89"/>
        <v>119.19999999999999</v>
      </c>
      <c r="O599" s="4">
        <f t="shared" si="84"/>
        <v>238400</v>
      </c>
      <c r="P599" s="4">
        <f t="shared" si="85"/>
        <v>-59599.999999999993</v>
      </c>
      <c r="Q599" s="4">
        <f t="shared" si="86"/>
        <v>178800</v>
      </c>
      <c r="R599" s="4">
        <f t="shared" si="87"/>
        <v>278800</v>
      </c>
    </row>
    <row r="600" spans="5:18" x14ac:dyDescent="0.25">
      <c r="E600" s="1">
        <f t="shared" si="82"/>
        <v>597</v>
      </c>
      <c r="F600" s="4">
        <f t="shared" ca="1" si="83"/>
        <v>277500</v>
      </c>
      <c r="G600" s="1" t="s">
        <v>70</v>
      </c>
      <c r="H600" s="26">
        <f t="shared" ca="1" si="81"/>
        <v>0.95646127079323606</v>
      </c>
      <c r="I600" s="4">
        <f>IF(G600="Yes",-$C$8,0)</f>
        <v>-500</v>
      </c>
      <c r="J600" s="4">
        <f>IF(G600="Yes",$C$8-I600,0)</f>
        <v>1000</v>
      </c>
      <c r="K600" s="4">
        <f ca="1">IF(H600&gt;=$C$4,J600+I600,I600)</f>
        <v>500</v>
      </c>
      <c r="M600" s="61">
        <f t="shared" si="88"/>
        <v>477.6</v>
      </c>
      <c r="N600" s="61">
        <f t="shared" si="89"/>
        <v>119.39999999999998</v>
      </c>
      <c r="O600" s="4">
        <f t="shared" si="84"/>
        <v>238800</v>
      </c>
      <c r="P600" s="4">
        <f t="shared" si="85"/>
        <v>-59699.999999999985</v>
      </c>
      <c r="Q600" s="4">
        <f t="shared" si="86"/>
        <v>179100</v>
      </c>
      <c r="R600" s="4">
        <f t="shared" si="87"/>
        <v>279100</v>
      </c>
    </row>
    <row r="601" spans="5:18" x14ac:dyDescent="0.25">
      <c r="E601" s="1">
        <f t="shared" si="82"/>
        <v>598</v>
      </c>
      <c r="F601" s="4">
        <f t="shared" ca="1" si="83"/>
        <v>278000</v>
      </c>
      <c r="G601" s="1" t="s">
        <v>70</v>
      </c>
      <c r="H601" s="26">
        <f t="shared" ca="1" si="81"/>
        <v>0.55255733288414532</v>
      </c>
      <c r="I601" s="4">
        <f>IF(G601="Yes",-$C$8,0)</f>
        <v>-500</v>
      </c>
      <c r="J601" s="4">
        <f>IF(G601="Yes",$C$8-I601,0)</f>
        <v>1000</v>
      </c>
      <c r="K601" s="4">
        <f ca="1">IF(H601&gt;=$C$4,J601+I601,I601)</f>
        <v>500</v>
      </c>
      <c r="M601" s="61">
        <f t="shared" si="88"/>
        <v>478.40000000000003</v>
      </c>
      <c r="N601" s="61">
        <f t="shared" si="89"/>
        <v>119.59999999999997</v>
      </c>
      <c r="O601" s="4">
        <f t="shared" si="84"/>
        <v>239200.00000000003</v>
      </c>
      <c r="P601" s="4">
        <f t="shared" si="85"/>
        <v>-59799.999999999985</v>
      </c>
      <c r="Q601" s="4">
        <f t="shared" si="86"/>
        <v>179400.00000000006</v>
      </c>
      <c r="R601" s="4">
        <f t="shared" si="87"/>
        <v>279400.00000000006</v>
      </c>
    </row>
    <row r="602" spans="5:18" x14ac:dyDescent="0.25">
      <c r="E602" s="1">
        <f t="shared" si="82"/>
        <v>599</v>
      </c>
      <c r="F602" s="4">
        <f t="shared" ca="1" si="83"/>
        <v>278500</v>
      </c>
      <c r="G602" s="1" t="s">
        <v>70</v>
      </c>
      <c r="H602" s="26">
        <f t="shared" ca="1" si="81"/>
        <v>0.32432929493837959</v>
      </c>
      <c r="I602" s="4">
        <f>IF(G602="Yes",-$C$8,0)</f>
        <v>-500</v>
      </c>
      <c r="J602" s="4">
        <f>IF(G602="Yes",$C$8-I602,0)</f>
        <v>1000</v>
      </c>
      <c r="K602" s="4">
        <f ca="1">IF(H602&gt;=$C$4,J602+I602,I602)</f>
        <v>500</v>
      </c>
      <c r="M602" s="61">
        <f t="shared" si="88"/>
        <v>479.20000000000005</v>
      </c>
      <c r="N602" s="61">
        <f t="shared" si="89"/>
        <v>119.79999999999995</v>
      </c>
      <c r="O602" s="4">
        <f t="shared" si="84"/>
        <v>239600.00000000003</v>
      </c>
      <c r="P602" s="4">
        <f t="shared" si="85"/>
        <v>-59899.999999999978</v>
      </c>
      <c r="Q602" s="4">
        <f t="shared" si="86"/>
        <v>179700.00000000006</v>
      </c>
      <c r="R602" s="4">
        <f t="shared" si="87"/>
        <v>279700.00000000006</v>
      </c>
    </row>
    <row r="603" spans="5:18" x14ac:dyDescent="0.25">
      <c r="E603" s="1">
        <f t="shared" si="82"/>
        <v>600</v>
      </c>
      <c r="F603" s="4">
        <f t="shared" ca="1" si="83"/>
        <v>279000</v>
      </c>
      <c r="G603" s="1" t="s">
        <v>70</v>
      </c>
      <c r="H603" s="26">
        <f t="shared" ca="1" si="81"/>
        <v>0.95163438549455803</v>
      </c>
      <c r="I603" s="4">
        <f>IF(G603="Yes",-$C$8,0)</f>
        <v>-500</v>
      </c>
      <c r="J603" s="4">
        <f>IF(G603="Yes",$C$8-I603,0)</f>
        <v>1000</v>
      </c>
      <c r="K603" s="4">
        <f ca="1">IF(H603&gt;=$C$4,J603+I603,I603)</f>
        <v>500</v>
      </c>
      <c r="M603" s="61">
        <f t="shared" si="88"/>
        <v>480</v>
      </c>
      <c r="N603" s="61">
        <f t="shared" si="89"/>
        <v>120</v>
      </c>
      <c r="O603" s="4">
        <f t="shared" si="84"/>
        <v>240000</v>
      </c>
      <c r="P603" s="4">
        <f t="shared" si="85"/>
        <v>-60000</v>
      </c>
      <c r="Q603" s="4">
        <f t="shared" si="86"/>
        <v>180000</v>
      </c>
      <c r="R603" s="4">
        <f t="shared" si="87"/>
        <v>280000</v>
      </c>
    </row>
    <row r="604" spans="5:18" x14ac:dyDescent="0.25">
      <c r="E604" s="1">
        <f t="shared" si="82"/>
        <v>601</v>
      </c>
      <c r="F604" s="4">
        <f t="shared" ca="1" si="83"/>
        <v>279500</v>
      </c>
      <c r="G604" s="1" t="s">
        <v>70</v>
      </c>
      <c r="H604" s="26">
        <f t="shared" ca="1" si="81"/>
        <v>0.23725821355104226</v>
      </c>
      <c r="I604" s="4">
        <f>IF(G604="Yes",-$C$8,0)</f>
        <v>-500</v>
      </c>
      <c r="J604" s="4">
        <f>IF(G604="Yes",$C$8-I604,0)</f>
        <v>1000</v>
      </c>
      <c r="K604" s="4">
        <f ca="1">IF(H604&gt;=$C$4,J604+I604,I604)</f>
        <v>500</v>
      </c>
      <c r="M604" s="61">
        <f t="shared" si="88"/>
        <v>480.8</v>
      </c>
      <c r="N604" s="61">
        <f t="shared" si="89"/>
        <v>120.19999999999999</v>
      </c>
      <c r="O604" s="4">
        <f t="shared" si="84"/>
        <v>240400</v>
      </c>
      <c r="P604" s="4">
        <f t="shared" si="85"/>
        <v>-60099.999999999993</v>
      </c>
      <c r="Q604" s="4">
        <f t="shared" si="86"/>
        <v>180300</v>
      </c>
      <c r="R604" s="4">
        <f t="shared" si="87"/>
        <v>280300</v>
      </c>
    </row>
    <row r="605" spans="5:18" x14ac:dyDescent="0.25">
      <c r="E605" s="1">
        <f t="shared" si="82"/>
        <v>602</v>
      </c>
      <c r="F605" s="4">
        <f t="shared" ca="1" si="83"/>
        <v>280000</v>
      </c>
      <c r="G605" s="1" t="s">
        <v>70</v>
      </c>
      <c r="H605" s="26">
        <f t="shared" ca="1" si="81"/>
        <v>0.21764741668961018</v>
      </c>
      <c r="I605" s="4">
        <f>IF(G605="Yes",-$C$8,0)</f>
        <v>-500</v>
      </c>
      <c r="J605" s="4">
        <f>IF(G605="Yes",$C$8-I605,0)</f>
        <v>1000</v>
      </c>
      <c r="K605" s="4">
        <f ca="1">IF(H605&gt;=$C$4,J605+I605,I605)</f>
        <v>500</v>
      </c>
      <c r="M605" s="61">
        <f t="shared" si="88"/>
        <v>481.6</v>
      </c>
      <c r="N605" s="61">
        <f t="shared" si="89"/>
        <v>120.39999999999998</v>
      </c>
      <c r="O605" s="4">
        <f t="shared" si="84"/>
        <v>240800</v>
      </c>
      <c r="P605" s="4">
        <f t="shared" si="85"/>
        <v>-60199.999999999985</v>
      </c>
      <c r="Q605" s="4">
        <f t="shared" si="86"/>
        <v>180600</v>
      </c>
      <c r="R605" s="4">
        <f t="shared" si="87"/>
        <v>280600</v>
      </c>
    </row>
    <row r="606" spans="5:18" x14ac:dyDescent="0.25">
      <c r="E606" s="1">
        <f t="shared" si="82"/>
        <v>603</v>
      </c>
      <c r="F606" s="4">
        <f t="shared" ca="1" si="83"/>
        <v>280500</v>
      </c>
      <c r="G606" s="1" t="s">
        <v>70</v>
      </c>
      <c r="H606" s="26">
        <f t="shared" ca="1" si="81"/>
        <v>0.41722256807662417</v>
      </c>
      <c r="I606" s="4">
        <f>IF(G606="Yes",-$C$8,0)</f>
        <v>-500</v>
      </c>
      <c r="J606" s="4">
        <f>IF(G606="Yes",$C$8-I606,0)</f>
        <v>1000</v>
      </c>
      <c r="K606" s="4">
        <f ca="1">IF(H606&gt;=$C$4,J606+I606,I606)</f>
        <v>500</v>
      </c>
      <c r="M606" s="61">
        <f t="shared" si="88"/>
        <v>482.40000000000003</v>
      </c>
      <c r="N606" s="61">
        <f t="shared" si="89"/>
        <v>120.59999999999997</v>
      </c>
      <c r="O606" s="4">
        <f t="shared" si="84"/>
        <v>241200.00000000003</v>
      </c>
      <c r="P606" s="4">
        <f t="shared" si="85"/>
        <v>-60299.999999999985</v>
      </c>
      <c r="Q606" s="4">
        <f t="shared" si="86"/>
        <v>180900.00000000006</v>
      </c>
      <c r="R606" s="4">
        <f t="shared" si="87"/>
        <v>280900.00000000006</v>
      </c>
    </row>
    <row r="607" spans="5:18" x14ac:dyDescent="0.25">
      <c r="E607" s="1">
        <f t="shared" si="82"/>
        <v>604</v>
      </c>
      <c r="F607" s="4">
        <f t="shared" ca="1" si="83"/>
        <v>280000</v>
      </c>
      <c r="G607" s="1" t="s">
        <v>70</v>
      </c>
      <c r="H607" s="26">
        <f t="shared" ca="1" si="81"/>
        <v>5.6626893729325167E-2</v>
      </c>
      <c r="I607" s="4">
        <f>IF(G607="Yes",-$C$8,0)</f>
        <v>-500</v>
      </c>
      <c r="J607" s="4">
        <f>IF(G607="Yes",$C$8-I607,0)</f>
        <v>1000</v>
      </c>
      <c r="K607" s="4">
        <f ca="1">IF(H607&gt;=$C$4,J607+I607,I607)</f>
        <v>-500</v>
      </c>
      <c r="M607" s="61">
        <f t="shared" si="88"/>
        <v>483.20000000000005</v>
      </c>
      <c r="N607" s="61">
        <f t="shared" si="89"/>
        <v>120.79999999999995</v>
      </c>
      <c r="O607" s="4">
        <f t="shared" si="84"/>
        <v>241600.00000000003</v>
      </c>
      <c r="P607" s="4">
        <f t="shared" si="85"/>
        <v>-60399.999999999978</v>
      </c>
      <c r="Q607" s="4">
        <f t="shared" si="86"/>
        <v>181200.00000000006</v>
      </c>
      <c r="R607" s="4">
        <f t="shared" si="87"/>
        <v>281200.00000000006</v>
      </c>
    </row>
    <row r="608" spans="5:18" x14ac:dyDescent="0.25">
      <c r="E608" s="1">
        <f t="shared" si="82"/>
        <v>605</v>
      </c>
      <c r="F608" s="4">
        <f t="shared" ca="1" si="83"/>
        <v>280500</v>
      </c>
      <c r="G608" s="1" t="s">
        <v>70</v>
      </c>
      <c r="H608" s="26">
        <f t="shared" ca="1" si="81"/>
        <v>0.61775213688865127</v>
      </c>
      <c r="I608" s="4">
        <f>IF(G608="Yes",-$C$8,0)</f>
        <v>-500</v>
      </c>
      <c r="J608" s="4">
        <f>IF(G608="Yes",$C$8-I608,0)</f>
        <v>1000</v>
      </c>
      <c r="K608" s="4">
        <f ca="1">IF(H608&gt;=$C$4,J608+I608,I608)</f>
        <v>500</v>
      </c>
      <c r="M608" s="61">
        <f t="shared" si="88"/>
        <v>484</v>
      </c>
      <c r="N608" s="61">
        <f t="shared" si="89"/>
        <v>121</v>
      </c>
      <c r="O608" s="4">
        <f t="shared" si="84"/>
        <v>242000</v>
      </c>
      <c r="P608" s="4">
        <f t="shared" si="85"/>
        <v>-60500</v>
      </c>
      <c r="Q608" s="4">
        <f t="shared" si="86"/>
        <v>181500</v>
      </c>
      <c r="R608" s="4">
        <f t="shared" si="87"/>
        <v>281500</v>
      </c>
    </row>
    <row r="609" spans="5:18" x14ac:dyDescent="0.25">
      <c r="E609" s="1">
        <f t="shared" si="82"/>
        <v>606</v>
      </c>
      <c r="F609" s="4">
        <f t="shared" ca="1" si="83"/>
        <v>281000</v>
      </c>
      <c r="G609" s="1" t="s">
        <v>70</v>
      </c>
      <c r="H609" s="26">
        <f t="shared" ca="1" si="81"/>
        <v>0.28230916506193215</v>
      </c>
      <c r="I609" s="4">
        <f>IF(G609="Yes",-$C$8,0)</f>
        <v>-500</v>
      </c>
      <c r="J609" s="4">
        <f>IF(G609="Yes",$C$8-I609,0)</f>
        <v>1000</v>
      </c>
      <c r="K609" s="4">
        <f ca="1">IF(H609&gt;=$C$4,J609+I609,I609)</f>
        <v>500</v>
      </c>
      <c r="M609" s="61">
        <f t="shared" si="88"/>
        <v>484.8</v>
      </c>
      <c r="N609" s="61">
        <f t="shared" si="89"/>
        <v>121.19999999999999</v>
      </c>
      <c r="O609" s="4">
        <f t="shared" si="84"/>
        <v>242400</v>
      </c>
      <c r="P609" s="4">
        <f t="shared" si="85"/>
        <v>-60599.999999999993</v>
      </c>
      <c r="Q609" s="4">
        <f t="shared" si="86"/>
        <v>181800</v>
      </c>
      <c r="R609" s="4">
        <f t="shared" si="87"/>
        <v>281800</v>
      </c>
    </row>
    <row r="610" spans="5:18" x14ac:dyDescent="0.25">
      <c r="E610" s="1">
        <f t="shared" si="82"/>
        <v>607</v>
      </c>
      <c r="F610" s="4">
        <f t="shared" ca="1" si="83"/>
        <v>281500</v>
      </c>
      <c r="G610" s="1" t="s">
        <v>70</v>
      </c>
      <c r="H610" s="26">
        <f t="shared" ca="1" si="81"/>
        <v>0.88550491395291031</v>
      </c>
      <c r="I610" s="4">
        <f>IF(G610="Yes",-$C$8,0)</f>
        <v>-500</v>
      </c>
      <c r="J610" s="4">
        <f>IF(G610="Yes",$C$8-I610,0)</f>
        <v>1000</v>
      </c>
      <c r="K610" s="4">
        <f ca="1">IF(H610&gt;=$C$4,J610+I610,I610)</f>
        <v>500</v>
      </c>
      <c r="M610" s="61">
        <f t="shared" si="88"/>
        <v>485.6</v>
      </c>
      <c r="N610" s="61">
        <f t="shared" si="89"/>
        <v>121.39999999999998</v>
      </c>
      <c r="O610" s="4">
        <f t="shared" si="84"/>
        <v>242800</v>
      </c>
      <c r="P610" s="4">
        <f t="shared" si="85"/>
        <v>-60699.999999999985</v>
      </c>
      <c r="Q610" s="4">
        <f t="shared" si="86"/>
        <v>182100</v>
      </c>
      <c r="R610" s="4">
        <f t="shared" si="87"/>
        <v>282100</v>
      </c>
    </row>
    <row r="611" spans="5:18" x14ac:dyDescent="0.25">
      <c r="E611" s="1">
        <f t="shared" si="82"/>
        <v>608</v>
      </c>
      <c r="F611" s="4">
        <f t="shared" ca="1" si="83"/>
        <v>282000</v>
      </c>
      <c r="G611" s="1" t="s">
        <v>70</v>
      </c>
      <c r="H611" s="26">
        <f t="shared" ca="1" si="81"/>
        <v>0.38176095523520126</v>
      </c>
      <c r="I611" s="4">
        <f>IF(G611="Yes",-$C$8,0)</f>
        <v>-500</v>
      </c>
      <c r="J611" s="4">
        <f>IF(G611="Yes",$C$8-I611,0)</f>
        <v>1000</v>
      </c>
      <c r="K611" s="4">
        <f ca="1">IF(H611&gt;=$C$4,J611+I611,I611)</f>
        <v>500</v>
      </c>
      <c r="M611" s="61">
        <f t="shared" si="88"/>
        <v>486.40000000000003</v>
      </c>
      <c r="N611" s="61">
        <f t="shared" si="89"/>
        <v>121.59999999999997</v>
      </c>
      <c r="O611" s="4">
        <f t="shared" si="84"/>
        <v>243200.00000000003</v>
      </c>
      <c r="P611" s="4">
        <f t="shared" si="85"/>
        <v>-60799.999999999985</v>
      </c>
      <c r="Q611" s="4">
        <f t="shared" si="86"/>
        <v>182400.00000000006</v>
      </c>
      <c r="R611" s="4">
        <f t="shared" si="87"/>
        <v>282400.00000000006</v>
      </c>
    </row>
    <row r="612" spans="5:18" x14ac:dyDescent="0.25">
      <c r="E612" s="1">
        <f t="shared" si="82"/>
        <v>609</v>
      </c>
      <c r="F612" s="4">
        <f t="shared" ca="1" si="83"/>
        <v>282500</v>
      </c>
      <c r="G612" s="1" t="s">
        <v>70</v>
      </c>
      <c r="H612" s="26">
        <f t="shared" ca="1" si="81"/>
        <v>0.22473598394804195</v>
      </c>
      <c r="I612" s="4">
        <f>IF(G612="Yes",-$C$8,0)</f>
        <v>-500</v>
      </c>
      <c r="J612" s="4">
        <f>IF(G612="Yes",$C$8-I612,0)</f>
        <v>1000</v>
      </c>
      <c r="K612" s="4">
        <f ca="1">IF(H612&gt;=$C$4,J612+I612,I612)</f>
        <v>500</v>
      </c>
      <c r="M612" s="61">
        <f t="shared" si="88"/>
        <v>487.20000000000005</v>
      </c>
      <c r="N612" s="61">
        <f t="shared" si="89"/>
        <v>121.79999999999995</v>
      </c>
      <c r="O612" s="4">
        <f t="shared" si="84"/>
        <v>243600.00000000003</v>
      </c>
      <c r="P612" s="4">
        <f t="shared" si="85"/>
        <v>-60899.999999999978</v>
      </c>
      <c r="Q612" s="4">
        <f t="shared" si="86"/>
        <v>182700.00000000006</v>
      </c>
      <c r="R612" s="4">
        <f t="shared" si="87"/>
        <v>282700.00000000006</v>
      </c>
    </row>
    <row r="613" spans="5:18" x14ac:dyDescent="0.25">
      <c r="E613" s="1">
        <f t="shared" si="82"/>
        <v>610</v>
      </c>
      <c r="F613" s="4">
        <f t="shared" ca="1" si="83"/>
        <v>283000</v>
      </c>
      <c r="G613" s="1" t="s">
        <v>70</v>
      </c>
      <c r="H613" s="26">
        <f t="shared" ca="1" si="81"/>
        <v>0.75732885904440606</v>
      </c>
      <c r="I613" s="4">
        <f>IF(G613="Yes",-$C$8,0)</f>
        <v>-500</v>
      </c>
      <c r="J613" s="4">
        <f>IF(G613="Yes",$C$8-I613,0)</f>
        <v>1000</v>
      </c>
      <c r="K613" s="4">
        <f ca="1">IF(H613&gt;=$C$4,J613+I613,I613)</f>
        <v>500</v>
      </c>
      <c r="M613" s="61">
        <f t="shared" si="88"/>
        <v>488</v>
      </c>
      <c r="N613" s="61">
        <f t="shared" si="89"/>
        <v>122</v>
      </c>
      <c r="O613" s="4">
        <f t="shared" si="84"/>
        <v>244000</v>
      </c>
      <c r="P613" s="4">
        <f t="shared" si="85"/>
        <v>-61000</v>
      </c>
      <c r="Q613" s="4">
        <f t="shared" si="86"/>
        <v>183000</v>
      </c>
      <c r="R613" s="4">
        <f t="shared" si="87"/>
        <v>283000</v>
      </c>
    </row>
    <row r="614" spans="5:18" x14ac:dyDescent="0.25">
      <c r="E614" s="1">
        <f t="shared" si="82"/>
        <v>611</v>
      </c>
      <c r="F614" s="4">
        <f t="shared" ca="1" si="83"/>
        <v>283500</v>
      </c>
      <c r="G614" s="1" t="s">
        <v>70</v>
      </c>
      <c r="H614" s="26">
        <f t="shared" ca="1" si="81"/>
        <v>0.76815497955036971</v>
      </c>
      <c r="I614" s="4">
        <f>IF(G614="Yes",-$C$8,0)</f>
        <v>-500</v>
      </c>
      <c r="J614" s="4">
        <f>IF(G614="Yes",$C$8-I614,0)</f>
        <v>1000</v>
      </c>
      <c r="K614" s="4">
        <f ca="1">IF(H614&gt;=$C$4,J614+I614,I614)</f>
        <v>500</v>
      </c>
      <c r="M614" s="61">
        <f t="shared" si="88"/>
        <v>488.8</v>
      </c>
      <c r="N614" s="61">
        <f t="shared" si="89"/>
        <v>122.19999999999999</v>
      </c>
      <c r="O614" s="4">
        <f t="shared" si="84"/>
        <v>244400</v>
      </c>
      <c r="P614" s="4">
        <f t="shared" si="85"/>
        <v>-61099.999999999993</v>
      </c>
      <c r="Q614" s="4">
        <f t="shared" si="86"/>
        <v>183300</v>
      </c>
      <c r="R614" s="4">
        <f t="shared" si="87"/>
        <v>283300</v>
      </c>
    </row>
    <row r="615" spans="5:18" x14ac:dyDescent="0.25">
      <c r="E615" s="1">
        <f t="shared" si="82"/>
        <v>612</v>
      </c>
      <c r="F615" s="4">
        <f t="shared" ca="1" si="83"/>
        <v>284000</v>
      </c>
      <c r="G615" s="1" t="s">
        <v>70</v>
      </c>
      <c r="H615" s="26">
        <f t="shared" ca="1" si="81"/>
        <v>0.74514002227335363</v>
      </c>
      <c r="I615" s="4">
        <f>IF(G615="Yes",-$C$8,0)</f>
        <v>-500</v>
      </c>
      <c r="J615" s="4">
        <f>IF(G615="Yes",$C$8-I615,0)</f>
        <v>1000</v>
      </c>
      <c r="K615" s="4">
        <f ca="1">IF(H615&gt;=$C$4,J615+I615,I615)</f>
        <v>500</v>
      </c>
      <c r="M615" s="61">
        <f t="shared" si="88"/>
        <v>489.6</v>
      </c>
      <c r="N615" s="61">
        <f t="shared" si="89"/>
        <v>122.39999999999998</v>
      </c>
      <c r="O615" s="4">
        <f t="shared" si="84"/>
        <v>244800</v>
      </c>
      <c r="P615" s="4">
        <f t="shared" si="85"/>
        <v>-61199.999999999985</v>
      </c>
      <c r="Q615" s="4">
        <f t="shared" si="86"/>
        <v>183600</v>
      </c>
      <c r="R615" s="4">
        <f t="shared" si="87"/>
        <v>283600</v>
      </c>
    </row>
    <row r="616" spans="5:18" x14ac:dyDescent="0.25">
      <c r="E616" s="1">
        <f t="shared" si="82"/>
        <v>613</v>
      </c>
      <c r="F616" s="4">
        <f t="shared" ca="1" si="83"/>
        <v>284500</v>
      </c>
      <c r="G616" s="1" t="s">
        <v>70</v>
      </c>
      <c r="H616" s="26">
        <f t="shared" ca="1" si="81"/>
        <v>0.26778910916663645</v>
      </c>
      <c r="I616" s="4">
        <f>IF(G616="Yes",-$C$8,0)</f>
        <v>-500</v>
      </c>
      <c r="J616" s="4">
        <f>IF(G616="Yes",$C$8-I616,0)</f>
        <v>1000</v>
      </c>
      <c r="K616" s="4">
        <f ca="1">IF(H616&gt;=$C$4,J616+I616,I616)</f>
        <v>500</v>
      </c>
      <c r="M616" s="61">
        <f t="shared" si="88"/>
        <v>490.40000000000003</v>
      </c>
      <c r="N616" s="61">
        <f t="shared" si="89"/>
        <v>122.59999999999997</v>
      </c>
      <c r="O616" s="4">
        <f t="shared" si="84"/>
        <v>245200.00000000003</v>
      </c>
      <c r="P616" s="4">
        <f t="shared" si="85"/>
        <v>-61299.999999999985</v>
      </c>
      <c r="Q616" s="4">
        <f t="shared" si="86"/>
        <v>183900.00000000006</v>
      </c>
      <c r="R616" s="4">
        <f t="shared" si="87"/>
        <v>283900.00000000006</v>
      </c>
    </row>
    <row r="617" spans="5:18" x14ac:dyDescent="0.25">
      <c r="E617" s="1">
        <f t="shared" si="82"/>
        <v>614</v>
      </c>
      <c r="F617" s="4">
        <f t="shared" ca="1" si="83"/>
        <v>284000</v>
      </c>
      <c r="G617" s="1" t="s">
        <v>70</v>
      </c>
      <c r="H617" s="26">
        <f t="shared" ca="1" si="81"/>
        <v>0.11690816172471052</v>
      </c>
      <c r="I617" s="4">
        <f>IF(G617="Yes",-$C$8,0)</f>
        <v>-500</v>
      </c>
      <c r="J617" s="4">
        <f>IF(G617="Yes",$C$8-I617,0)</f>
        <v>1000</v>
      </c>
      <c r="K617" s="4">
        <f ca="1">IF(H617&gt;=$C$4,J617+I617,I617)</f>
        <v>-500</v>
      </c>
      <c r="M617" s="61">
        <f t="shared" si="88"/>
        <v>491.20000000000005</v>
      </c>
      <c r="N617" s="61">
        <f t="shared" si="89"/>
        <v>122.79999999999995</v>
      </c>
      <c r="O617" s="4">
        <f t="shared" si="84"/>
        <v>245600.00000000003</v>
      </c>
      <c r="P617" s="4">
        <f t="shared" si="85"/>
        <v>-61399.999999999978</v>
      </c>
      <c r="Q617" s="4">
        <f t="shared" si="86"/>
        <v>184200.00000000006</v>
      </c>
      <c r="R617" s="4">
        <f t="shared" si="87"/>
        <v>284200.00000000006</v>
      </c>
    </row>
    <row r="618" spans="5:18" x14ac:dyDescent="0.25">
      <c r="E618" s="1">
        <f t="shared" si="82"/>
        <v>615</v>
      </c>
      <c r="F618" s="4">
        <f t="shared" ca="1" si="83"/>
        <v>284500</v>
      </c>
      <c r="G618" s="1" t="s">
        <v>70</v>
      </c>
      <c r="H618" s="26">
        <f t="shared" ca="1" si="81"/>
        <v>0.46569641113993165</v>
      </c>
      <c r="I618" s="4">
        <f>IF(G618="Yes",-$C$8,0)</f>
        <v>-500</v>
      </c>
      <c r="J618" s="4">
        <f>IF(G618="Yes",$C$8-I618,0)</f>
        <v>1000</v>
      </c>
      <c r="K618" s="4">
        <f ca="1">IF(H618&gt;=$C$4,J618+I618,I618)</f>
        <v>500</v>
      </c>
      <c r="M618" s="61">
        <f t="shared" si="88"/>
        <v>492</v>
      </c>
      <c r="N618" s="61">
        <f t="shared" si="89"/>
        <v>123</v>
      </c>
      <c r="O618" s="4">
        <f t="shared" si="84"/>
        <v>246000</v>
      </c>
      <c r="P618" s="4">
        <f t="shared" si="85"/>
        <v>-61500</v>
      </c>
      <c r="Q618" s="4">
        <f t="shared" si="86"/>
        <v>184500</v>
      </c>
      <c r="R618" s="4">
        <f t="shared" si="87"/>
        <v>284500</v>
      </c>
    </row>
    <row r="619" spans="5:18" x14ac:dyDescent="0.25">
      <c r="E619" s="1">
        <f t="shared" si="82"/>
        <v>616</v>
      </c>
      <c r="F619" s="4">
        <f t="shared" ca="1" si="83"/>
        <v>285000</v>
      </c>
      <c r="G619" s="1" t="s">
        <v>70</v>
      </c>
      <c r="H619" s="26">
        <f t="shared" ca="1" si="81"/>
        <v>0.28027632383549195</v>
      </c>
      <c r="I619" s="4">
        <f>IF(G619="Yes",-$C$8,0)</f>
        <v>-500</v>
      </c>
      <c r="J619" s="4">
        <f>IF(G619="Yes",$C$8-I619,0)</f>
        <v>1000</v>
      </c>
      <c r="K619" s="4">
        <f ca="1">IF(H619&gt;=$C$4,J619+I619,I619)</f>
        <v>500</v>
      </c>
      <c r="M619" s="61">
        <f t="shared" si="88"/>
        <v>492.8</v>
      </c>
      <c r="N619" s="61">
        <f t="shared" si="89"/>
        <v>123.19999999999999</v>
      </c>
      <c r="O619" s="4">
        <f t="shared" si="84"/>
        <v>246400</v>
      </c>
      <c r="P619" s="4">
        <f t="shared" si="85"/>
        <v>-61599.999999999993</v>
      </c>
      <c r="Q619" s="4">
        <f t="shared" si="86"/>
        <v>184800</v>
      </c>
      <c r="R619" s="4">
        <f t="shared" si="87"/>
        <v>284800</v>
      </c>
    </row>
    <row r="620" spans="5:18" x14ac:dyDescent="0.25">
      <c r="E620" s="1">
        <f t="shared" si="82"/>
        <v>617</v>
      </c>
      <c r="F620" s="4">
        <f t="shared" ca="1" si="83"/>
        <v>285500</v>
      </c>
      <c r="G620" s="1" t="s">
        <v>70</v>
      </c>
      <c r="H620" s="26">
        <f t="shared" ca="1" si="81"/>
        <v>0.33807714871883598</v>
      </c>
      <c r="I620" s="4">
        <f>IF(G620="Yes",-$C$8,0)</f>
        <v>-500</v>
      </c>
      <c r="J620" s="4">
        <f>IF(G620="Yes",$C$8-I620,0)</f>
        <v>1000</v>
      </c>
      <c r="K620" s="4">
        <f ca="1">IF(H620&gt;=$C$4,J620+I620,I620)</f>
        <v>500</v>
      </c>
      <c r="M620" s="61">
        <f t="shared" si="88"/>
        <v>493.6</v>
      </c>
      <c r="N620" s="61">
        <f t="shared" si="89"/>
        <v>123.39999999999998</v>
      </c>
      <c r="O620" s="4">
        <f t="shared" si="84"/>
        <v>246800</v>
      </c>
      <c r="P620" s="4">
        <f t="shared" si="85"/>
        <v>-61699.999999999985</v>
      </c>
      <c r="Q620" s="4">
        <f t="shared" si="86"/>
        <v>185100</v>
      </c>
      <c r="R620" s="4">
        <f t="shared" si="87"/>
        <v>285100</v>
      </c>
    </row>
    <row r="621" spans="5:18" x14ac:dyDescent="0.25">
      <c r="E621" s="1">
        <f t="shared" si="82"/>
        <v>618</v>
      </c>
      <c r="F621" s="4">
        <f t="shared" ca="1" si="83"/>
        <v>286000</v>
      </c>
      <c r="G621" s="1" t="s">
        <v>70</v>
      </c>
      <c r="H621" s="26">
        <f t="shared" ca="1" si="81"/>
        <v>0.28005959540148295</v>
      </c>
      <c r="I621" s="4">
        <f>IF(G621="Yes",-$C$8,0)</f>
        <v>-500</v>
      </c>
      <c r="J621" s="4">
        <f>IF(G621="Yes",$C$8-I621,0)</f>
        <v>1000</v>
      </c>
      <c r="K621" s="4">
        <f ca="1">IF(H621&gt;=$C$4,J621+I621,I621)</f>
        <v>500</v>
      </c>
      <c r="M621" s="61">
        <f t="shared" si="88"/>
        <v>494.40000000000003</v>
      </c>
      <c r="N621" s="61">
        <f t="shared" si="89"/>
        <v>123.59999999999997</v>
      </c>
      <c r="O621" s="4">
        <f t="shared" si="84"/>
        <v>247200.00000000003</v>
      </c>
      <c r="P621" s="4">
        <f t="shared" si="85"/>
        <v>-61799.999999999985</v>
      </c>
      <c r="Q621" s="4">
        <f t="shared" si="86"/>
        <v>185400.00000000006</v>
      </c>
      <c r="R621" s="4">
        <f t="shared" si="87"/>
        <v>285400.00000000006</v>
      </c>
    </row>
    <row r="622" spans="5:18" x14ac:dyDescent="0.25">
      <c r="E622" s="1">
        <f t="shared" si="82"/>
        <v>619</v>
      </c>
      <c r="F622" s="4">
        <f t="shared" ca="1" si="83"/>
        <v>286500</v>
      </c>
      <c r="G622" s="1" t="s">
        <v>70</v>
      </c>
      <c r="H622" s="26">
        <f t="shared" ca="1" si="81"/>
        <v>0.2356169430425008</v>
      </c>
      <c r="I622" s="4">
        <f>IF(G622="Yes",-$C$8,0)</f>
        <v>-500</v>
      </c>
      <c r="J622" s="4">
        <f>IF(G622="Yes",$C$8-I622,0)</f>
        <v>1000</v>
      </c>
      <c r="K622" s="4">
        <f ca="1">IF(H622&gt;=$C$4,J622+I622,I622)</f>
        <v>500</v>
      </c>
      <c r="M622" s="61">
        <f t="shared" si="88"/>
        <v>495.20000000000005</v>
      </c>
      <c r="N622" s="61">
        <f t="shared" si="89"/>
        <v>123.79999999999995</v>
      </c>
      <c r="O622" s="4">
        <f t="shared" si="84"/>
        <v>247600.00000000003</v>
      </c>
      <c r="P622" s="4">
        <f t="shared" si="85"/>
        <v>-61899.999999999978</v>
      </c>
      <c r="Q622" s="4">
        <f t="shared" si="86"/>
        <v>185700.00000000006</v>
      </c>
      <c r="R622" s="4">
        <f t="shared" si="87"/>
        <v>285700.00000000006</v>
      </c>
    </row>
    <row r="623" spans="5:18" x14ac:dyDescent="0.25">
      <c r="E623" s="1">
        <f t="shared" si="82"/>
        <v>620</v>
      </c>
      <c r="F623" s="4">
        <f t="shared" ca="1" si="83"/>
        <v>286000</v>
      </c>
      <c r="G623" s="1" t="s">
        <v>70</v>
      </c>
      <c r="H623" s="26">
        <f t="shared" ca="1" si="81"/>
        <v>0.18127298703060246</v>
      </c>
      <c r="I623" s="4">
        <f>IF(G623="Yes",-$C$8,0)</f>
        <v>-500</v>
      </c>
      <c r="J623" s="4">
        <f>IF(G623="Yes",$C$8-I623,0)</f>
        <v>1000</v>
      </c>
      <c r="K623" s="4">
        <f ca="1">IF(H623&gt;=$C$4,J623+I623,I623)</f>
        <v>-500</v>
      </c>
      <c r="M623" s="61">
        <f t="shared" si="88"/>
        <v>496</v>
      </c>
      <c r="N623" s="61">
        <f t="shared" si="89"/>
        <v>124</v>
      </c>
      <c r="O623" s="4">
        <f t="shared" si="84"/>
        <v>248000</v>
      </c>
      <c r="P623" s="4">
        <f t="shared" si="85"/>
        <v>-62000</v>
      </c>
      <c r="Q623" s="4">
        <f t="shared" si="86"/>
        <v>186000</v>
      </c>
      <c r="R623" s="4">
        <f t="shared" si="87"/>
        <v>286000</v>
      </c>
    </row>
    <row r="624" spans="5:18" x14ac:dyDescent="0.25">
      <c r="E624" s="1">
        <f t="shared" si="82"/>
        <v>621</v>
      </c>
      <c r="F624" s="4">
        <f t="shared" ca="1" si="83"/>
        <v>286500</v>
      </c>
      <c r="G624" s="1" t="s">
        <v>70</v>
      </c>
      <c r="H624" s="26">
        <f t="shared" ca="1" si="81"/>
        <v>0.64352258872662749</v>
      </c>
      <c r="I624" s="4">
        <f>IF(G624="Yes",-$C$8,0)</f>
        <v>-500</v>
      </c>
      <c r="J624" s="4">
        <f>IF(G624="Yes",$C$8-I624,0)</f>
        <v>1000</v>
      </c>
      <c r="K624" s="4">
        <f ca="1">IF(H624&gt;=$C$4,J624+I624,I624)</f>
        <v>500</v>
      </c>
      <c r="M624" s="61">
        <f t="shared" si="88"/>
        <v>496.8</v>
      </c>
      <c r="N624" s="61">
        <f t="shared" si="89"/>
        <v>124.19999999999999</v>
      </c>
      <c r="O624" s="4">
        <f t="shared" si="84"/>
        <v>248400</v>
      </c>
      <c r="P624" s="4">
        <f t="shared" si="85"/>
        <v>-62099.999999999993</v>
      </c>
      <c r="Q624" s="4">
        <f t="shared" si="86"/>
        <v>186300</v>
      </c>
      <c r="R624" s="4">
        <f t="shared" si="87"/>
        <v>286300</v>
      </c>
    </row>
    <row r="625" spans="5:18" x14ac:dyDescent="0.25">
      <c r="E625" s="1">
        <f t="shared" si="82"/>
        <v>622</v>
      </c>
      <c r="F625" s="4">
        <f t="shared" ca="1" si="83"/>
        <v>287000</v>
      </c>
      <c r="G625" s="1" t="s">
        <v>70</v>
      </c>
      <c r="H625" s="26">
        <f t="shared" ca="1" si="81"/>
        <v>0.4065292632336811</v>
      </c>
      <c r="I625" s="4">
        <f>IF(G625="Yes",-$C$8,0)</f>
        <v>-500</v>
      </c>
      <c r="J625" s="4">
        <f>IF(G625="Yes",$C$8-I625,0)</f>
        <v>1000</v>
      </c>
      <c r="K625" s="4">
        <f ca="1">IF(H625&gt;=$C$4,J625+I625,I625)</f>
        <v>500</v>
      </c>
      <c r="M625" s="61">
        <f t="shared" si="88"/>
        <v>497.6</v>
      </c>
      <c r="N625" s="61">
        <f t="shared" si="89"/>
        <v>124.39999999999998</v>
      </c>
      <c r="O625" s="4">
        <f t="shared" si="84"/>
        <v>248800</v>
      </c>
      <c r="P625" s="4">
        <f t="shared" si="85"/>
        <v>-62199.999999999985</v>
      </c>
      <c r="Q625" s="4">
        <f t="shared" si="86"/>
        <v>186600</v>
      </c>
      <c r="R625" s="4">
        <f t="shared" si="87"/>
        <v>286600</v>
      </c>
    </row>
    <row r="626" spans="5:18" x14ac:dyDescent="0.25">
      <c r="E626" s="1">
        <f t="shared" si="82"/>
        <v>623</v>
      </c>
      <c r="F626" s="4">
        <f t="shared" ca="1" si="83"/>
        <v>287500</v>
      </c>
      <c r="G626" s="1" t="s">
        <v>70</v>
      </c>
      <c r="H626" s="26">
        <f t="shared" ca="1" si="81"/>
        <v>0.25290859772707275</v>
      </c>
      <c r="I626" s="4">
        <f>IF(G626="Yes",-$C$8,0)</f>
        <v>-500</v>
      </c>
      <c r="J626" s="4">
        <f>IF(G626="Yes",$C$8-I626,0)</f>
        <v>1000</v>
      </c>
      <c r="K626" s="4">
        <f ca="1">IF(H626&gt;=$C$4,J626+I626,I626)</f>
        <v>500</v>
      </c>
      <c r="M626" s="61">
        <f t="shared" si="88"/>
        <v>498.40000000000003</v>
      </c>
      <c r="N626" s="61">
        <f t="shared" si="89"/>
        <v>124.59999999999997</v>
      </c>
      <c r="O626" s="4">
        <f t="shared" si="84"/>
        <v>249200.00000000003</v>
      </c>
      <c r="P626" s="4">
        <f t="shared" si="85"/>
        <v>-62299.999999999985</v>
      </c>
      <c r="Q626" s="4">
        <f t="shared" si="86"/>
        <v>186900.00000000006</v>
      </c>
      <c r="R626" s="4">
        <f t="shared" si="87"/>
        <v>286900.00000000006</v>
      </c>
    </row>
    <row r="627" spans="5:18" x14ac:dyDescent="0.25">
      <c r="E627" s="1">
        <f t="shared" si="82"/>
        <v>624</v>
      </c>
      <c r="F627" s="4">
        <f t="shared" ca="1" si="83"/>
        <v>288000</v>
      </c>
      <c r="G627" s="1" t="s">
        <v>70</v>
      </c>
      <c r="H627" s="26">
        <f t="shared" ca="1" si="81"/>
        <v>0.65220359332388411</v>
      </c>
      <c r="I627" s="4">
        <f>IF(G627="Yes",-$C$8,0)</f>
        <v>-500</v>
      </c>
      <c r="J627" s="4">
        <f>IF(G627="Yes",$C$8-I627,0)</f>
        <v>1000</v>
      </c>
      <c r="K627" s="4">
        <f ca="1">IF(H627&gt;=$C$4,J627+I627,I627)</f>
        <v>500</v>
      </c>
      <c r="M627" s="61">
        <f t="shared" si="88"/>
        <v>499.20000000000005</v>
      </c>
      <c r="N627" s="61">
        <f t="shared" si="89"/>
        <v>124.79999999999995</v>
      </c>
      <c r="O627" s="4">
        <f t="shared" si="84"/>
        <v>249600.00000000003</v>
      </c>
      <c r="P627" s="4">
        <f t="shared" si="85"/>
        <v>-62399.999999999978</v>
      </c>
      <c r="Q627" s="4">
        <f t="shared" si="86"/>
        <v>187200.00000000006</v>
      </c>
      <c r="R627" s="4">
        <f t="shared" si="87"/>
        <v>287200.00000000006</v>
      </c>
    </row>
    <row r="628" spans="5:18" x14ac:dyDescent="0.25">
      <c r="E628" s="1">
        <f t="shared" si="82"/>
        <v>625</v>
      </c>
      <c r="F628" s="4">
        <f t="shared" ca="1" si="83"/>
        <v>288500</v>
      </c>
      <c r="G628" s="1" t="s">
        <v>70</v>
      </c>
      <c r="H628" s="26">
        <f t="shared" ca="1" si="81"/>
        <v>0.55527488028015892</v>
      </c>
      <c r="I628" s="4">
        <f>IF(G628="Yes",-$C$8,0)</f>
        <v>-500</v>
      </c>
      <c r="J628" s="4">
        <f>IF(G628="Yes",$C$8-I628,0)</f>
        <v>1000</v>
      </c>
      <c r="K628" s="4">
        <f ca="1">IF(H628&gt;=$C$4,J628+I628,I628)</f>
        <v>500</v>
      </c>
      <c r="M628" s="61">
        <f t="shared" si="88"/>
        <v>500</v>
      </c>
      <c r="N628" s="61">
        <f t="shared" si="89"/>
        <v>125</v>
      </c>
      <c r="O628" s="4">
        <f t="shared" si="84"/>
        <v>250000</v>
      </c>
      <c r="P628" s="4">
        <f t="shared" si="85"/>
        <v>-62500</v>
      </c>
      <c r="Q628" s="4">
        <f t="shared" si="86"/>
        <v>187500</v>
      </c>
      <c r="R628" s="4">
        <f t="shared" si="87"/>
        <v>287500</v>
      </c>
    </row>
    <row r="629" spans="5:18" x14ac:dyDescent="0.25">
      <c r="E629" s="1">
        <f t="shared" si="82"/>
        <v>626</v>
      </c>
      <c r="F629" s="4">
        <f t="shared" ca="1" si="83"/>
        <v>289000</v>
      </c>
      <c r="G629" s="1" t="s">
        <v>70</v>
      </c>
      <c r="H629" s="26">
        <f t="shared" ca="1" si="81"/>
        <v>0.76296670657351628</v>
      </c>
      <c r="I629" s="4">
        <f>IF(G629="Yes",-$C$8,0)</f>
        <v>-500</v>
      </c>
      <c r="J629" s="4">
        <f>IF(G629="Yes",$C$8-I629,0)</f>
        <v>1000</v>
      </c>
      <c r="K629" s="4">
        <f ca="1">IF(H629&gt;=$C$4,J629+I629,I629)</f>
        <v>500</v>
      </c>
      <c r="M629" s="61">
        <f t="shared" si="88"/>
        <v>500.8</v>
      </c>
      <c r="N629" s="61">
        <f t="shared" si="89"/>
        <v>125.19999999999999</v>
      </c>
      <c r="O629" s="4">
        <f t="shared" si="84"/>
        <v>250400</v>
      </c>
      <c r="P629" s="4">
        <f t="shared" si="85"/>
        <v>-62599.999999999993</v>
      </c>
      <c r="Q629" s="4">
        <f t="shared" si="86"/>
        <v>187800</v>
      </c>
      <c r="R629" s="4">
        <f t="shared" si="87"/>
        <v>287800</v>
      </c>
    </row>
    <row r="630" spans="5:18" x14ac:dyDescent="0.25">
      <c r="E630" s="1">
        <f t="shared" si="82"/>
        <v>627</v>
      </c>
      <c r="F630" s="4">
        <f t="shared" ca="1" si="83"/>
        <v>289500</v>
      </c>
      <c r="G630" s="1" t="s">
        <v>70</v>
      </c>
      <c r="H630" s="26">
        <f t="shared" ca="1" si="81"/>
        <v>0.30378145813418767</v>
      </c>
      <c r="I630" s="4">
        <f>IF(G630="Yes",-$C$8,0)</f>
        <v>-500</v>
      </c>
      <c r="J630" s="4">
        <f>IF(G630="Yes",$C$8-I630,0)</f>
        <v>1000</v>
      </c>
      <c r="K630" s="4">
        <f ca="1">IF(H630&gt;=$C$4,J630+I630,I630)</f>
        <v>500</v>
      </c>
      <c r="M630" s="61">
        <f t="shared" si="88"/>
        <v>501.6</v>
      </c>
      <c r="N630" s="61">
        <f t="shared" si="89"/>
        <v>125.39999999999998</v>
      </c>
      <c r="O630" s="4">
        <f t="shared" si="84"/>
        <v>250800</v>
      </c>
      <c r="P630" s="4">
        <f t="shared" si="85"/>
        <v>-62699.999999999985</v>
      </c>
      <c r="Q630" s="4">
        <f t="shared" si="86"/>
        <v>188100</v>
      </c>
      <c r="R630" s="4">
        <f t="shared" si="87"/>
        <v>288100</v>
      </c>
    </row>
    <row r="631" spans="5:18" x14ac:dyDescent="0.25">
      <c r="E631" s="1">
        <f t="shared" si="82"/>
        <v>628</v>
      </c>
      <c r="F631" s="4">
        <f t="shared" ca="1" si="83"/>
        <v>289000</v>
      </c>
      <c r="G631" s="1" t="s">
        <v>70</v>
      </c>
      <c r="H631" s="26">
        <f t="shared" ca="1" si="81"/>
        <v>0.1521940514194341</v>
      </c>
      <c r="I631" s="4">
        <f>IF(G631="Yes",-$C$8,0)</f>
        <v>-500</v>
      </c>
      <c r="J631" s="4">
        <f>IF(G631="Yes",$C$8-I631,0)</f>
        <v>1000</v>
      </c>
      <c r="K631" s="4">
        <f ca="1">IF(H631&gt;=$C$4,J631+I631,I631)</f>
        <v>-500</v>
      </c>
      <c r="M631" s="61">
        <f t="shared" si="88"/>
        <v>502.40000000000003</v>
      </c>
      <c r="N631" s="61">
        <f t="shared" si="89"/>
        <v>125.59999999999997</v>
      </c>
      <c r="O631" s="4">
        <f t="shared" si="84"/>
        <v>251200.00000000003</v>
      </c>
      <c r="P631" s="4">
        <f t="shared" si="85"/>
        <v>-62799.999999999985</v>
      </c>
      <c r="Q631" s="4">
        <f t="shared" si="86"/>
        <v>188400.00000000006</v>
      </c>
      <c r="R631" s="4">
        <f t="shared" si="87"/>
        <v>288400.00000000006</v>
      </c>
    </row>
    <row r="632" spans="5:18" x14ac:dyDescent="0.25">
      <c r="E632" s="1">
        <f t="shared" si="82"/>
        <v>629</v>
      </c>
      <c r="F632" s="4">
        <f t="shared" ca="1" si="83"/>
        <v>289500</v>
      </c>
      <c r="G632" s="1" t="s">
        <v>70</v>
      </c>
      <c r="H632" s="26">
        <f t="shared" ca="1" si="81"/>
        <v>0.59457585982795358</v>
      </c>
      <c r="I632" s="4">
        <f>IF(G632="Yes",-$C$8,0)</f>
        <v>-500</v>
      </c>
      <c r="J632" s="4">
        <f>IF(G632="Yes",$C$8-I632,0)</f>
        <v>1000</v>
      </c>
      <c r="K632" s="4">
        <f ca="1">IF(H632&gt;=$C$4,J632+I632,I632)</f>
        <v>500</v>
      </c>
      <c r="M632" s="61">
        <f t="shared" si="88"/>
        <v>503.20000000000005</v>
      </c>
      <c r="N632" s="61">
        <f t="shared" si="89"/>
        <v>125.79999999999995</v>
      </c>
      <c r="O632" s="4">
        <f t="shared" si="84"/>
        <v>251600.00000000003</v>
      </c>
      <c r="P632" s="4">
        <f t="shared" si="85"/>
        <v>-62899.999999999978</v>
      </c>
      <c r="Q632" s="4">
        <f t="shared" si="86"/>
        <v>188700.00000000006</v>
      </c>
      <c r="R632" s="4">
        <f t="shared" si="87"/>
        <v>288700.00000000006</v>
      </c>
    </row>
    <row r="633" spans="5:18" x14ac:dyDescent="0.25">
      <c r="E633" s="1">
        <f t="shared" si="82"/>
        <v>630</v>
      </c>
      <c r="F633" s="4">
        <f t="shared" ca="1" si="83"/>
        <v>290000</v>
      </c>
      <c r="G633" s="1" t="s">
        <v>70</v>
      </c>
      <c r="H633" s="26">
        <f t="shared" ca="1" si="81"/>
        <v>0.99473922904588208</v>
      </c>
      <c r="I633" s="4">
        <f>IF(G633="Yes",-$C$8,0)</f>
        <v>-500</v>
      </c>
      <c r="J633" s="4">
        <f>IF(G633="Yes",$C$8-I633,0)</f>
        <v>1000</v>
      </c>
      <c r="K633" s="4">
        <f ca="1">IF(H633&gt;=$C$4,J633+I633,I633)</f>
        <v>500</v>
      </c>
      <c r="M633" s="61">
        <f t="shared" si="88"/>
        <v>504</v>
      </c>
      <c r="N633" s="61">
        <f t="shared" si="89"/>
        <v>126</v>
      </c>
      <c r="O633" s="4">
        <f t="shared" si="84"/>
        <v>252000</v>
      </c>
      <c r="P633" s="4">
        <f t="shared" si="85"/>
        <v>-63000</v>
      </c>
      <c r="Q633" s="4">
        <f t="shared" si="86"/>
        <v>189000</v>
      </c>
      <c r="R633" s="4">
        <f t="shared" si="87"/>
        <v>289000</v>
      </c>
    </row>
    <row r="634" spans="5:18" x14ac:dyDescent="0.25">
      <c r="E634" s="1">
        <f t="shared" si="82"/>
        <v>631</v>
      </c>
      <c r="F634" s="4">
        <f t="shared" ca="1" si="83"/>
        <v>290500</v>
      </c>
      <c r="G634" s="1" t="s">
        <v>70</v>
      </c>
      <c r="H634" s="26">
        <f t="shared" ca="1" si="81"/>
        <v>0.27586065135278215</v>
      </c>
      <c r="I634" s="4">
        <f>IF(G634="Yes",-$C$8,0)</f>
        <v>-500</v>
      </c>
      <c r="J634" s="4">
        <f>IF(G634="Yes",$C$8-I634,0)</f>
        <v>1000</v>
      </c>
      <c r="K634" s="4">
        <f ca="1">IF(H634&gt;=$C$4,J634+I634,I634)</f>
        <v>500</v>
      </c>
      <c r="M634" s="61">
        <f t="shared" si="88"/>
        <v>504.8</v>
      </c>
      <c r="N634" s="61">
        <f t="shared" si="89"/>
        <v>126.19999999999999</v>
      </c>
      <c r="O634" s="4">
        <f t="shared" si="84"/>
        <v>252400</v>
      </c>
      <c r="P634" s="4">
        <f t="shared" si="85"/>
        <v>-63099.999999999993</v>
      </c>
      <c r="Q634" s="4">
        <f t="shared" si="86"/>
        <v>189300</v>
      </c>
      <c r="R634" s="4">
        <f t="shared" si="87"/>
        <v>289300</v>
      </c>
    </row>
    <row r="635" spans="5:18" x14ac:dyDescent="0.25">
      <c r="E635" s="1">
        <f t="shared" si="82"/>
        <v>632</v>
      </c>
      <c r="F635" s="4">
        <f t="shared" ca="1" si="83"/>
        <v>291000</v>
      </c>
      <c r="G635" s="1" t="s">
        <v>70</v>
      </c>
      <c r="H635" s="26">
        <f t="shared" ca="1" si="81"/>
        <v>0.67048291639474289</v>
      </c>
      <c r="I635" s="4">
        <f>IF(G635="Yes",-$C$8,0)</f>
        <v>-500</v>
      </c>
      <c r="J635" s="4">
        <f>IF(G635="Yes",$C$8-I635,0)</f>
        <v>1000</v>
      </c>
      <c r="K635" s="4">
        <f ca="1">IF(H635&gt;=$C$4,J635+I635,I635)</f>
        <v>500</v>
      </c>
      <c r="M635" s="61">
        <f t="shared" si="88"/>
        <v>505.6</v>
      </c>
      <c r="N635" s="61">
        <f t="shared" si="89"/>
        <v>126.39999999999998</v>
      </c>
      <c r="O635" s="4">
        <f t="shared" si="84"/>
        <v>252800</v>
      </c>
      <c r="P635" s="4">
        <f t="shared" si="85"/>
        <v>-63199.999999999985</v>
      </c>
      <c r="Q635" s="4">
        <f t="shared" si="86"/>
        <v>189600</v>
      </c>
      <c r="R635" s="4">
        <f t="shared" si="87"/>
        <v>289600</v>
      </c>
    </row>
    <row r="636" spans="5:18" x14ac:dyDescent="0.25">
      <c r="E636" s="1">
        <f t="shared" si="82"/>
        <v>633</v>
      </c>
      <c r="F636" s="4">
        <f t="shared" ca="1" si="83"/>
        <v>291500</v>
      </c>
      <c r="G636" s="1" t="s">
        <v>70</v>
      </c>
      <c r="H636" s="26">
        <f t="shared" ca="1" si="81"/>
        <v>0.23354689046055466</v>
      </c>
      <c r="I636" s="4">
        <f>IF(G636="Yes",-$C$8,0)</f>
        <v>-500</v>
      </c>
      <c r="J636" s="4">
        <f>IF(G636="Yes",$C$8-I636,0)</f>
        <v>1000</v>
      </c>
      <c r="K636" s="4">
        <f ca="1">IF(H636&gt;=$C$4,J636+I636,I636)</f>
        <v>500</v>
      </c>
      <c r="M636" s="61">
        <f t="shared" si="88"/>
        <v>506.40000000000003</v>
      </c>
      <c r="N636" s="61">
        <f t="shared" si="89"/>
        <v>126.59999999999997</v>
      </c>
      <c r="O636" s="4">
        <f t="shared" si="84"/>
        <v>253200.00000000003</v>
      </c>
      <c r="P636" s="4">
        <f t="shared" si="85"/>
        <v>-63299.999999999985</v>
      </c>
      <c r="Q636" s="4">
        <f t="shared" si="86"/>
        <v>189900.00000000006</v>
      </c>
      <c r="R636" s="4">
        <f t="shared" si="87"/>
        <v>289900.00000000006</v>
      </c>
    </row>
    <row r="637" spans="5:18" x14ac:dyDescent="0.25">
      <c r="E637" s="1">
        <f t="shared" si="82"/>
        <v>634</v>
      </c>
      <c r="F637" s="4">
        <f t="shared" ca="1" si="83"/>
        <v>292000</v>
      </c>
      <c r="G637" s="1" t="s">
        <v>70</v>
      </c>
      <c r="H637" s="26">
        <f t="shared" ca="1" si="81"/>
        <v>0.73043172646714227</v>
      </c>
      <c r="I637" s="4">
        <f>IF(G637="Yes",-$C$8,0)</f>
        <v>-500</v>
      </c>
      <c r="J637" s="4">
        <f>IF(G637="Yes",$C$8-I637,0)</f>
        <v>1000</v>
      </c>
      <c r="K637" s="4">
        <f ca="1">IF(H637&gt;=$C$4,J637+I637,I637)</f>
        <v>500</v>
      </c>
      <c r="M637" s="61">
        <f t="shared" si="88"/>
        <v>507.20000000000005</v>
      </c>
      <c r="N637" s="61">
        <f t="shared" si="89"/>
        <v>126.79999999999995</v>
      </c>
      <c r="O637" s="4">
        <f t="shared" si="84"/>
        <v>253600.00000000003</v>
      </c>
      <c r="P637" s="4">
        <f t="shared" si="85"/>
        <v>-63399.999999999978</v>
      </c>
      <c r="Q637" s="4">
        <f t="shared" si="86"/>
        <v>190200.00000000006</v>
      </c>
      <c r="R637" s="4">
        <f t="shared" si="87"/>
        <v>290200.00000000006</v>
      </c>
    </row>
    <row r="638" spans="5:18" x14ac:dyDescent="0.25">
      <c r="E638" s="1">
        <f t="shared" si="82"/>
        <v>635</v>
      </c>
      <c r="F638" s="4">
        <f t="shared" ca="1" si="83"/>
        <v>292500</v>
      </c>
      <c r="G638" s="1" t="s">
        <v>70</v>
      </c>
      <c r="H638" s="26">
        <f t="shared" ca="1" si="81"/>
        <v>0.52111133336607818</v>
      </c>
      <c r="I638" s="4">
        <f>IF(G638="Yes",-$C$8,0)</f>
        <v>-500</v>
      </c>
      <c r="J638" s="4">
        <f>IF(G638="Yes",$C$8-I638,0)</f>
        <v>1000</v>
      </c>
      <c r="K638" s="4">
        <f ca="1">IF(H638&gt;=$C$4,J638+I638,I638)</f>
        <v>500</v>
      </c>
      <c r="M638" s="61">
        <f t="shared" si="88"/>
        <v>508</v>
      </c>
      <c r="N638" s="61">
        <f t="shared" si="89"/>
        <v>127</v>
      </c>
      <c r="O638" s="4">
        <f t="shared" si="84"/>
        <v>254000</v>
      </c>
      <c r="P638" s="4">
        <f t="shared" si="85"/>
        <v>-63500</v>
      </c>
      <c r="Q638" s="4">
        <f t="shared" si="86"/>
        <v>190500</v>
      </c>
      <c r="R638" s="4">
        <f t="shared" si="87"/>
        <v>290500</v>
      </c>
    </row>
    <row r="639" spans="5:18" x14ac:dyDescent="0.25">
      <c r="E639" s="1">
        <f t="shared" si="82"/>
        <v>636</v>
      </c>
      <c r="F639" s="4">
        <f t="shared" ca="1" si="83"/>
        <v>292000</v>
      </c>
      <c r="G639" s="1" t="s">
        <v>70</v>
      </c>
      <c r="H639" s="26">
        <f t="shared" ca="1" si="81"/>
        <v>1.2533324862095019E-2</v>
      </c>
      <c r="I639" s="4">
        <f>IF(G639="Yes",-$C$8,0)</f>
        <v>-500</v>
      </c>
      <c r="J639" s="4">
        <f>IF(G639="Yes",$C$8-I639,0)</f>
        <v>1000</v>
      </c>
      <c r="K639" s="4">
        <f ca="1">IF(H639&gt;=$C$4,J639+I639,I639)</f>
        <v>-500</v>
      </c>
      <c r="M639" s="61">
        <f t="shared" si="88"/>
        <v>508.8</v>
      </c>
      <c r="N639" s="61">
        <f t="shared" si="89"/>
        <v>127.19999999999999</v>
      </c>
      <c r="O639" s="4">
        <f t="shared" si="84"/>
        <v>254400</v>
      </c>
      <c r="P639" s="4">
        <f t="shared" si="85"/>
        <v>-63599.999999999993</v>
      </c>
      <c r="Q639" s="4">
        <f t="shared" si="86"/>
        <v>190800</v>
      </c>
      <c r="R639" s="4">
        <f t="shared" si="87"/>
        <v>290800</v>
      </c>
    </row>
    <row r="640" spans="5:18" x14ac:dyDescent="0.25">
      <c r="E640" s="1">
        <f t="shared" si="82"/>
        <v>637</v>
      </c>
      <c r="F640" s="4">
        <f t="shared" ca="1" si="83"/>
        <v>291500</v>
      </c>
      <c r="G640" s="1" t="s">
        <v>70</v>
      </c>
      <c r="H640" s="26">
        <f t="shared" ca="1" si="81"/>
        <v>0.18502211164482318</v>
      </c>
      <c r="I640" s="4">
        <f>IF(G640="Yes",-$C$8,0)</f>
        <v>-500</v>
      </c>
      <c r="J640" s="4">
        <f>IF(G640="Yes",$C$8-I640,0)</f>
        <v>1000</v>
      </c>
      <c r="K640" s="4">
        <f ca="1">IF(H640&gt;=$C$4,J640+I640,I640)</f>
        <v>-500</v>
      </c>
      <c r="M640" s="61">
        <f t="shared" si="88"/>
        <v>509.6</v>
      </c>
      <c r="N640" s="61">
        <f t="shared" si="89"/>
        <v>127.39999999999998</v>
      </c>
      <c r="O640" s="4">
        <f t="shared" si="84"/>
        <v>254800</v>
      </c>
      <c r="P640" s="4">
        <f t="shared" si="85"/>
        <v>-63699.999999999985</v>
      </c>
      <c r="Q640" s="4">
        <f t="shared" si="86"/>
        <v>191100</v>
      </c>
      <c r="R640" s="4">
        <f t="shared" si="87"/>
        <v>291100</v>
      </c>
    </row>
    <row r="641" spans="5:18" x14ac:dyDescent="0.25">
      <c r="E641" s="1">
        <f t="shared" si="82"/>
        <v>638</v>
      </c>
      <c r="F641" s="4">
        <f t="shared" ca="1" si="83"/>
        <v>292000</v>
      </c>
      <c r="G641" s="1" t="s">
        <v>70</v>
      </c>
      <c r="H641" s="26">
        <f t="shared" ca="1" si="81"/>
        <v>0.75446908480939634</v>
      </c>
      <c r="I641" s="4">
        <f>IF(G641="Yes",-$C$8,0)</f>
        <v>-500</v>
      </c>
      <c r="J641" s="4">
        <f>IF(G641="Yes",$C$8-I641,0)</f>
        <v>1000</v>
      </c>
      <c r="K641" s="4">
        <f ca="1">IF(H641&gt;=$C$4,J641+I641,I641)</f>
        <v>500</v>
      </c>
      <c r="M641" s="61">
        <f t="shared" si="88"/>
        <v>510.40000000000003</v>
      </c>
      <c r="N641" s="61">
        <f t="shared" si="89"/>
        <v>127.59999999999997</v>
      </c>
      <c r="O641" s="4">
        <f t="shared" si="84"/>
        <v>255200.00000000003</v>
      </c>
      <c r="P641" s="4">
        <f t="shared" si="85"/>
        <v>-63799.999999999985</v>
      </c>
      <c r="Q641" s="4">
        <f t="shared" si="86"/>
        <v>191400.00000000006</v>
      </c>
      <c r="R641" s="4">
        <f t="shared" si="87"/>
        <v>291400.00000000006</v>
      </c>
    </row>
    <row r="642" spans="5:18" x14ac:dyDescent="0.25">
      <c r="E642" s="1">
        <f t="shared" si="82"/>
        <v>639</v>
      </c>
      <c r="F642" s="4">
        <f t="shared" ca="1" si="83"/>
        <v>292500</v>
      </c>
      <c r="G642" s="1" t="s">
        <v>70</v>
      </c>
      <c r="H642" s="26">
        <f t="shared" ca="1" si="81"/>
        <v>0.36857478339714678</v>
      </c>
      <c r="I642" s="4">
        <f>IF(G642="Yes",-$C$8,0)</f>
        <v>-500</v>
      </c>
      <c r="J642" s="4">
        <f>IF(G642="Yes",$C$8-I642,0)</f>
        <v>1000</v>
      </c>
      <c r="K642" s="4">
        <f ca="1">IF(H642&gt;=$C$4,J642+I642,I642)</f>
        <v>500</v>
      </c>
      <c r="M642" s="61">
        <f t="shared" si="88"/>
        <v>511.20000000000005</v>
      </c>
      <c r="N642" s="61">
        <f t="shared" si="89"/>
        <v>127.79999999999995</v>
      </c>
      <c r="O642" s="4">
        <f t="shared" si="84"/>
        <v>255600.00000000003</v>
      </c>
      <c r="P642" s="4">
        <f t="shared" si="85"/>
        <v>-63899.999999999978</v>
      </c>
      <c r="Q642" s="4">
        <f t="shared" si="86"/>
        <v>191700.00000000006</v>
      </c>
      <c r="R642" s="4">
        <f t="shared" si="87"/>
        <v>291700.00000000006</v>
      </c>
    </row>
    <row r="643" spans="5:18" x14ac:dyDescent="0.25">
      <c r="E643" s="1">
        <f t="shared" si="82"/>
        <v>640</v>
      </c>
      <c r="F643" s="4">
        <f t="shared" ca="1" si="83"/>
        <v>293000</v>
      </c>
      <c r="G643" s="1" t="s">
        <v>70</v>
      </c>
      <c r="H643" s="26">
        <f t="shared" ca="1" si="81"/>
        <v>0.43880579755066484</v>
      </c>
      <c r="I643" s="4">
        <f>IF(G643="Yes",-$C$8,0)</f>
        <v>-500</v>
      </c>
      <c r="J643" s="4">
        <f>IF(G643="Yes",$C$8-I643,0)</f>
        <v>1000</v>
      </c>
      <c r="K643" s="4">
        <f ca="1">IF(H643&gt;=$C$4,J643+I643,I643)</f>
        <v>500</v>
      </c>
      <c r="M643" s="61">
        <f t="shared" si="88"/>
        <v>512</v>
      </c>
      <c r="N643" s="61">
        <f t="shared" si="89"/>
        <v>128</v>
      </c>
      <c r="O643" s="4">
        <f t="shared" si="84"/>
        <v>256000</v>
      </c>
      <c r="P643" s="4">
        <f t="shared" si="85"/>
        <v>-64000</v>
      </c>
      <c r="Q643" s="4">
        <f t="shared" si="86"/>
        <v>192000</v>
      </c>
      <c r="R643" s="4">
        <f t="shared" si="87"/>
        <v>292000</v>
      </c>
    </row>
    <row r="644" spans="5:18" x14ac:dyDescent="0.25">
      <c r="E644" s="1">
        <f t="shared" si="82"/>
        <v>641</v>
      </c>
      <c r="F644" s="4">
        <f t="shared" ca="1" si="83"/>
        <v>293500</v>
      </c>
      <c r="G644" s="1" t="s">
        <v>70</v>
      </c>
      <c r="H644" s="26">
        <f t="shared" ref="H644:H707" ca="1" si="90">RAND()</f>
        <v>0.75000770754645807</v>
      </c>
      <c r="I644" s="4">
        <f>IF(G644="Yes",-$C$8,0)</f>
        <v>-500</v>
      </c>
      <c r="J644" s="4">
        <f>IF(G644="Yes",$C$8-I644,0)</f>
        <v>1000</v>
      </c>
      <c r="K644" s="4">
        <f ca="1">IF(H644&gt;=$C$4,J644+I644,I644)</f>
        <v>500</v>
      </c>
      <c r="M644" s="61">
        <f t="shared" si="88"/>
        <v>512.80000000000007</v>
      </c>
      <c r="N644" s="61">
        <f t="shared" si="89"/>
        <v>128.19999999999993</v>
      </c>
      <c r="O644" s="4">
        <f t="shared" si="84"/>
        <v>256400.00000000003</v>
      </c>
      <c r="P644" s="4">
        <f t="shared" si="85"/>
        <v>-64099.999999999964</v>
      </c>
      <c r="Q644" s="4">
        <f t="shared" si="86"/>
        <v>192300.00000000006</v>
      </c>
      <c r="R644" s="4">
        <f t="shared" si="87"/>
        <v>292300.00000000006</v>
      </c>
    </row>
    <row r="645" spans="5:18" x14ac:dyDescent="0.25">
      <c r="E645" s="1">
        <f t="shared" ref="E645:E708" si="91">E644+1</f>
        <v>642</v>
      </c>
      <c r="F645" s="4">
        <f t="shared" ref="F645:F708" ca="1" si="92">F644+K645</f>
        <v>294000</v>
      </c>
      <c r="G645" s="1" t="s">
        <v>70</v>
      </c>
      <c r="H645" s="26">
        <f t="shared" ca="1" si="90"/>
        <v>0.2329133076516855</v>
      </c>
      <c r="I645" s="4">
        <f>IF(G645="Yes",-$C$8,0)</f>
        <v>-500</v>
      </c>
      <c r="J645" s="4">
        <f>IF(G645="Yes",$C$8-I645,0)</f>
        <v>1000</v>
      </c>
      <c r="K645" s="4">
        <f ca="1">IF(H645&gt;=$C$4,J645+I645,I645)</f>
        <v>500</v>
      </c>
      <c r="M645" s="61">
        <f t="shared" si="88"/>
        <v>513.6</v>
      </c>
      <c r="N645" s="61">
        <f t="shared" si="89"/>
        <v>128.39999999999998</v>
      </c>
      <c r="O645" s="4">
        <f t="shared" ref="O645:O708" si="93">M645*$C$8</f>
        <v>256800</v>
      </c>
      <c r="P645" s="4">
        <f t="shared" ref="P645:P708" si="94">N645*(-$C$8)</f>
        <v>-64199.999999999985</v>
      </c>
      <c r="Q645" s="4">
        <f t="shared" ref="Q645:Q708" si="95">O645+P645</f>
        <v>192600</v>
      </c>
      <c r="R645" s="4">
        <f t="shared" ref="R645:R708" si="96">$C$7+Q645</f>
        <v>292600</v>
      </c>
    </row>
    <row r="646" spans="5:18" x14ac:dyDescent="0.25">
      <c r="E646" s="1">
        <f t="shared" si="91"/>
        <v>643</v>
      </c>
      <c r="F646" s="4">
        <f t="shared" ca="1" si="92"/>
        <v>294500</v>
      </c>
      <c r="G646" s="1" t="s">
        <v>70</v>
      </c>
      <c r="H646" s="26">
        <f t="shared" ca="1" si="90"/>
        <v>0.66321248327860893</v>
      </c>
      <c r="I646" s="4">
        <f>IF(G646="Yes",-$C$8,0)</f>
        <v>-500</v>
      </c>
      <c r="J646" s="4">
        <f>IF(G646="Yes",$C$8-I646,0)</f>
        <v>1000</v>
      </c>
      <c r="K646" s="4">
        <f ca="1">IF(H646&gt;=$C$4,J646+I646,I646)</f>
        <v>500</v>
      </c>
      <c r="M646" s="61">
        <f t="shared" si="88"/>
        <v>514.4</v>
      </c>
      <c r="N646" s="61">
        <f t="shared" si="89"/>
        <v>128.60000000000002</v>
      </c>
      <c r="O646" s="4">
        <f t="shared" si="93"/>
        <v>257200</v>
      </c>
      <c r="P646" s="4">
        <f t="shared" si="94"/>
        <v>-64300.000000000015</v>
      </c>
      <c r="Q646" s="4">
        <f t="shared" si="95"/>
        <v>192900</v>
      </c>
      <c r="R646" s="4">
        <f t="shared" si="96"/>
        <v>292900</v>
      </c>
    </row>
    <row r="647" spans="5:18" x14ac:dyDescent="0.25">
      <c r="E647" s="1">
        <f t="shared" si="91"/>
        <v>644</v>
      </c>
      <c r="F647" s="4">
        <f t="shared" ca="1" si="92"/>
        <v>295000</v>
      </c>
      <c r="G647" s="1" t="s">
        <v>70</v>
      </c>
      <c r="H647" s="26">
        <f t="shared" ca="1" si="90"/>
        <v>0.85373768637880965</v>
      </c>
      <c r="I647" s="4">
        <f>IF(G647="Yes",-$C$8,0)</f>
        <v>-500</v>
      </c>
      <c r="J647" s="4">
        <f>IF(G647="Yes",$C$8-I647,0)</f>
        <v>1000</v>
      </c>
      <c r="K647" s="4">
        <f ca="1">IF(H647&gt;=$C$4,J647+I647,I647)</f>
        <v>500</v>
      </c>
      <c r="M647" s="61">
        <f t="shared" si="88"/>
        <v>515.20000000000005</v>
      </c>
      <c r="N647" s="61">
        <f t="shared" si="89"/>
        <v>128.79999999999995</v>
      </c>
      <c r="O647" s="4">
        <f t="shared" si="93"/>
        <v>257600.00000000003</v>
      </c>
      <c r="P647" s="4">
        <f t="shared" si="94"/>
        <v>-64399.999999999978</v>
      </c>
      <c r="Q647" s="4">
        <f t="shared" si="95"/>
        <v>193200.00000000006</v>
      </c>
      <c r="R647" s="4">
        <f t="shared" si="96"/>
        <v>293200.00000000006</v>
      </c>
    </row>
    <row r="648" spans="5:18" x14ac:dyDescent="0.25">
      <c r="E648" s="1">
        <f t="shared" si="91"/>
        <v>645</v>
      </c>
      <c r="F648" s="4">
        <f t="shared" ca="1" si="92"/>
        <v>294500</v>
      </c>
      <c r="G648" s="1" t="s">
        <v>70</v>
      </c>
      <c r="H648" s="26">
        <f t="shared" ca="1" si="90"/>
        <v>8.7242400665387021E-2</v>
      </c>
      <c r="I648" s="4">
        <f>IF(G648="Yes",-$C$8,0)</f>
        <v>-500</v>
      </c>
      <c r="J648" s="4">
        <f>IF(G648="Yes",$C$8-I648,0)</f>
        <v>1000</v>
      </c>
      <c r="K648" s="4">
        <f ca="1">IF(H648&gt;=$C$4,J648+I648,I648)</f>
        <v>-500</v>
      </c>
      <c r="M648" s="61">
        <f t="shared" si="88"/>
        <v>516</v>
      </c>
      <c r="N648" s="61">
        <f t="shared" si="89"/>
        <v>129</v>
      </c>
      <c r="O648" s="4">
        <f t="shared" si="93"/>
        <v>258000</v>
      </c>
      <c r="P648" s="4">
        <f t="shared" si="94"/>
        <v>-64500</v>
      </c>
      <c r="Q648" s="4">
        <f t="shared" si="95"/>
        <v>193500</v>
      </c>
      <c r="R648" s="4">
        <f t="shared" si="96"/>
        <v>293500</v>
      </c>
    </row>
    <row r="649" spans="5:18" x14ac:dyDescent="0.25">
      <c r="E649" s="1">
        <f t="shared" si="91"/>
        <v>646</v>
      </c>
      <c r="F649" s="4">
        <f t="shared" ca="1" si="92"/>
        <v>295000</v>
      </c>
      <c r="G649" s="1" t="s">
        <v>70</v>
      </c>
      <c r="H649" s="26">
        <f t="shared" ca="1" si="90"/>
        <v>0.86101876695328317</v>
      </c>
      <c r="I649" s="4">
        <f>IF(G649="Yes",-$C$8,0)</f>
        <v>-500</v>
      </c>
      <c r="J649" s="4">
        <f>IF(G649="Yes",$C$8-I649,0)</f>
        <v>1000</v>
      </c>
      <c r="K649" s="4">
        <f ca="1">IF(H649&gt;=$C$4,J649+I649,I649)</f>
        <v>500</v>
      </c>
      <c r="M649" s="61">
        <f t="shared" si="88"/>
        <v>516.80000000000007</v>
      </c>
      <c r="N649" s="61">
        <f t="shared" si="89"/>
        <v>129.19999999999993</v>
      </c>
      <c r="O649" s="4">
        <f t="shared" si="93"/>
        <v>258400.00000000003</v>
      </c>
      <c r="P649" s="4">
        <f t="shared" si="94"/>
        <v>-64599.999999999964</v>
      </c>
      <c r="Q649" s="4">
        <f t="shared" si="95"/>
        <v>193800.00000000006</v>
      </c>
      <c r="R649" s="4">
        <f t="shared" si="96"/>
        <v>293800.00000000006</v>
      </c>
    </row>
    <row r="650" spans="5:18" x14ac:dyDescent="0.25">
      <c r="E650" s="1">
        <f t="shared" si="91"/>
        <v>647</v>
      </c>
      <c r="F650" s="4">
        <f t="shared" ca="1" si="92"/>
        <v>295500</v>
      </c>
      <c r="G650" s="1" t="s">
        <v>70</v>
      </c>
      <c r="H650" s="26">
        <f t="shared" ca="1" si="90"/>
        <v>0.57076817834644233</v>
      </c>
      <c r="I650" s="4">
        <f>IF(G650="Yes",-$C$8,0)</f>
        <v>-500</v>
      </c>
      <c r="J650" s="4">
        <f>IF(G650="Yes",$C$8-I650,0)</f>
        <v>1000</v>
      </c>
      <c r="K650" s="4">
        <f ca="1">IF(H650&gt;=$C$4,J650+I650,I650)</f>
        <v>500</v>
      </c>
      <c r="M650" s="61">
        <f t="shared" si="88"/>
        <v>517.6</v>
      </c>
      <c r="N650" s="61">
        <f t="shared" si="89"/>
        <v>129.39999999999998</v>
      </c>
      <c r="O650" s="4">
        <f t="shared" si="93"/>
        <v>258800</v>
      </c>
      <c r="P650" s="4">
        <f t="shared" si="94"/>
        <v>-64699.999999999985</v>
      </c>
      <c r="Q650" s="4">
        <f t="shared" si="95"/>
        <v>194100</v>
      </c>
      <c r="R650" s="4">
        <f t="shared" si="96"/>
        <v>294100</v>
      </c>
    </row>
    <row r="651" spans="5:18" x14ac:dyDescent="0.25">
      <c r="E651" s="1">
        <f t="shared" si="91"/>
        <v>648</v>
      </c>
      <c r="F651" s="4">
        <f t="shared" ca="1" si="92"/>
        <v>295000</v>
      </c>
      <c r="G651" s="1" t="s">
        <v>70</v>
      </c>
      <c r="H651" s="26">
        <f t="shared" ca="1" si="90"/>
        <v>9.8202329986185277E-2</v>
      </c>
      <c r="I651" s="4">
        <f>IF(G651="Yes",-$C$8,0)</f>
        <v>-500</v>
      </c>
      <c r="J651" s="4">
        <f>IF(G651="Yes",$C$8-I651,0)</f>
        <v>1000</v>
      </c>
      <c r="K651" s="4">
        <f ca="1">IF(H651&gt;=$C$4,J651+I651,I651)</f>
        <v>-500</v>
      </c>
      <c r="M651" s="61">
        <f t="shared" si="88"/>
        <v>518.4</v>
      </c>
      <c r="N651" s="61">
        <f t="shared" si="89"/>
        <v>129.60000000000002</v>
      </c>
      <c r="O651" s="4">
        <f t="shared" si="93"/>
        <v>259200</v>
      </c>
      <c r="P651" s="4">
        <f t="shared" si="94"/>
        <v>-64800.000000000015</v>
      </c>
      <c r="Q651" s="4">
        <f t="shared" si="95"/>
        <v>194400</v>
      </c>
      <c r="R651" s="4">
        <f t="shared" si="96"/>
        <v>294400</v>
      </c>
    </row>
    <row r="652" spans="5:18" x14ac:dyDescent="0.25">
      <c r="E652" s="1">
        <f t="shared" si="91"/>
        <v>649</v>
      </c>
      <c r="F652" s="4">
        <f t="shared" ca="1" si="92"/>
        <v>295500</v>
      </c>
      <c r="G652" s="1" t="s">
        <v>70</v>
      </c>
      <c r="H652" s="26">
        <f t="shared" ca="1" si="90"/>
        <v>0.4711556175078242</v>
      </c>
      <c r="I652" s="4">
        <f>IF(G652="Yes",-$C$8,0)</f>
        <v>-500</v>
      </c>
      <c r="J652" s="4">
        <f>IF(G652="Yes",$C$8-I652,0)</f>
        <v>1000</v>
      </c>
      <c r="K652" s="4">
        <f ca="1">IF(H652&gt;=$C$4,J652+I652,I652)</f>
        <v>500</v>
      </c>
      <c r="M652" s="61">
        <f t="shared" si="88"/>
        <v>519.20000000000005</v>
      </c>
      <c r="N652" s="61">
        <f t="shared" si="89"/>
        <v>129.79999999999995</v>
      </c>
      <c r="O652" s="4">
        <f t="shared" si="93"/>
        <v>259600.00000000003</v>
      </c>
      <c r="P652" s="4">
        <f t="shared" si="94"/>
        <v>-64899.999999999978</v>
      </c>
      <c r="Q652" s="4">
        <f t="shared" si="95"/>
        <v>194700.00000000006</v>
      </c>
      <c r="R652" s="4">
        <f t="shared" si="96"/>
        <v>294700.00000000006</v>
      </c>
    </row>
    <row r="653" spans="5:18" x14ac:dyDescent="0.25">
      <c r="E653" s="1">
        <f t="shared" si="91"/>
        <v>650</v>
      </c>
      <c r="F653" s="4">
        <f t="shared" ca="1" si="92"/>
        <v>296000</v>
      </c>
      <c r="G653" s="1" t="s">
        <v>70</v>
      </c>
      <c r="H653" s="26">
        <f t="shared" ca="1" si="90"/>
        <v>0.20689413095049314</v>
      </c>
      <c r="I653" s="4">
        <f>IF(G653="Yes",-$C$8,0)</f>
        <v>-500</v>
      </c>
      <c r="J653" s="4">
        <f>IF(G653="Yes",$C$8-I653,0)</f>
        <v>1000</v>
      </c>
      <c r="K653" s="4">
        <f ca="1">IF(H653&gt;=$C$4,J653+I653,I653)</f>
        <v>500</v>
      </c>
      <c r="M653" s="61">
        <f t="shared" si="88"/>
        <v>520</v>
      </c>
      <c r="N653" s="61">
        <f t="shared" si="89"/>
        <v>130</v>
      </c>
      <c r="O653" s="4">
        <f t="shared" si="93"/>
        <v>260000</v>
      </c>
      <c r="P653" s="4">
        <f t="shared" si="94"/>
        <v>-65000</v>
      </c>
      <c r="Q653" s="4">
        <f t="shared" si="95"/>
        <v>195000</v>
      </c>
      <c r="R653" s="4">
        <f t="shared" si="96"/>
        <v>295000</v>
      </c>
    </row>
    <row r="654" spans="5:18" x14ac:dyDescent="0.25">
      <c r="E654" s="1">
        <f t="shared" si="91"/>
        <v>651</v>
      </c>
      <c r="F654" s="4">
        <f t="shared" ca="1" si="92"/>
        <v>296500</v>
      </c>
      <c r="G654" s="1" t="s">
        <v>70</v>
      </c>
      <c r="H654" s="26">
        <f t="shared" ca="1" si="90"/>
        <v>0.79955682926569205</v>
      </c>
      <c r="I654" s="4">
        <f>IF(G654="Yes",-$C$8,0)</f>
        <v>-500</v>
      </c>
      <c r="J654" s="4">
        <f>IF(G654="Yes",$C$8-I654,0)</f>
        <v>1000</v>
      </c>
      <c r="K654" s="4">
        <f ca="1">IF(H654&gt;=$C$4,J654+I654,I654)</f>
        <v>500</v>
      </c>
      <c r="M654" s="61">
        <f t="shared" ref="M654:M717" si="97">E654*$C$3</f>
        <v>520.80000000000007</v>
      </c>
      <c r="N654" s="61">
        <f t="shared" ref="N654:N717" si="98">E654-M654</f>
        <v>130.19999999999993</v>
      </c>
      <c r="O654" s="4">
        <f t="shared" si="93"/>
        <v>260400.00000000003</v>
      </c>
      <c r="P654" s="4">
        <f t="shared" si="94"/>
        <v>-65099.999999999964</v>
      </c>
      <c r="Q654" s="4">
        <f t="shared" si="95"/>
        <v>195300.00000000006</v>
      </c>
      <c r="R654" s="4">
        <f t="shared" si="96"/>
        <v>295300.00000000006</v>
      </c>
    </row>
    <row r="655" spans="5:18" x14ac:dyDescent="0.25">
      <c r="E655" s="1">
        <f t="shared" si="91"/>
        <v>652</v>
      </c>
      <c r="F655" s="4">
        <f t="shared" ca="1" si="92"/>
        <v>297000</v>
      </c>
      <c r="G655" s="1" t="s">
        <v>70</v>
      </c>
      <c r="H655" s="26">
        <f t="shared" ca="1" si="90"/>
        <v>0.41477032404124614</v>
      </c>
      <c r="I655" s="4">
        <f>IF(G655="Yes",-$C$8,0)</f>
        <v>-500</v>
      </c>
      <c r="J655" s="4">
        <f>IF(G655="Yes",$C$8-I655,0)</f>
        <v>1000</v>
      </c>
      <c r="K655" s="4">
        <f ca="1">IF(H655&gt;=$C$4,J655+I655,I655)</f>
        <v>500</v>
      </c>
      <c r="M655" s="61">
        <f t="shared" si="97"/>
        <v>521.6</v>
      </c>
      <c r="N655" s="61">
        <f t="shared" si="98"/>
        <v>130.39999999999998</v>
      </c>
      <c r="O655" s="4">
        <f t="shared" si="93"/>
        <v>260800</v>
      </c>
      <c r="P655" s="4">
        <f t="shared" si="94"/>
        <v>-65199.999999999985</v>
      </c>
      <c r="Q655" s="4">
        <f t="shared" si="95"/>
        <v>195600</v>
      </c>
      <c r="R655" s="4">
        <f t="shared" si="96"/>
        <v>295600</v>
      </c>
    </row>
    <row r="656" spans="5:18" x14ac:dyDescent="0.25">
      <c r="E656" s="1">
        <f t="shared" si="91"/>
        <v>653</v>
      </c>
      <c r="F656" s="4">
        <f t="shared" ca="1" si="92"/>
        <v>297500</v>
      </c>
      <c r="G656" s="1" t="s">
        <v>70</v>
      </c>
      <c r="H656" s="26">
        <f t="shared" ca="1" si="90"/>
        <v>0.69431221311083446</v>
      </c>
      <c r="I656" s="4">
        <f>IF(G656="Yes",-$C$8,0)</f>
        <v>-500</v>
      </c>
      <c r="J656" s="4">
        <f>IF(G656="Yes",$C$8-I656,0)</f>
        <v>1000</v>
      </c>
      <c r="K656" s="4">
        <f ca="1">IF(H656&gt;=$C$4,J656+I656,I656)</f>
        <v>500</v>
      </c>
      <c r="M656" s="61">
        <f t="shared" si="97"/>
        <v>522.4</v>
      </c>
      <c r="N656" s="61">
        <f t="shared" si="98"/>
        <v>130.60000000000002</v>
      </c>
      <c r="O656" s="4">
        <f t="shared" si="93"/>
        <v>261200</v>
      </c>
      <c r="P656" s="4">
        <f t="shared" si="94"/>
        <v>-65300.000000000015</v>
      </c>
      <c r="Q656" s="4">
        <f t="shared" si="95"/>
        <v>195900</v>
      </c>
      <c r="R656" s="4">
        <f t="shared" si="96"/>
        <v>295900</v>
      </c>
    </row>
    <row r="657" spans="5:18" x14ac:dyDescent="0.25">
      <c r="E657" s="1">
        <f t="shared" si="91"/>
        <v>654</v>
      </c>
      <c r="F657" s="4">
        <f t="shared" ca="1" si="92"/>
        <v>298000</v>
      </c>
      <c r="G657" s="1" t="s">
        <v>70</v>
      </c>
      <c r="H657" s="26">
        <f t="shared" ca="1" si="90"/>
        <v>0.67992627664792615</v>
      </c>
      <c r="I657" s="4">
        <f>IF(G657="Yes",-$C$8,0)</f>
        <v>-500</v>
      </c>
      <c r="J657" s="4">
        <f>IF(G657="Yes",$C$8-I657,0)</f>
        <v>1000</v>
      </c>
      <c r="K657" s="4">
        <f ca="1">IF(H657&gt;=$C$4,J657+I657,I657)</f>
        <v>500</v>
      </c>
      <c r="M657" s="61">
        <f t="shared" si="97"/>
        <v>523.20000000000005</v>
      </c>
      <c r="N657" s="61">
        <f t="shared" si="98"/>
        <v>130.79999999999995</v>
      </c>
      <c r="O657" s="4">
        <f t="shared" si="93"/>
        <v>261600.00000000003</v>
      </c>
      <c r="P657" s="4">
        <f t="shared" si="94"/>
        <v>-65399.999999999978</v>
      </c>
      <c r="Q657" s="4">
        <f t="shared" si="95"/>
        <v>196200.00000000006</v>
      </c>
      <c r="R657" s="4">
        <f t="shared" si="96"/>
        <v>296200.00000000006</v>
      </c>
    </row>
    <row r="658" spans="5:18" x14ac:dyDescent="0.25">
      <c r="E658" s="1">
        <f t="shared" si="91"/>
        <v>655</v>
      </c>
      <c r="F658" s="4">
        <f t="shared" ca="1" si="92"/>
        <v>298500</v>
      </c>
      <c r="G658" s="1" t="s">
        <v>70</v>
      </c>
      <c r="H658" s="26">
        <f t="shared" ca="1" si="90"/>
        <v>0.56715428437192972</v>
      </c>
      <c r="I658" s="4">
        <f>IF(G658="Yes",-$C$8,0)</f>
        <v>-500</v>
      </c>
      <c r="J658" s="4">
        <f>IF(G658="Yes",$C$8-I658,0)</f>
        <v>1000</v>
      </c>
      <c r="K658" s="4">
        <f ca="1">IF(H658&gt;=$C$4,J658+I658,I658)</f>
        <v>500</v>
      </c>
      <c r="M658" s="61">
        <f t="shared" si="97"/>
        <v>524</v>
      </c>
      <c r="N658" s="61">
        <f t="shared" si="98"/>
        <v>131</v>
      </c>
      <c r="O658" s="4">
        <f t="shared" si="93"/>
        <v>262000</v>
      </c>
      <c r="P658" s="4">
        <f t="shared" si="94"/>
        <v>-65500</v>
      </c>
      <c r="Q658" s="4">
        <f t="shared" si="95"/>
        <v>196500</v>
      </c>
      <c r="R658" s="4">
        <f t="shared" si="96"/>
        <v>296500</v>
      </c>
    </row>
    <row r="659" spans="5:18" x14ac:dyDescent="0.25">
      <c r="E659" s="1">
        <f t="shared" si="91"/>
        <v>656</v>
      </c>
      <c r="F659" s="4">
        <f t="shared" ca="1" si="92"/>
        <v>299000</v>
      </c>
      <c r="G659" s="1" t="s">
        <v>70</v>
      </c>
      <c r="H659" s="26">
        <f t="shared" ca="1" si="90"/>
        <v>0.92785071030475086</v>
      </c>
      <c r="I659" s="4">
        <f>IF(G659="Yes",-$C$8,0)</f>
        <v>-500</v>
      </c>
      <c r="J659" s="4">
        <f>IF(G659="Yes",$C$8-I659,0)</f>
        <v>1000</v>
      </c>
      <c r="K659" s="4">
        <f ca="1">IF(H659&gt;=$C$4,J659+I659,I659)</f>
        <v>500</v>
      </c>
      <c r="M659" s="61">
        <f t="shared" si="97"/>
        <v>524.80000000000007</v>
      </c>
      <c r="N659" s="61">
        <f t="shared" si="98"/>
        <v>131.19999999999993</v>
      </c>
      <c r="O659" s="4">
        <f t="shared" si="93"/>
        <v>262400.00000000006</v>
      </c>
      <c r="P659" s="4">
        <f t="shared" si="94"/>
        <v>-65599.999999999971</v>
      </c>
      <c r="Q659" s="4">
        <f t="shared" si="95"/>
        <v>196800.00000000009</v>
      </c>
      <c r="R659" s="4">
        <f t="shared" si="96"/>
        <v>296800.00000000012</v>
      </c>
    </row>
    <row r="660" spans="5:18" x14ac:dyDescent="0.25">
      <c r="E660" s="1">
        <f t="shared" si="91"/>
        <v>657</v>
      </c>
      <c r="F660" s="4">
        <f t="shared" ca="1" si="92"/>
        <v>299500</v>
      </c>
      <c r="G660" s="1" t="s">
        <v>70</v>
      </c>
      <c r="H660" s="26">
        <f t="shared" ca="1" si="90"/>
        <v>0.65607326224934193</v>
      </c>
      <c r="I660" s="4">
        <f>IF(G660="Yes",-$C$8,0)</f>
        <v>-500</v>
      </c>
      <c r="J660" s="4">
        <f>IF(G660="Yes",$C$8-I660,0)</f>
        <v>1000</v>
      </c>
      <c r="K660" s="4">
        <f ca="1">IF(H660&gt;=$C$4,J660+I660,I660)</f>
        <v>500</v>
      </c>
      <c r="M660" s="61">
        <f t="shared" si="97"/>
        <v>525.6</v>
      </c>
      <c r="N660" s="61">
        <f t="shared" si="98"/>
        <v>131.39999999999998</v>
      </c>
      <c r="O660" s="4">
        <f t="shared" si="93"/>
        <v>262800</v>
      </c>
      <c r="P660" s="4">
        <f t="shared" si="94"/>
        <v>-65699.999999999985</v>
      </c>
      <c r="Q660" s="4">
        <f t="shared" si="95"/>
        <v>197100</v>
      </c>
      <c r="R660" s="4">
        <f t="shared" si="96"/>
        <v>297100</v>
      </c>
    </row>
    <row r="661" spans="5:18" x14ac:dyDescent="0.25">
      <c r="E661" s="1">
        <f t="shared" si="91"/>
        <v>658</v>
      </c>
      <c r="F661" s="4">
        <f t="shared" ca="1" si="92"/>
        <v>300000</v>
      </c>
      <c r="G661" s="1" t="s">
        <v>70</v>
      </c>
      <c r="H661" s="26">
        <f t="shared" ca="1" si="90"/>
        <v>0.60886412682801838</v>
      </c>
      <c r="I661" s="4">
        <f>IF(G661="Yes",-$C$8,0)</f>
        <v>-500</v>
      </c>
      <c r="J661" s="4">
        <f>IF(G661="Yes",$C$8-I661,0)</f>
        <v>1000</v>
      </c>
      <c r="K661" s="4">
        <f ca="1">IF(H661&gt;=$C$4,J661+I661,I661)</f>
        <v>500</v>
      </c>
      <c r="M661" s="61">
        <f t="shared" si="97"/>
        <v>526.4</v>
      </c>
      <c r="N661" s="61">
        <f t="shared" si="98"/>
        <v>131.60000000000002</v>
      </c>
      <c r="O661" s="4">
        <f t="shared" si="93"/>
        <v>263200</v>
      </c>
      <c r="P661" s="4">
        <f t="shared" si="94"/>
        <v>-65800.000000000015</v>
      </c>
      <c r="Q661" s="4">
        <f t="shared" si="95"/>
        <v>197400</v>
      </c>
      <c r="R661" s="4">
        <f t="shared" si="96"/>
        <v>297400</v>
      </c>
    </row>
    <row r="662" spans="5:18" x14ac:dyDescent="0.25">
      <c r="E662" s="1">
        <f t="shared" si="91"/>
        <v>659</v>
      </c>
      <c r="F662" s="4">
        <f t="shared" ca="1" si="92"/>
        <v>300500</v>
      </c>
      <c r="G662" s="1" t="s">
        <v>70</v>
      </c>
      <c r="H662" s="26">
        <f t="shared" ca="1" si="90"/>
        <v>0.39236178649892439</v>
      </c>
      <c r="I662" s="4">
        <f>IF(G662="Yes",-$C$8,0)</f>
        <v>-500</v>
      </c>
      <c r="J662" s="4">
        <f>IF(G662="Yes",$C$8-I662,0)</f>
        <v>1000</v>
      </c>
      <c r="K662" s="4">
        <f ca="1">IF(H662&gt;=$C$4,J662+I662,I662)</f>
        <v>500</v>
      </c>
      <c r="M662" s="61">
        <f t="shared" si="97"/>
        <v>527.20000000000005</v>
      </c>
      <c r="N662" s="61">
        <f t="shared" si="98"/>
        <v>131.79999999999995</v>
      </c>
      <c r="O662" s="4">
        <f t="shared" si="93"/>
        <v>263600</v>
      </c>
      <c r="P662" s="4">
        <f t="shared" si="94"/>
        <v>-65899.999999999971</v>
      </c>
      <c r="Q662" s="4">
        <f t="shared" si="95"/>
        <v>197700.00000000003</v>
      </c>
      <c r="R662" s="4">
        <f t="shared" si="96"/>
        <v>297700</v>
      </c>
    </row>
    <row r="663" spans="5:18" x14ac:dyDescent="0.25">
      <c r="E663" s="1">
        <f t="shared" si="91"/>
        <v>660</v>
      </c>
      <c r="F663" s="4">
        <f t="shared" ca="1" si="92"/>
        <v>301000</v>
      </c>
      <c r="G663" s="1" t="s">
        <v>70</v>
      </c>
      <c r="H663" s="26">
        <f t="shared" ca="1" si="90"/>
        <v>0.79818065349912237</v>
      </c>
      <c r="I663" s="4">
        <f>IF(G663="Yes",-$C$8,0)</f>
        <v>-500</v>
      </c>
      <c r="J663" s="4">
        <f>IF(G663="Yes",$C$8-I663,0)</f>
        <v>1000</v>
      </c>
      <c r="K663" s="4">
        <f ca="1">IF(H663&gt;=$C$4,J663+I663,I663)</f>
        <v>500</v>
      </c>
      <c r="M663" s="61">
        <f t="shared" si="97"/>
        <v>528</v>
      </c>
      <c r="N663" s="61">
        <f t="shared" si="98"/>
        <v>132</v>
      </c>
      <c r="O663" s="4">
        <f t="shared" si="93"/>
        <v>264000</v>
      </c>
      <c r="P663" s="4">
        <f t="shared" si="94"/>
        <v>-66000</v>
      </c>
      <c r="Q663" s="4">
        <f t="shared" si="95"/>
        <v>198000</v>
      </c>
      <c r="R663" s="4">
        <f t="shared" si="96"/>
        <v>298000</v>
      </c>
    </row>
    <row r="664" spans="5:18" x14ac:dyDescent="0.25">
      <c r="E664" s="1">
        <f t="shared" si="91"/>
        <v>661</v>
      </c>
      <c r="F664" s="4">
        <f t="shared" ca="1" si="92"/>
        <v>300500</v>
      </c>
      <c r="G664" s="1" t="s">
        <v>70</v>
      </c>
      <c r="H664" s="26">
        <f t="shared" ca="1" si="90"/>
        <v>0.15591089967384386</v>
      </c>
      <c r="I664" s="4">
        <f>IF(G664="Yes",-$C$8,0)</f>
        <v>-500</v>
      </c>
      <c r="J664" s="4">
        <f>IF(G664="Yes",$C$8-I664,0)</f>
        <v>1000</v>
      </c>
      <c r="K664" s="4">
        <f ca="1">IF(H664&gt;=$C$4,J664+I664,I664)</f>
        <v>-500</v>
      </c>
      <c r="M664" s="61">
        <f t="shared" si="97"/>
        <v>528.80000000000007</v>
      </c>
      <c r="N664" s="61">
        <f t="shared" si="98"/>
        <v>132.19999999999993</v>
      </c>
      <c r="O664" s="4">
        <f t="shared" si="93"/>
        <v>264400.00000000006</v>
      </c>
      <c r="P664" s="4">
        <f t="shared" si="94"/>
        <v>-66099.999999999971</v>
      </c>
      <c r="Q664" s="4">
        <f t="shared" si="95"/>
        <v>198300.00000000009</v>
      </c>
      <c r="R664" s="4">
        <f t="shared" si="96"/>
        <v>298300.00000000012</v>
      </c>
    </row>
    <row r="665" spans="5:18" x14ac:dyDescent="0.25">
      <c r="E665" s="1">
        <f t="shared" si="91"/>
        <v>662</v>
      </c>
      <c r="F665" s="4">
        <f t="shared" ca="1" si="92"/>
        <v>301000</v>
      </c>
      <c r="G665" s="1" t="s">
        <v>70</v>
      </c>
      <c r="H665" s="26">
        <f t="shared" ca="1" si="90"/>
        <v>0.91156257868008606</v>
      </c>
      <c r="I665" s="4">
        <f>IF(G665="Yes",-$C$8,0)</f>
        <v>-500</v>
      </c>
      <c r="J665" s="4">
        <f>IF(G665="Yes",$C$8-I665,0)</f>
        <v>1000</v>
      </c>
      <c r="K665" s="4">
        <f ca="1">IF(H665&gt;=$C$4,J665+I665,I665)</f>
        <v>500</v>
      </c>
      <c r="M665" s="61">
        <f t="shared" si="97"/>
        <v>529.6</v>
      </c>
      <c r="N665" s="61">
        <f t="shared" si="98"/>
        <v>132.39999999999998</v>
      </c>
      <c r="O665" s="4">
        <f t="shared" si="93"/>
        <v>264800</v>
      </c>
      <c r="P665" s="4">
        <f t="shared" si="94"/>
        <v>-66199.999999999985</v>
      </c>
      <c r="Q665" s="4">
        <f t="shared" si="95"/>
        <v>198600</v>
      </c>
      <c r="R665" s="4">
        <f t="shared" si="96"/>
        <v>298600</v>
      </c>
    </row>
    <row r="666" spans="5:18" x14ac:dyDescent="0.25">
      <c r="E666" s="1">
        <f t="shared" si="91"/>
        <v>663</v>
      </c>
      <c r="F666" s="4">
        <f t="shared" ca="1" si="92"/>
        <v>300500</v>
      </c>
      <c r="G666" s="1" t="s">
        <v>70</v>
      </c>
      <c r="H666" s="26">
        <f t="shared" ca="1" si="90"/>
        <v>0.18438724676295015</v>
      </c>
      <c r="I666" s="4">
        <f>IF(G666="Yes",-$C$8,0)</f>
        <v>-500</v>
      </c>
      <c r="J666" s="4">
        <f>IF(G666="Yes",$C$8-I666,0)</f>
        <v>1000</v>
      </c>
      <c r="K666" s="4">
        <f ca="1">IF(H666&gt;=$C$4,J666+I666,I666)</f>
        <v>-500</v>
      </c>
      <c r="M666" s="61">
        <f t="shared" si="97"/>
        <v>530.4</v>
      </c>
      <c r="N666" s="61">
        <f t="shared" si="98"/>
        <v>132.60000000000002</v>
      </c>
      <c r="O666" s="4">
        <f t="shared" si="93"/>
        <v>265200</v>
      </c>
      <c r="P666" s="4">
        <f t="shared" si="94"/>
        <v>-66300.000000000015</v>
      </c>
      <c r="Q666" s="4">
        <f t="shared" si="95"/>
        <v>198900</v>
      </c>
      <c r="R666" s="4">
        <f t="shared" si="96"/>
        <v>298900</v>
      </c>
    </row>
    <row r="667" spans="5:18" x14ac:dyDescent="0.25">
      <c r="E667" s="1">
        <f t="shared" si="91"/>
        <v>664</v>
      </c>
      <c r="F667" s="4">
        <f t="shared" ca="1" si="92"/>
        <v>301000</v>
      </c>
      <c r="G667" s="1" t="s">
        <v>70</v>
      </c>
      <c r="H667" s="26">
        <f t="shared" ca="1" si="90"/>
        <v>0.83322186968618728</v>
      </c>
      <c r="I667" s="4">
        <f>IF(G667="Yes",-$C$8,0)</f>
        <v>-500</v>
      </c>
      <c r="J667" s="4">
        <f>IF(G667="Yes",$C$8-I667,0)</f>
        <v>1000</v>
      </c>
      <c r="K667" s="4">
        <f ca="1">IF(H667&gt;=$C$4,J667+I667,I667)</f>
        <v>500</v>
      </c>
      <c r="M667" s="61">
        <f t="shared" si="97"/>
        <v>531.20000000000005</v>
      </c>
      <c r="N667" s="61">
        <f t="shared" si="98"/>
        <v>132.79999999999995</v>
      </c>
      <c r="O667" s="4">
        <f t="shared" si="93"/>
        <v>265600</v>
      </c>
      <c r="P667" s="4">
        <f t="shared" si="94"/>
        <v>-66399.999999999971</v>
      </c>
      <c r="Q667" s="4">
        <f t="shared" si="95"/>
        <v>199200.00000000003</v>
      </c>
      <c r="R667" s="4">
        <f t="shared" si="96"/>
        <v>299200</v>
      </c>
    </row>
    <row r="668" spans="5:18" x14ac:dyDescent="0.25">
      <c r="E668" s="1">
        <f t="shared" si="91"/>
        <v>665</v>
      </c>
      <c r="F668" s="4">
        <f t="shared" ca="1" si="92"/>
        <v>301500</v>
      </c>
      <c r="G668" s="1" t="s">
        <v>70</v>
      </c>
      <c r="H668" s="26">
        <f t="shared" ca="1" si="90"/>
        <v>0.70296377857652115</v>
      </c>
      <c r="I668" s="4">
        <f>IF(G668="Yes",-$C$8,0)</f>
        <v>-500</v>
      </c>
      <c r="J668" s="4">
        <f>IF(G668="Yes",$C$8-I668,0)</f>
        <v>1000</v>
      </c>
      <c r="K668" s="4">
        <f ca="1">IF(H668&gt;=$C$4,J668+I668,I668)</f>
        <v>500</v>
      </c>
      <c r="M668" s="61">
        <f t="shared" si="97"/>
        <v>532</v>
      </c>
      <c r="N668" s="61">
        <f t="shared" si="98"/>
        <v>133</v>
      </c>
      <c r="O668" s="4">
        <f t="shared" si="93"/>
        <v>266000</v>
      </c>
      <c r="P668" s="4">
        <f t="shared" si="94"/>
        <v>-66500</v>
      </c>
      <c r="Q668" s="4">
        <f t="shared" si="95"/>
        <v>199500</v>
      </c>
      <c r="R668" s="4">
        <f t="shared" si="96"/>
        <v>299500</v>
      </c>
    </row>
    <row r="669" spans="5:18" x14ac:dyDescent="0.25">
      <c r="E669" s="1">
        <f t="shared" si="91"/>
        <v>666</v>
      </c>
      <c r="F669" s="4">
        <f t="shared" ca="1" si="92"/>
        <v>301000</v>
      </c>
      <c r="G669" s="1" t="s">
        <v>70</v>
      </c>
      <c r="H669" s="26">
        <f t="shared" ca="1" si="90"/>
        <v>0.19609180848826524</v>
      </c>
      <c r="I669" s="4">
        <f>IF(G669="Yes",-$C$8,0)</f>
        <v>-500</v>
      </c>
      <c r="J669" s="4">
        <f>IF(G669="Yes",$C$8-I669,0)</f>
        <v>1000</v>
      </c>
      <c r="K669" s="4">
        <f ca="1">IF(H669&gt;=$C$4,J669+I669,I669)</f>
        <v>-500</v>
      </c>
      <c r="M669" s="61">
        <f t="shared" si="97"/>
        <v>532.80000000000007</v>
      </c>
      <c r="N669" s="61">
        <f t="shared" si="98"/>
        <v>133.19999999999993</v>
      </c>
      <c r="O669" s="4">
        <f t="shared" si="93"/>
        <v>266400.00000000006</v>
      </c>
      <c r="P669" s="4">
        <f t="shared" si="94"/>
        <v>-66599.999999999971</v>
      </c>
      <c r="Q669" s="4">
        <f t="shared" si="95"/>
        <v>199800.00000000009</v>
      </c>
      <c r="R669" s="4">
        <f t="shared" si="96"/>
        <v>299800.00000000012</v>
      </c>
    </row>
    <row r="670" spans="5:18" x14ac:dyDescent="0.25">
      <c r="E670" s="1">
        <f t="shared" si="91"/>
        <v>667</v>
      </c>
      <c r="F670" s="4">
        <f t="shared" ca="1" si="92"/>
        <v>301500</v>
      </c>
      <c r="G670" s="1" t="s">
        <v>70</v>
      </c>
      <c r="H670" s="26">
        <f t="shared" ca="1" si="90"/>
        <v>0.58661379307554729</v>
      </c>
      <c r="I670" s="4">
        <f>IF(G670="Yes",-$C$8,0)</f>
        <v>-500</v>
      </c>
      <c r="J670" s="4">
        <f>IF(G670="Yes",$C$8-I670,0)</f>
        <v>1000</v>
      </c>
      <c r="K670" s="4">
        <f ca="1">IF(H670&gt;=$C$4,J670+I670,I670)</f>
        <v>500</v>
      </c>
      <c r="M670" s="61">
        <f t="shared" si="97"/>
        <v>533.6</v>
      </c>
      <c r="N670" s="61">
        <f t="shared" si="98"/>
        <v>133.39999999999998</v>
      </c>
      <c r="O670" s="4">
        <f t="shared" si="93"/>
        <v>266800</v>
      </c>
      <c r="P670" s="4">
        <f t="shared" si="94"/>
        <v>-66699.999999999985</v>
      </c>
      <c r="Q670" s="4">
        <f t="shared" si="95"/>
        <v>200100</v>
      </c>
      <c r="R670" s="4">
        <f t="shared" si="96"/>
        <v>300100</v>
      </c>
    </row>
    <row r="671" spans="5:18" x14ac:dyDescent="0.25">
      <c r="E671" s="1">
        <f t="shared" si="91"/>
        <v>668</v>
      </c>
      <c r="F671" s="4">
        <f t="shared" ca="1" si="92"/>
        <v>302000</v>
      </c>
      <c r="G671" s="1" t="s">
        <v>70</v>
      </c>
      <c r="H671" s="26">
        <f t="shared" ca="1" si="90"/>
        <v>0.91336588398021179</v>
      </c>
      <c r="I671" s="4">
        <f>IF(G671="Yes",-$C$8,0)</f>
        <v>-500</v>
      </c>
      <c r="J671" s="4">
        <f>IF(G671="Yes",$C$8-I671,0)</f>
        <v>1000</v>
      </c>
      <c r="K671" s="4">
        <f ca="1">IF(H671&gt;=$C$4,J671+I671,I671)</f>
        <v>500</v>
      </c>
      <c r="M671" s="61">
        <f t="shared" si="97"/>
        <v>534.4</v>
      </c>
      <c r="N671" s="61">
        <f t="shared" si="98"/>
        <v>133.60000000000002</v>
      </c>
      <c r="O671" s="4">
        <f t="shared" si="93"/>
        <v>267200</v>
      </c>
      <c r="P671" s="4">
        <f t="shared" si="94"/>
        <v>-66800.000000000015</v>
      </c>
      <c r="Q671" s="4">
        <f t="shared" si="95"/>
        <v>200400</v>
      </c>
      <c r="R671" s="4">
        <f t="shared" si="96"/>
        <v>300400</v>
      </c>
    </row>
    <row r="672" spans="5:18" x14ac:dyDescent="0.25">
      <c r="E672" s="1">
        <f t="shared" si="91"/>
        <v>669</v>
      </c>
      <c r="F672" s="4">
        <f t="shared" ca="1" si="92"/>
        <v>302500</v>
      </c>
      <c r="G672" s="1" t="s">
        <v>70</v>
      </c>
      <c r="H672" s="26">
        <f t="shared" ca="1" si="90"/>
        <v>0.40072910165967235</v>
      </c>
      <c r="I672" s="4">
        <f>IF(G672="Yes",-$C$8,0)</f>
        <v>-500</v>
      </c>
      <c r="J672" s="4">
        <f>IF(G672="Yes",$C$8-I672,0)</f>
        <v>1000</v>
      </c>
      <c r="K672" s="4">
        <f ca="1">IF(H672&gt;=$C$4,J672+I672,I672)</f>
        <v>500</v>
      </c>
      <c r="M672" s="61">
        <f t="shared" si="97"/>
        <v>535.20000000000005</v>
      </c>
      <c r="N672" s="61">
        <f t="shared" si="98"/>
        <v>133.79999999999995</v>
      </c>
      <c r="O672" s="4">
        <f t="shared" si="93"/>
        <v>267600</v>
      </c>
      <c r="P672" s="4">
        <f t="shared" si="94"/>
        <v>-66899.999999999971</v>
      </c>
      <c r="Q672" s="4">
        <f t="shared" si="95"/>
        <v>200700.00000000003</v>
      </c>
      <c r="R672" s="4">
        <f t="shared" si="96"/>
        <v>300700</v>
      </c>
    </row>
    <row r="673" spans="5:18" x14ac:dyDescent="0.25">
      <c r="E673" s="1">
        <f t="shared" si="91"/>
        <v>670</v>
      </c>
      <c r="F673" s="4">
        <f t="shared" ca="1" si="92"/>
        <v>303000</v>
      </c>
      <c r="G673" s="1" t="s">
        <v>70</v>
      </c>
      <c r="H673" s="26">
        <f t="shared" ca="1" si="90"/>
        <v>0.59905259379530729</v>
      </c>
      <c r="I673" s="4">
        <f>IF(G673="Yes",-$C$8,0)</f>
        <v>-500</v>
      </c>
      <c r="J673" s="4">
        <f>IF(G673="Yes",$C$8-I673,0)</f>
        <v>1000</v>
      </c>
      <c r="K673" s="4">
        <f ca="1">IF(H673&gt;=$C$4,J673+I673,I673)</f>
        <v>500</v>
      </c>
      <c r="M673" s="61">
        <f t="shared" si="97"/>
        <v>536</v>
      </c>
      <c r="N673" s="61">
        <f t="shared" si="98"/>
        <v>134</v>
      </c>
      <c r="O673" s="4">
        <f t="shared" si="93"/>
        <v>268000</v>
      </c>
      <c r="P673" s="4">
        <f t="shared" si="94"/>
        <v>-67000</v>
      </c>
      <c r="Q673" s="4">
        <f t="shared" si="95"/>
        <v>201000</v>
      </c>
      <c r="R673" s="4">
        <f t="shared" si="96"/>
        <v>301000</v>
      </c>
    </row>
    <row r="674" spans="5:18" x14ac:dyDescent="0.25">
      <c r="E674" s="1">
        <f t="shared" si="91"/>
        <v>671</v>
      </c>
      <c r="F674" s="4">
        <f t="shared" ca="1" si="92"/>
        <v>303500</v>
      </c>
      <c r="G674" s="1" t="s">
        <v>70</v>
      </c>
      <c r="H674" s="26">
        <f t="shared" ca="1" si="90"/>
        <v>0.72135169303177893</v>
      </c>
      <c r="I674" s="4">
        <f>IF(G674="Yes",-$C$8,0)</f>
        <v>-500</v>
      </c>
      <c r="J674" s="4">
        <f>IF(G674="Yes",$C$8-I674,0)</f>
        <v>1000</v>
      </c>
      <c r="K674" s="4">
        <f ca="1">IF(H674&gt;=$C$4,J674+I674,I674)</f>
        <v>500</v>
      </c>
      <c r="M674" s="61">
        <f t="shared" si="97"/>
        <v>536.80000000000007</v>
      </c>
      <c r="N674" s="61">
        <f t="shared" si="98"/>
        <v>134.19999999999993</v>
      </c>
      <c r="O674" s="4">
        <f t="shared" si="93"/>
        <v>268400.00000000006</v>
      </c>
      <c r="P674" s="4">
        <f t="shared" si="94"/>
        <v>-67099.999999999971</v>
      </c>
      <c r="Q674" s="4">
        <f t="shared" si="95"/>
        <v>201300.00000000009</v>
      </c>
      <c r="R674" s="4">
        <f t="shared" si="96"/>
        <v>301300.00000000012</v>
      </c>
    </row>
    <row r="675" spans="5:18" x14ac:dyDescent="0.25">
      <c r="E675" s="1">
        <f t="shared" si="91"/>
        <v>672</v>
      </c>
      <c r="F675" s="4">
        <f t="shared" ca="1" si="92"/>
        <v>304000</v>
      </c>
      <c r="G675" s="1" t="s">
        <v>70</v>
      </c>
      <c r="H675" s="26">
        <f t="shared" ca="1" si="90"/>
        <v>0.34153838812497594</v>
      </c>
      <c r="I675" s="4">
        <f>IF(G675="Yes",-$C$8,0)</f>
        <v>-500</v>
      </c>
      <c r="J675" s="4">
        <f>IF(G675="Yes",$C$8-I675,0)</f>
        <v>1000</v>
      </c>
      <c r="K675" s="4">
        <f ca="1">IF(H675&gt;=$C$4,J675+I675,I675)</f>
        <v>500</v>
      </c>
      <c r="M675" s="61">
        <f t="shared" si="97"/>
        <v>537.6</v>
      </c>
      <c r="N675" s="61">
        <f t="shared" si="98"/>
        <v>134.39999999999998</v>
      </c>
      <c r="O675" s="4">
        <f t="shared" si="93"/>
        <v>268800</v>
      </c>
      <c r="P675" s="4">
        <f t="shared" si="94"/>
        <v>-67199.999999999985</v>
      </c>
      <c r="Q675" s="4">
        <f t="shared" si="95"/>
        <v>201600</v>
      </c>
      <c r="R675" s="4">
        <f t="shared" si="96"/>
        <v>301600</v>
      </c>
    </row>
    <row r="676" spans="5:18" x14ac:dyDescent="0.25">
      <c r="E676" s="1">
        <f t="shared" si="91"/>
        <v>673</v>
      </c>
      <c r="F676" s="4">
        <f t="shared" ca="1" si="92"/>
        <v>304500</v>
      </c>
      <c r="G676" s="1" t="s">
        <v>70</v>
      </c>
      <c r="H676" s="26">
        <f t="shared" ca="1" si="90"/>
        <v>0.94271715088598762</v>
      </c>
      <c r="I676" s="4">
        <f>IF(G676="Yes",-$C$8,0)</f>
        <v>-500</v>
      </c>
      <c r="J676" s="4">
        <f>IF(G676="Yes",$C$8-I676,0)</f>
        <v>1000</v>
      </c>
      <c r="K676" s="4">
        <f ca="1">IF(H676&gt;=$C$4,J676+I676,I676)</f>
        <v>500</v>
      </c>
      <c r="M676" s="61">
        <f t="shared" si="97"/>
        <v>538.4</v>
      </c>
      <c r="N676" s="61">
        <f t="shared" si="98"/>
        <v>134.60000000000002</v>
      </c>
      <c r="O676" s="4">
        <f t="shared" si="93"/>
        <v>269200</v>
      </c>
      <c r="P676" s="4">
        <f t="shared" si="94"/>
        <v>-67300.000000000015</v>
      </c>
      <c r="Q676" s="4">
        <f t="shared" si="95"/>
        <v>201900</v>
      </c>
      <c r="R676" s="4">
        <f t="shared" si="96"/>
        <v>301900</v>
      </c>
    </row>
    <row r="677" spans="5:18" x14ac:dyDescent="0.25">
      <c r="E677" s="1">
        <f t="shared" si="91"/>
        <v>674</v>
      </c>
      <c r="F677" s="4">
        <f t="shared" ca="1" si="92"/>
        <v>305000</v>
      </c>
      <c r="G677" s="1" t="s">
        <v>70</v>
      </c>
      <c r="H677" s="26">
        <f t="shared" ca="1" si="90"/>
        <v>0.61170431882033438</v>
      </c>
      <c r="I677" s="4">
        <f>IF(G677="Yes",-$C$8,0)</f>
        <v>-500</v>
      </c>
      <c r="J677" s="4">
        <f>IF(G677="Yes",$C$8-I677,0)</f>
        <v>1000</v>
      </c>
      <c r="K677" s="4">
        <f ca="1">IF(H677&gt;=$C$4,J677+I677,I677)</f>
        <v>500</v>
      </c>
      <c r="M677" s="61">
        <f t="shared" si="97"/>
        <v>539.20000000000005</v>
      </c>
      <c r="N677" s="61">
        <f t="shared" si="98"/>
        <v>134.79999999999995</v>
      </c>
      <c r="O677" s="4">
        <f t="shared" si="93"/>
        <v>269600</v>
      </c>
      <c r="P677" s="4">
        <f t="shared" si="94"/>
        <v>-67399.999999999971</v>
      </c>
      <c r="Q677" s="4">
        <f t="shared" si="95"/>
        <v>202200.00000000003</v>
      </c>
      <c r="R677" s="4">
        <f t="shared" si="96"/>
        <v>302200</v>
      </c>
    </row>
    <row r="678" spans="5:18" x14ac:dyDescent="0.25">
      <c r="E678" s="1">
        <f t="shared" si="91"/>
        <v>675</v>
      </c>
      <c r="F678" s="4">
        <f t="shared" ca="1" si="92"/>
        <v>305500</v>
      </c>
      <c r="G678" s="1" t="s">
        <v>70</v>
      </c>
      <c r="H678" s="26">
        <f t="shared" ca="1" si="90"/>
        <v>0.29567866794061726</v>
      </c>
      <c r="I678" s="4">
        <f>IF(G678="Yes",-$C$8,0)</f>
        <v>-500</v>
      </c>
      <c r="J678" s="4">
        <f>IF(G678="Yes",$C$8-I678,0)</f>
        <v>1000</v>
      </c>
      <c r="K678" s="4">
        <f ca="1">IF(H678&gt;=$C$4,J678+I678,I678)</f>
        <v>500</v>
      </c>
      <c r="M678" s="61">
        <f t="shared" si="97"/>
        <v>540</v>
      </c>
      <c r="N678" s="61">
        <f t="shared" si="98"/>
        <v>135</v>
      </c>
      <c r="O678" s="4">
        <f t="shared" si="93"/>
        <v>270000</v>
      </c>
      <c r="P678" s="4">
        <f t="shared" si="94"/>
        <v>-67500</v>
      </c>
      <c r="Q678" s="4">
        <f t="shared" si="95"/>
        <v>202500</v>
      </c>
      <c r="R678" s="4">
        <f t="shared" si="96"/>
        <v>302500</v>
      </c>
    </row>
    <row r="679" spans="5:18" x14ac:dyDescent="0.25">
      <c r="E679" s="1">
        <f t="shared" si="91"/>
        <v>676</v>
      </c>
      <c r="F679" s="4">
        <f t="shared" ca="1" si="92"/>
        <v>306000</v>
      </c>
      <c r="G679" s="1" t="s">
        <v>70</v>
      </c>
      <c r="H679" s="26">
        <f t="shared" ca="1" si="90"/>
        <v>0.71288993866043149</v>
      </c>
      <c r="I679" s="4">
        <f>IF(G679="Yes",-$C$8,0)</f>
        <v>-500</v>
      </c>
      <c r="J679" s="4">
        <f>IF(G679="Yes",$C$8-I679,0)</f>
        <v>1000</v>
      </c>
      <c r="K679" s="4">
        <f ca="1">IF(H679&gt;=$C$4,J679+I679,I679)</f>
        <v>500</v>
      </c>
      <c r="M679" s="61">
        <f t="shared" si="97"/>
        <v>540.80000000000007</v>
      </c>
      <c r="N679" s="61">
        <f t="shared" si="98"/>
        <v>135.19999999999993</v>
      </c>
      <c r="O679" s="4">
        <f t="shared" si="93"/>
        <v>270400.00000000006</v>
      </c>
      <c r="P679" s="4">
        <f t="shared" si="94"/>
        <v>-67599.999999999971</v>
      </c>
      <c r="Q679" s="4">
        <f t="shared" si="95"/>
        <v>202800.00000000009</v>
      </c>
      <c r="R679" s="4">
        <f t="shared" si="96"/>
        <v>302800.00000000012</v>
      </c>
    </row>
    <row r="680" spans="5:18" x14ac:dyDescent="0.25">
      <c r="E680" s="1">
        <f t="shared" si="91"/>
        <v>677</v>
      </c>
      <c r="F680" s="4">
        <f t="shared" ca="1" si="92"/>
        <v>306500</v>
      </c>
      <c r="G680" s="1" t="s">
        <v>70</v>
      </c>
      <c r="H680" s="26">
        <f t="shared" ca="1" si="90"/>
        <v>0.90611835940942997</v>
      </c>
      <c r="I680" s="4">
        <f>IF(G680="Yes",-$C$8,0)</f>
        <v>-500</v>
      </c>
      <c r="J680" s="4">
        <f>IF(G680="Yes",$C$8-I680,0)</f>
        <v>1000</v>
      </c>
      <c r="K680" s="4">
        <f ca="1">IF(H680&gt;=$C$4,J680+I680,I680)</f>
        <v>500</v>
      </c>
      <c r="M680" s="61">
        <f t="shared" si="97"/>
        <v>541.6</v>
      </c>
      <c r="N680" s="61">
        <f t="shared" si="98"/>
        <v>135.39999999999998</v>
      </c>
      <c r="O680" s="4">
        <f t="shared" si="93"/>
        <v>270800</v>
      </c>
      <c r="P680" s="4">
        <f t="shared" si="94"/>
        <v>-67699.999999999985</v>
      </c>
      <c r="Q680" s="4">
        <f t="shared" si="95"/>
        <v>203100</v>
      </c>
      <c r="R680" s="4">
        <f t="shared" si="96"/>
        <v>303100</v>
      </c>
    </row>
    <row r="681" spans="5:18" x14ac:dyDescent="0.25">
      <c r="E681" s="1">
        <f t="shared" si="91"/>
        <v>678</v>
      </c>
      <c r="F681" s="4">
        <f t="shared" ca="1" si="92"/>
        <v>307000</v>
      </c>
      <c r="G681" s="1" t="s">
        <v>70</v>
      </c>
      <c r="H681" s="26">
        <f t="shared" ca="1" si="90"/>
        <v>0.33370234002682253</v>
      </c>
      <c r="I681" s="4">
        <f>IF(G681="Yes",-$C$8,0)</f>
        <v>-500</v>
      </c>
      <c r="J681" s="4">
        <f>IF(G681="Yes",$C$8-I681,0)</f>
        <v>1000</v>
      </c>
      <c r="K681" s="4">
        <f ca="1">IF(H681&gt;=$C$4,J681+I681,I681)</f>
        <v>500</v>
      </c>
      <c r="M681" s="61">
        <f t="shared" si="97"/>
        <v>542.4</v>
      </c>
      <c r="N681" s="61">
        <f t="shared" si="98"/>
        <v>135.60000000000002</v>
      </c>
      <c r="O681" s="4">
        <f t="shared" si="93"/>
        <v>271200</v>
      </c>
      <c r="P681" s="4">
        <f t="shared" si="94"/>
        <v>-67800.000000000015</v>
      </c>
      <c r="Q681" s="4">
        <f t="shared" si="95"/>
        <v>203400</v>
      </c>
      <c r="R681" s="4">
        <f t="shared" si="96"/>
        <v>303400</v>
      </c>
    </row>
    <row r="682" spans="5:18" x14ac:dyDescent="0.25">
      <c r="E682" s="1">
        <f t="shared" si="91"/>
        <v>679</v>
      </c>
      <c r="F682" s="4">
        <f t="shared" ca="1" si="92"/>
        <v>307500</v>
      </c>
      <c r="G682" s="1" t="s">
        <v>70</v>
      </c>
      <c r="H682" s="26">
        <f t="shared" ca="1" si="90"/>
        <v>0.88386024880730496</v>
      </c>
      <c r="I682" s="4">
        <f>IF(G682="Yes",-$C$8,0)</f>
        <v>-500</v>
      </c>
      <c r="J682" s="4">
        <f>IF(G682="Yes",$C$8-I682,0)</f>
        <v>1000</v>
      </c>
      <c r="K682" s="4">
        <f ca="1">IF(H682&gt;=$C$4,J682+I682,I682)</f>
        <v>500</v>
      </c>
      <c r="M682" s="61">
        <f t="shared" si="97"/>
        <v>543.20000000000005</v>
      </c>
      <c r="N682" s="61">
        <f t="shared" si="98"/>
        <v>135.79999999999995</v>
      </c>
      <c r="O682" s="4">
        <f t="shared" si="93"/>
        <v>271600</v>
      </c>
      <c r="P682" s="4">
        <f t="shared" si="94"/>
        <v>-67899.999999999971</v>
      </c>
      <c r="Q682" s="4">
        <f t="shared" si="95"/>
        <v>203700.00000000003</v>
      </c>
      <c r="R682" s="4">
        <f t="shared" si="96"/>
        <v>303700</v>
      </c>
    </row>
    <row r="683" spans="5:18" x14ac:dyDescent="0.25">
      <c r="E683" s="1">
        <f t="shared" si="91"/>
        <v>680</v>
      </c>
      <c r="F683" s="4">
        <f t="shared" ca="1" si="92"/>
        <v>308000</v>
      </c>
      <c r="G683" s="1" t="s">
        <v>70</v>
      </c>
      <c r="H683" s="26">
        <f t="shared" ca="1" si="90"/>
        <v>0.60992087178846099</v>
      </c>
      <c r="I683" s="4">
        <f>IF(G683="Yes",-$C$8,0)</f>
        <v>-500</v>
      </c>
      <c r="J683" s="4">
        <f>IF(G683="Yes",$C$8-I683,0)</f>
        <v>1000</v>
      </c>
      <c r="K683" s="4">
        <f ca="1">IF(H683&gt;=$C$4,J683+I683,I683)</f>
        <v>500</v>
      </c>
      <c r="M683" s="61">
        <f t="shared" si="97"/>
        <v>544</v>
      </c>
      <c r="N683" s="61">
        <f t="shared" si="98"/>
        <v>136</v>
      </c>
      <c r="O683" s="4">
        <f t="shared" si="93"/>
        <v>272000</v>
      </c>
      <c r="P683" s="4">
        <f t="shared" si="94"/>
        <v>-68000</v>
      </c>
      <c r="Q683" s="4">
        <f t="shared" si="95"/>
        <v>204000</v>
      </c>
      <c r="R683" s="4">
        <f t="shared" si="96"/>
        <v>304000</v>
      </c>
    </row>
    <row r="684" spans="5:18" x14ac:dyDescent="0.25">
      <c r="E684" s="1">
        <f t="shared" si="91"/>
        <v>681</v>
      </c>
      <c r="F684" s="4">
        <f t="shared" ca="1" si="92"/>
        <v>308500</v>
      </c>
      <c r="G684" s="1" t="s">
        <v>70</v>
      </c>
      <c r="H684" s="26">
        <f t="shared" ca="1" si="90"/>
        <v>0.44366134386729328</v>
      </c>
      <c r="I684" s="4">
        <f>IF(G684="Yes",-$C$8,0)</f>
        <v>-500</v>
      </c>
      <c r="J684" s="4">
        <f>IF(G684="Yes",$C$8-I684,0)</f>
        <v>1000</v>
      </c>
      <c r="K684" s="4">
        <f ca="1">IF(H684&gt;=$C$4,J684+I684,I684)</f>
        <v>500</v>
      </c>
      <c r="M684" s="61">
        <f t="shared" si="97"/>
        <v>544.80000000000007</v>
      </c>
      <c r="N684" s="61">
        <f t="shared" si="98"/>
        <v>136.19999999999993</v>
      </c>
      <c r="O684" s="4">
        <f t="shared" si="93"/>
        <v>272400.00000000006</v>
      </c>
      <c r="P684" s="4">
        <f t="shared" si="94"/>
        <v>-68099.999999999971</v>
      </c>
      <c r="Q684" s="4">
        <f t="shared" si="95"/>
        <v>204300.00000000009</v>
      </c>
      <c r="R684" s="4">
        <f t="shared" si="96"/>
        <v>304300.00000000012</v>
      </c>
    </row>
    <row r="685" spans="5:18" x14ac:dyDescent="0.25">
      <c r="E685" s="1">
        <f t="shared" si="91"/>
        <v>682</v>
      </c>
      <c r="F685" s="4">
        <f t="shared" ca="1" si="92"/>
        <v>309000</v>
      </c>
      <c r="G685" s="1" t="s">
        <v>70</v>
      </c>
      <c r="H685" s="26">
        <f t="shared" ca="1" si="90"/>
        <v>0.75689955612656734</v>
      </c>
      <c r="I685" s="4">
        <f>IF(G685="Yes",-$C$8,0)</f>
        <v>-500</v>
      </c>
      <c r="J685" s="4">
        <f>IF(G685="Yes",$C$8-I685,0)</f>
        <v>1000</v>
      </c>
      <c r="K685" s="4">
        <f ca="1">IF(H685&gt;=$C$4,J685+I685,I685)</f>
        <v>500</v>
      </c>
      <c r="M685" s="61">
        <f t="shared" si="97"/>
        <v>545.6</v>
      </c>
      <c r="N685" s="61">
        <f t="shared" si="98"/>
        <v>136.39999999999998</v>
      </c>
      <c r="O685" s="4">
        <f t="shared" si="93"/>
        <v>272800</v>
      </c>
      <c r="P685" s="4">
        <f t="shared" si="94"/>
        <v>-68199.999999999985</v>
      </c>
      <c r="Q685" s="4">
        <f t="shared" si="95"/>
        <v>204600</v>
      </c>
      <c r="R685" s="4">
        <f t="shared" si="96"/>
        <v>304600</v>
      </c>
    </row>
    <row r="686" spans="5:18" x14ac:dyDescent="0.25">
      <c r="E686" s="1">
        <f t="shared" si="91"/>
        <v>683</v>
      </c>
      <c r="F686" s="4">
        <f t="shared" ca="1" si="92"/>
        <v>308500</v>
      </c>
      <c r="G686" s="1" t="s">
        <v>70</v>
      </c>
      <c r="H686" s="26">
        <f t="shared" ca="1" si="90"/>
        <v>3.9908157179684878E-2</v>
      </c>
      <c r="I686" s="4">
        <f>IF(G686="Yes",-$C$8,0)</f>
        <v>-500</v>
      </c>
      <c r="J686" s="4">
        <f>IF(G686="Yes",$C$8-I686,0)</f>
        <v>1000</v>
      </c>
      <c r="K686" s="4">
        <f ca="1">IF(H686&gt;=$C$4,J686+I686,I686)</f>
        <v>-500</v>
      </c>
      <c r="M686" s="61">
        <f t="shared" si="97"/>
        <v>546.4</v>
      </c>
      <c r="N686" s="61">
        <f t="shared" si="98"/>
        <v>136.60000000000002</v>
      </c>
      <c r="O686" s="4">
        <f t="shared" si="93"/>
        <v>273200</v>
      </c>
      <c r="P686" s="4">
        <f t="shared" si="94"/>
        <v>-68300.000000000015</v>
      </c>
      <c r="Q686" s="4">
        <f t="shared" si="95"/>
        <v>204900</v>
      </c>
      <c r="R686" s="4">
        <f t="shared" si="96"/>
        <v>304900</v>
      </c>
    </row>
    <row r="687" spans="5:18" x14ac:dyDescent="0.25">
      <c r="E687" s="1">
        <f t="shared" si="91"/>
        <v>684</v>
      </c>
      <c r="F687" s="4">
        <f t="shared" ca="1" si="92"/>
        <v>309000</v>
      </c>
      <c r="G687" s="1" t="s">
        <v>70</v>
      </c>
      <c r="H687" s="26">
        <f t="shared" ca="1" si="90"/>
        <v>0.44637050665920586</v>
      </c>
      <c r="I687" s="4">
        <f>IF(G687="Yes",-$C$8,0)</f>
        <v>-500</v>
      </c>
      <c r="J687" s="4">
        <f>IF(G687="Yes",$C$8-I687,0)</f>
        <v>1000</v>
      </c>
      <c r="K687" s="4">
        <f ca="1">IF(H687&gt;=$C$4,J687+I687,I687)</f>
        <v>500</v>
      </c>
      <c r="M687" s="61">
        <f t="shared" si="97"/>
        <v>547.20000000000005</v>
      </c>
      <c r="N687" s="61">
        <f t="shared" si="98"/>
        <v>136.79999999999995</v>
      </c>
      <c r="O687" s="4">
        <f t="shared" si="93"/>
        <v>273600</v>
      </c>
      <c r="P687" s="4">
        <f t="shared" si="94"/>
        <v>-68399.999999999971</v>
      </c>
      <c r="Q687" s="4">
        <f t="shared" si="95"/>
        <v>205200.00000000003</v>
      </c>
      <c r="R687" s="4">
        <f t="shared" si="96"/>
        <v>305200</v>
      </c>
    </row>
    <row r="688" spans="5:18" x14ac:dyDescent="0.25">
      <c r="E688" s="1">
        <f t="shared" si="91"/>
        <v>685</v>
      </c>
      <c r="F688" s="4">
        <f t="shared" ca="1" si="92"/>
        <v>309500</v>
      </c>
      <c r="G688" s="1" t="s">
        <v>70</v>
      </c>
      <c r="H688" s="26">
        <f t="shared" ca="1" si="90"/>
        <v>0.70703874896656005</v>
      </c>
      <c r="I688" s="4">
        <f>IF(G688="Yes",-$C$8,0)</f>
        <v>-500</v>
      </c>
      <c r="J688" s="4">
        <f>IF(G688="Yes",$C$8-I688,0)</f>
        <v>1000</v>
      </c>
      <c r="K688" s="4">
        <f ca="1">IF(H688&gt;=$C$4,J688+I688,I688)</f>
        <v>500</v>
      </c>
      <c r="M688" s="61">
        <f t="shared" si="97"/>
        <v>548</v>
      </c>
      <c r="N688" s="61">
        <f t="shared" si="98"/>
        <v>137</v>
      </c>
      <c r="O688" s="4">
        <f t="shared" si="93"/>
        <v>274000</v>
      </c>
      <c r="P688" s="4">
        <f t="shared" si="94"/>
        <v>-68500</v>
      </c>
      <c r="Q688" s="4">
        <f t="shared" si="95"/>
        <v>205500</v>
      </c>
      <c r="R688" s="4">
        <f t="shared" si="96"/>
        <v>305500</v>
      </c>
    </row>
    <row r="689" spans="5:18" x14ac:dyDescent="0.25">
      <c r="E689" s="1">
        <f t="shared" si="91"/>
        <v>686</v>
      </c>
      <c r="F689" s="4">
        <f t="shared" ca="1" si="92"/>
        <v>310000</v>
      </c>
      <c r="G689" s="1" t="s">
        <v>70</v>
      </c>
      <c r="H689" s="26">
        <f t="shared" ca="1" si="90"/>
        <v>0.59221222227605719</v>
      </c>
      <c r="I689" s="4">
        <f>IF(G689="Yes",-$C$8,0)</f>
        <v>-500</v>
      </c>
      <c r="J689" s="4">
        <f>IF(G689="Yes",$C$8-I689,0)</f>
        <v>1000</v>
      </c>
      <c r="K689" s="4">
        <f ca="1">IF(H689&gt;=$C$4,J689+I689,I689)</f>
        <v>500</v>
      </c>
      <c r="M689" s="61">
        <f t="shared" si="97"/>
        <v>548.80000000000007</v>
      </c>
      <c r="N689" s="61">
        <f t="shared" si="98"/>
        <v>137.19999999999993</v>
      </c>
      <c r="O689" s="4">
        <f t="shared" si="93"/>
        <v>274400.00000000006</v>
      </c>
      <c r="P689" s="4">
        <f t="shared" si="94"/>
        <v>-68599.999999999971</v>
      </c>
      <c r="Q689" s="4">
        <f t="shared" si="95"/>
        <v>205800.00000000009</v>
      </c>
      <c r="R689" s="4">
        <f t="shared" si="96"/>
        <v>305800.00000000012</v>
      </c>
    </row>
    <row r="690" spans="5:18" x14ac:dyDescent="0.25">
      <c r="E690" s="1">
        <f t="shared" si="91"/>
        <v>687</v>
      </c>
      <c r="F690" s="4">
        <f t="shared" ca="1" si="92"/>
        <v>310500</v>
      </c>
      <c r="G690" s="1" t="s">
        <v>70</v>
      </c>
      <c r="H690" s="26">
        <f t="shared" ca="1" si="90"/>
        <v>0.47559665614152791</v>
      </c>
      <c r="I690" s="4">
        <f>IF(G690="Yes",-$C$8,0)</f>
        <v>-500</v>
      </c>
      <c r="J690" s="4">
        <f>IF(G690="Yes",$C$8-I690,0)</f>
        <v>1000</v>
      </c>
      <c r="K690" s="4">
        <f ca="1">IF(H690&gt;=$C$4,J690+I690,I690)</f>
        <v>500</v>
      </c>
      <c r="M690" s="61">
        <f t="shared" si="97"/>
        <v>549.6</v>
      </c>
      <c r="N690" s="61">
        <f t="shared" si="98"/>
        <v>137.39999999999998</v>
      </c>
      <c r="O690" s="4">
        <f t="shared" si="93"/>
        <v>274800</v>
      </c>
      <c r="P690" s="4">
        <f t="shared" si="94"/>
        <v>-68699.999999999985</v>
      </c>
      <c r="Q690" s="4">
        <f t="shared" si="95"/>
        <v>206100</v>
      </c>
      <c r="R690" s="4">
        <f t="shared" si="96"/>
        <v>306100</v>
      </c>
    </row>
    <row r="691" spans="5:18" x14ac:dyDescent="0.25">
      <c r="E691" s="1">
        <f t="shared" si="91"/>
        <v>688</v>
      </c>
      <c r="F691" s="4">
        <f t="shared" ca="1" si="92"/>
        <v>311000</v>
      </c>
      <c r="G691" s="1" t="s">
        <v>70</v>
      </c>
      <c r="H691" s="26">
        <f t="shared" ca="1" si="90"/>
        <v>0.48925087419710322</v>
      </c>
      <c r="I691" s="4">
        <f>IF(G691="Yes",-$C$8,0)</f>
        <v>-500</v>
      </c>
      <c r="J691" s="4">
        <f>IF(G691="Yes",$C$8-I691,0)</f>
        <v>1000</v>
      </c>
      <c r="K691" s="4">
        <f ca="1">IF(H691&gt;=$C$4,J691+I691,I691)</f>
        <v>500</v>
      </c>
      <c r="M691" s="61">
        <f t="shared" si="97"/>
        <v>550.4</v>
      </c>
      <c r="N691" s="61">
        <f t="shared" si="98"/>
        <v>137.60000000000002</v>
      </c>
      <c r="O691" s="4">
        <f t="shared" si="93"/>
        <v>275200</v>
      </c>
      <c r="P691" s="4">
        <f t="shared" si="94"/>
        <v>-68800.000000000015</v>
      </c>
      <c r="Q691" s="4">
        <f t="shared" si="95"/>
        <v>206400</v>
      </c>
      <c r="R691" s="4">
        <f t="shared" si="96"/>
        <v>306400</v>
      </c>
    </row>
    <row r="692" spans="5:18" x14ac:dyDescent="0.25">
      <c r="E692" s="1">
        <f t="shared" si="91"/>
        <v>689</v>
      </c>
      <c r="F692" s="4">
        <f t="shared" ca="1" si="92"/>
        <v>310500</v>
      </c>
      <c r="G692" s="1" t="s">
        <v>70</v>
      </c>
      <c r="H692" s="26">
        <f t="shared" ca="1" si="90"/>
        <v>0.10505230774163132</v>
      </c>
      <c r="I692" s="4">
        <f>IF(G692="Yes",-$C$8,0)</f>
        <v>-500</v>
      </c>
      <c r="J692" s="4">
        <f>IF(G692="Yes",$C$8-I692,0)</f>
        <v>1000</v>
      </c>
      <c r="K692" s="4">
        <f ca="1">IF(H692&gt;=$C$4,J692+I692,I692)</f>
        <v>-500</v>
      </c>
      <c r="M692" s="61">
        <f t="shared" si="97"/>
        <v>551.20000000000005</v>
      </c>
      <c r="N692" s="61">
        <f t="shared" si="98"/>
        <v>137.79999999999995</v>
      </c>
      <c r="O692" s="4">
        <f t="shared" si="93"/>
        <v>275600</v>
      </c>
      <c r="P692" s="4">
        <f t="shared" si="94"/>
        <v>-68899.999999999971</v>
      </c>
      <c r="Q692" s="4">
        <f t="shared" si="95"/>
        <v>206700.00000000003</v>
      </c>
      <c r="R692" s="4">
        <f t="shared" si="96"/>
        <v>306700</v>
      </c>
    </row>
    <row r="693" spans="5:18" x14ac:dyDescent="0.25">
      <c r="E693" s="1">
        <f t="shared" si="91"/>
        <v>690</v>
      </c>
      <c r="F693" s="4">
        <f t="shared" ca="1" si="92"/>
        <v>311000</v>
      </c>
      <c r="G693" s="1" t="s">
        <v>70</v>
      </c>
      <c r="H693" s="26">
        <f t="shared" ca="1" si="90"/>
        <v>0.61969812745390995</v>
      </c>
      <c r="I693" s="4">
        <f>IF(G693="Yes",-$C$8,0)</f>
        <v>-500</v>
      </c>
      <c r="J693" s="4">
        <f>IF(G693="Yes",$C$8-I693,0)</f>
        <v>1000</v>
      </c>
      <c r="K693" s="4">
        <f ca="1">IF(H693&gt;=$C$4,J693+I693,I693)</f>
        <v>500</v>
      </c>
      <c r="M693" s="61">
        <f t="shared" si="97"/>
        <v>552</v>
      </c>
      <c r="N693" s="61">
        <f t="shared" si="98"/>
        <v>138</v>
      </c>
      <c r="O693" s="4">
        <f t="shared" si="93"/>
        <v>276000</v>
      </c>
      <c r="P693" s="4">
        <f t="shared" si="94"/>
        <v>-69000</v>
      </c>
      <c r="Q693" s="4">
        <f t="shared" si="95"/>
        <v>207000</v>
      </c>
      <c r="R693" s="4">
        <f t="shared" si="96"/>
        <v>307000</v>
      </c>
    </row>
    <row r="694" spans="5:18" x14ac:dyDescent="0.25">
      <c r="E694" s="1">
        <f t="shared" si="91"/>
        <v>691</v>
      </c>
      <c r="F694" s="4">
        <f t="shared" ca="1" si="92"/>
        <v>311500</v>
      </c>
      <c r="G694" s="1" t="s">
        <v>70</v>
      </c>
      <c r="H694" s="26">
        <f t="shared" ca="1" si="90"/>
        <v>0.35341340863674142</v>
      </c>
      <c r="I694" s="4">
        <f>IF(G694="Yes",-$C$8,0)</f>
        <v>-500</v>
      </c>
      <c r="J694" s="4">
        <f>IF(G694="Yes",$C$8-I694,0)</f>
        <v>1000</v>
      </c>
      <c r="K694" s="4">
        <f ca="1">IF(H694&gt;=$C$4,J694+I694,I694)</f>
        <v>500</v>
      </c>
      <c r="M694" s="61">
        <f t="shared" si="97"/>
        <v>552.80000000000007</v>
      </c>
      <c r="N694" s="61">
        <f t="shared" si="98"/>
        <v>138.19999999999993</v>
      </c>
      <c r="O694" s="4">
        <f t="shared" si="93"/>
        <v>276400.00000000006</v>
      </c>
      <c r="P694" s="4">
        <f t="shared" si="94"/>
        <v>-69099.999999999971</v>
      </c>
      <c r="Q694" s="4">
        <f t="shared" si="95"/>
        <v>207300.00000000009</v>
      </c>
      <c r="R694" s="4">
        <f t="shared" si="96"/>
        <v>307300.00000000012</v>
      </c>
    </row>
    <row r="695" spans="5:18" x14ac:dyDescent="0.25">
      <c r="E695" s="1">
        <f t="shared" si="91"/>
        <v>692</v>
      </c>
      <c r="F695" s="4">
        <f t="shared" ca="1" si="92"/>
        <v>312000</v>
      </c>
      <c r="G695" s="1" t="s">
        <v>70</v>
      </c>
      <c r="H695" s="26">
        <f t="shared" ca="1" si="90"/>
        <v>0.57418184340124967</v>
      </c>
      <c r="I695" s="4">
        <f>IF(G695="Yes",-$C$8,0)</f>
        <v>-500</v>
      </c>
      <c r="J695" s="4">
        <f>IF(G695="Yes",$C$8-I695,0)</f>
        <v>1000</v>
      </c>
      <c r="K695" s="4">
        <f ca="1">IF(H695&gt;=$C$4,J695+I695,I695)</f>
        <v>500</v>
      </c>
      <c r="M695" s="61">
        <f t="shared" si="97"/>
        <v>553.6</v>
      </c>
      <c r="N695" s="61">
        <f t="shared" si="98"/>
        <v>138.39999999999998</v>
      </c>
      <c r="O695" s="4">
        <f t="shared" si="93"/>
        <v>276800</v>
      </c>
      <c r="P695" s="4">
        <f t="shared" si="94"/>
        <v>-69199.999999999985</v>
      </c>
      <c r="Q695" s="4">
        <f t="shared" si="95"/>
        <v>207600</v>
      </c>
      <c r="R695" s="4">
        <f t="shared" si="96"/>
        <v>307600</v>
      </c>
    </row>
    <row r="696" spans="5:18" x14ac:dyDescent="0.25">
      <c r="E696" s="1">
        <f t="shared" si="91"/>
        <v>693</v>
      </c>
      <c r="F696" s="4">
        <f t="shared" ca="1" si="92"/>
        <v>312500</v>
      </c>
      <c r="G696" s="1" t="s">
        <v>70</v>
      </c>
      <c r="H696" s="26">
        <f t="shared" ca="1" si="90"/>
        <v>0.58760546075264131</v>
      </c>
      <c r="I696" s="4">
        <f>IF(G696="Yes",-$C$8,0)</f>
        <v>-500</v>
      </c>
      <c r="J696" s="4">
        <f>IF(G696="Yes",$C$8-I696,0)</f>
        <v>1000</v>
      </c>
      <c r="K696" s="4">
        <f ca="1">IF(H696&gt;=$C$4,J696+I696,I696)</f>
        <v>500</v>
      </c>
      <c r="M696" s="61">
        <f t="shared" si="97"/>
        <v>554.4</v>
      </c>
      <c r="N696" s="61">
        <f t="shared" si="98"/>
        <v>138.60000000000002</v>
      </c>
      <c r="O696" s="4">
        <f t="shared" si="93"/>
        <v>277200</v>
      </c>
      <c r="P696" s="4">
        <f t="shared" si="94"/>
        <v>-69300.000000000015</v>
      </c>
      <c r="Q696" s="4">
        <f t="shared" si="95"/>
        <v>207900</v>
      </c>
      <c r="R696" s="4">
        <f t="shared" si="96"/>
        <v>307900</v>
      </c>
    </row>
    <row r="697" spans="5:18" x14ac:dyDescent="0.25">
      <c r="E697" s="1">
        <f t="shared" si="91"/>
        <v>694</v>
      </c>
      <c r="F697" s="4">
        <f t="shared" ca="1" si="92"/>
        <v>313000</v>
      </c>
      <c r="G697" s="1" t="s">
        <v>70</v>
      </c>
      <c r="H697" s="26">
        <f t="shared" ca="1" si="90"/>
        <v>0.77395405620132252</v>
      </c>
      <c r="I697" s="4">
        <f>IF(G697="Yes",-$C$8,0)</f>
        <v>-500</v>
      </c>
      <c r="J697" s="4">
        <f>IF(G697="Yes",$C$8-I697,0)</f>
        <v>1000</v>
      </c>
      <c r="K697" s="4">
        <f ca="1">IF(H697&gt;=$C$4,J697+I697,I697)</f>
        <v>500</v>
      </c>
      <c r="M697" s="61">
        <f t="shared" si="97"/>
        <v>555.20000000000005</v>
      </c>
      <c r="N697" s="61">
        <f t="shared" si="98"/>
        <v>138.79999999999995</v>
      </c>
      <c r="O697" s="4">
        <f t="shared" si="93"/>
        <v>277600</v>
      </c>
      <c r="P697" s="4">
        <f t="shared" si="94"/>
        <v>-69399.999999999971</v>
      </c>
      <c r="Q697" s="4">
        <f t="shared" si="95"/>
        <v>208200.00000000003</v>
      </c>
      <c r="R697" s="4">
        <f t="shared" si="96"/>
        <v>308200</v>
      </c>
    </row>
    <row r="698" spans="5:18" x14ac:dyDescent="0.25">
      <c r="E698" s="1">
        <f t="shared" si="91"/>
        <v>695</v>
      </c>
      <c r="F698" s="4">
        <f t="shared" ca="1" si="92"/>
        <v>312500</v>
      </c>
      <c r="G698" s="1" t="s">
        <v>70</v>
      </c>
      <c r="H698" s="26">
        <f t="shared" ca="1" si="90"/>
        <v>0.11112587020990239</v>
      </c>
      <c r="I698" s="4">
        <f>IF(G698="Yes",-$C$8,0)</f>
        <v>-500</v>
      </c>
      <c r="J698" s="4">
        <f>IF(G698="Yes",$C$8-I698,0)</f>
        <v>1000</v>
      </c>
      <c r="K698" s="4">
        <f ca="1">IF(H698&gt;=$C$4,J698+I698,I698)</f>
        <v>-500</v>
      </c>
      <c r="M698" s="61">
        <f t="shared" si="97"/>
        <v>556</v>
      </c>
      <c r="N698" s="61">
        <f t="shared" si="98"/>
        <v>139</v>
      </c>
      <c r="O698" s="4">
        <f t="shared" si="93"/>
        <v>278000</v>
      </c>
      <c r="P698" s="4">
        <f t="shared" si="94"/>
        <v>-69500</v>
      </c>
      <c r="Q698" s="4">
        <f t="shared" si="95"/>
        <v>208500</v>
      </c>
      <c r="R698" s="4">
        <f t="shared" si="96"/>
        <v>308500</v>
      </c>
    </row>
    <row r="699" spans="5:18" x14ac:dyDescent="0.25">
      <c r="E699" s="1">
        <f t="shared" si="91"/>
        <v>696</v>
      </c>
      <c r="F699" s="4">
        <f t="shared" ca="1" si="92"/>
        <v>313000</v>
      </c>
      <c r="G699" s="1" t="s">
        <v>70</v>
      </c>
      <c r="H699" s="26">
        <f t="shared" ca="1" si="90"/>
        <v>0.86270625928196332</v>
      </c>
      <c r="I699" s="4">
        <f>IF(G699="Yes",-$C$8,0)</f>
        <v>-500</v>
      </c>
      <c r="J699" s="4">
        <f>IF(G699="Yes",$C$8-I699,0)</f>
        <v>1000</v>
      </c>
      <c r="K699" s="4">
        <f ca="1">IF(H699&gt;=$C$4,J699+I699,I699)</f>
        <v>500</v>
      </c>
      <c r="M699" s="61">
        <f t="shared" si="97"/>
        <v>556.80000000000007</v>
      </c>
      <c r="N699" s="61">
        <f t="shared" si="98"/>
        <v>139.19999999999993</v>
      </c>
      <c r="O699" s="4">
        <f t="shared" si="93"/>
        <v>278400.00000000006</v>
      </c>
      <c r="P699" s="4">
        <f t="shared" si="94"/>
        <v>-69599.999999999971</v>
      </c>
      <c r="Q699" s="4">
        <f t="shared" si="95"/>
        <v>208800.00000000009</v>
      </c>
      <c r="R699" s="4">
        <f t="shared" si="96"/>
        <v>308800.00000000012</v>
      </c>
    </row>
    <row r="700" spans="5:18" x14ac:dyDescent="0.25">
      <c r="E700" s="1">
        <f t="shared" si="91"/>
        <v>697</v>
      </c>
      <c r="F700" s="4">
        <f t="shared" ca="1" si="92"/>
        <v>313500</v>
      </c>
      <c r="G700" s="1" t="s">
        <v>70</v>
      </c>
      <c r="H700" s="26">
        <f t="shared" ca="1" si="90"/>
        <v>0.82889236651430964</v>
      </c>
      <c r="I700" s="4">
        <f>IF(G700="Yes",-$C$8,0)</f>
        <v>-500</v>
      </c>
      <c r="J700" s="4">
        <f>IF(G700="Yes",$C$8-I700,0)</f>
        <v>1000</v>
      </c>
      <c r="K700" s="4">
        <f ca="1">IF(H700&gt;=$C$4,J700+I700,I700)</f>
        <v>500</v>
      </c>
      <c r="M700" s="61">
        <f t="shared" si="97"/>
        <v>557.6</v>
      </c>
      <c r="N700" s="61">
        <f t="shared" si="98"/>
        <v>139.39999999999998</v>
      </c>
      <c r="O700" s="4">
        <f t="shared" si="93"/>
        <v>278800</v>
      </c>
      <c r="P700" s="4">
        <f t="shared" si="94"/>
        <v>-69699.999999999985</v>
      </c>
      <c r="Q700" s="4">
        <f t="shared" si="95"/>
        <v>209100</v>
      </c>
      <c r="R700" s="4">
        <f t="shared" si="96"/>
        <v>309100</v>
      </c>
    </row>
    <row r="701" spans="5:18" x14ac:dyDescent="0.25">
      <c r="E701" s="1">
        <f t="shared" si="91"/>
        <v>698</v>
      </c>
      <c r="F701" s="4">
        <f t="shared" ca="1" si="92"/>
        <v>314000</v>
      </c>
      <c r="G701" s="1" t="s">
        <v>70</v>
      </c>
      <c r="H701" s="26">
        <f t="shared" ca="1" si="90"/>
        <v>0.20903467328350578</v>
      </c>
      <c r="I701" s="4">
        <f>IF(G701="Yes",-$C$8,0)</f>
        <v>-500</v>
      </c>
      <c r="J701" s="4">
        <f>IF(G701="Yes",$C$8-I701,0)</f>
        <v>1000</v>
      </c>
      <c r="K701" s="4">
        <f ca="1">IF(H701&gt;=$C$4,J701+I701,I701)</f>
        <v>500</v>
      </c>
      <c r="M701" s="61">
        <f t="shared" si="97"/>
        <v>558.4</v>
      </c>
      <c r="N701" s="61">
        <f t="shared" si="98"/>
        <v>139.60000000000002</v>
      </c>
      <c r="O701" s="4">
        <f t="shared" si="93"/>
        <v>279200</v>
      </c>
      <c r="P701" s="4">
        <f t="shared" si="94"/>
        <v>-69800.000000000015</v>
      </c>
      <c r="Q701" s="4">
        <f t="shared" si="95"/>
        <v>209400</v>
      </c>
      <c r="R701" s="4">
        <f t="shared" si="96"/>
        <v>309400</v>
      </c>
    </row>
    <row r="702" spans="5:18" x14ac:dyDescent="0.25">
      <c r="E702" s="1">
        <f t="shared" si="91"/>
        <v>699</v>
      </c>
      <c r="F702" s="4">
        <f t="shared" ca="1" si="92"/>
        <v>314500</v>
      </c>
      <c r="G702" s="1" t="s">
        <v>70</v>
      </c>
      <c r="H702" s="26">
        <f t="shared" ca="1" si="90"/>
        <v>0.32256357650799705</v>
      </c>
      <c r="I702" s="4">
        <f>IF(G702="Yes",-$C$8,0)</f>
        <v>-500</v>
      </c>
      <c r="J702" s="4">
        <f>IF(G702="Yes",$C$8-I702,0)</f>
        <v>1000</v>
      </c>
      <c r="K702" s="4">
        <f ca="1">IF(H702&gt;=$C$4,J702+I702,I702)</f>
        <v>500</v>
      </c>
      <c r="M702" s="61">
        <f t="shared" si="97"/>
        <v>559.20000000000005</v>
      </c>
      <c r="N702" s="61">
        <f t="shared" si="98"/>
        <v>139.79999999999995</v>
      </c>
      <c r="O702" s="4">
        <f t="shared" si="93"/>
        <v>279600</v>
      </c>
      <c r="P702" s="4">
        <f t="shared" si="94"/>
        <v>-69899.999999999971</v>
      </c>
      <c r="Q702" s="4">
        <f t="shared" si="95"/>
        <v>209700.00000000003</v>
      </c>
      <c r="R702" s="4">
        <f t="shared" si="96"/>
        <v>309700</v>
      </c>
    </row>
    <row r="703" spans="5:18" x14ac:dyDescent="0.25">
      <c r="E703" s="1">
        <f t="shared" si="91"/>
        <v>700</v>
      </c>
      <c r="F703" s="4">
        <f t="shared" ca="1" si="92"/>
        <v>314000</v>
      </c>
      <c r="G703" s="1" t="s">
        <v>70</v>
      </c>
      <c r="H703" s="26">
        <f t="shared" ca="1" si="90"/>
        <v>0.19303182247392137</v>
      </c>
      <c r="I703" s="4">
        <f>IF(G703="Yes",-$C$8,0)</f>
        <v>-500</v>
      </c>
      <c r="J703" s="4">
        <f>IF(G703="Yes",$C$8-I703,0)</f>
        <v>1000</v>
      </c>
      <c r="K703" s="4">
        <f ca="1">IF(H703&gt;=$C$4,J703+I703,I703)</f>
        <v>-500</v>
      </c>
      <c r="M703" s="61">
        <f t="shared" si="97"/>
        <v>560</v>
      </c>
      <c r="N703" s="61">
        <f t="shared" si="98"/>
        <v>140</v>
      </c>
      <c r="O703" s="4">
        <f t="shared" si="93"/>
        <v>280000</v>
      </c>
      <c r="P703" s="4">
        <f t="shared" si="94"/>
        <v>-70000</v>
      </c>
      <c r="Q703" s="4">
        <f t="shared" si="95"/>
        <v>210000</v>
      </c>
      <c r="R703" s="4">
        <f t="shared" si="96"/>
        <v>310000</v>
      </c>
    </row>
    <row r="704" spans="5:18" x14ac:dyDescent="0.25">
      <c r="E704" s="1">
        <f t="shared" si="91"/>
        <v>701</v>
      </c>
      <c r="F704" s="4">
        <f t="shared" ca="1" si="92"/>
        <v>313500</v>
      </c>
      <c r="G704" s="1" t="s">
        <v>70</v>
      </c>
      <c r="H704" s="26">
        <f t="shared" ca="1" si="90"/>
        <v>0.18802817482915013</v>
      </c>
      <c r="I704" s="4">
        <f>IF(G704="Yes",-$C$8,0)</f>
        <v>-500</v>
      </c>
      <c r="J704" s="4">
        <f>IF(G704="Yes",$C$8-I704,0)</f>
        <v>1000</v>
      </c>
      <c r="K704" s="4">
        <f ca="1">IF(H704&gt;=$C$4,J704+I704,I704)</f>
        <v>-500</v>
      </c>
      <c r="M704" s="61">
        <f t="shared" si="97"/>
        <v>560.80000000000007</v>
      </c>
      <c r="N704" s="61">
        <f t="shared" si="98"/>
        <v>140.19999999999993</v>
      </c>
      <c r="O704" s="4">
        <f t="shared" si="93"/>
        <v>280400.00000000006</v>
      </c>
      <c r="P704" s="4">
        <f t="shared" si="94"/>
        <v>-70099.999999999971</v>
      </c>
      <c r="Q704" s="4">
        <f t="shared" si="95"/>
        <v>210300.00000000009</v>
      </c>
      <c r="R704" s="4">
        <f t="shared" si="96"/>
        <v>310300.00000000012</v>
      </c>
    </row>
    <row r="705" spans="5:18" x14ac:dyDescent="0.25">
      <c r="E705" s="1">
        <f t="shared" si="91"/>
        <v>702</v>
      </c>
      <c r="F705" s="4">
        <f t="shared" ca="1" si="92"/>
        <v>314000</v>
      </c>
      <c r="G705" s="1" t="s">
        <v>70</v>
      </c>
      <c r="H705" s="26">
        <f t="shared" ca="1" si="90"/>
        <v>0.24996032080275443</v>
      </c>
      <c r="I705" s="4">
        <f>IF(G705="Yes",-$C$8,0)</f>
        <v>-500</v>
      </c>
      <c r="J705" s="4">
        <f>IF(G705="Yes",$C$8-I705,0)</f>
        <v>1000</v>
      </c>
      <c r="K705" s="4">
        <f ca="1">IF(H705&gt;=$C$4,J705+I705,I705)</f>
        <v>500</v>
      </c>
      <c r="M705" s="61">
        <f t="shared" si="97"/>
        <v>561.6</v>
      </c>
      <c r="N705" s="61">
        <f t="shared" si="98"/>
        <v>140.39999999999998</v>
      </c>
      <c r="O705" s="4">
        <f t="shared" si="93"/>
        <v>280800</v>
      </c>
      <c r="P705" s="4">
        <f t="shared" si="94"/>
        <v>-70199.999999999985</v>
      </c>
      <c r="Q705" s="4">
        <f t="shared" si="95"/>
        <v>210600</v>
      </c>
      <c r="R705" s="4">
        <f t="shared" si="96"/>
        <v>310600</v>
      </c>
    </row>
    <row r="706" spans="5:18" x14ac:dyDescent="0.25">
      <c r="E706" s="1">
        <f t="shared" si="91"/>
        <v>703</v>
      </c>
      <c r="F706" s="4">
        <f t="shared" ca="1" si="92"/>
        <v>314500</v>
      </c>
      <c r="G706" s="1" t="s">
        <v>70</v>
      </c>
      <c r="H706" s="26">
        <f t="shared" ca="1" si="90"/>
        <v>0.88336020361000711</v>
      </c>
      <c r="I706" s="4">
        <f>IF(G706="Yes",-$C$8,0)</f>
        <v>-500</v>
      </c>
      <c r="J706" s="4">
        <f>IF(G706="Yes",$C$8-I706,0)</f>
        <v>1000</v>
      </c>
      <c r="K706" s="4">
        <f ca="1">IF(H706&gt;=$C$4,J706+I706,I706)</f>
        <v>500</v>
      </c>
      <c r="M706" s="61">
        <f t="shared" si="97"/>
        <v>562.4</v>
      </c>
      <c r="N706" s="61">
        <f t="shared" si="98"/>
        <v>140.60000000000002</v>
      </c>
      <c r="O706" s="4">
        <f t="shared" si="93"/>
        <v>281200</v>
      </c>
      <c r="P706" s="4">
        <f t="shared" si="94"/>
        <v>-70300.000000000015</v>
      </c>
      <c r="Q706" s="4">
        <f t="shared" si="95"/>
        <v>210900</v>
      </c>
      <c r="R706" s="4">
        <f t="shared" si="96"/>
        <v>310900</v>
      </c>
    </row>
    <row r="707" spans="5:18" x14ac:dyDescent="0.25">
      <c r="E707" s="1">
        <f t="shared" si="91"/>
        <v>704</v>
      </c>
      <c r="F707" s="4">
        <f t="shared" ca="1" si="92"/>
        <v>314000</v>
      </c>
      <c r="G707" s="1" t="s">
        <v>70</v>
      </c>
      <c r="H707" s="26">
        <f t="shared" ca="1" si="90"/>
        <v>9.6044011178556432E-2</v>
      </c>
      <c r="I707" s="4">
        <f>IF(G707="Yes",-$C$8,0)</f>
        <v>-500</v>
      </c>
      <c r="J707" s="4">
        <f>IF(G707="Yes",$C$8-I707,0)</f>
        <v>1000</v>
      </c>
      <c r="K707" s="4">
        <f ca="1">IF(H707&gt;=$C$4,J707+I707,I707)</f>
        <v>-500</v>
      </c>
      <c r="M707" s="61">
        <f t="shared" si="97"/>
        <v>563.20000000000005</v>
      </c>
      <c r="N707" s="61">
        <f t="shared" si="98"/>
        <v>140.79999999999995</v>
      </c>
      <c r="O707" s="4">
        <f t="shared" si="93"/>
        <v>281600</v>
      </c>
      <c r="P707" s="4">
        <f t="shared" si="94"/>
        <v>-70399.999999999971</v>
      </c>
      <c r="Q707" s="4">
        <f t="shared" si="95"/>
        <v>211200.00000000003</v>
      </c>
      <c r="R707" s="4">
        <f t="shared" si="96"/>
        <v>311200</v>
      </c>
    </row>
    <row r="708" spans="5:18" x14ac:dyDescent="0.25">
      <c r="E708" s="1">
        <f t="shared" si="91"/>
        <v>705</v>
      </c>
      <c r="F708" s="4">
        <f t="shared" ca="1" si="92"/>
        <v>314500</v>
      </c>
      <c r="G708" s="1" t="s">
        <v>70</v>
      </c>
      <c r="H708" s="26">
        <f t="shared" ref="H708:H771" ca="1" si="99">RAND()</f>
        <v>0.53893419665239928</v>
      </c>
      <c r="I708" s="4">
        <f>IF(G708="Yes",-$C$8,0)</f>
        <v>-500</v>
      </c>
      <c r="J708" s="4">
        <f>IF(G708="Yes",$C$8-I708,0)</f>
        <v>1000</v>
      </c>
      <c r="K708" s="4">
        <f ca="1">IF(H708&gt;=$C$4,J708+I708,I708)</f>
        <v>500</v>
      </c>
      <c r="M708" s="61">
        <f t="shared" si="97"/>
        <v>564</v>
      </c>
      <c r="N708" s="61">
        <f t="shared" si="98"/>
        <v>141</v>
      </c>
      <c r="O708" s="4">
        <f t="shared" si="93"/>
        <v>282000</v>
      </c>
      <c r="P708" s="4">
        <f t="shared" si="94"/>
        <v>-70500</v>
      </c>
      <c r="Q708" s="4">
        <f t="shared" si="95"/>
        <v>211500</v>
      </c>
      <c r="R708" s="4">
        <f t="shared" si="96"/>
        <v>311500</v>
      </c>
    </row>
    <row r="709" spans="5:18" x14ac:dyDescent="0.25">
      <c r="E709" s="1">
        <f t="shared" ref="E709:E772" si="100">E708+1</f>
        <v>706</v>
      </c>
      <c r="F709" s="4">
        <f t="shared" ref="F709:F772" ca="1" si="101">F708+K709</f>
        <v>314000</v>
      </c>
      <c r="G709" s="1" t="s">
        <v>70</v>
      </c>
      <c r="H709" s="26">
        <f t="shared" ca="1" si="99"/>
        <v>5.3998768975295208E-2</v>
      </c>
      <c r="I709" s="4">
        <f>IF(G709="Yes",-$C$8,0)</f>
        <v>-500</v>
      </c>
      <c r="J709" s="4">
        <f>IF(G709="Yes",$C$8-I709,0)</f>
        <v>1000</v>
      </c>
      <c r="K709" s="4">
        <f ca="1">IF(H709&gt;=$C$4,J709+I709,I709)</f>
        <v>-500</v>
      </c>
      <c r="M709" s="61">
        <f t="shared" si="97"/>
        <v>564.80000000000007</v>
      </c>
      <c r="N709" s="61">
        <f t="shared" si="98"/>
        <v>141.19999999999993</v>
      </c>
      <c r="O709" s="4">
        <f t="shared" ref="O709:O772" si="102">M709*$C$8</f>
        <v>282400.00000000006</v>
      </c>
      <c r="P709" s="4">
        <f t="shared" ref="P709:P772" si="103">N709*(-$C$8)</f>
        <v>-70599.999999999971</v>
      </c>
      <c r="Q709" s="4">
        <f t="shared" ref="Q709:Q772" si="104">O709+P709</f>
        <v>211800.00000000009</v>
      </c>
      <c r="R709" s="4">
        <f t="shared" ref="R709:R772" si="105">$C$7+Q709</f>
        <v>311800.00000000012</v>
      </c>
    </row>
    <row r="710" spans="5:18" x14ac:dyDescent="0.25">
      <c r="E710" s="1">
        <f t="shared" si="100"/>
        <v>707</v>
      </c>
      <c r="F710" s="4">
        <f t="shared" ca="1" si="101"/>
        <v>313500</v>
      </c>
      <c r="G710" s="1" t="s">
        <v>70</v>
      </c>
      <c r="H710" s="26">
        <f t="shared" ca="1" si="99"/>
        <v>4.6895917422595579E-2</v>
      </c>
      <c r="I710" s="4">
        <f>IF(G710="Yes",-$C$8,0)</f>
        <v>-500</v>
      </c>
      <c r="J710" s="4">
        <f>IF(G710="Yes",$C$8-I710,0)</f>
        <v>1000</v>
      </c>
      <c r="K710" s="4">
        <f ca="1">IF(H710&gt;=$C$4,J710+I710,I710)</f>
        <v>-500</v>
      </c>
      <c r="M710" s="61">
        <f t="shared" si="97"/>
        <v>565.6</v>
      </c>
      <c r="N710" s="61">
        <f t="shared" si="98"/>
        <v>141.39999999999998</v>
      </c>
      <c r="O710" s="4">
        <f t="shared" si="102"/>
        <v>282800</v>
      </c>
      <c r="P710" s="4">
        <f t="shared" si="103"/>
        <v>-70699.999999999985</v>
      </c>
      <c r="Q710" s="4">
        <f t="shared" si="104"/>
        <v>212100</v>
      </c>
      <c r="R710" s="4">
        <f t="shared" si="105"/>
        <v>312100</v>
      </c>
    </row>
    <row r="711" spans="5:18" x14ac:dyDescent="0.25">
      <c r="E711" s="1">
        <f t="shared" si="100"/>
        <v>708</v>
      </c>
      <c r="F711" s="4">
        <f t="shared" ca="1" si="101"/>
        <v>313000</v>
      </c>
      <c r="G711" s="1" t="s">
        <v>70</v>
      </c>
      <c r="H711" s="26">
        <f t="shared" ca="1" si="99"/>
        <v>0.16988760642213807</v>
      </c>
      <c r="I711" s="4">
        <f>IF(G711="Yes",-$C$8,0)</f>
        <v>-500</v>
      </c>
      <c r="J711" s="4">
        <f>IF(G711="Yes",$C$8-I711,0)</f>
        <v>1000</v>
      </c>
      <c r="K711" s="4">
        <f ca="1">IF(H711&gt;=$C$4,J711+I711,I711)</f>
        <v>-500</v>
      </c>
      <c r="M711" s="61">
        <f t="shared" si="97"/>
        <v>566.4</v>
      </c>
      <c r="N711" s="61">
        <f t="shared" si="98"/>
        <v>141.60000000000002</v>
      </c>
      <c r="O711" s="4">
        <f t="shared" si="102"/>
        <v>283200</v>
      </c>
      <c r="P711" s="4">
        <f t="shared" si="103"/>
        <v>-70800.000000000015</v>
      </c>
      <c r="Q711" s="4">
        <f t="shared" si="104"/>
        <v>212400</v>
      </c>
      <c r="R711" s="4">
        <f t="shared" si="105"/>
        <v>312400</v>
      </c>
    </row>
    <row r="712" spans="5:18" x14ac:dyDescent="0.25">
      <c r="E712" s="1">
        <f t="shared" si="100"/>
        <v>709</v>
      </c>
      <c r="F712" s="4">
        <f t="shared" ca="1" si="101"/>
        <v>312500</v>
      </c>
      <c r="G712" s="1" t="s">
        <v>70</v>
      </c>
      <c r="H712" s="26">
        <f t="shared" ca="1" si="99"/>
        <v>0.19683451064752988</v>
      </c>
      <c r="I712" s="4">
        <f>IF(G712="Yes",-$C$8,0)</f>
        <v>-500</v>
      </c>
      <c r="J712" s="4">
        <f>IF(G712="Yes",$C$8-I712,0)</f>
        <v>1000</v>
      </c>
      <c r="K712" s="4">
        <f ca="1">IF(H712&gt;=$C$4,J712+I712,I712)</f>
        <v>-500</v>
      </c>
      <c r="M712" s="61">
        <f t="shared" si="97"/>
        <v>567.20000000000005</v>
      </c>
      <c r="N712" s="61">
        <f t="shared" si="98"/>
        <v>141.79999999999995</v>
      </c>
      <c r="O712" s="4">
        <f t="shared" si="102"/>
        <v>283600</v>
      </c>
      <c r="P712" s="4">
        <f t="shared" si="103"/>
        <v>-70899.999999999971</v>
      </c>
      <c r="Q712" s="4">
        <f t="shared" si="104"/>
        <v>212700.00000000003</v>
      </c>
      <c r="R712" s="4">
        <f t="shared" si="105"/>
        <v>312700</v>
      </c>
    </row>
    <row r="713" spans="5:18" x14ac:dyDescent="0.25">
      <c r="E713" s="1">
        <f t="shared" si="100"/>
        <v>710</v>
      </c>
      <c r="F713" s="4">
        <f t="shared" ca="1" si="101"/>
        <v>313000</v>
      </c>
      <c r="G713" s="1" t="s">
        <v>70</v>
      </c>
      <c r="H713" s="26">
        <f t="shared" ca="1" si="99"/>
        <v>0.60406432895477014</v>
      </c>
      <c r="I713" s="4">
        <f>IF(G713="Yes",-$C$8,0)</f>
        <v>-500</v>
      </c>
      <c r="J713" s="4">
        <f>IF(G713="Yes",$C$8-I713,0)</f>
        <v>1000</v>
      </c>
      <c r="K713" s="4">
        <f ca="1">IF(H713&gt;=$C$4,J713+I713,I713)</f>
        <v>500</v>
      </c>
      <c r="M713" s="61">
        <f t="shared" si="97"/>
        <v>568</v>
      </c>
      <c r="N713" s="61">
        <f t="shared" si="98"/>
        <v>142</v>
      </c>
      <c r="O713" s="4">
        <f t="shared" si="102"/>
        <v>284000</v>
      </c>
      <c r="P713" s="4">
        <f t="shared" si="103"/>
        <v>-71000</v>
      </c>
      <c r="Q713" s="4">
        <f t="shared" si="104"/>
        <v>213000</v>
      </c>
      <c r="R713" s="4">
        <f t="shared" si="105"/>
        <v>313000</v>
      </c>
    </row>
    <row r="714" spans="5:18" x14ac:dyDescent="0.25">
      <c r="E714" s="1">
        <f t="shared" si="100"/>
        <v>711</v>
      </c>
      <c r="F714" s="4">
        <f t="shared" ca="1" si="101"/>
        <v>313500</v>
      </c>
      <c r="G714" s="1" t="s">
        <v>70</v>
      </c>
      <c r="H714" s="26">
        <f t="shared" ca="1" si="99"/>
        <v>0.23357494194213146</v>
      </c>
      <c r="I714" s="4">
        <f>IF(G714="Yes",-$C$8,0)</f>
        <v>-500</v>
      </c>
      <c r="J714" s="4">
        <f>IF(G714="Yes",$C$8-I714,0)</f>
        <v>1000</v>
      </c>
      <c r="K714" s="4">
        <f ca="1">IF(H714&gt;=$C$4,J714+I714,I714)</f>
        <v>500</v>
      </c>
      <c r="M714" s="61">
        <f t="shared" si="97"/>
        <v>568.80000000000007</v>
      </c>
      <c r="N714" s="61">
        <f t="shared" si="98"/>
        <v>142.19999999999993</v>
      </c>
      <c r="O714" s="4">
        <f t="shared" si="102"/>
        <v>284400.00000000006</v>
      </c>
      <c r="P714" s="4">
        <f t="shared" si="103"/>
        <v>-71099.999999999971</v>
      </c>
      <c r="Q714" s="4">
        <f t="shared" si="104"/>
        <v>213300.00000000009</v>
      </c>
      <c r="R714" s="4">
        <f t="shared" si="105"/>
        <v>313300.00000000012</v>
      </c>
    </row>
    <row r="715" spans="5:18" x14ac:dyDescent="0.25">
      <c r="E715" s="1">
        <f t="shared" si="100"/>
        <v>712</v>
      </c>
      <c r="F715" s="4">
        <f t="shared" ca="1" si="101"/>
        <v>314000</v>
      </c>
      <c r="G715" s="1" t="s">
        <v>70</v>
      </c>
      <c r="H715" s="26">
        <f t="shared" ca="1" si="99"/>
        <v>0.3414401717811375</v>
      </c>
      <c r="I715" s="4">
        <f>IF(G715="Yes",-$C$8,0)</f>
        <v>-500</v>
      </c>
      <c r="J715" s="4">
        <f>IF(G715="Yes",$C$8-I715,0)</f>
        <v>1000</v>
      </c>
      <c r="K715" s="4">
        <f ca="1">IF(H715&gt;=$C$4,J715+I715,I715)</f>
        <v>500</v>
      </c>
      <c r="M715" s="61">
        <f t="shared" si="97"/>
        <v>569.6</v>
      </c>
      <c r="N715" s="61">
        <f t="shared" si="98"/>
        <v>142.39999999999998</v>
      </c>
      <c r="O715" s="4">
        <f t="shared" si="102"/>
        <v>284800</v>
      </c>
      <c r="P715" s="4">
        <f t="shared" si="103"/>
        <v>-71199.999999999985</v>
      </c>
      <c r="Q715" s="4">
        <f t="shared" si="104"/>
        <v>213600</v>
      </c>
      <c r="R715" s="4">
        <f t="shared" si="105"/>
        <v>313600</v>
      </c>
    </row>
    <row r="716" spans="5:18" x14ac:dyDescent="0.25">
      <c r="E716" s="1">
        <f t="shared" si="100"/>
        <v>713</v>
      </c>
      <c r="F716" s="4">
        <f t="shared" ca="1" si="101"/>
        <v>314500</v>
      </c>
      <c r="G716" s="1" t="s">
        <v>70</v>
      </c>
      <c r="H716" s="26">
        <f t="shared" ca="1" si="99"/>
        <v>0.60593413136695373</v>
      </c>
      <c r="I716" s="4">
        <f>IF(G716="Yes",-$C$8,0)</f>
        <v>-500</v>
      </c>
      <c r="J716" s="4">
        <f>IF(G716="Yes",$C$8-I716,0)</f>
        <v>1000</v>
      </c>
      <c r="K716" s="4">
        <f ca="1">IF(H716&gt;=$C$4,J716+I716,I716)</f>
        <v>500</v>
      </c>
      <c r="M716" s="61">
        <f t="shared" si="97"/>
        <v>570.4</v>
      </c>
      <c r="N716" s="61">
        <f t="shared" si="98"/>
        <v>142.60000000000002</v>
      </c>
      <c r="O716" s="4">
        <f t="shared" si="102"/>
        <v>285200</v>
      </c>
      <c r="P716" s="4">
        <f t="shared" si="103"/>
        <v>-71300.000000000015</v>
      </c>
      <c r="Q716" s="4">
        <f t="shared" si="104"/>
        <v>213900</v>
      </c>
      <c r="R716" s="4">
        <f t="shared" si="105"/>
        <v>313900</v>
      </c>
    </row>
    <row r="717" spans="5:18" x14ac:dyDescent="0.25">
      <c r="E717" s="1">
        <f t="shared" si="100"/>
        <v>714</v>
      </c>
      <c r="F717" s="4">
        <f t="shared" ca="1" si="101"/>
        <v>315000</v>
      </c>
      <c r="G717" s="1" t="s">
        <v>70</v>
      </c>
      <c r="H717" s="26">
        <f t="shared" ca="1" si="99"/>
        <v>0.21018139378314138</v>
      </c>
      <c r="I717" s="4">
        <f>IF(G717="Yes",-$C$8,0)</f>
        <v>-500</v>
      </c>
      <c r="J717" s="4">
        <f>IF(G717="Yes",$C$8-I717,0)</f>
        <v>1000</v>
      </c>
      <c r="K717" s="4">
        <f ca="1">IF(H717&gt;=$C$4,J717+I717,I717)</f>
        <v>500</v>
      </c>
      <c r="M717" s="61">
        <f t="shared" si="97"/>
        <v>571.20000000000005</v>
      </c>
      <c r="N717" s="61">
        <f t="shared" si="98"/>
        <v>142.79999999999995</v>
      </c>
      <c r="O717" s="4">
        <f t="shared" si="102"/>
        <v>285600</v>
      </c>
      <c r="P717" s="4">
        <f t="shared" si="103"/>
        <v>-71399.999999999971</v>
      </c>
      <c r="Q717" s="4">
        <f t="shared" si="104"/>
        <v>214200.00000000003</v>
      </c>
      <c r="R717" s="4">
        <f t="shared" si="105"/>
        <v>314200</v>
      </c>
    </row>
    <row r="718" spans="5:18" x14ac:dyDescent="0.25">
      <c r="E718" s="1">
        <f t="shared" si="100"/>
        <v>715</v>
      </c>
      <c r="F718" s="4">
        <f t="shared" ca="1" si="101"/>
        <v>315500</v>
      </c>
      <c r="G718" s="1" t="s">
        <v>70</v>
      </c>
      <c r="H718" s="26">
        <f t="shared" ca="1" si="99"/>
        <v>0.92717805832692435</v>
      </c>
      <c r="I718" s="4">
        <f>IF(G718="Yes",-$C$8,0)</f>
        <v>-500</v>
      </c>
      <c r="J718" s="4">
        <f>IF(G718="Yes",$C$8-I718,0)</f>
        <v>1000</v>
      </c>
      <c r="K718" s="4">
        <f ca="1">IF(H718&gt;=$C$4,J718+I718,I718)</f>
        <v>500</v>
      </c>
      <c r="M718" s="61">
        <f t="shared" ref="M718:M781" si="106">E718*$C$3</f>
        <v>572</v>
      </c>
      <c r="N718" s="61">
        <f t="shared" ref="N718:N781" si="107">E718-M718</f>
        <v>143</v>
      </c>
      <c r="O718" s="4">
        <f t="shared" si="102"/>
        <v>286000</v>
      </c>
      <c r="P718" s="4">
        <f t="shared" si="103"/>
        <v>-71500</v>
      </c>
      <c r="Q718" s="4">
        <f t="shared" si="104"/>
        <v>214500</v>
      </c>
      <c r="R718" s="4">
        <f t="shared" si="105"/>
        <v>314500</v>
      </c>
    </row>
    <row r="719" spans="5:18" x14ac:dyDescent="0.25">
      <c r="E719" s="1">
        <f t="shared" si="100"/>
        <v>716</v>
      </c>
      <c r="F719" s="4">
        <f t="shared" ca="1" si="101"/>
        <v>315000</v>
      </c>
      <c r="G719" s="1" t="s">
        <v>70</v>
      </c>
      <c r="H719" s="26">
        <f t="shared" ca="1" si="99"/>
        <v>0.1861349639434442</v>
      </c>
      <c r="I719" s="4">
        <f>IF(G719="Yes",-$C$8,0)</f>
        <v>-500</v>
      </c>
      <c r="J719" s="4">
        <f>IF(G719="Yes",$C$8-I719,0)</f>
        <v>1000</v>
      </c>
      <c r="K719" s="4">
        <f ca="1">IF(H719&gt;=$C$4,J719+I719,I719)</f>
        <v>-500</v>
      </c>
      <c r="M719" s="61">
        <f t="shared" si="106"/>
        <v>572.80000000000007</v>
      </c>
      <c r="N719" s="61">
        <f t="shared" si="107"/>
        <v>143.19999999999993</v>
      </c>
      <c r="O719" s="4">
        <f t="shared" si="102"/>
        <v>286400.00000000006</v>
      </c>
      <c r="P719" s="4">
        <f t="shared" si="103"/>
        <v>-71599.999999999971</v>
      </c>
      <c r="Q719" s="4">
        <f t="shared" si="104"/>
        <v>214800.00000000009</v>
      </c>
      <c r="R719" s="4">
        <f t="shared" si="105"/>
        <v>314800.00000000012</v>
      </c>
    </row>
    <row r="720" spans="5:18" x14ac:dyDescent="0.25">
      <c r="E720" s="1">
        <f t="shared" si="100"/>
        <v>717</v>
      </c>
      <c r="F720" s="4">
        <f t="shared" ca="1" si="101"/>
        <v>315500</v>
      </c>
      <c r="G720" s="1" t="s">
        <v>70</v>
      </c>
      <c r="H720" s="26">
        <f t="shared" ca="1" si="99"/>
        <v>0.49409590209268728</v>
      </c>
      <c r="I720" s="4">
        <f>IF(G720="Yes",-$C$8,0)</f>
        <v>-500</v>
      </c>
      <c r="J720" s="4">
        <f>IF(G720="Yes",$C$8-I720,0)</f>
        <v>1000</v>
      </c>
      <c r="K720" s="4">
        <f ca="1">IF(H720&gt;=$C$4,J720+I720,I720)</f>
        <v>500</v>
      </c>
      <c r="M720" s="61">
        <f t="shared" si="106"/>
        <v>573.6</v>
      </c>
      <c r="N720" s="61">
        <f t="shared" si="107"/>
        <v>143.39999999999998</v>
      </c>
      <c r="O720" s="4">
        <f t="shared" si="102"/>
        <v>286800</v>
      </c>
      <c r="P720" s="4">
        <f t="shared" si="103"/>
        <v>-71699.999999999985</v>
      </c>
      <c r="Q720" s="4">
        <f t="shared" si="104"/>
        <v>215100</v>
      </c>
      <c r="R720" s="4">
        <f t="shared" si="105"/>
        <v>315100</v>
      </c>
    </row>
    <row r="721" spans="5:18" x14ac:dyDescent="0.25">
      <c r="E721" s="1">
        <f t="shared" si="100"/>
        <v>718</v>
      </c>
      <c r="F721" s="4">
        <f t="shared" ca="1" si="101"/>
        <v>315000</v>
      </c>
      <c r="G721" s="1" t="s">
        <v>70</v>
      </c>
      <c r="H721" s="26">
        <f t="shared" ca="1" si="99"/>
        <v>6.3291210137096154E-2</v>
      </c>
      <c r="I721" s="4">
        <f>IF(G721="Yes",-$C$8,0)</f>
        <v>-500</v>
      </c>
      <c r="J721" s="4">
        <f>IF(G721="Yes",$C$8-I721,0)</f>
        <v>1000</v>
      </c>
      <c r="K721" s="4">
        <f ca="1">IF(H721&gt;=$C$4,J721+I721,I721)</f>
        <v>-500</v>
      </c>
      <c r="M721" s="61">
        <f t="shared" si="106"/>
        <v>574.4</v>
      </c>
      <c r="N721" s="61">
        <f t="shared" si="107"/>
        <v>143.60000000000002</v>
      </c>
      <c r="O721" s="4">
        <f t="shared" si="102"/>
        <v>287200</v>
      </c>
      <c r="P721" s="4">
        <f t="shared" si="103"/>
        <v>-71800.000000000015</v>
      </c>
      <c r="Q721" s="4">
        <f t="shared" si="104"/>
        <v>215400</v>
      </c>
      <c r="R721" s="4">
        <f t="shared" si="105"/>
        <v>315400</v>
      </c>
    </row>
    <row r="722" spans="5:18" x14ac:dyDescent="0.25">
      <c r="E722" s="1">
        <f t="shared" si="100"/>
        <v>719</v>
      </c>
      <c r="F722" s="4">
        <f t="shared" ca="1" si="101"/>
        <v>315500</v>
      </c>
      <c r="G722" s="1" t="s">
        <v>70</v>
      </c>
      <c r="H722" s="26">
        <f t="shared" ca="1" si="99"/>
        <v>0.33777100008020122</v>
      </c>
      <c r="I722" s="4">
        <f>IF(G722="Yes",-$C$8,0)</f>
        <v>-500</v>
      </c>
      <c r="J722" s="4">
        <f>IF(G722="Yes",$C$8-I722,0)</f>
        <v>1000</v>
      </c>
      <c r="K722" s="4">
        <f ca="1">IF(H722&gt;=$C$4,J722+I722,I722)</f>
        <v>500</v>
      </c>
      <c r="M722" s="61">
        <f t="shared" si="106"/>
        <v>575.20000000000005</v>
      </c>
      <c r="N722" s="61">
        <f t="shared" si="107"/>
        <v>143.79999999999995</v>
      </c>
      <c r="O722" s="4">
        <f t="shared" si="102"/>
        <v>287600</v>
      </c>
      <c r="P722" s="4">
        <f t="shared" si="103"/>
        <v>-71899.999999999971</v>
      </c>
      <c r="Q722" s="4">
        <f t="shared" si="104"/>
        <v>215700.00000000003</v>
      </c>
      <c r="R722" s="4">
        <f t="shared" si="105"/>
        <v>315700</v>
      </c>
    </row>
    <row r="723" spans="5:18" x14ac:dyDescent="0.25">
      <c r="E723" s="1">
        <f t="shared" si="100"/>
        <v>720</v>
      </c>
      <c r="F723" s="4">
        <f t="shared" ca="1" si="101"/>
        <v>316000</v>
      </c>
      <c r="G723" s="1" t="s">
        <v>70</v>
      </c>
      <c r="H723" s="26">
        <f t="shared" ca="1" si="99"/>
        <v>0.57428701580062869</v>
      </c>
      <c r="I723" s="4">
        <f>IF(G723="Yes",-$C$8,0)</f>
        <v>-500</v>
      </c>
      <c r="J723" s="4">
        <f>IF(G723="Yes",$C$8-I723,0)</f>
        <v>1000</v>
      </c>
      <c r="K723" s="4">
        <f ca="1">IF(H723&gt;=$C$4,J723+I723,I723)</f>
        <v>500</v>
      </c>
      <c r="M723" s="61">
        <f t="shared" si="106"/>
        <v>576</v>
      </c>
      <c r="N723" s="61">
        <f t="shared" si="107"/>
        <v>144</v>
      </c>
      <c r="O723" s="4">
        <f t="shared" si="102"/>
        <v>288000</v>
      </c>
      <c r="P723" s="4">
        <f t="shared" si="103"/>
        <v>-72000</v>
      </c>
      <c r="Q723" s="4">
        <f t="shared" si="104"/>
        <v>216000</v>
      </c>
      <c r="R723" s="4">
        <f t="shared" si="105"/>
        <v>316000</v>
      </c>
    </row>
    <row r="724" spans="5:18" x14ac:dyDescent="0.25">
      <c r="E724" s="1">
        <f t="shared" si="100"/>
        <v>721</v>
      </c>
      <c r="F724" s="4">
        <f t="shared" ca="1" si="101"/>
        <v>316500</v>
      </c>
      <c r="G724" s="1" t="s">
        <v>70</v>
      </c>
      <c r="H724" s="26">
        <f t="shared" ca="1" si="99"/>
        <v>0.46541535846265847</v>
      </c>
      <c r="I724" s="4">
        <f>IF(G724="Yes",-$C$8,0)</f>
        <v>-500</v>
      </c>
      <c r="J724" s="4">
        <f>IF(G724="Yes",$C$8-I724,0)</f>
        <v>1000</v>
      </c>
      <c r="K724" s="4">
        <f ca="1">IF(H724&gt;=$C$4,J724+I724,I724)</f>
        <v>500</v>
      </c>
      <c r="M724" s="61">
        <f t="shared" si="106"/>
        <v>576.80000000000007</v>
      </c>
      <c r="N724" s="61">
        <f t="shared" si="107"/>
        <v>144.19999999999993</v>
      </c>
      <c r="O724" s="4">
        <f t="shared" si="102"/>
        <v>288400.00000000006</v>
      </c>
      <c r="P724" s="4">
        <f t="shared" si="103"/>
        <v>-72099.999999999971</v>
      </c>
      <c r="Q724" s="4">
        <f t="shared" si="104"/>
        <v>216300.00000000009</v>
      </c>
      <c r="R724" s="4">
        <f t="shared" si="105"/>
        <v>316300.00000000012</v>
      </c>
    </row>
    <row r="725" spans="5:18" x14ac:dyDescent="0.25">
      <c r="E725" s="1">
        <f t="shared" si="100"/>
        <v>722</v>
      </c>
      <c r="F725" s="4">
        <f t="shared" ca="1" si="101"/>
        <v>317000</v>
      </c>
      <c r="G725" s="1" t="s">
        <v>70</v>
      </c>
      <c r="H725" s="26">
        <f t="shared" ca="1" si="99"/>
        <v>0.91805368393664222</v>
      </c>
      <c r="I725" s="4">
        <f>IF(G725="Yes",-$C$8,0)</f>
        <v>-500</v>
      </c>
      <c r="J725" s="4">
        <f>IF(G725="Yes",$C$8-I725,0)</f>
        <v>1000</v>
      </c>
      <c r="K725" s="4">
        <f ca="1">IF(H725&gt;=$C$4,J725+I725,I725)</f>
        <v>500</v>
      </c>
      <c r="M725" s="61">
        <f t="shared" si="106"/>
        <v>577.6</v>
      </c>
      <c r="N725" s="61">
        <f t="shared" si="107"/>
        <v>144.39999999999998</v>
      </c>
      <c r="O725" s="4">
        <f t="shared" si="102"/>
        <v>288800</v>
      </c>
      <c r="P725" s="4">
        <f t="shared" si="103"/>
        <v>-72199.999999999985</v>
      </c>
      <c r="Q725" s="4">
        <f t="shared" si="104"/>
        <v>216600</v>
      </c>
      <c r="R725" s="4">
        <f t="shared" si="105"/>
        <v>316600</v>
      </c>
    </row>
    <row r="726" spans="5:18" x14ac:dyDescent="0.25">
      <c r="E726" s="1">
        <f t="shared" si="100"/>
        <v>723</v>
      </c>
      <c r="F726" s="4">
        <f t="shared" ca="1" si="101"/>
        <v>317500</v>
      </c>
      <c r="G726" s="1" t="s">
        <v>70</v>
      </c>
      <c r="H726" s="26">
        <f t="shared" ca="1" si="99"/>
        <v>0.20628787307907204</v>
      </c>
      <c r="I726" s="4">
        <f>IF(G726="Yes",-$C$8,0)</f>
        <v>-500</v>
      </c>
      <c r="J726" s="4">
        <f>IF(G726="Yes",$C$8-I726,0)</f>
        <v>1000</v>
      </c>
      <c r="K726" s="4">
        <f ca="1">IF(H726&gt;=$C$4,J726+I726,I726)</f>
        <v>500</v>
      </c>
      <c r="M726" s="61">
        <f t="shared" si="106"/>
        <v>578.4</v>
      </c>
      <c r="N726" s="61">
        <f t="shared" si="107"/>
        <v>144.60000000000002</v>
      </c>
      <c r="O726" s="4">
        <f t="shared" si="102"/>
        <v>289200</v>
      </c>
      <c r="P726" s="4">
        <f t="shared" si="103"/>
        <v>-72300.000000000015</v>
      </c>
      <c r="Q726" s="4">
        <f t="shared" si="104"/>
        <v>216900</v>
      </c>
      <c r="R726" s="4">
        <f t="shared" si="105"/>
        <v>316900</v>
      </c>
    </row>
    <row r="727" spans="5:18" x14ac:dyDescent="0.25">
      <c r="E727" s="1">
        <f t="shared" si="100"/>
        <v>724</v>
      </c>
      <c r="F727" s="4">
        <f t="shared" ca="1" si="101"/>
        <v>318000</v>
      </c>
      <c r="G727" s="1" t="s">
        <v>70</v>
      </c>
      <c r="H727" s="26">
        <f t="shared" ca="1" si="99"/>
        <v>0.73273487200063325</v>
      </c>
      <c r="I727" s="4">
        <f>IF(G727="Yes",-$C$8,0)</f>
        <v>-500</v>
      </c>
      <c r="J727" s="4">
        <f>IF(G727="Yes",$C$8-I727,0)</f>
        <v>1000</v>
      </c>
      <c r="K727" s="4">
        <f ca="1">IF(H727&gt;=$C$4,J727+I727,I727)</f>
        <v>500</v>
      </c>
      <c r="M727" s="61">
        <f t="shared" si="106"/>
        <v>579.20000000000005</v>
      </c>
      <c r="N727" s="61">
        <f t="shared" si="107"/>
        <v>144.79999999999995</v>
      </c>
      <c r="O727" s="4">
        <f t="shared" si="102"/>
        <v>289600</v>
      </c>
      <c r="P727" s="4">
        <f t="shared" si="103"/>
        <v>-72399.999999999971</v>
      </c>
      <c r="Q727" s="4">
        <f t="shared" si="104"/>
        <v>217200.00000000003</v>
      </c>
      <c r="R727" s="4">
        <f t="shared" si="105"/>
        <v>317200</v>
      </c>
    </row>
    <row r="728" spans="5:18" x14ac:dyDescent="0.25">
      <c r="E728" s="1">
        <f t="shared" si="100"/>
        <v>725</v>
      </c>
      <c r="F728" s="4">
        <f t="shared" ca="1" si="101"/>
        <v>318500</v>
      </c>
      <c r="G728" s="1" t="s">
        <v>70</v>
      </c>
      <c r="H728" s="26">
        <f t="shared" ca="1" si="99"/>
        <v>0.35211793236672018</v>
      </c>
      <c r="I728" s="4">
        <f>IF(G728="Yes",-$C$8,0)</f>
        <v>-500</v>
      </c>
      <c r="J728" s="4">
        <f>IF(G728="Yes",$C$8-I728,0)</f>
        <v>1000</v>
      </c>
      <c r="K728" s="4">
        <f ca="1">IF(H728&gt;=$C$4,J728+I728,I728)</f>
        <v>500</v>
      </c>
      <c r="M728" s="61">
        <f t="shared" si="106"/>
        <v>580</v>
      </c>
      <c r="N728" s="61">
        <f t="shared" si="107"/>
        <v>145</v>
      </c>
      <c r="O728" s="4">
        <f t="shared" si="102"/>
        <v>290000</v>
      </c>
      <c r="P728" s="4">
        <f t="shared" si="103"/>
        <v>-72500</v>
      </c>
      <c r="Q728" s="4">
        <f t="shared" si="104"/>
        <v>217500</v>
      </c>
      <c r="R728" s="4">
        <f t="shared" si="105"/>
        <v>317500</v>
      </c>
    </row>
    <row r="729" spans="5:18" x14ac:dyDescent="0.25">
      <c r="E729" s="1">
        <f t="shared" si="100"/>
        <v>726</v>
      </c>
      <c r="F729" s="4">
        <f t="shared" ca="1" si="101"/>
        <v>318000</v>
      </c>
      <c r="G729" s="1" t="s">
        <v>70</v>
      </c>
      <c r="H729" s="26">
        <f t="shared" ca="1" si="99"/>
        <v>6.4752263603101823E-2</v>
      </c>
      <c r="I729" s="4">
        <f>IF(G729="Yes",-$C$8,0)</f>
        <v>-500</v>
      </c>
      <c r="J729" s="4">
        <f>IF(G729="Yes",$C$8-I729,0)</f>
        <v>1000</v>
      </c>
      <c r="K729" s="4">
        <f ca="1">IF(H729&gt;=$C$4,J729+I729,I729)</f>
        <v>-500</v>
      </c>
      <c r="M729" s="61">
        <f t="shared" si="106"/>
        <v>580.80000000000007</v>
      </c>
      <c r="N729" s="61">
        <f t="shared" si="107"/>
        <v>145.19999999999993</v>
      </c>
      <c r="O729" s="4">
        <f t="shared" si="102"/>
        <v>290400.00000000006</v>
      </c>
      <c r="P729" s="4">
        <f t="shared" si="103"/>
        <v>-72599.999999999971</v>
      </c>
      <c r="Q729" s="4">
        <f t="shared" si="104"/>
        <v>217800.00000000009</v>
      </c>
      <c r="R729" s="4">
        <f t="shared" si="105"/>
        <v>317800.00000000012</v>
      </c>
    </row>
    <row r="730" spans="5:18" x14ac:dyDescent="0.25">
      <c r="E730" s="1">
        <f t="shared" si="100"/>
        <v>727</v>
      </c>
      <c r="F730" s="4">
        <f t="shared" ca="1" si="101"/>
        <v>318500</v>
      </c>
      <c r="G730" s="1" t="s">
        <v>70</v>
      </c>
      <c r="H730" s="26">
        <f t="shared" ca="1" si="99"/>
        <v>0.97714803171961728</v>
      </c>
      <c r="I730" s="4">
        <f>IF(G730="Yes",-$C$8,0)</f>
        <v>-500</v>
      </c>
      <c r="J730" s="4">
        <f>IF(G730="Yes",$C$8-I730,0)</f>
        <v>1000</v>
      </c>
      <c r="K730" s="4">
        <f ca="1">IF(H730&gt;=$C$4,J730+I730,I730)</f>
        <v>500</v>
      </c>
      <c r="M730" s="61">
        <f t="shared" si="106"/>
        <v>581.6</v>
      </c>
      <c r="N730" s="61">
        <f t="shared" si="107"/>
        <v>145.39999999999998</v>
      </c>
      <c r="O730" s="4">
        <f t="shared" si="102"/>
        <v>290800</v>
      </c>
      <c r="P730" s="4">
        <f t="shared" si="103"/>
        <v>-72699.999999999985</v>
      </c>
      <c r="Q730" s="4">
        <f t="shared" si="104"/>
        <v>218100</v>
      </c>
      <c r="R730" s="4">
        <f t="shared" si="105"/>
        <v>318100</v>
      </c>
    </row>
    <row r="731" spans="5:18" x14ac:dyDescent="0.25">
      <c r="E731" s="1">
        <f t="shared" si="100"/>
        <v>728</v>
      </c>
      <c r="F731" s="4">
        <f t="shared" ca="1" si="101"/>
        <v>318000</v>
      </c>
      <c r="G731" s="1" t="s">
        <v>70</v>
      </c>
      <c r="H731" s="26">
        <f t="shared" ca="1" si="99"/>
        <v>9.3620976267707379E-2</v>
      </c>
      <c r="I731" s="4">
        <f>IF(G731="Yes",-$C$8,0)</f>
        <v>-500</v>
      </c>
      <c r="J731" s="4">
        <f>IF(G731="Yes",$C$8-I731,0)</f>
        <v>1000</v>
      </c>
      <c r="K731" s="4">
        <f ca="1">IF(H731&gt;=$C$4,J731+I731,I731)</f>
        <v>-500</v>
      </c>
      <c r="M731" s="61">
        <f t="shared" si="106"/>
        <v>582.4</v>
      </c>
      <c r="N731" s="61">
        <f t="shared" si="107"/>
        <v>145.60000000000002</v>
      </c>
      <c r="O731" s="4">
        <f t="shared" si="102"/>
        <v>291200</v>
      </c>
      <c r="P731" s="4">
        <f t="shared" si="103"/>
        <v>-72800.000000000015</v>
      </c>
      <c r="Q731" s="4">
        <f t="shared" si="104"/>
        <v>218400</v>
      </c>
      <c r="R731" s="4">
        <f t="shared" si="105"/>
        <v>318400</v>
      </c>
    </row>
    <row r="732" spans="5:18" x14ac:dyDescent="0.25">
      <c r="E732" s="1">
        <f t="shared" si="100"/>
        <v>729</v>
      </c>
      <c r="F732" s="4">
        <f t="shared" ca="1" si="101"/>
        <v>318500</v>
      </c>
      <c r="G732" s="1" t="s">
        <v>70</v>
      </c>
      <c r="H732" s="26">
        <f t="shared" ca="1" si="99"/>
        <v>0.47914475909587317</v>
      </c>
      <c r="I732" s="4">
        <f>IF(G732="Yes",-$C$8,0)</f>
        <v>-500</v>
      </c>
      <c r="J732" s="4">
        <f>IF(G732="Yes",$C$8-I732,0)</f>
        <v>1000</v>
      </c>
      <c r="K732" s="4">
        <f ca="1">IF(H732&gt;=$C$4,J732+I732,I732)</f>
        <v>500</v>
      </c>
      <c r="M732" s="61">
        <f t="shared" si="106"/>
        <v>583.20000000000005</v>
      </c>
      <c r="N732" s="61">
        <f t="shared" si="107"/>
        <v>145.79999999999995</v>
      </c>
      <c r="O732" s="4">
        <f t="shared" si="102"/>
        <v>291600</v>
      </c>
      <c r="P732" s="4">
        <f t="shared" si="103"/>
        <v>-72899.999999999971</v>
      </c>
      <c r="Q732" s="4">
        <f t="shared" si="104"/>
        <v>218700.00000000003</v>
      </c>
      <c r="R732" s="4">
        <f t="shared" si="105"/>
        <v>318700</v>
      </c>
    </row>
    <row r="733" spans="5:18" x14ac:dyDescent="0.25">
      <c r="E733" s="1">
        <f t="shared" si="100"/>
        <v>730</v>
      </c>
      <c r="F733" s="4">
        <f t="shared" ca="1" si="101"/>
        <v>319000</v>
      </c>
      <c r="G733" s="1" t="s">
        <v>70</v>
      </c>
      <c r="H733" s="26">
        <f t="shared" ca="1" si="99"/>
        <v>0.20532751296305096</v>
      </c>
      <c r="I733" s="4">
        <f>IF(G733="Yes",-$C$8,0)</f>
        <v>-500</v>
      </c>
      <c r="J733" s="4">
        <f>IF(G733="Yes",$C$8-I733,0)</f>
        <v>1000</v>
      </c>
      <c r="K733" s="4">
        <f ca="1">IF(H733&gt;=$C$4,J733+I733,I733)</f>
        <v>500</v>
      </c>
      <c r="M733" s="61">
        <f t="shared" si="106"/>
        <v>584</v>
      </c>
      <c r="N733" s="61">
        <f t="shared" si="107"/>
        <v>146</v>
      </c>
      <c r="O733" s="4">
        <f t="shared" si="102"/>
        <v>292000</v>
      </c>
      <c r="P733" s="4">
        <f t="shared" si="103"/>
        <v>-73000</v>
      </c>
      <c r="Q733" s="4">
        <f t="shared" si="104"/>
        <v>219000</v>
      </c>
      <c r="R733" s="4">
        <f t="shared" si="105"/>
        <v>319000</v>
      </c>
    </row>
    <row r="734" spans="5:18" x14ac:dyDescent="0.25">
      <c r="E734" s="1">
        <f t="shared" si="100"/>
        <v>731</v>
      </c>
      <c r="F734" s="4">
        <f t="shared" ca="1" si="101"/>
        <v>319500</v>
      </c>
      <c r="G734" s="1" t="s">
        <v>70</v>
      </c>
      <c r="H734" s="26">
        <f t="shared" ca="1" si="99"/>
        <v>0.81562441238571393</v>
      </c>
      <c r="I734" s="4">
        <f>IF(G734="Yes",-$C$8,0)</f>
        <v>-500</v>
      </c>
      <c r="J734" s="4">
        <f>IF(G734="Yes",$C$8-I734,0)</f>
        <v>1000</v>
      </c>
      <c r="K734" s="4">
        <f ca="1">IF(H734&gt;=$C$4,J734+I734,I734)</f>
        <v>500</v>
      </c>
      <c r="M734" s="61">
        <f t="shared" si="106"/>
        <v>584.80000000000007</v>
      </c>
      <c r="N734" s="61">
        <f t="shared" si="107"/>
        <v>146.19999999999993</v>
      </c>
      <c r="O734" s="4">
        <f t="shared" si="102"/>
        <v>292400.00000000006</v>
      </c>
      <c r="P734" s="4">
        <f t="shared" si="103"/>
        <v>-73099.999999999971</v>
      </c>
      <c r="Q734" s="4">
        <f t="shared" si="104"/>
        <v>219300.00000000009</v>
      </c>
      <c r="R734" s="4">
        <f t="shared" si="105"/>
        <v>319300.00000000012</v>
      </c>
    </row>
    <row r="735" spans="5:18" x14ac:dyDescent="0.25">
      <c r="E735" s="1">
        <f t="shared" si="100"/>
        <v>732</v>
      </c>
      <c r="F735" s="4">
        <f t="shared" ca="1" si="101"/>
        <v>320000</v>
      </c>
      <c r="G735" s="1" t="s">
        <v>70</v>
      </c>
      <c r="H735" s="26">
        <f t="shared" ca="1" si="99"/>
        <v>0.34396083672923905</v>
      </c>
      <c r="I735" s="4">
        <f>IF(G735="Yes",-$C$8,0)</f>
        <v>-500</v>
      </c>
      <c r="J735" s="4">
        <f>IF(G735="Yes",$C$8-I735,0)</f>
        <v>1000</v>
      </c>
      <c r="K735" s="4">
        <f ca="1">IF(H735&gt;=$C$4,J735+I735,I735)</f>
        <v>500</v>
      </c>
      <c r="M735" s="61">
        <f t="shared" si="106"/>
        <v>585.6</v>
      </c>
      <c r="N735" s="61">
        <f t="shared" si="107"/>
        <v>146.39999999999998</v>
      </c>
      <c r="O735" s="4">
        <f t="shared" si="102"/>
        <v>292800</v>
      </c>
      <c r="P735" s="4">
        <f t="shared" si="103"/>
        <v>-73199.999999999985</v>
      </c>
      <c r="Q735" s="4">
        <f t="shared" si="104"/>
        <v>219600</v>
      </c>
      <c r="R735" s="4">
        <f t="shared" si="105"/>
        <v>319600</v>
      </c>
    </row>
    <row r="736" spans="5:18" x14ac:dyDescent="0.25">
      <c r="E736" s="1">
        <f t="shared" si="100"/>
        <v>733</v>
      </c>
      <c r="F736" s="4">
        <f t="shared" ca="1" si="101"/>
        <v>320500</v>
      </c>
      <c r="G736" s="1" t="s">
        <v>70</v>
      </c>
      <c r="H736" s="26">
        <f t="shared" ca="1" si="99"/>
        <v>0.95666051930669871</v>
      </c>
      <c r="I736" s="4">
        <f>IF(G736="Yes",-$C$8,0)</f>
        <v>-500</v>
      </c>
      <c r="J736" s="4">
        <f>IF(G736="Yes",$C$8-I736,0)</f>
        <v>1000</v>
      </c>
      <c r="K736" s="4">
        <f ca="1">IF(H736&gt;=$C$4,J736+I736,I736)</f>
        <v>500</v>
      </c>
      <c r="M736" s="61">
        <f t="shared" si="106"/>
        <v>586.4</v>
      </c>
      <c r="N736" s="61">
        <f t="shared" si="107"/>
        <v>146.60000000000002</v>
      </c>
      <c r="O736" s="4">
        <f t="shared" si="102"/>
        <v>293200</v>
      </c>
      <c r="P736" s="4">
        <f t="shared" si="103"/>
        <v>-73300.000000000015</v>
      </c>
      <c r="Q736" s="4">
        <f t="shared" si="104"/>
        <v>219900</v>
      </c>
      <c r="R736" s="4">
        <f t="shared" si="105"/>
        <v>319900</v>
      </c>
    </row>
    <row r="737" spans="5:18" x14ac:dyDescent="0.25">
      <c r="E737" s="1">
        <f t="shared" si="100"/>
        <v>734</v>
      </c>
      <c r="F737" s="4">
        <f t="shared" ca="1" si="101"/>
        <v>320000</v>
      </c>
      <c r="G737" s="1" t="s">
        <v>70</v>
      </c>
      <c r="H737" s="26">
        <f t="shared" ca="1" si="99"/>
        <v>0.10295077378025674</v>
      </c>
      <c r="I737" s="4">
        <f>IF(G737="Yes",-$C$8,0)</f>
        <v>-500</v>
      </c>
      <c r="J737" s="4">
        <f>IF(G737="Yes",$C$8-I737,0)</f>
        <v>1000</v>
      </c>
      <c r="K737" s="4">
        <f ca="1">IF(H737&gt;=$C$4,J737+I737,I737)</f>
        <v>-500</v>
      </c>
      <c r="M737" s="61">
        <f t="shared" si="106"/>
        <v>587.20000000000005</v>
      </c>
      <c r="N737" s="61">
        <f t="shared" si="107"/>
        <v>146.79999999999995</v>
      </c>
      <c r="O737" s="4">
        <f t="shared" si="102"/>
        <v>293600</v>
      </c>
      <c r="P737" s="4">
        <f t="shared" si="103"/>
        <v>-73399.999999999971</v>
      </c>
      <c r="Q737" s="4">
        <f t="shared" si="104"/>
        <v>220200.00000000003</v>
      </c>
      <c r="R737" s="4">
        <f t="shared" si="105"/>
        <v>320200</v>
      </c>
    </row>
    <row r="738" spans="5:18" x14ac:dyDescent="0.25">
      <c r="E738" s="1">
        <f t="shared" si="100"/>
        <v>735</v>
      </c>
      <c r="F738" s="4">
        <f t="shared" ca="1" si="101"/>
        <v>319500</v>
      </c>
      <c r="G738" s="1" t="s">
        <v>70</v>
      </c>
      <c r="H738" s="26">
        <f t="shared" ca="1" si="99"/>
        <v>6.2507227247825536E-3</v>
      </c>
      <c r="I738" s="4">
        <f>IF(G738="Yes",-$C$8,0)</f>
        <v>-500</v>
      </c>
      <c r="J738" s="4">
        <f>IF(G738="Yes",$C$8-I738,0)</f>
        <v>1000</v>
      </c>
      <c r="K738" s="4">
        <f ca="1">IF(H738&gt;=$C$4,J738+I738,I738)</f>
        <v>-500</v>
      </c>
      <c r="M738" s="61">
        <f t="shared" si="106"/>
        <v>588</v>
      </c>
      <c r="N738" s="61">
        <f t="shared" si="107"/>
        <v>147</v>
      </c>
      <c r="O738" s="4">
        <f t="shared" si="102"/>
        <v>294000</v>
      </c>
      <c r="P738" s="4">
        <f t="shared" si="103"/>
        <v>-73500</v>
      </c>
      <c r="Q738" s="4">
        <f t="shared" si="104"/>
        <v>220500</v>
      </c>
      <c r="R738" s="4">
        <f t="shared" si="105"/>
        <v>320500</v>
      </c>
    </row>
    <row r="739" spans="5:18" x14ac:dyDescent="0.25">
      <c r="E739" s="1">
        <f t="shared" si="100"/>
        <v>736</v>
      </c>
      <c r="F739" s="4">
        <f t="shared" ca="1" si="101"/>
        <v>320000</v>
      </c>
      <c r="G739" s="1" t="s">
        <v>70</v>
      </c>
      <c r="H739" s="26">
        <f t="shared" ca="1" si="99"/>
        <v>0.51566103431223809</v>
      </c>
      <c r="I739" s="4">
        <f>IF(G739="Yes",-$C$8,0)</f>
        <v>-500</v>
      </c>
      <c r="J739" s="4">
        <f>IF(G739="Yes",$C$8-I739,0)</f>
        <v>1000</v>
      </c>
      <c r="K739" s="4">
        <f ca="1">IF(H739&gt;=$C$4,J739+I739,I739)</f>
        <v>500</v>
      </c>
      <c r="M739" s="61">
        <f t="shared" si="106"/>
        <v>588.80000000000007</v>
      </c>
      <c r="N739" s="61">
        <f t="shared" si="107"/>
        <v>147.19999999999993</v>
      </c>
      <c r="O739" s="4">
        <f t="shared" si="102"/>
        <v>294400.00000000006</v>
      </c>
      <c r="P739" s="4">
        <f t="shared" si="103"/>
        <v>-73599.999999999971</v>
      </c>
      <c r="Q739" s="4">
        <f t="shared" si="104"/>
        <v>220800.00000000009</v>
      </c>
      <c r="R739" s="4">
        <f t="shared" si="105"/>
        <v>320800.00000000012</v>
      </c>
    </row>
    <row r="740" spans="5:18" x14ac:dyDescent="0.25">
      <c r="E740" s="1">
        <f t="shared" si="100"/>
        <v>737</v>
      </c>
      <c r="F740" s="4">
        <f t="shared" ca="1" si="101"/>
        <v>319500</v>
      </c>
      <c r="G740" s="1" t="s">
        <v>70</v>
      </c>
      <c r="H740" s="26">
        <f t="shared" ca="1" si="99"/>
        <v>5.7991895417119244E-2</v>
      </c>
      <c r="I740" s="4">
        <f>IF(G740="Yes",-$C$8,0)</f>
        <v>-500</v>
      </c>
      <c r="J740" s="4">
        <f>IF(G740="Yes",$C$8-I740,0)</f>
        <v>1000</v>
      </c>
      <c r="K740" s="4">
        <f ca="1">IF(H740&gt;=$C$4,J740+I740,I740)</f>
        <v>-500</v>
      </c>
      <c r="M740" s="61">
        <f t="shared" si="106"/>
        <v>589.6</v>
      </c>
      <c r="N740" s="61">
        <f t="shared" si="107"/>
        <v>147.39999999999998</v>
      </c>
      <c r="O740" s="4">
        <f t="shared" si="102"/>
        <v>294800</v>
      </c>
      <c r="P740" s="4">
        <f t="shared" si="103"/>
        <v>-73699.999999999985</v>
      </c>
      <c r="Q740" s="4">
        <f t="shared" si="104"/>
        <v>221100</v>
      </c>
      <c r="R740" s="4">
        <f t="shared" si="105"/>
        <v>321100</v>
      </c>
    </row>
    <row r="741" spans="5:18" x14ac:dyDescent="0.25">
      <c r="E741" s="1">
        <f t="shared" si="100"/>
        <v>738</v>
      </c>
      <c r="F741" s="4">
        <f t="shared" ca="1" si="101"/>
        <v>320000</v>
      </c>
      <c r="G741" s="1" t="s">
        <v>70</v>
      </c>
      <c r="H741" s="26">
        <f t="shared" ca="1" si="99"/>
        <v>0.21947051026270648</v>
      </c>
      <c r="I741" s="4">
        <f>IF(G741="Yes",-$C$8,0)</f>
        <v>-500</v>
      </c>
      <c r="J741" s="4">
        <f>IF(G741="Yes",$C$8-I741,0)</f>
        <v>1000</v>
      </c>
      <c r="K741" s="4">
        <f ca="1">IF(H741&gt;=$C$4,J741+I741,I741)</f>
        <v>500</v>
      </c>
      <c r="M741" s="61">
        <f t="shared" si="106"/>
        <v>590.4</v>
      </c>
      <c r="N741" s="61">
        <f t="shared" si="107"/>
        <v>147.60000000000002</v>
      </c>
      <c r="O741" s="4">
        <f t="shared" si="102"/>
        <v>295200</v>
      </c>
      <c r="P741" s="4">
        <f t="shared" si="103"/>
        <v>-73800.000000000015</v>
      </c>
      <c r="Q741" s="4">
        <f t="shared" si="104"/>
        <v>221400</v>
      </c>
      <c r="R741" s="4">
        <f t="shared" si="105"/>
        <v>321400</v>
      </c>
    </row>
    <row r="742" spans="5:18" x14ac:dyDescent="0.25">
      <c r="E742" s="1">
        <f t="shared" si="100"/>
        <v>739</v>
      </c>
      <c r="F742" s="4">
        <f t="shared" ca="1" si="101"/>
        <v>319500</v>
      </c>
      <c r="G742" s="1" t="s">
        <v>70</v>
      </c>
      <c r="H742" s="26">
        <f t="shared" ca="1" si="99"/>
        <v>0.18836620141900684</v>
      </c>
      <c r="I742" s="4">
        <f>IF(G742="Yes",-$C$8,0)</f>
        <v>-500</v>
      </c>
      <c r="J742" s="4">
        <f>IF(G742="Yes",$C$8-I742,0)</f>
        <v>1000</v>
      </c>
      <c r="K742" s="4">
        <f ca="1">IF(H742&gt;=$C$4,J742+I742,I742)</f>
        <v>-500</v>
      </c>
      <c r="M742" s="61">
        <f t="shared" si="106"/>
        <v>591.20000000000005</v>
      </c>
      <c r="N742" s="61">
        <f t="shared" si="107"/>
        <v>147.79999999999995</v>
      </c>
      <c r="O742" s="4">
        <f t="shared" si="102"/>
        <v>295600</v>
      </c>
      <c r="P742" s="4">
        <f t="shared" si="103"/>
        <v>-73899.999999999971</v>
      </c>
      <c r="Q742" s="4">
        <f t="shared" si="104"/>
        <v>221700.00000000003</v>
      </c>
      <c r="R742" s="4">
        <f t="shared" si="105"/>
        <v>321700</v>
      </c>
    </row>
    <row r="743" spans="5:18" x14ac:dyDescent="0.25">
      <c r="E743" s="1">
        <f t="shared" si="100"/>
        <v>740</v>
      </c>
      <c r="F743" s="4">
        <f t="shared" ca="1" si="101"/>
        <v>320000</v>
      </c>
      <c r="G743" s="1" t="s">
        <v>70</v>
      </c>
      <c r="H743" s="26">
        <f t="shared" ca="1" si="99"/>
        <v>0.42312511769509531</v>
      </c>
      <c r="I743" s="4">
        <f>IF(G743="Yes",-$C$8,0)</f>
        <v>-500</v>
      </c>
      <c r="J743" s="4">
        <f>IF(G743="Yes",$C$8-I743,0)</f>
        <v>1000</v>
      </c>
      <c r="K743" s="4">
        <f ca="1">IF(H743&gt;=$C$4,J743+I743,I743)</f>
        <v>500</v>
      </c>
      <c r="M743" s="61">
        <f t="shared" si="106"/>
        <v>592</v>
      </c>
      <c r="N743" s="61">
        <f t="shared" si="107"/>
        <v>148</v>
      </c>
      <c r="O743" s="4">
        <f t="shared" si="102"/>
        <v>296000</v>
      </c>
      <c r="P743" s="4">
        <f t="shared" si="103"/>
        <v>-74000</v>
      </c>
      <c r="Q743" s="4">
        <f t="shared" si="104"/>
        <v>222000</v>
      </c>
      <c r="R743" s="4">
        <f t="shared" si="105"/>
        <v>322000</v>
      </c>
    </row>
    <row r="744" spans="5:18" x14ac:dyDescent="0.25">
      <c r="E744" s="1">
        <f t="shared" si="100"/>
        <v>741</v>
      </c>
      <c r="F744" s="4">
        <f t="shared" ca="1" si="101"/>
        <v>320500</v>
      </c>
      <c r="G744" s="1" t="s">
        <v>70</v>
      </c>
      <c r="H744" s="26">
        <f t="shared" ca="1" si="99"/>
        <v>0.40588763844173548</v>
      </c>
      <c r="I744" s="4">
        <f>IF(G744="Yes",-$C$8,0)</f>
        <v>-500</v>
      </c>
      <c r="J744" s="4">
        <f>IF(G744="Yes",$C$8-I744,0)</f>
        <v>1000</v>
      </c>
      <c r="K744" s="4">
        <f ca="1">IF(H744&gt;=$C$4,J744+I744,I744)</f>
        <v>500</v>
      </c>
      <c r="M744" s="61">
        <f t="shared" si="106"/>
        <v>592.80000000000007</v>
      </c>
      <c r="N744" s="61">
        <f t="shared" si="107"/>
        <v>148.19999999999993</v>
      </c>
      <c r="O744" s="4">
        <f t="shared" si="102"/>
        <v>296400.00000000006</v>
      </c>
      <c r="P744" s="4">
        <f t="shared" si="103"/>
        <v>-74099.999999999971</v>
      </c>
      <c r="Q744" s="4">
        <f t="shared" si="104"/>
        <v>222300.00000000009</v>
      </c>
      <c r="R744" s="4">
        <f t="shared" si="105"/>
        <v>322300.00000000012</v>
      </c>
    </row>
    <row r="745" spans="5:18" x14ac:dyDescent="0.25">
      <c r="E745" s="1">
        <f t="shared" si="100"/>
        <v>742</v>
      </c>
      <c r="F745" s="4">
        <f t="shared" ca="1" si="101"/>
        <v>321000</v>
      </c>
      <c r="G745" s="1" t="s">
        <v>70</v>
      </c>
      <c r="H745" s="26">
        <f t="shared" ca="1" si="99"/>
        <v>0.65084648040400872</v>
      </c>
      <c r="I745" s="4">
        <f>IF(G745="Yes",-$C$8,0)</f>
        <v>-500</v>
      </c>
      <c r="J745" s="4">
        <f>IF(G745="Yes",$C$8-I745,0)</f>
        <v>1000</v>
      </c>
      <c r="K745" s="4">
        <f ca="1">IF(H745&gt;=$C$4,J745+I745,I745)</f>
        <v>500</v>
      </c>
      <c r="M745" s="61">
        <f t="shared" si="106"/>
        <v>593.6</v>
      </c>
      <c r="N745" s="61">
        <f t="shared" si="107"/>
        <v>148.39999999999998</v>
      </c>
      <c r="O745" s="4">
        <f t="shared" si="102"/>
        <v>296800</v>
      </c>
      <c r="P745" s="4">
        <f t="shared" si="103"/>
        <v>-74199.999999999985</v>
      </c>
      <c r="Q745" s="4">
        <f t="shared" si="104"/>
        <v>222600</v>
      </c>
      <c r="R745" s="4">
        <f t="shared" si="105"/>
        <v>322600</v>
      </c>
    </row>
    <row r="746" spans="5:18" x14ac:dyDescent="0.25">
      <c r="E746" s="1">
        <f t="shared" si="100"/>
        <v>743</v>
      </c>
      <c r="F746" s="4">
        <f t="shared" ca="1" si="101"/>
        <v>321500</v>
      </c>
      <c r="G746" s="1" t="s">
        <v>70</v>
      </c>
      <c r="H746" s="26">
        <f t="shared" ca="1" si="99"/>
        <v>0.29773588637070469</v>
      </c>
      <c r="I746" s="4">
        <f>IF(G746="Yes",-$C$8,0)</f>
        <v>-500</v>
      </c>
      <c r="J746" s="4">
        <f>IF(G746="Yes",$C$8-I746,0)</f>
        <v>1000</v>
      </c>
      <c r="K746" s="4">
        <f ca="1">IF(H746&gt;=$C$4,J746+I746,I746)</f>
        <v>500</v>
      </c>
      <c r="M746" s="61">
        <f t="shared" si="106"/>
        <v>594.4</v>
      </c>
      <c r="N746" s="61">
        <f t="shared" si="107"/>
        <v>148.60000000000002</v>
      </c>
      <c r="O746" s="4">
        <f t="shared" si="102"/>
        <v>297200</v>
      </c>
      <c r="P746" s="4">
        <f t="shared" si="103"/>
        <v>-74300.000000000015</v>
      </c>
      <c r="Q746" s="4">
        <f t="shared" si="104"/>
        <v>222900</v>
      </c>
      <c r="R746" s="4">
        <f t="shared" si="105"/>
        <v>322900</v>
      </c>
    </row>
    <row r="747" spans="5:18" x14ac:dyDescent="0.25">
      <c r="E747" s="1">
        <f t="shared" si="100"/>
        <v>744</v>
      </c>
      <c r="F747" s="4">
        <f t="shared" ca="1" si="101"/>
        <v>322000</v>
      </c>
      <c r="G747" s="1" t="s">
        <v>70</v>
      </c>
      <c r="H747" s="26">
        <f t="shared" ca="1" si="99"/>
        <v>0.95310272374471849</v>
      </c>
      <c r="I747" s="4">
        <f>IF(G747="Yes",-$C$8,0)</f>
        <v>-500</v>
      </c>
      <c r="J747" s="4">
        <f>IF(G747="Yes",$C$8-I747,0)</f>
        <v>1000</v>
      </c>
      <c r="K747" s="4">
        <f ca="1">IF(H747&gt;=$C$4,J747+I747,I747)</f>
        <v>500</v>
      </c>
      <c r="M747" s="61">
        <f t="shared" si="106"/>
        <v>595.20000000000005</v>
      </c>
      <c r="N747" s="61">
        <f t="shared" si="107"/>
        <v>148.79999999999995</v>
      </c>
      <c r="O747" s="4">
        <f t="shared" si="102"/>
        <v>297600</v>
      </c>
      <c r="P747" s="4">
        <f t="shared" si="103"/>
        <v>-74399.999999999971</v>
      </c>
      <c r="Q747" s="4">
        <f t="shared" si="104"/>
        <v>223200.00000000003</v>
      </c>
      <c r="R747" s="4">
        <f t="shared" si="105"/>
        <v>323200</v>
      </c>
    </row>
    <row r="748" spans="5:18" x14ac:dyDescent="0.25">
      <c r="E748" s="1">
        <f t="shared" si="100"/>
        <v>745</v>
      </c>
      <c r="F748" s="4">
        <f t="shared" ca="1" si="101"/>
        <v>322500</v>
      </c>
      <c r="G748" s="1" t="s">
        <v>70</v>
      </c>
      <c r="H748" s="26">
        <f t="shared" ca="1" si="99"/>
        <v>0.87800996266558129</v>
      </c>
      <c r="I748" s="4">
        <f>IF(G748="Yes",-$C$8,0)</f>
        <v>-500</v>
      </c>
      <c r="J748" s="4">
        <f>IF(G748="Yes",$C$8-I748,0)</f>
        <v>1000</v>
      </c>
      <c r="K748" s="4">
        <f ca="1">IF(H748&gt;=$C$4,J748+I748,I748)</f>
        <v>500</v>
      </c>
      <c r="M748" s="61">
        <f t="shared" si="106"/>
        <v>596</v>
      </c>
      <c r="N748" s="61">
        <f t="shared" si="107"/>
        <v>149</v>
      </c>
      <c r="O748" s="4">
        <f t="shared" si="102"/>
        <v>298000</v>
      </c>
      <c r="P748" s="4">
        <f t="shared" si="103"/>
        <v>-74500</v>
      </c>
      <c r="Q748" s="4">
        <f t="shared" si="104"/>
        <v>223500</v>
      </c>
      <c r="R748" s="4">
        <f t="shared" si="105"/>
        <v>323500</v>
      </c>
    </row>
    <row r="749" spans="5:18" x14ac:dyDescent="0.25">
      <c r="E749" s="1">
        <f t="shared" si="100"/>
        <v>746</v>
      </c>
      <c r="F749" s="4">
        <f t="shared" ca="1" si="101"/>
        <v>323000</v>
      </c>
      <c r="G749" s="1" t="s">
        <v>70</v>
      </c>
      <c r="H749" s="26">
        <f t="shared" ca="1" si="99"/>
        <v>0.55534097620189504</v>
      </c>
      <c r="I749" s="4">
        <f>IF(G749="Yes",-$C$8,0)</f>
        <v>-500</v>
      </c>
      <c r="J749" s="4">
        <f>IF(G749="Yes",$C$8-I749,0)</f>
        <v>1000</v>
      </c>
      <c r="K749" s="4">
        <f ca="1">IF(H749&gt;=$C$4,J749+I749,I749)</f>
        <v>500</v>
      </c>
      <c r="M749" s="61">
        <f t="shared" si="106"/>
        <v>596.80000000000007</v>
      </c>
      <c r="N749" s="61">
        <f t="shared" si="107"/>
        <v>149.19999999999993</v>
      </c>
      <c r="O749" s="4">
        <f t="shared" si="102"/>
        <v>298400.00000000006</v>
      </c>
      <c r="P749" s="4">
        <f t="shared" si="103"/>
        <v>-74599.999999999971</v>
      </c>
      <c r="Q749" s="4">
        <f t="shared" si="104"/>
        <v>223800.00000000009</v>
      </c>
      <c r="R749" s="4">
        <f t="shared" si="105"/>
        <v>323800.00000000012</v>
      </c>
    </row>
    <row r="750" spans="5:18" x14ac:dyDescent="0.25">
      <c r="E750" s="1">
        <f t="shared" si="100"/>
        <v>747</v>
      </c>
      <c r="F750" s="4">
        <f t="shared" ca="1" si="101"/>
        <v>323500</v>
      </c>
      <c r="G750" s="1" t="s">
        <v>70</v>
      </c>
      <c r="H750" s="26">
        <f t="shared" ca="1" si="99"/>
        <v>0.37669585131988514</v>
      </c>
      <c r="I750" s="4">
        <f>IF(G750="Yes",-$C$8,0)</f>
        <v>-500</v>
      </c>
      <c r="J750" s="4">
        <f>IF(G750="Yes",$C$8-I750,0)</f>
        <v>1000</v>
      </c>
      <c r="K750" s="4">
        <f ca="1">IF(H750&gt;=$C$4,J750+I750,I750)</f>
        <v>500</v>
      </c>
      <c r="M750" s="61">
        <f t="shared" si="106"/>
        <v>597.6</v>
      </c>
      <c r="N750" s="61">
        <f t="shared" si="107"/>
        <v>149.39999999999998</v>
      </c>
      <c r="O750" s="4">
        <f t="shared" si="102"/>
        <v>298800</v>
      </c>
      <c r="P750" s="4">
        <f t="shared" si="103"/>
        <v>-74699.999999999985</v>
      </c>
      <c r="Q750" s="4">
        <f t="shared" si="104"/>
        <v>224100</v>
      </c>
      <c r="R750" s="4">
        <f t="shared" si="105"/>
        <v>324100</v>
      </c>
    </row>
    <row r="751" spans="5:18" x14ac:dyDescent="0.25">
      <c r="E751" s="1">
        <f t="shared" si="100"/>
        <v>748</v>
      </c>
      <c r="F751" s="4">
        <f t="shared" ca="1" si="101"/>
        <v>324000</v>
      </c>
      <c r="G751" s="1" t="s">
        <v>70</v>
      </c>
      <c r="H751" s="26">
        <f t="shared" ca="1" si="99"/>
        <v>0.53670931675838285</v>
      </c>
      <c r="I751" s="4">
        <f>IF(G751="Yes",-$C$8,0)</f>
        <v>-500</v>
      </c>
      <c r="J751" s="4">
        <f>IF(G751="Yes",$C$8-I751,0)</f>
        <v>1000</v>
      </c>
      <c r="K751" s="4">
        <f ca="1">IF(H751&gt;=$C$4,J751+I751,I751)</f>
        <v>500</v>
      </c>
      <c r="M751" s="61">
        <f t="shared" si="106"/>
        <v>598.4</v>
      </c>
      <c r="N751" s="61">
        <f t="shared" si="107"/>
        <v>149.60000000000002</v>
      </c>
      <c r="O751" s="4">
        <f t="shared" si="102"/>
        <v>299200</v>
      </c>
      <c r="P751" s="4">
        <f t="shared" si="103"/>
        <v>-74800.000000000015</v>
      </c>
      <c r="Q751" s="4">
        <f t="shared" si="104"/>
        <v>224400</v>
      </c>
      <c r="R751" s="4">
        <f t="shared" si="105"/>
        <v>324400</v>
      </c>
    </row>
    <row r="752" spans="5:18" x14ac:dyDescent="0.25">
      <c r="E752" s="1">
        <f t="shared" si="100"/>
        <v>749</v>
      </c>
      <c r="F752" s="4">
        <f t="shared" ca="1" si="101"/>
        <v>324500</v>
      </c>
      <c r="G752" s="1" t="s">
        <v>70</v>
      </c>
      <c r="H752" s="26">
        <f t="shared" ca="1" si="99"/>
        <v>0.25994435731584331</v>
      </c>
      <c r="I752" s="4">
        <f>IF(G752="Yes",-$C$8,0)</f>
        <v>-500</v>
      </c>
      <c r="J752" s="4">
        <f>IF(G752="Yes",$C$8-I752,0)</f>
        <v>1000</v>
      </c>
      <c r="K752" s="4">
        <f ca="1">IF(H752&gt;=$C$4,J752+I752,I752)</f>
        <v>500</v>
      </c>
      <c r="M752" s="61">
        <f t="shared" si="106"/>
        <v>599.20000000000005</v>
      </c>
      <c r="N752" s="61">
        <f t="shared" si="107"/>
        <v>149.79999999999995</v>
      </c>
      <c r="O752" s="4">
        <f t="shared" si="102"/>
        <v>299600</v>
      </c>
      <c r="P752" s="4">
        <f t="shared" si="103"/>
        <v>-74899.999999999971</v>
      </c>
      <c r="Q752" s="4">
        <f t="shared" si="104"/>
        <v>224700.00000000003</v>
      </c>
      <c r="R752" s="4">
        <f t="shared" si="105"/>
        <v>324700</v>
      </c>
    </row>
    <row r="753" spans="5:18" x14ac:dyDescent="0.25">
      <c r="E753" s="1">
        <f t="shared" si="100"/>
        <v>750</v>
      </c>
      <c r="F753" s="4">
        <f t="shared" ca="1" si="101"/>
        <v>325000</v>
      </c>
      <c r="G753" s="1" t="s">
        <v>70</v>
      </c>
      <c r="H753" s="26">
        <f t="shared" ca="1" si="99"/>
        <v>0.85696088981005014</v>
      </c>
      <c r="I753" s="4">
        <f>IF(G753="Yes",-$C$8,0)</f>
        <v>-500</v>
      </c>
      <c r="J753" s="4">
        <f>IF(G753="Yes",$C$8-I753,0)</f>
        <v>1000</v>
      </c>
      <c r="K753" s="4">
        <f ca="1">IF(H753&gt;=$C$4,J753+I753,I753)</f>
        <v>500</v>
      </c>
      <c r="M753" s="61">
        <f t="shared" si="106"/>
        <v>600</v>
      </c>
      <c r="N753" s="61">
        <f t="shared" si="107"/>
        <v>150</v>
      </c>
      <c r="O753" s="4">
        <f t="shared" si="102"/>
        <v>300000</v>
      </c>
      <c r="P753" s="4">
        <f t="shared" si="103"/>
        <v>-75000</v>
      </c>
      <c r="Q753" s="4">
        <f t="shared" si="104"/>
        <v>225000</v>
      </c>
      <c r="R753" s="4">
        <f t="shared" si="105"/>
        <v>325000</v>
      </c>
    </row>
    <row r="754" spans="5:18" x14ac:dyDescent="0.25">
      <c r="E754" s="1">
        <f t="shared" si="100"/>
        <v>751</v>
      </c>
      <c r="F754" s="4">
        <f t="shared" ca="1" si="101"/>
        <v>325500</v>
      </c>
      <c r="G754" s="1" t="s">
        <v>70</v>
      </c>
      <c r="H754" s="26">
        <f t="shared" ca="1" si="99"/>
        <v>0.48271952156658415</v>
      </c>
      <c r="I754" s="4">
        <f>IF(G754="Yes",-$C$8,0)</f>
        <v>-500</v>
      </c>
      <c r="J754" s="4">
        <f>IF(G754="Yes",$C$8-I754,0)</f>
        <v>1000</v>
      </c>
      <c r="K754" s="4">
        <f ca="1">IF(H754&gt;=$C$4,J754+I754,I754)</f>
        <v>500</v>
      </c>
      <c r="M754" s="61">
        <f t="shared" si="106"/>
        <v>600.80000000000007</v>
      </c>
      <c r="N754" s="61">
        <f t="shared" si="107"/>
        <v>150.19999999999993</v>
      </c>
      <c r="O754" s="4">
        <f t="shared" si="102"/>
        <v>300400.00000000006</v>
      </c>
      <c r="P754" s="4">
        <f t="shared" si="103"/>
        <v>-75099.999999999971</v>
      </c>
      <c r="Q754" s="4">
        <f t="shared" si="104"/>
        <v>225300.00000000009</v>
      </c>
      <c r="R754" s="4">
        <f t="shared" si="105"/>
        <v>325300.00000000012</v>
      </c>
    </row>
    <row r="755" spans="5:18" x14ac:dyDescent="0.25">
      <c r="E755" s="1">
        <f t="shared" si="100"/>
        <v>752</v>
      </c>
      <c r="F755" s="4">
        <f t="shared" ca="1" si="101"/>
        <v>325000</v>
      </c>
      <c r="G755" s="1" t="s">
        <v>70</v>
      </c>
      <c r="H755" s="26">
        <f t="shared" ca="1" si="99"/>
        <v>4.3780277850693494E-3</v>
      </c>
      <c r="I755" s="4">
        <f>IF(G755="Yes",-$C$8,0)</f>
        <v>-500</v>
      </c>
      <c r="J755" s="4">
        <f>IF(G755="Yes",$C$8-I755,0)</f>
        <v>1000</v>
      </c>
      <c r="K755" s="4">
        <f ca="1">IF(H755&gt;=$C$4,J755+I755,I755)</f>
        <v>-500</v>
      </c>
      <c r="M755" s="61">
        <f t="shared" si="106"/>
        <v>601.6</v>
      </c>
      <c r="N755" s="61">
        <f t="shared" si="107"/>
        <v>150.39999999999998</v>
      </c>
      <c r="O755" s="4">
        <f t="shared" si="102"/>
        <v>300800</v>
      </c>
      <c r="P755" s="4">
        <f t="shared" si="103"/>
        <v>-75199.999999999985</v>
      </c>
      <c r="Q755" s="4">
        <f t="shared" si="104"/>
        <v>225600</v>
      </c>
      <c r="R755" s="4">
        <f t="shared" si="105"/>
        <v>325600</v>
      </c>
    </row>
    <row r="756" spans="5:18" x14ac:dyDescent="0.25">
      <c r="E756" s="1">
        <f t="shared" si="100"/>
        <v>753</v>
      </c>
      <c r="F756" s="4">
        <f t="shared" ca="1" si="101"/>
        <v>325500</v>
      </c>
      <c r="G756" s="1" t="s">
        <v>70</v>
      </c>
      <c r="H756" s="26">
        <f t="shared" ca="1" si="99"/>
        <v>0.67550487943067294</v>
      </c>
      <c r="I756" s="4">
        <f>IF(G756="Yes",-$C$8,0)</f>
        <v>-500</v>
      </c>
      <c r="J756" s="4">
        <f>IF(G756="Yes",$C$8-I756,0)</f>
        <v>1000</v>
      </c>
      <c r="K756" s="4">
        <f ca="1">IF(H756&gt;=$C$4,J756+I756,I756)</f>
        <v>500</v>
      </c>
      <c r="M756" s="61">
        <f t="shared" si="106"/>
        <v>602.4</v>
      </c>
      <c r="N756" s="61">
        <f t="shared" si="107"/>
        <v>150.60000000000002</v>
      </c>
      <c r="O756" s="4">
        <f t="shared" si="102"/>
        <v>301200</v>
      </c>
      <c r="P756" s="4">
        <f t="shared" si="103"/>
        <v>-75300.000000000015</v>
      </c>
      <c r="Q756" s="4">
        <f t="shared" si="104"/>
        <v>225900</v>
      </c>
      <c r="R756" s="4">
        <f t="shared" si="105"/>
        <v>325900</v>
      </c>
    </row>
    <row r="757" spans="5:18" x14ac:dyDescent="0.25">
      <c r="E757" s="1">
        <f t="shared" si="100"/>
        <v>754</v>
      </c>
      <c r="F757" s="4">
        <f t="shared" ca="1" si="101"/>
        <v>325000</v>
      </c>
      <c r="G757" s="1" t="s">
        <v>70</v>
      </c>
      <c r="H757" s="26">
        <f t="shared" ca="1" si="99"/>
        <v>6.3197980955451372E-2</v>
      </c>
      <c r="I757" s="4">
        <f>IF(G757="Yes",-$C$8,0)</f>
        <v>-500</v>
      </c>
      <c r="J757" s="4">
        <f>IF(G757="Yes",$C$8-I757,0)</f>
        <v>1000</v>
      </c>
      <c r="K757" s="4">
        <f ca="1">IF(H757&gt;=$C$4,J757+I757,I757)</f>
        <v>-500</v>
      </c>
      <c r="M757" s="61">
        <f t="shared" si="106"/>
        <v>603.20000000000005</v>
      </c>
      <c r="N757" s="61">
        <f t="shared" si="107"/>
        <v>150.79999999999995</v>
      </c>
      <c r="O757" s="4">
        <f t="shared" si="102"/>
        <v>301600</v>
      </c>
      <c r="P757" s="4">
        <f t="shared" si="103"/>
        <v>-75399.999999999971</v>
      </c>
      <c r="Q757" s="4">
        <f t="shared" si="104"/>
        <v>226200.00000000003</v>
      </c>
      <c r="R757" s="4">
        <f t="shared" si="105"/>
        <v>326200</v>
      </c>
    </row>
    <row r="758" spans="5:18" x14ac:dyDescent="0.25">
      <c r="E758" s="1">
        <f t="shared" si="100"/>
        <v>755</v>
      </c>
      <c r="F758" s="4">
        <f t="shared" ca="1" si="101"/>
        <v>325500</v>
      </c>
      <c r="G758" s="1" t="s">
        <v>70</v>
      </c>
      <c r="H758" s="26">
        <f t="shared" ca="1" si="99"/>
        <v>0.33217201270632746</v>
      </c>
      <c r="I758" s="4">
        <f>IF(G758="Yes",-$C$8,0)</f>
        <v>-500</v>
      </c>
      <c r="J758" s="4">
        <f>IF(G758="Yes",$C$8-I758,0)</f>
        <v>1000</v>
      </c>
      <c r="K758" s="4">
        <f ca="1">IF(H758&gt;=$C$4,J758+I758,I758)</f>
        <v>500</v>
      </c>
      <c r="M758" s="61">
        <f t="shared" si="106"/>
        <v>604</v>
      </c>
      <c r="N758" s="61">
        <f t="shared" si="107"/>
        <v>151</v>
      </c>
      <c r="O758" s="4">
        <f t="shared" si="102"/>
        <v>302000</v>
      </c>
      <c r="P758" s="4">
        <f t="shared" si="103"/>
        <v>-75500</v>
      </c>
      <c r="Q758" s="4">
        <f t="shared" si="104"/>
        <v>226500</v>
      </c>
      <c r="R758" s="4">
        <f t="shared" si="105"/>
        <v>326500</v>
      </c>
    </row>
    <row r="759" spans="5:18" x14ac:dyDescent="0.25">
      <c r="E759" s="1">
        <f t="shared" si="100"/>
        <v>756</v>
      </c>
      <c r="F759" s="4">
        <f t="shared" ca="1" si="101"/>
        <v>326000</v>
      </c>
      <c r="G759" s="1" t="s">
        <v>70</v>
      </c>
      <c r="H759" s="26">
        <f t="shared" ca="1" si="99"/>
        <v>0.72688522891716312</v>
      </c>
      <c r="I759" s="4">
        <f>IF(G759="Yes",-$C$8,0)</f>
        <v>-500</v>
      </c>
      <c r="J759" s="4">
        <f>IF(G759="Yes",$C$8-I759,0)</f>
        <v>1000</v>
      </c>
      <c r="K759" s="4">
        <f ca="1">IF(H759&gt;=$C$4,J759+I759,I759)</f>
        <v>500</v>
      </c>
      <c r="M759" s="61">
        <f t="shared" si="106"/>
        <v>604.80000000000007</v>
      </c>
      <c r="N759" s="61">
        <f t="shared" si="107"/>
        <v>151.19999999999993</v>
      </c>
      <c r="O759" s="4">
        <f t="shared" si="102"/>
        <v>302400.00000000006</v>
      </c>
      <c r="P759" s="4">
        <f t="shared" si="103"/>
        <v>-75599.999999999971</v>
      </c>
      <c r="Q759" s="4">
        <f t="shared" si="104"/>
        <v>226800.00000000009</v>
      </c>
      <c r="R759" s="4">
        <f t="shared" si="105"/>
        <v>326800.00000000012</v>
      </c>
    </row>
    <row r="760" spans="5:18" x14ac:dyDescent="0.25">
      <c r="E760" s="1">
        <f t="shared" si="100"/>
        <v>757</v>
      </c>
      <c r="F760" s="4">
        <f t="shared" ca="1" si="101"/>
        <v>325500</v>
      </c>
      <c r="G760" s="1" t="s">
        <v>70</v>
      </c>
      <c r="H760" s="26">
        <f t="shared" ca="1" si="99"/>
        <v>6.9034971704390213E-2</v>
      </c>
      <c r="I760" s="4">
        <f>IF(G760="Yes",-$C$8,0)</f>
        <v>-500</v>
      </c>
      <c r="J760" s="4">
        <f>IF(G760="Yes",$C$8-I760,0)</f>
        <v>1000</v>
      </c>
      <c r="K760" s="4">
        <f ca="1">IF(H760&gt;=$C$4,J760+I760,I760)</f>
        <v>-500</v>
      </c>
      <c r="M760" s="61">
        <f t="shared" si="106"/>
        <v>605.6</v>
      </c>
      <c r="N760" s="61">
        <f t="shared" si="107"/>
        <v>151.39999999999998</v>
      </c>
      <c r="O760" s="4">
        <f t="shared" si="102"/>
        <v>302800</v>
      </c>
      <c r="P760" s="4">
        <f t="shared" si="103"/>
        <v>-75699.999999999985</v>
      </c>
      <c r="Q760" s="4">
        <f t="shared" si="104"/>
        <v>227100</v>
      </c>
      <c r="R760" s="4">
        <f t="shared" si="105"/>
        <v>327100</v>
      </c>
    </row>
    <row r="761" spans="5:18" x14ac:dyDescent="0.25">
      <c r="E761" s="1">
        <f t="shared" si="100"/>
        <v>758</v>
      </c>
      <c r="F761" s="4">
        <f t="shared" ca="1" si="101"/>
        <v>326000</v>
      </c>
      <c r="G761" s="1" t="s">
        <v>70</v>
      </c>
      <c r="H761" s="26">
        <f t="shared" ca="1" si="99"/>
        <v>0.69699401820676943</v>
      </c>
      <c r="I761" s="4">
        <f>IF(G761="Yes",-$C$8,0)</f>
        <v>-500</v>
      </c>
      <c r="J761" s="4">
        <f>IF(G761="Yes",$C$8-I761,0)</f>
        <v>1000</v>
      </c>
      <c r="K761" s="4">
        <f ca="1">IF(H761&gt;=$C$4,J761+I761,I761)</f>
        <v>500</v>
      </c>
      <c r="M761" s="61">
        <f t="shared" si="106"/>
        <v>606.4</v>
      </c>
      <c r="N761" s="61">
        <f t="shared" si="107"/>
        <v>151.60000000000002</v>
      </c>
      <c r="O761" s="4">
        <f t="shared" si="102"/>
        <v>303200</v>
      </c>
      <c r="P761" s="4">
        <f t="shared" si="103"/>
        <v>-75800.000000000015</v>
      </c>
      <c r="Q761" s="4">
        <f t="shared" si="104"/>
        <v>227400</v>
      </c>
      <c r="R761" s="4">
        <f t="shared" si="105"/>
        <v>327400</v>
      </c>
    </row>
    <row r="762" spans="5:18" x14ac:dyDescent="0.25">
      <c r="E762" s="1">
        <f t="shared" si="100"/>
        <v>759</v>
      </c>
      <c r="F762" s="4">
        <f t="shared" ca="1" si="101"/>
        <v>326500</v>
      </c>
      <c r="G762" s="1" t="s">
        <v>70</v>
      </c>
      <c r="H762" s="26">
        <f t="shared" ca="1" si="99"/>
        <v>0.75246172370090325</v>
      </c>
      <c r="I762" s="4">
        <f>IF(G762="Yes",-$C$8,0)</f>
        <v>-500</v>
      </c>
      <c r="J762" s="4">
        <f>IF(G762="Yes",$C$8-I762,0)</f>
        <v>1000</v>
      </c>
      <c r="K762" s="4">
        <f ca="1">IF(H762&gt;=$C$4,J762+I762,I762)</f>
        <v>500</v>
      </c>
      <c r="M762" s="61">
        <f t="shared" si="106"/>
        <v>607.20000000000005</v>
      </c>
      <c r="N762" s="61">
        <f t="shared" si="107"/>
        <v>151.79999999999995</v>
      </c>
      <c r="O762" s="4">
        <f t="shared" si="102"/>
        <v>303600</v>
      </c>
      <c r="P762" s="4">
        <f t="shared" si="103"/>
        <v>-75899.999999999971</v>
      </c>
      <c r="Q762" s="4">
        <f t="shared" si="104"/>
        <v>227700.00000000003</v>
      </c>
      <c r="R762" s="4">
        <f t="shared" si="105"/>
        <v>327700</v>
      </c>
    </row>
    <row r="763" spans="5:18" x14ac:dyDescent="0.25">
      <c r="E763" s="1">
        <f t="shared" si="100"/>
        <v>760</v>
      </c>
      <c r="F763" s="4">
        <f t="shared" ca="1" si="101"/>
        <v>327000</v>
      </c>
      <c r="G763" s="1" t="s">
        <v>70</v>
      </c>
      <c r="H763" s="26">
        <f t="shared" ca="1" si="99"/>
        <v>0.27180232325585929</v>
      </c>
      <c r="I763" s="4">
        <f>IF(G763="Yes",-$C$8,0)</f>
        <v>-500</v>
      </c>
      <c r="J763" s="4">
        <f>IF(G763="Yes",$C$8-I763,0)</f>
        <v>1000</v>
      </c>
      <c r="K763" s="4">
        <f ca="1">IF(H763&gt;=$C$4,J763+I763,I763)</f>
        <v>500</v>
      </c>
      <c r="M763" s="61">
        <f t="shared" si="106"/>
        <v>608</v>
      </c>
      <c r="N763" s="61">
        <f t="shared" si="107"/>
        <v>152</v>
      </c>
      <c r="O763" s="4">
        <f t="shared" si="102"/>
        <v>304000</v>
      </c>
      <c r="P763" s="4">
        <f t="shared" si="103"/>
        <v>-76000</v>
      </c>
      <c r="Q763" s="4">
        <f t="shared" si="104"/>
        <v>228000</v>
      </c>
      <c r="R763" s="4">
        <f t="shared" si="105"/>
        <v>328000</v>
      </c>
    </row>
    <row r="764" spans="5:18" x14ac:dyDescent="0.25">
      <c r="E764" s="1">
        <f t="shared" si="100"/>
        <v>761</v>
      </c>
      <c r="F764" s="4">
        <f t="shared" ca="1" si="101"/>
        <v>327500</v>
      </c>
      <c r="G764" s="1" t="s">
        <v>70</v>
      </c>
      <c r="H764" s="26">
        <f t="shared" ca="1" si="99"/>
        <v>0.72688667152159425</v>
      </c>
      <c r="I764" s="4">
        <f>IF(G764="Yes",-$C$8,0)</f>
        <v>-500</v>
      </c>
      <c r="J764" s="4">
        <f>IF(G764="Yes",$C$8-I764,0)</f>
        <v>1000</v>
      </c>
      <c r="K764" s="4">
        <f ca="1">IF(H764&gt;=$C$4,J764+I764,I764)</f>
        <v>500</v>
      </c>
      <c r="M764" s="61">
        <f t="shared" si="106"/>
        <v>608.80000000000007</v>
      </c>
      <c r="N764" s="61">
        <f t="shared" si="107"/>
        <v>152.19999999999993</v>
      </c>
      <c r="O764" s="4">
        <f t="shared" si="102"/>
        <v>304400.00000000006</v>
      </c>
      <c r="P764" s="4">
        <f t="shared" si="103"/>
        <v>-76099.999999999971</v>
      </c>
      <c r="Q764" s="4">
        <f t="shared" si="104"/>
        <v>228300.00000000009</v>
      </c>
      <c r="R764" s="4">
        <f t="shared" si="105"/>
        <v>328300.00000000012</v>
      </c>
    </row>
    <row r="765" spans="5:18" x14ac:dyDescent="0.25">
      <c r="E765" s="1">
        <f t="shared" si="100"/>
        <v>762</v>
      </c>
      <c r="F765" s="4">
        <f t="shared" ca="1" si="101"/>
        <v>328000</v>
      </c>
      <c r="G765" s="1" t="s">
        <v>70</v>
      </c>
      <c r="H765" s="26">
        <f t="shared" ca="1" si="99"/>
        <v>0.33594247598620386</v>
      </c>
      <c r="I765" s="4">
        <f>IF(G765="Yes",-$C$8,0)</f>
        <v>-500</v>
      </c>
      <c r="J765" s="4">
        <f>IF(G765="Yes",$C$8-I765,0)</f>
        <v>1000</v>
      </c>
      <c r="K765" s="4">
        <f ca="1">IF(H765&gt;=$C$4,J765+I765,I765)</f>
        <v>500</v>
      </c>
      <c r="M765" s="61">
        <f t="shared" si="106"/>
        <v>609.6</v>
      </c>
      <c r="N765" s="61">
        <f t="shared" si="107"/>
        <v>152.39999999999998</v>
      </c>
      <c r="O765" s="4">
        <f t="shared" si="102"/>
        <v>304800</v>
      </c>
      <c r="P765" s="4">
        <f t="shared" si="103"/>
        <v>-76199.999999999985</v>
      </c>
      <c r="Q765" s="4">
        <f t="shared" si="104"/>
        <v>228600</v>
      </c>
      <c r="R765" s="4">
        <f t="shared" si="105"/>
        <v>328600</v>
      </c>
    </row>
    <row r="766" spans="5:18" x14ac:dyDescent="0.25">
      <c r="E766" s="1">
        <f t="shared" si="100"/>
        <v>763</v>
      </c>
      <c r="F766" s="4">
        <f t="shared" ca="1" si="101"/>
        <v>328500</v>
      </c>
      <c r="G766" s="1" t="s">
        <v>70</v>
      </c>
      <c r="H766" s="26">
        <f t="shared" ca="1" si="99"/>
        <v>0.79744048775188026</v>
      </c>
      <c r="I766" s="4">
        <f>IF(G766="Yes",-$C$8,0)</f>
        <v>-500</v>
      </c>
      <c r="J766" s="4">
        <f>IF(G766="Yes",$C$8-I766,0)</f>
        <v>1000</v>
      </c>
      <c r="K766" s="4">
        <f ca="1">IF(H766&gt;=$C$4,J766+I766,I766)</f>
        <v>500</v>
      </c>
      <c r="M766" s="61">
        <f t="shared" si="106"/>
        <v>610.4</v>
      </c>
      <c r="N766" s="61">
        <f t="shared" si="107"/>
        <v>152.60000000000002</v>
      </c>
      <c r="O766" s="4">
        <f t="shared" si="102"/>
        <v>305200</v>
      </c>
      <c r="P766" s="4">
        <f t="shared" si="103"/>
        <v>-76300.000000000015</v>
      </c>
      <c r="Q766" s="4">
        <f t="shared" si="104"/>
        <v>228900</v>
      </c>
      <c r="R766" s="4">
        <f t="shared" si="105"/>
        <v>328900</v>
      </c>
    </row>
    <row r="767" spans="5:18" x14ac:dyDescent="0.25">
      <c r="E767" s="1">
        <f t="shared" si="100"/>
        <v>764</v>
      </c>
      <c r="F767" s="4">
        <f t="shared" ca="1" si="101"/>
        <v>329000</v>
      </c>
      <c r="G767" s="1" t="s">
        <v>70</v>
      </c>
      <c r="H767" s="26">
        <f t="shared" ca="1" si="99"/>
        <v>0.60423382359856759</v>
      </c>
      <c r="I767" s="4">
        <f>IF(G767="Yes",-$C$8,0)</f>
        <v>-500</v>
      </c>
      <c r="J767" s="4">
        <f>IF(G767="Yes",$C$8-I767,0)</f>
        <v>1000</v>
      </c>
      <c r="K767" s="4">
        <f ca="1">IF(H767&gt;=$C$4,J767+I767,I767)</f>
        <v>500</v>
      </c>
      <c r="M767" s="61">
        <f t="shared" si="106"/>
        <v>611.20000000000005</v>
      </c>
      <c r="N767" s="61">
        <f t="shared" si="107"/>
        <v>152.79999999999995</v>
      </c>
      <c r="O767" s="4">
        <f t="shared" si="102"/>
        <v>305600</v>
      </c>
      <c r="P767" s="4">
        <f t="shared" si="103"/>
        <v>-76399.999999999971</v>
      </c>
      <c r="Q767" s="4">
        <f t="shared" si="104"/>
        <v>229200.00000000003</v>
      </c>
      <c r="R767" s="4">
        <f t="shared" si="105"/>
        <v>329200</v>
      </c>
    </row>
    <row r="768" spans="5:18" x14ac:dyDescent="0.25">
      <c r="E768" s="1">
        <f t="shared" si="100"/>
        <v>765</v>
      </c>
      <c r="F768" s="4">
        <f t="shared" ca="1" si="101"/>
        <v>328500</v>
      </c>
      <c r="G768" s="1" t="s">
        <v>70</v>
      </c>
      <c r="H768" s="26">
        <f t="shared" ca="1" si="99"/>
        <v>0.16412438300521748</v>
      </c>
      <c r="I768" s="4">
        <f>IF(G768="Yes",-$C$8,0)</f>
        <v>-500</v>
      </c>
      <c r="J768" s="4">
        <f>IF(G768="Yes",$C$8-I768,0)</f>
        <v>1000</v>
      </c>
      <c r="K768" s="4">
        <f ca="1">IF(H768&gt;=$C$4,J768+I768,I768)</f>
        <v>-500</v>
      </c>
      <c r="M768" s="61">
        <f t="shared" si="106"/>
        <v>612</v>
      </c>
      <c r="N768" s="61">
        <f t="shared" si="107"/>
        <v>153</v>
      </c>
      <c r="O768" s="4">
        <f t="shared" si="102"/>
        <v>306000</v>
      </c>
      <c r="P768" s="4">
        <f t="shared" si="103"/>
        <v>-76500</v>
      </c>
      <c r="Q768" s="4">
        <f t="shared" si="104"/>
        <v>229500</v>
      </c>
      <c r="R768" s="4">
        <f t="shared" si="105"/>
        <v>329500</v>
      </c>
    </row>
    <row r="769" spans="5:18" x14ac:dyDescent="0.25">
      <c r="E769" s="1">
        <f t="shared" si="100"/>
        <v>766</v>
      </c>
      <c r="F769" s="4">
        <f t="shared" ca="1" si="101"/>
        <v>329000</v>
      </c>
      <c r="G769" s="1" t="s">
        <v>70</v>
      </c>
      <c r="H769" s="26">
        <f t="shared" ca="1" si="99"/>
        <v>0.312567543508251</v>
      </c>
      <c r="I769" s="4">
        <f>IF(G769="Yes",-$C$8,0)</f>
        <v>-500</v>
      </c>
      <c r="J769" s="4">
        <f>IF(G769="Yes",$C$8-I769,0)</f>
        <v>1000</v>
      </c>
      <c r="K769" s="4">
        <f ca="1">IF(H769&gt;=$C$4,J769+I769,I769)</f>
        <v>500</v>
      </c>
      <c r="M769" s="61">
        <f t="shared" si="106"/>
        <v>612.80000000000007</v>
      </c>
      <c r="N769" s="61">
        <f t="shared" si="107"/>
        <v>153.19999999999993</v>
      </c>
      <c r="O769" s="4">
        <f t="shared" si="102"/>
        <v>306400.00000000006</v>
      </c>
      <c r="P769" s="4">
        <f t="shared" si="103"/>
        <v>-76599.999999999971</v>
      </c>
      <c r="Q769" s="4">
        <f t="shared" si="104"/>
        <v>229800.00000000009</v>
      </c>
      <c r="R769" s="4">
        <f t="shared" si="105"/>
        <v>329800.00000000012</v>
      </c>
    </row>
    <row r="770" spans="5:18" x14ac:dyDescent="0.25">
      <c r="E770" s="1">
        <f t="shared" si="100"/>
        <v>767</v>
      </c>
      <c r="F770" s="4">
        <f t="shared" ca="1" si="101"/>
        <v>329500</v>
      </c>
      <c r="G770" s="1" t="s">
        <v>70</v>
      </c>
      <c r="H770" s="26">
        <f t="shared" ca="1" si="99"/>
        <v>0.46788223243176841</v>
      </c>
      <c r="I770" s="4">
        <f>IF(G770="Yes",-$C$8,0)</f>
        <v>-500</v>
      </c>
      <c r="J770" s="4">
        <f>IF(G770="Yes",$C$8-I770,0)</f>
        <v>1000</v>
      </c>
      <c r="K770" s="4">
        <f ca="1">IF(H770&gt;=$C$4,J770+I770,I770)</f>
        <v>500</v>
      </c>
      <c r="M770" s="61">
        <f t="shared" si="106"/>
        <v>613.6</v>
      </c>
      <c r="N770" s="61">
        <f t="shared" si="107"/>
        <v>153.39999999999998</v>
      </c>
      <c r="O770" s="4">
        <f t="shared" si="102"/>
        <v>306800</v>
      </c>
      <c r="P770" s="4">
        <f t="shared" si="103"/>
        <v>-76699.999999999985</v>
      </c>
      <c r="Q770" s="4">
        <f t="shared" si="104"/>
        <v>230100</v>
      </c>
      <c r="R770" s="4">
        <f t="shared" si="105"/>
        <v>330100</v>
      </c>
    </row>
    <row r="771" spans="5:18" x14ac:dyDescent="0.25">
      <c r="E771" s="1">
        <f t="shared" si="100"/>
        <v>768</v>
      </c>
      <c r="F771" s="4">
        <f t="shared" ca="1" si="101"/>
        <v>329000</v>
      </c>
      <c r="G771" s="1" t="s">
        <v>70</v>
      </c>
      <c r="H771" s="26">
        <f t="shared" ca="1" si="99"/>
        <v>0.12064545056712694</v>
      </c>
      <c r="I771" s="4">
        <f>IF(G771="Yes",-$C$8,0)</f>
        <v>-500</v>
      </c>
      <c r="J771" s="4">
        <f>IF(G771="Yes",$C$8-I771,0)</f>
        <v>1000</v>
      </c>
      <c r="K771" s="4">
        <f ca="1">IF(H771&gt;=$C$4,J771+I771,I771)</f>
        <v>-500</v>
      </c>
      <c r="M771" s="61">
        <f t="shared" si="106"/>
        <v>614.40000000000009</v>
      </c>
      <c r="N771" s="61">
        <f t="shared" si="107"/>
        <v>153.59999999999991</v>
      </c>
      <c r="O771" s="4">
        <f t="shared" si="102"/>
        <v>307200.00000000006</v>
      </c>
      <c r="P771" s="4">
        <f t="shared" si="103"/>
        <v>-76799.999999999956</v>
      </c>
      <c r="Q771" s="4">
        <f t="shared" si="104"/>
        <v>230400.00000000012</v>
      </c>
      <c r="R771" s="4">
        <f t="shared" si="105"/>
        <v>330400.00000000012</v>
      </c>
    </row>
    <row r="772" spans="5:18" x14ac:dyDescent="0.25">
      <c r="E772" s="1">
        <f t="shared" si="100"/>
        <v>769</v>
      </c>
      <c r="F772" s="4">
        <f t="shared" ca="1" si="101"/>
        <v>329500</v>
      </c>
      <c r="G772" s="1" t="s">
        <v>70</v>
      </c>
      <c r="H772" s="26">
        <f t="shared" ref="H772:H835" ca="1" si="108">RAND()</f>
        <v>0.26034874945358089</v>
      </c>
      <c r="I772" s="4">
        <f>IF(G772="Yes",-$C$8,0)</f>
        <v>-500</v>
      </c>
      <c r="J772" s="4">
        <f>IF(G772="Yes",$C$8-I772,0)</f>
        <v>1000</v>
      </c>
      <c r="K772" s="4">
        <f ca="1">IF(H772&gt;=$C$4,J772+I772,I772)</f>
        <v>500</v>
      </c>
      <c r="M772" s="61">
        <f t="shared" si="106"/>
        <v>615.20000000000005</v>
      </c>
      <c r="N772" s="61">
        <f t="shared" si="107"/>
        <v>153.79999999999995</v>
      </c>
      <c r="O772" s="4">
        <f t="shared" si="102"/>
        <v>307600</v>
      </c>
      <c r="P772" s="4">
        <f t="shared" si="103"/>
        <v>-76899.999999999971</v>
      </c>
      <c r="Q772" s="4">
        <f t="shared" si="104"/>
        <v>230700.00000000003</v>
      </c>
      <c r="R772" s="4">
        <f t="shared" si="105"/>
        <v>330700</v>
      </c>
    </row>
    <row r="773" spans="5:18" x14ac:dyDescent="0.25">
      <c r="E773" s="1">
        <f t="shared" ref="E773:E836" si="109">E772+1</f>
        <v>770</v>
      </c>
      <c r="F773" s="4">
        <f t="shared" ref="F773:F836" ca="1" si="110">F772+K773</f>
        <v>330000</v>
      </c>
      <c r="G773" s="1" t="s">
        <v>70</v>
      </c>
      <c r="H773" s="26">
        <f t="shared" ca="1" si="108"/>
        <v>0.7502818969814371</v>
      </c>
      <c r="I773" s="4">
        <f>IF(G773="Yes",-$C$8,0)</f>
        <v>-500</v>
      </c>
      <c r="J773" s="4">
        <f>IF(G773="Yes",$C$8-I773,0)</f>
        <v>1000</v>
      </c>
      <c r="K773" s="4">
        <f ca="1">IF(H773&gt;=$C$4,J773+I773,I773)</f>
        <v>500</v>
      </c>
      <c r="M773" s="61">
        <f t="shared" si="106"/>
        <v>616</v>
      </c>
      <c r="N773" s="61">
        <f t="shared" si="107"/>
        <v>154</v>
      </c>
      <c r="O773" s="4">
        <f t="shared" ref="O773:O836" si="111">M773*$C$8</f>
        <v>308000</v>
      </c>
      <c r="P773" s="4">
        <f t="shared" ref="P773:P836" si="112">N773*(-$C$8)</f>
        <v>-77000</v>
      </c>
      <c r="Q773" s="4">
        <f t="shared" ref="Q773:Q836" si="113">O773+P773</f>
        <v>231000</v>
      </c>
      <c r="R773" s="4">
        <f t="shared" ref="R773:R836" si="114">$C$7+Q773</f>
        <v>331000</v>
      </c>
    </row>
    <row r="774" spans="5:18" x14ac:dyDescent="0.25">
      <c r="E774" s="1">
        <f t="shared" si="109"/>
        <v>771</v>
      </c>
      <c r="F774" s="4">
        <f t="shared" ca="1" si="110"/>
        <v>329500</v>
      </c>
      <c r="G774" s="1" t="s">
        <v>70</v>
      </c>
      <c r="H774" s="26">
        <f t="shared" ca="1" si="108"/>
        <v>2.2432810906984124E-2</v>
      </c>
      <c r="I774" s="4">
        <f>IF(G774="Yes",-$C$8,0)</f>
        <v>-500</v>
      </c>
      <c r="J774" s="4">
        <f>IF(G774="Yes",$C$8-I774,0)</f>
        <v>1000</v>
      </c>
      <c r="K774" s="4">
        <f ca="1">IF(H774&gt;=$C$4,J774+I774,I774)</f>
        <v>-500</v>
      </c>
      <c r="M774" s="61">
        <f t="shared" si="106"/>
        <v>616.80000000000007</v>
      </c>
      <c r="N774" s="61">
        <f t="shared" si="107"/>
        <v>154.19999999999993</v>
      </c>
      <c r="O774" s="4">
        <f t="shared" si="111"/>
        <v>308400.00000000006</v>
      </c>
      <c r="P774" s="4">
        <f t="shared" si="112"/>
        <v>-77099.999999999971</v>
      </c>
      <c r="Q774" s="4">
        <f t="shared" si="113"/>
        <v>231300.00000000009</v>
      </c>
      <c r="R774" s="4">
        <f t="shared" si="114"/>
        <v>331300.00000000012</v>
      </c>
    </row>
    <row r="775" spans="5:18" x14ac:dyDescent="0.25">
      <c r="E775" s="1">
        <f t="shared" si="109"/>
        <v>772</v>
      </c>
      <c r="F775" s="4">
        <f t="shared" ca="1" si="110"/>
        <v>330000</v>
      </c>
      <c r="G775" s="1" t="s">
        <v>70</v>
      </c>
      <c r="H775" s="26">
        <f t="shared" ca="1" si="108"/>
        <v>0.72064144337165714</v>
      </c>
      <c r="I775" s="4">
        <f>IF(G775="Yes",-$C$8,0)</f>
        <v>-500</v>
      </c>
      <c r="J775" s="4">
        <f>IF(G775="Yes",$C$8-I775,0)</f>
        <v>1000</v>
      </c>
      <c r="K775" s="4">
        <f ca="1">IF(H775&gt;=$C$4,J775+I775,I775)</f>
        <v>500</v>
      </c>
      <c r="M775" s="61">
        <f t="shared" si="106"/>
        <v>617.6</v>
      </c>
      <c r="N775" s="61">
        <f t="shared" si="107"/>
        <v>154.39999999999998</v>
      </c>
      <c r="O775" s="4">
        <f t="shared" si="111"/>
        <v>308800</v>
      </c>
      <c r="P775" s="4">
        <f t="shared" si="112"/>
        <v>-77199.999999999985</v>
      </c>
      <c r="Q775" s="4">
        <f t="shared" si="113"/>
        <v>231600</v>
      </c>
      <c r="R775" s="4">
        <f t="shared" si="114"/>
        <v>331600</v>
      </c>
    </row>
    <row r="776" spans="5:18" x14ac:dyDescent="0.25">
      <c r="E776" s="1">
        <f t="shared" si="109"/>
        <v>773</v>
      </c>
      <c r="F776" s="4">
        <f t="shared" ca="1" si="110"/>
        <v>330500</v>
      </c>
      <c r="G776" s="1" t="s">
        <v>70</v>
      </c>
      <c r="H776" s="26">
        <f t="shared" ca="1" si="108"/>
        <v>0.2005036838846872</v>
      </c>
      <c r="I776" s="4">
        <f>IF(G776="Yes",-$C$8,0)</f>
        <v>-500</v>
      </c>
      <c r="J776" s="4">
        <f>IF(G776="Yes",$C$8-I776,0)</f>
        <v>1000</v>
      </c>
      <c r="K776" s="4">
        <f ca="1">IF(H776&gt;=$C$4,J776+I776,I776)</f>
        <v>500</v>
      </c>
      <c r="M776" s="61">
        <f t="shared" si="106"/>
        <v>618.40000000000009</v>
      </c>
      <c r="N776" s="61">
        <f t="shared" si="107"/>
        <v>154.59999999999991</v>
      </c>
      <c r="O776" s="4">
        <f t="shared" si="111"/>
        <v>309200.00000000006</v>
      </c>
      <c r="P776" s="4">
        <f t="shared" si="112"/>
        <v>-77299.999999999956</v>
      </c>
      <c r="Q776" s="4">
        <f t="shared" si="113"/>
        <v>231900.00000000012</v>
      </c>
      <c r="R776" s="4">
        <f t="shared" si="114"/>
        <v>331900.00000000012</v>
      </c>
    </row>
    <row r="777" spans="5:18" x14ac:dyDescent="0.25">
      <c r="E777" s="1">
        <f t="shared" si="109"/>
        <v>774</v>
      </c>
      <c r="F777" s="4">
        <f t="shared" ca="1" si="110"/>
        <v>331000</v>
      </c>
      <c r="G777" s="1" t="s">
        <v>70</v>
      </c>
      <c r="H777" s="26">
        <f t="shared" ca="1" si="108"/>
        <v>0.23633030325647209</v>
      </c>
      <c r="I777" s="4">
        <f>IF(G777="Yes",-$C$8,0)</f>
        <v>-500</v>
      </c>
      <c r="J777" s="4">
        <f>IF(G777="Yes",$C$8-I777,0)</f>
        <v>1000</v>
      </c>
      <c r="K777" s="4">
        <f ca="1">IF(H777&gt;=$C$4,J777+I777,I777)</f>
        <v>500</v>
      </c>
      <c r="M777" s="61">
        <f t="shared" si="106"/>
        <v>619.20000000000005</v>
      </c>
      <c r="N777" s="61">
        <f t="shared" si="107"/>
        <v>154.79999999999995</v>
      </c>
      <c r="O777" s="4">
        <f t="shared" si="111"/>
        <v>309600</v>
      </c>
      <c r="P777" s="4">
        <f t="shared" si="112"/>
        <v>-77399.999999999971</v>
      </c>
      <c r="Q777" s="4">
        <f t="shared" si="113"/>
        <v>232200.00000000003</v>
      </c>
      <c r="R777" s="4">
        <f t="shared" si="114"/>
        <v>332200</v>
      </c>
    </row>
    <row r="778" spans="5:18" x14ac:dyDescent="0.25">
      <c r="E778" s="1">
        <f t="shared" si="109"/>
        <v>775</v>
      </c>
      <c r="F778" s="4">
        <f t="shared" ca="1" si="110"/>
        <v>330500</v>
      </c>
      <c r="G778" s="1" t="s">
        <v>70</v>
      </c>
      <c r="H778" s="26">
        <f t="shared" ca="1" si="108"/>
        <v>2.0386051278694639E-2</v>
      </c>
      <c r="I778" s="4">
        <f>IF(G778="Yes",-$C$8,0)</f>
        <v>-500</v>
      </c>
      <c r="J778" s="4">
        <f>IF(G778="Yes",$C$8-I778,0)</f>
        <v>1000</v>
      </c>
      <c r="K778" s="4">
        <f ca="1">IF(H778&gt;=$C$4,J778+I778,I778)</f>
        <v>-500</v>
      </c>
      <c r="M778" s="61">
        <f t="shared" si="106"/>
        <v>620</v>
      </c>
      <c r="N778" s="61">
        <f t="shared" si="107"/>
        <v>155</v>
      </c>
      <c r="O778" s="4">
        <f t="shared" si="111"/>
        <v>310000</v>
      </c>
      <c r="P778" s="4">
        <f t="shared" si="112"/>
        <v>-77500</v>
      </c>
      <c r="Q778" s="4">
        <f t="shared" si="113"/>
        <v>232500</v>
      </c>
      <c r="R778" s="4">
        <f t="shared" si="114"/>
        <v>332500</v>
      </c>
    </row>
    <row r="779" spans="5:18" x14ac:dyDescent="0.25">
      <c r="E779" s="1">
        <f t="shared" si="109"/>
        <v>776</v>
      </c>
      <c r="F779" s="4">
        <f t="shared" ca="1" si="110"/>
        <v>331000</v>
      </c>
      <c r="G779" s="1" t="s">
        <v>70</v>
      </c>
      <c r="H779" s="26">
        <f t="shared" ca="1" si="108"/>
        <v>0.60689025791734341</v>
      </c>
      <c r="I779" s="4">
        <f>IF(G779="Yes",-$C$8,0)</f>
        <v>-500</v>
      </c>
      <c r="J779" s="4">
        <f>IF(G779="Yes",$C$8-I779,0)</f>
        <v>1000</v>
      </c>
      <c r="K779" s="4">
        <f ca="1">IF(H779&gt;=$C$4,J779+I779,I779)</f>
        <v>500</v>
      </c>
      <c r="M779" s="61">
        <f t="shared" si="106"/>
        <v>620.80000000000007</v>
      </c>
      <c r="N779" s="61">
        <f t="shared" si="107"/>
        <v>155.19999999999993</v>
      </c>
      <c r="O779" s="4">
        <f t="shared" si="111"/>
        <v>310400.00000000006</v>
      </c>
      <c r="P779" s="4">
        <f t="shared" si="112"/>
        <v>-77599.999999999971</v>
      </c>
      <c r="Q779" s="4">
        <f t="shared" si="113"/>
        <v>232800.00000000009</v>
      </c>
      <c r="R779" s="4">
        <f t="shared" si="114"/>
        <v>332800.00000000012</v>
      </c>
    </row>
    <row r="780" spans="5:18" x14ac:dyDescent="0.25">
      <c r="E780" s="1">
        <f t="shared" si="109"/>
        <v>777</v>
      </c>
      <c r="F780" s="4">
        <f t="shared" ca="1" si="110"/>
        <v>330500</v>
      </c>
      <c r="G780" s="1" t="s">
        <v>70</v>
      </c>
      <c r="H780" s="26">
        <f t="shared" ca="1" si="108"/>
        <v>0.13000555504267719</v>
      </c>
      <c r="I780" s="4">
        <f>IF(G780="Yes",-$C$8,0)</f>
        <v>-500</v>
      </c>
      <c r="J780" s="4">
        <f>IF(G780="Yes",$C$8-I780,0)</f>
        <v>1000</v>
      </c>
      <c r="K780" s="4">
        <f ca="1">IF(H780&gt;=$C$4,J780+I780,I780)</f>
        <v>-500</v>
      </c>
      <c r="M780" s="61">
        <f t="shared" si="106"/>
        <v>621.6</v>
      </c>
      <c r="N780" s="61">
        <f t="shared" si="107"/>
        <v>155.39999999999998</v>
      </c>
      <c r="O780" s="4">
        <f t="shared" si="111"/>
        <v>310800</v>
      </c>
      <c r="P780" s="4">
        <f t="shared" si="112"/>
        <v>-77699.999999999985</v>
      </c>
      <c r="Q780" s="4">
        <f t="shared" si="113"/>
        <v>233100</v>
      </c>
      <c r="R780" s="4">
        <f t="shared" si="114"/>
        <v>333100</v>
      </c>
    </row>
    <row r="781" spans="5:18" x14ac:dyDescent="0.25">
      <c r="E781" s="1">
        <f t="shared" si="109"/>
        <v>778</v>
      </c>
      <c r="F781" s="4">
        <f t="shared" ca="1" si="110"/>
        <v>331000</v>
      </c>
      <c r="G781" s="1" t="s">
        <v>70</v>
      </c>
      <c r="H781" s="26">
        <f t="shared" ca="1" si="108"/>
        <v>0.95469934176167892</v>
      </c>
      <c r="I781" s="4">
        <f>IF(G781="Yes",-$C$8,0)</f>
        <v>-500</v>
      </c>
      <c r="J781" s="4">
        <f>IF(G781="Yes",$C$8-I781,0)</f>
        <v>1000</v>
      </c>
      <c r="K781" s="4">
        <f ca="1">IF(H781&gt;=$C$4,J781+I781,I781)</f>
        <v>500</v>
      </c>
      <c r="M781" s="61">
        <f t="shared" si="106"/>
        <v>622.40000000000009</v>
      </c>
      <c r="N781" s="61">
        <f t="shared" si="107"/>
        <v>155.59999999999991</v>
      </c>
      <c r="O781" s="4">
        <f t="shared" si="111"/>
        <v>311200.00000000006</v>
      </c>
      <c r="P781" s="4">
        <f t="shared" si="112"/>
        <v>-77799.999999999956</v>
      </c>
      <c r="Q781" s="4">
        <f t="shared" si="113"/>
        <v>233400.00000000012</v>
      </c>
      <c r="R781" s="4">
        <f t="shared" si="114"/>
        <v>333400.00000000012</v>
      </c>
    </row>
    <row r="782" spans="5:18" x14ac:dyDescent="0.25">
      <c r="E782" s="1">
        <f t="shared" si="109"/>
        <v>779</v>
      </c>
      <c r="F782" s="4">
        <f t="shared" ca="1" si="110"/>
        <v>331500</v>
      </c>
      <c r="G782" s="1" t="s">
        <v>70</v>
      </c>
      <c r="H782" s="26">
        <f t="shared" ca="1" si="108"/>
        <v>0.20339912010877026</v>
      </c>
      <c r="I782" s="4">
        <f>IF(G782="Yes",-$C$8,0)</f>
        <v>-500</v>
      </c>
      <c r="J782" s="4">
        <f>IF(G782="Yes",$C$8-I782,0)</f>
        <v>1000</v>
      </c>
      <c r="K782" s="4">
        <f ca="1">IF(H782&gt;=$C$4,J782+I782,I782)</f>
        <v>500</v>
      </c>
      <c r="M782" s="61">
        <f t="shared" ref="M782:M845" si="115">E782*$C$3</f>
        <v>623.20000000000005</v>
      </c>
      <c r="N782" s="61">
        <f t="shared" ref="N782:N845" si="116">E782-M782</f>
        <v>155.79999999999995</v>
      </c>
      <c r="O782" s="4">
        <f t="shared" si="111"/>
        <v>311600</v>
      </c>
      <c r="P782" s="4">
        <f t="shared" si="112"/>
        <v>-77899.999999999971</v>
      </c>
      <c r="Q782" s="4">
        <f t="shared" si="113"/>
        <v>233700.00000000003</v>
      </c>
      <c r="R782" s="4">
        <f t="shared" si="114"/>
        <v>333700</v>
      </c>
    </row>
    <row r="783" spans="5:18" x14ac:dyDescent="0.25">
      <c r="E783" s="1">
        <f t="shared" si="109"/>
        <v>780</v>
      </c>
      <c r="F783" s="4">
        <f t="shared" ca="1" si="110"/>
        <v>332000</v>
      </c>
      <c r="G783" s="1" t="s">
        <v>70</v>
      </c>
      <c r="H783" s="26">
        <f t="shared" ca="1" si="108"/>
        <v>0.51949784526598108</v>
      </c>
      <c r="I783" s="4">
        <f>IF(G783="Yes",-$C$8,0)</f>
        <v>-500</v>
      </c>
      <c r="J783" s="4">
        <f>IF(G783="Yes",$C$8-I783,0)</f>
        <v>1000</v>
      </c>
      <c r="K783" s="4">
        <f ca="1">IF(H783&gt;=$C$4,J783+I783,I783)</f>
        <v>500</v>
      </c>
      <c r="M783" s="61">
        <f t="shared" si="115"/>
        <v>624</v>
      </c>
      <c r="N783" s="61">
        <f t="shared" si="116"/>
        <v>156</v>
      </c>
      <c r="O783" s="4">
        <f t="shared" si="111"/>
        <v>312000</v>
      </c>
      <c r="P783" s="4">
        <f t="shared" si="112"/>
        <v>-78000</v>
      </c>
      <c r="Q783" s="4">
        <f t="shared" si="113"/>
        <v>234000</v>
      </c>
      <c r="R783" s="4">
        <f t="shared" si="114"/>
        <v>334000</v>
      </c>
    </row>
    <row r="784" spans="5:18" x14ac:dyDescent="0.25">
      <c r="E784" s="1">
        <f t="shared" si="109"/>
        <v>781</v>
      </c>
      <c r="F784" s="4">
        <f t="shared" ca="1" si="110"/>
        <v>332500</v>
      </c>
      <c r="G784" s="1" t="s">
        <v>70</v>
      </c>
      <c r="H784" s="26">
        <f t="shared" ca="1" si="108"/>
        <v>0.74751643064357998</v>
      </c>
      <c r="I784" s="4">
        <f>IF(G784="Yes",-$C$8,0)</f>
        <v>-500</v>
      </c>
      <c r="J784" s="4">
        <f>IF(G784="Yes",$C$8-I784,0)</f>
        <v>1000</v>
      </c>
      <c r="K784" s="4">
        <f ca="1">IF(H784&gt;=$C$4,J784+I784,I784)</f>
        <v>500</v>
      </c>
      <c r="M784" s="61">
        <f t="shared" si="115"/>
        <v>624.80000000000007</v>
      </c>
      <c r="N784" s="61">
        <f t="shared" si="116"/>
        <v>156.19999999999993</v>
      </c>
      <c r="O784" s="4">
        <f t="shared" si="111"/>
        <v>312400.00000000006</v>
      </c>
      <c r="P784" s="4">
        <f t="shared" si="112"/>
        <v>-78099.999999999971</v>
      </c>
      <c r="Q784" s="4">
        <f t="shared" si="113"/>
        <v>234300.00000000009</v>
      </c>
      <c r="R784" s="4">
        <f t="shared" si="114"/>
        <v>334300.00000000012</v>
      </c>
    </row>
    <row r="785" spans="5:18" x14ac:dyDescent="0.25">
      <c r="E785" s="1">
        <f t="shared" si="109"/>
        <v>782</v>
      </c>
      <c r="F785" s="4">
        <f t="shared" ca="1" si="110"/>
        <v>333000</v>
      </c>
      <c r="G785" s="1" t="s">
        <v>70</v>
      </c>
      <c r="H785" s="26">
        <f t="shared" ca="1" si="108"/>
        <v>0.26975258485650322</v>
      </c>
      <c r="I785" s="4">
        <f>IF(G785="Yes",-$C$8,0)</f>
        <v>-500</v>
      </c>
      <c r="J785" s="4">
        <f>IF(G785="Yes",$C$8-I785,0)</f>
        <v>1000</v>
      </c>
      <c r="K785" s="4">
        <f ca="1">IF(H785&gt;=$C$4,J785+I785,I785)</f>
        <v>500</v>
      </c>
      <c r="M785" s="61">
        <f t="shared" si="115"/>
        <v>625.6</v>
      </c>
      <c r="N785" s="61">
        <f t="shared" si="116"/>
        <v>156.39999999999998</v>
      </c>
      <c r="O785" s="4">
        <f t="shared" si="111"/>
        <v>312800</v>
      </c>
      <c r="P785" s="4">
        <f t="shared" si="112"/>
        <v>-78199.999999999985</v>
      </c>
      <c r="Q785" s="4">
        <f t="shared" si="113"/>
        <v>234600</v>
      </c>
      <c r="R785" s="4">
        <f t="shared" si="114"/>
        <v>334600</v>
      </c>
    </row>
    <row r="786" spans="5:18" x14ac:dyDescent="0.25">
      <c r="E786" s="1">
        <f t="shared" si="109"/>
        <v>783</v>
      </c>
      <c r="F786" s="4">
        <f t="shared" ca="1" si="110"/>
        <v>333500</v>
      </c>
      <c r="G786" s="1" t="s">
        <v>70</v>
      </c>
      <c r="H786" s="26">
        <f t="shared" ca="1" si="108"/>
        <v>0.53648860867675685</v>
      </c>
      <c r="I786" s="4">
        <f>IF(G786="Yes",-$C$8,0)</f>
        <v>-500</v>
      </c>
      <c r="J786" s="4">
        <f>IF(G786="Yes",$C$8-I786,0)</f>
        <v>1000</v>
      </c>
      <c r="K786" s="4">
        <f ca="1">IF(H786&gt;=$C$4,J786+I786,I786)</f>
        <v>500</v>
      </c>
      <c r="M786" s="61">
        <f t="shared" si="115"/>
        <v>626.40000000000009</v>
      </c>
      <c r="N786" s="61">
        <f t="shared" si="116"/>
        <v>156.59999999999991</v>
      </c>
      <c r="O786" s="4">
        <f t="shared" si="111"/>
        <v>313200.00000000006</v>
      </c>
      <c r="P786" s="4">
        <f t="shared" si="112"/>
        <v>-78299.999999999956</v>
      </c>
      <c r="Q786" s="4">
        <f t="shared" si="113"/>
        <v>234900.00000000012</v>
      </c>
      <c r="R786" s="4">
        <f t="shared" si="114"/>
        <v>334900.00000000012</v>
      </c>
    </row>
    <row r="787" spans="5:18" x14ac:dyDescent="0.25">
      <c r="E787" s="1">
        <f t="shared" si="109"/>
        <v>784</v>
      </c>
      <c r="F787" s="4">
        <f t="shared" ca="1" si="110"/>
        <v>334000</v>
      </c>
      <c r="G787" s="1" t="s">
        <v>70</v>
      </c>
      <c r="H787" s="26">
        <f t="shared" ca="1" si="108"/>
        <v>0.26126108792271663</v>
      </c>
      <c r="I787" s="4">
        <f>IF(G787="Yes",-$C$8,0)</f>
        <v>-500</v>
      </c>
      <c r="J787" s="4">
        <f>IF(G787="Yes",$C$8-I787,0)</f>
        <v>1000</v>
      </c>
      <c r="K787" s="4">
        <f ca="1">IF(H787&gt;=$C$4,J787+I787,I787)</f>
        <v>500</v>
      </c>
      <c r="M787" s="61">
        <f t="shared" si="115"/>
        <v>627.20000000000005</v>
      </c>
      <c r="N787" s="61">
        <f t="shared" si="116"/>
        <v>156.79999999999995</v>
      </c>
      <c r="O787" s="4">
        <f t="shared" si="111"/>
        <v>313600</v>
      </c>
      <c r="P787" s="4">
        <f t="shared" si="112"/>
        <v>-78399.999999999971</v>
      </c>
      <c r="Q787" s="4">
        <f t="shared" si="113"/>
        <v>235200.00000000003</v>
      </c>
      <c r="R787" s="4">
        <f t="shared" si="114"/>
        <v>335200</v>
      </c>
    </row>
    <row r="788" spans="5:18" x14ac:dyDescent="0.25">
      <c r="E788" s="1">
        <f t="shared" si="109"/>
        <v>785</v>
      </c>
      <c r="F788" s="4">
        <f t="shared" ca="1" si="110"/>
        <v>333500</v>
      </c>
      <c r="G788" s="1" t="s">
        <v>70</v>
      </c>
      <c r="H788" s="26">
        <f t="shared" ca="1" si="108"/>
        <v>2.1466742772089709E-2</v>
      </c>
      <c r="I788" s="4">
        <f>IF(G788="Yes",-$C$8,0)</f>
        <v>-500</v>
      </c>
      <c r="J788" s="4">
        <f>IF(G788="Yes",$C$8-I788,0)</f>
        <v>1000</v>
      </c>
      <c r="K788" s="4">
        <f ca="1">IF(H788&gt;=$C$4,J788+I788,I788)</f>
        <v>-500</v>
      </c>
      <c r="M788" s="61">
        <f t="shared" si="115"/>
        <v>628</v>
      </c>
      <c r="N788" s="61">
        <f t="shared" si="116"/>
        <v>157</v>
      </c>
      <c r="O788" s="4">
        <f t="shared" si="111"/>
        <v>314000</v>
      </c>
      <c r="P788" s="4">
        <f t="shared" si="112"/>
        <v>-78500</v>
      </c>
      <c r="Q788" s="4">
        <f t="shared" si="113"/>
        <v>235500</v>
      </c>
      <c r="R788" s="4">
        <f t="shared" si="114"/>
        <v>335500</v>
      </c>
    </row>
    <row r="789" spans="5:18" x14ac:dyDescent="0.25">
      <c r="E789" s="1">
        <f t="shared" si="109"/>
        <v>786</v>
      </c>
      <c r="F789" s="4">
        <f t="shared" ca="1" si="110"/>
        <v>333000</v>
      </c>
      <c r="G789" s="1" t="s">
        <v>70</v>
      </c>
      <c r="H789" s="26">
        <f t="shared" ca="1" si="108"/>
        <v>0.10120179109017968</v>
      </c>
      <c r="I789" s="4">
        <f>IF(G789="Yes",-$C$8,0)</f>
        <v>-500</v>
      </c>
      <c r="J789" s="4">
        <f>IF(G789="Yes",$C$8-I789,0)</f>
        <v>1000</v>
      </c>
      <c r="K789" s="4">
        <f ca="1">IF(H789&gt;=$C$4,J789+I789,I789)</f>
        <v>-500</v>
      </c>
      <c r="M789" s="61">
        <f t="shared" si="115"/>
        <v>628.80000000000007</v>
      </c>
      <c r="N789" s="61">
        <f t="shared" si="116"/>
        <v>157.19999999999993</v>
      </c>
      <c r="O789" s="4">
        <f t="shared" si="111"/>
        <v>314400.00000000006</v>
      </c>
      <c r="P789" s="4">
        <f t="shared" si="112"/>
        <v>-78599.999999999971</v>
      </c>
      <c r="Q789" s="4">
        <f t="shared" si="113"/>
        <v>235800.00000000009</v>
      </c>
      <c r="R789" s="4">
        <f t="shared" si="114"/>
        <v>335800.00000000012</v>
      </c>
    </row>
    <row r="790" spans="5:18" x14ac:dyDescent="0.25">
      <c r="E790" s="1">
        <f t="shared" si="109"/>
        <v>787</v>
      </c>
      <c r="F790" s="4">
        <f t="shared" ca="1" si="110"/>
        <v>333500</v>
      </c>
      <c r="G790" s="1" t="s">
        <v>70</v>
      </c>
      <c r="H790" s="26">
        <f t="shared" ca="1" si="108"/>
        <v>0.49857013068918876</v>
      </c>
      <c r="I790" s="4">
        <f>IF(G790="Yes",-$C$8,0)</f>
        <v>-500</v>
      </c>
      <c r="J790" s="4">
        <f>IF(G790="Yes",$C$8-I790,0)</f>
        <v>1000</v>
      </c>
      <c r="K790" s="4">
        <f ca="1">IF(H790&gt;=$C$4,J790+I790,I790)</f>
        <v>500</v>
      </c>
      <c r="M790" s="61">
        <f t="shared" si="115"/>
        <v>629.6</v>
      </c>
      <c r="N790" s="61">
        <f t="shared" si="116"/>
        <v>157.39999999999998</v>
      </c>
      <c r="O790" s="4">
        <f t="shared" si="111"/>
        <v>314800</v>
      </c>
      <c r="P790" s="4">
        <f t="shared" si="112"/>
        <v>-78699.999999999985</v>
      </c>
      <c r="Q790" s="4">
        <f t="shared" si="113"/>
        <v>236100</v>
      </c>
      <c r="R790" s="4">
        <f t="shared" si="114"/>
        <v>336100</v>
      </c>
    </row>
    <row r="791" spans="5:18" x14ac:dyDescent="0.25">
      <c r="E791" s="1">
        <f t="shared" si="109"/>
        <v>788</v>
      </c>
      <c r="F791" s="4">
        <f t="shared" ca="1" si="110"/>
        <v>333000</v>
      </c>
      <c r="G791" s="1" t="s">
        <v>70</v>
      </c>
      <c r="H791" s="26">
        <f t="shared" ca="1" si="108"/>
        <v>0.12979858753153639</v>
      </c>
      <c r="I791" s="4">
        <f>IF(G791="Yes",-$C$8,0)</f>
        <v>-500</v>
      </c>
      <c r="J791" s="4">
        <f>IF(G791="Yes",$C$8-I791,0)</f>
        <v>1000</v>
      </c>
      <c r="K791" s="4">
        <f ca="1">IF(H791&gt;=$C$4,J791+I791,I791)</f>
        <v>-500</v>
      </c>
      <c r="M791" s="61">
        <f t="shared" si="115"/>
        <v>630.40000000000009</v>
      </c>
      <c r="N791" s="61">
        <f t="shared" si="116"/>
        <v>157.59999999999991</v>
      </c>
      <c r="O791" s="4">
        <f t="shared" si="111"/>
        <v>315200.00000000006</v>
      </c>
      <c r="P791" s="4">
        <f t="shared" si="112"/>
        <v>-78799.999999999956</v>
      </c>
      <c r="Q791" s="4">
        <f t="shared" si="113"/>
        <v>236400.00000000012</v>
      </c>
      <c r="R791" s="4">
        <f t="shared" si="114"/>
        <v>336400.00000000012</v>
      </c>
    </row>
    <row r="792" spans="5:18" x14ac:dyDescent="0.25">
      <c r="E792" s="1">
        <f t="shared" si="109"/>
        <v>789</v>
      </c>
      <c r="F792" s="4">
        <f t="shared" ca="1" si="110"/>
        <v>333500</v>
      </c>
      <c r="G792" s="1" t="s">
        <v>70</v>
      </c>
      <c r="H792" s="26">
        <f t="shared" ca="1" si="108"/>
        <v>0.830691177576517</v>
      </c>
      <c r="I792" s="4">
        <f>IF(G792="Yes",-$C$8,0)</f>
        <v>-500</v>
      </c>
      <c r="J792" s="4">
        <f>IF(G792="Yes",$C$8-I792,0)</f>
        <v>1000</v>
      </c>
      <c r="K792" s="4">
        <f ca="1">IF(H792&gt;=$C$4,J792+I792,I792)</f>
        <v>500</v>
      </c>
      <c r="M792" s="61">
        <f t="shared" si="115"/>
        <v>631.20000000000005</v>
      </c>
      <c r="N792" s="61">
        <f t="shared" si="116"/>
        <v>157.79999999999995</v>
      </c>
      <c r="O792" s="4">
        <f t="shared" si="111"/>
        <v>315600</v>
      </c>
      <c r="P792" s="4">
        <f t="shared" si="112"/>
        <v>-78899.999999999971</v>
      </c>
      <c r="Q792" s="4">
        <f t="shared" si="113"/>
        <v>236700.00000000003</v>
      </c>
      <c r="R792" s="4">
        <f t="shared" si="114"/>
        <v>336700</v>
      </c>
    </row>
    <row r="793" spans="5:18" x14ac:dyDescent="0.25">
      <c r="E793" s="1">
        <f t="shared" si="109"/>
        <v>790</v>
      </c>
      <c r="F793" s="4">
        <f t="shared" ca="1" si="110"/>
        <v>333000</v>
      </c>
      <c r="G793" s="1" t="s">
        <v>70</v>
      </c>
      <c r="H793" s="26">
        <f t="shared" ca="1" si="108"/>
        <v>9.9491842171220757E-2</v>
      </c>
      <c r="I793" s="4">
        <f>IF(G793="Yes",-$C$8,0)</f>
        <v>-500</v>
      </c>
      <c r="J793" s="4">
        <f>IF(G793="Yes",$C$8-I793,0)</f>
        <v>1000</v>
      </c>
      <c r="K793" s="4">
        <f ca="1">IF(H793&gt;=$C$4,J793+I793,I793)</f>
        <v>-500</v>
      </c>
      <c r="M793" s="61">
        <f t="shared" si="115"/>
        <v>632</v>
      </c>
      <c r="N793" s="61">
        <f t="shared" si="116"/>
        <v>158</v>
      </c>
      <c r="O793" s="4">
        <f t="shared" si="111"/>
        <v>316000</v>
      </c>
      <c r="P793" s="4">
        <f t="shared" si="112"/>
        <v>-79000</v>
      </c>
      <c r="Q793" s="4">
        <f t="shared" si="113"/>
        <v>237000</v>
      </c>
      <c r="R793" s="4">
        <f t="shared" si="114"/>
        <v>337000</v>
      </c>
    </row>
    <row r="794" spans="5:18" x14ac:dyDescent="0.25">
      <c r="E794" s="1">
        <f t="shared" si="109"/>
        <v>791</v>
      </c>
      <c r="F794" s="4">
        <f t="shared" ca="1" si="110"/>
        <v>333500</v>
      </c>
      <c r="G794" s="1" t="s">
        <v>70</v>
      </c>
      <c r="H794" s="26">
        <f t="shared" ca="1" si="108"/>
        <v>0.90119125555516311</v>
      </c>
      <c r="I794" s="4">
        <f>IF(G794="Yes",-$C$8,0)</f>
        <v>-500</v>
      </c>
      <c r="J794" s="4">
        <f>IF(G794="Yes",$C$8-I794,0)</f>
        <v>1000</v>
      </c>
      <c r="K794" s="4">
        <f ca="1">IF(H794&gt;=$C$4,J794+I794,I794)</f>
        <v>500</v>
      </c>
      <c r="M794" s="61">
        <f t="shared" si="115"/>
        <v>632.80000000000007</v>
      </c>
      <c r="N794" s="61">
        <f t="shared" si="116"/>
        <v>158.19999999999993</v>
      </c>
      <c r="O794" s="4">
        <f t="shared" si="111"/>
        <v>316400.00000000006</v>
      </c>
      <c r="P794" s="4">
        <f t="shared" si="112"/>
        <v>-79099.999999999971</v>
      </c>
      <c r="Q794" s="4">
        <f t="shared" si="113"/>
        <v>237300.00000000009</v>
      </c>
      <c r="R794" s="4">
        <f t="shared" si="114"/>
        <v>337300.00000000012</v>
      </c>
    </row>
    <row r="795" spans="5:18" x14ac:dyDescent="0.25">
      <c r="E795" s="1">
        <f t="shared" si="109"/>
        <v>792</v>
      </c>
      <c r="F795" s="4">
        <f t="shared" ca="1" si="110"/>
        <v>334000</v>
      </c>
      <c r="G795" s="1" t="s">
        <v>70</v>
      </c>
      <c r="H795" s="26">
        <f t="shared" ca="1" si="108"/>
        <v>0.80430079319400427</v>
      </c>
      <c r="I795" s="4">
        <f>IF(G795="Yes",-$C$8,0)</f>
        <v>-500</v>
      </c>
      <c r="J795" s="4">
        <f>IF(G795="Yes",$C$8-I795,0)</f>
        <v>1000</v>
      </c>
      <c r="K795" s="4">
        <f ca="1">IF(H795&gt;=$C$4,J795+I795,I795)</f>
        <v>500</v>
      </c>
      <c r="M795" s="61">
        <f t="shared" si="115"/>
        <v>633.6</v>
      </c>
      <c r="N795" s="61">
        <f t="shared" si="116"/>
        <v>158.39999999999998</v>
      </c>
      <c r="O795" s="4">
        <f t="shared" si="111"/>
        <v>316800</v>
      </c>
      <c r="P795" s="4">
        <f t="shared" si="112"/>
        <v>-79199.999999999985</v>
      </c>
      <c r="Q795" s="4">
        <f t="shared" si="113"/>
        <v>237600</v>
      </c>
      <c r="R795" s="4">
        <f t="shared" si="114"/>
        <v>337600</v>
      </c>
    </row>
    <row r="796" spans="5:18" x14ac:dyDescent="0.25">
      <c r="E796" s="1">
        <f t="shared" si="109"/>
        <v>793</v>
      </c>
      <c r="F796" s="4">
        <f t="shared" ca="1" si="110"/>
        <v>334500</v>
      </c>
      <c r="G796" s="1" t="s">
        <v>70</v>
      </c>
      <c r="H796" s="26">
        <f t="shared" ca="1" si="108"/>
        <v>0.98600146010694512</v>
      </c>
      <c r="I796" s="4">
        <f>IF(G796="Yes",-$C$8,0)</f>
        <v>-500</v>
      </c>
      <c r="J796" s="4">
        <f>IF(G796="Yes",$C$8-I796,0)</f>
        <v>1000</v>
      </c>
      <c r="K796" s="4">
        <f ca="1">IF(H796&gt;=$C$4,J796+I796,I796)</f>
        <v>500</v>
      </c>
      <c r="M796" s="61">
        <f t="shared" si="115"/>
        <v>634.40000000000009</v>
      </c>
      <c r="N796" s="61">
        <f t="shared" si="116"/>
        <v>158.59999999999991</v>
      </c>
      <c r="O796" s="4">
        <f t="shared" si="111"/>
        <v>317200.00000000006</v>
      </c>
      <c r="P796" s="4">
        <f t="shared" si="112"/>
        <v>-79299.999999999956</v>
      </c>
      <c r="Q796" s="4">
        <f t="shared" si="113"/>
        <v>237900.00000000012</v>
      </c>
      <c r="R796" s="4">
        <f t="shared" si="114"/>
        <v>337900.00000000012</v>
      </c>
    </row>
    <row r="797" spans="5:18" x14ac:dyDescent="0.25">
      <c r="E797" s="1">
        <f t="shared" si="109"/>
        <v>794</v>
      </c>
      <c r="F797" s="4">
        <f t="shared" ca="1" si="110"/>
        <v>335000</v>
      </c>
      <c r="G797" s="1" t="s">
        <v>70</v>
      </c>
      <c r="H797" s="26">
        <f t="shared" ca="1" si="108"/>
        <v>0.82302306439248751</v>
      </c>
      <c r="I797" s="4">
        <f>IF(G797="Yes",-$C$8,0)</f>
        <v>-500</v>
      </c>
      <c r="J797" s="4">
        <f>IF(G797="Yes",$C$8-I797,0)</f>
        <v>1000</v>
      </c>
      <c r="K797" s="4">
        <f ca="1">IF(H797&gt;=$C$4,J797+I797,I797)</f>
        <v>500</v>
      </c>
      <c r="M797" s="61">
        <f t="shared" si="115"/>
        <v>635.20000000000005</v>
      </c>
      <c r="N797" s="61">
        <f t="shared" si="116"/>
        <v>158.79999999999995</v>
      </c>
      <c r="O797" s="4">
        <f t="shared" si="111"/>
        <v>317600</v>
      </c>
      <c r="P797" s="4">
        <f t="shared" si="112"/>
        <v>-79399.999999999971</v>
      </c>
      <c r="Q797" s="4">
        <f t="shared" si="113"/>
        <v>238200.00000000003</v>
      </c>
      <c r="R797" s="4">
        <f t="shared" si="114"/>
        <v>338200</v>
      </c>
    </row>
    <row r="798" spans="5:18" x14ac:dyDescent="0.25">
      <c r="E798" s="1">
        <f t="shared" si="109"/>
        <v>795</v>
      </c>
      <c r="F798" s="4">
        <f t="shared" ca="1" si="110"/>
        <v>335500</v>
      </c>
      <c r="G798" s="1" t="s">
        <v>70</v>
      </c>
      <c r="H798" s="26">
        <f t="shared" ca="1" si="108"/>
        <v>0.69612298699136832</v>
      </c>
      <c r="I798" s="4">
        <f>IF(G798="Yes",-$C$8,0)</f>
        <v>-500</v>
      </c>
      <c r="J798" s="4">
        <f>IF(G798="Yes",$C$8-I798,0)</f>
        <v>1000</v>
      </c>
      <c r="K798" s="4">
        <f ca="1">IF(H798&gt;=$C$4,J798+I798,I798)</f>
        <v>500</v>
      </c>
      <c r="M798" s="61">
        <f t="shared" si="115"/>
        <v>636</v>
      </c>
      <c r="N798" s="61">
        <f t="shared" si="116"/>
        <v>159</v>
      </c>
      <c r="O798" s="4">
        <f t="shared" si="111"/>
        <v>318000</v>
      </c>
      <c r="P798" s="4">
        <f t="shared" si="112"/>
        <v>-79500</v>
      </c>
      <c r="Q798" s="4">
        <f t="shared" si="113"/>
        <v>238500</v>
      </c>
      <c r="R798" s="4">
        <f t="shared" si="114"/>
        <v>338500</v>
      </c>
    </row>
    <row r="799" spans="5:18" x14ac:dyDescent="0.25">
      <c r="E799" s="1">
        <f t="shared" si="109"/>
        <v>796</v>
      </c>
      <c r="F799" s="4">
        <f t="shared" ca="1" si="110"/>
        <v>336000</v>
      </c>
      <c r="G799" s="1" t="s">
        <v>70</v>
      </c>
      <c r="H799" s="26">
        <f t="shared" ca="1" si="108"/>
        <v>0.95661573657364807</v>
      </c>
      <c r="I799" s="4">
        <f>IF(G799="Yes",-$C$8,0)</f>
        <v>-500</v>
      </c>
      <c r="J799" s="4">
        <f>IF(G799="Yes",$C$8-I799,0)</f>
        <v>1000</v>
      </c>
      <c r="K799" s="4">
        <f ca="1">IF(H799&gt;=$C$4,J799+I799,I799)</f>
        <v>500</v>
      </c>
      <c r="M799" s="61">
        <f t="shared" si="115"/>
        <v>636.80000000000007</v>
      </c>
      <c r="N799" s="61">
        <f t="shared" si="116"/>
        <v>159.19999999999993</v>
      </c>
      <c r="O799" s="4">
        <f t="shared" si="111"/>
        <v>318400.00000000006</v>
      </c>
      <c r="P799" s="4">
        <f t="shared" si="112"/>
        <v>-79599.999999999971</v>
      </c>
      <c r="Q799" s="4">
        <f t="shared" si="113"/>
        <v>238800.00000000009</v>
      </c>
      <c r="R799" s="4">
        <f t="shared" si="114"/>
        <v>338800.00000000012</v>
      </c>
    </row>
    <row r="800" spans="5:18" x14ac:dyDescent="0.25">
      <c r="E800" s="1">
        <f t="shared" si="109"/>
        <v>797</v>
      </c>
      <c r="F800" s="4">
        <f t="shared" ca="1" si="110"/>
        <v>336500</v>
      </c>
      <c r="G800" s="1" t="s">
        <v>70</v>
      </c>
      <c r="H800" s="26">
        <f t="shared" ca="1" si="108"/>
        <v>0.9622979400854601</v>
      </c>
      <c r="I800" s="4">
        <f>IF(G800="Yes",-$C$8,0)</f>
        <v>-500</v>
      </c>
      <c r="J800" s="4">
        <f>IF(G800="Yes",$C$8-I800,0)</f>
        <v>1000</v>
      </c>
      <c r="K800" s="4">
        <f ca="1">IF(H800&gt;=$C$4,J800+I800,I800)</f>
        <v>500</v>
      </c>
      <c r="M800" s="61">
        <f t="shared" si="115"/>
        <v>637.6</v>
      </c>
      <c r="N800" s="61">
        <f t="shared" si="116"/>
        <v>159.39999999999998</v>
      </c>
      <c r="O800" s="4">
        <f t="shared" si="111"/>
        <v>318800</v>
      </c>
      <c r="P800" s="4">
        <f t="shared" si="112"/>
        <v>-79699.999999999985</v>
      </c>
      <c r="Q800" s="4">
        <f t="shared" si="113"/>
        <v>239100</v>
      </c>
      <c r="R800" s="4">
        <f t="shared" si="114"/>
        <v>339100</v>
      </c>
    </row>
    <row r="801" spans="5:18" x14ac:dyDescent="0.25">
      <c r="E801" s="1">
        <f t="shared" si="109"/>
        <v>798</v>
      </c>
      <c r="F801" s="4">
        <f t="shared" ca="1" si="110"/>
        <v>337000</v>
      </c>
      <c r="G801" s="1" t="s">
        <v>70</v>
      </c>
      <c r="H801" s="26">
        <f t="shared" ca="1" si="108"/>
        <v>0.35271525623248934</v>
      </c>
      <c r="I801" s="4">
        <f>IF(G801="Yes",-$C$8,0)</f>
        <v>-500</v>
      </c>
      <c r="J801" s="4">
        <f>IF(G801="Yes",$C$8-I801,0)</f>
        <v>1000</v>
      </c>
      <c r="K801" s="4">
        <f ca="1">IF(H801&gt;=$C$4,J801+I801,I801)</f>
        <v>500</v>
      </c>
      <c r="M801" s="61">
        <f t="shared" si="115"/>
        <v>638.40000000000009</v>
      </c>
      <c r="N801" s="61">
        <f t="shared" si="116"/>
        <v>159.59999999999991</v>
      </c>
      <c r="O801" s="4">
        <f t="shared" si="111"/>
        <v>319200.00000000006</v>
      </c>
      <c r="P801" s="4">
        <f t="shared" si="112"/>
        <v>-79799.999999999956</v>
      </c>
      <c r="Q801" s="4">
        <f t="shared" si="113"/>
        <v>239400.00000000012</v>
      </c>
      <c r="R801" s="4">
        <f t="shared" si="114"/>
        <v>339400.00000000012</v>
      </c>
    </row>
    <row r="802" spans="5:18" x14ac:dyDescent="0.25">
      <c r="E802" s="1">
        <f t="shared" si="109"/>
        <v>799</v>
      </c>
      <c r="F802" s="4">
        <f t="shared" ca="1" si="110"/>
        <v>337500</v>
      </c>
      <c r="G802" s="1" t="s">
        <v>70</v>
      </c>
      <c r="H802" s="26">
        <f t="shared" ca="1" si="108"/>
        <v>0.48425795291676665</v>
      </c>
      <c r="I802" s="4">
        <f>IF(G802="Yes",-$C$8,0)</f>
        <v>-500</v>
      </c>
      <c r="J802" s="4">
        <f>IF(G802="Yes",$C$8-I802,0)</f>
        <v>1000</v>
      </c>
      <c r="K802" s="4">
        <f ca="1">IF(H802&gt;=$C$4,J802+I802,I802)</f>
        <v>500</v>
      </c>
      <c r="M802" s="61">
        <f t="shared" si="115"/>
        <v>639.20000000000005</v>
      </c>
      <c r="N802" s="61">
        <f t="shared" si="116"/>
        <v>159.79999999999995</v>
      </c>
      <c r="O802" s="4">
        <f t="shared" si="111"/>
        <v>319600</v>
      </c>
      <c r="P802" s="4">
        <f t="shared" si="112"/>
        <v>-79899.999999999971</v>
      </c>
      <c r="Q802" s="4">
        <f t="shared" si="113"/>
        <v>239700.00000000003</v>
      </c>
      <c r="R802" s="4">
        <f t="shared" si="114"/>
        <v>339700</v>
      </c>
    </row>
    <row r="803" spans="5:18" x14ac:dyDescent="0.25">
      <c r="E803" s="1">
        <f t="shared" si="109"/>
        <v>800</v>
      </c>
      <c r="F803" s="4">
        <f t="shared" ca="1" si="110"/>
        <v>338000</v>
      </c>
      <c r="G803" s="1" t="s">
        <v>70</v>
      </c>
      <c r="H803" s="26">
        <f t="shared" ca="1" si="108"/>
        <v>0.68714735778582536</v>
      </c>
      <c r="I803" s="4">
        <f>IF(G803="Yes",-$C$8,0)</f>
        <v>-500</v>
      </c>
      <c r="J803" s="4">
        <f>IF(G803="Yes",$C$8-I803,0)</f>
        <v>1000</v>
      </c>
      <c r="K803" s="4">
        <f ca="1">IF(H803&gt;=$C$4,J803+I803,I803)</f>
        <v>500</v>
      </c>
      <c r="M803" s="61">
        <f t="shared" si="115"/>
        <v>640</v>
      </c>
      <c r="N803" s="61">
        <f t="shared" si="116"/>
        <v>160</v>
      </c>
      <c r="O803" s="4">
        <f t="shared" si="111"/>
        <v>320000</v>
      </c>
      <c r="P803" s="4">
        <f t="shared" si="112"/>
        <v>-80000</v>
      </c>
      <c r="Q803" s="4">
        <f t="shared" si="113"/>
        <v>240000</v>
      </c>
      <c r="R803" s="4">
        <f t="shared" si="114"/>
        <v>340000</v>
      </c>
    </row>
    <row r="804" spans="5:18" x14ac:dyDescent="0.25">
      <c r="E804" s="1">
        <f t="shared" si="109"/>
        <v>801</v>
      </c>
      <c r="F804" s="4">
        <f t="shared" ca="1" si="110"/>
        <v>337500</v>
      </c>
      <c r="G804" s="1" t="s">
        <v>70</v>
      </c>
      <c r="H804" s="26">
        <f t="shared" ca="1" si="108"/>
        <v>0.1559645175955674</v>
      </c>
      <c r="I804" s="4">
        <f>IF(G804="Yes",-$C$8,0)</f>
        <v>-500</v>
      </c>
      <c r="J804" s="4">
        <f>IF(G804="Yes",$C$8-I804,0)</f>
        <v>1000</v>
      </c>
      <c r="K804" s="4">
        <f ca="1">IF(H804&gt;=$C$4,J804+I804,I804)</f>
        <v>-500</v>
      </c>
      <c r="M804" s="61">
        <f t="shared" si="115"/>
        <v>640.80000000000007</v>
      </c>
      <c r="N804" s="61">
        <f t="shared" si="116"/>
        <v>160.19999999999993</v>
      </c>
      <c r="O804" s="4">
        <f t="shared" si="111"/>
        <v>320400.00000000006</v>
      </c>
      <c r="P804" s="4">
        <f t="shared" si="112"/>
        <v>-80099.999999999971</v>
      </c>
      <c r="Q804" s="4">
        <f t="shared" si="113"/>
        <v>240300.00000000009</v>
      </c>
      <c r="R804" s="4">
        <f t="shared" si="114"/>
        <v>340300.00000000012</v>
      </c>
    </row>
    <row r="805" spans="5:18" x14ac:dyDescent="0.25">
      <c r="E805" s="1">
        <f t="shared" si="109"/>
        <v>802</v>
      </c>
      <c r="F805" s="4">
        <f t="shared" ca="1" si="110"/>
        <v>338000</v>
      </c>
      <c r="G805" s="1" t="s">
        <v>70</v>
      </c>
      <c r="H805" s="26">
        <f t="shared" ca="1" si="108"/>
        <v>0.3031097073966208</v>
      </c>
      <c r="I805" s="4">
        <f>IF(G805="Yes",-$C$8,0)</f>
        <v>-500</v>
      </c>
      <c r="J805" s="4">
        <f>IF(G805="Yes",$C$8-I805,0)</f>
        <v>1000</v>
      </c>
      <c r="K805" s="4">
        <f ca="1">IF(H805&gt;=$C$4,J805+I805,I805)</f>
        <v>500</v>
      </c>
      <c r="M805" s="61">
        <f t="shared" si="115"/>
        <v>641.6</v>
      </c>
      <c r="N805" s="61">
        <f t="shared" si="116"/>
        <v>160.39999999999998</v>
      </c>
      <c r="O805" s="4">
        <f t="shared" si="111"/>
        <v>320800</v>
      </c>
      <c r="P805" s="4">
        <f t="shared" si="112"/>
        <v>-80199.999999999985</v>
      </c>
      <c r="Q805" s="4">
        <f t="shared" si="113"/>
        <v>240600</v>
      </c>
      <c r="R805" s="4">
        <f t="shared" si="114"/>
        <v>340600</v>
      </c>
    </row>
    <row r="806" spans="5:18" x14ac:dyDescent="0.25">
      <c r="E806" s="1">
        <f t="shared" si="109"/>
        <v>803</v>
      </c>
      <c r="F806" s="4">
        <f t="shared" ca="1" si="110"/>
        <v>338500</v>
      </c>
      <c r="G806" s="1" t="s">
        <v>70</v>
      </c>
      <c r="H806" s="26">
        <f t="shared" ca="1" si="108"/>
        <v>0.62059933988168592</v>
      </c>
      <c r="I806" s="4">
        <f>IF(G806="Yes",-$C$8,0)</f>
        <v>-500</v>
      </c>
      <c r="J806" s="4">
        <f>IF(G806="Yes",$C$8-I806,0)</f>
        <v>1000</v>
      </c>
      <c r="K806" s="4">
        <f ca="1">IF(H806&gt;=$C$4,J806+I806,I806)</f>
        <v>500</v>
      </c>
      <c r="M806" s="61">
        <f t="shared" si="115"/>
        <v>642.40000000000009</v>
      </c>
      <c r="N806" s="61">
        <f t="shared" si="116"/>
        <v>160.59999999999991</v>
      </c>
      <c r="O806" s="4">
        <f t="shared" si="111"/>
        <v>321200.00000000006</v>
      </c>
      <c r="P806" s="4">
        <f t="shared" si="112"/>
        <v>-80299.999999999956</v>
      </c>
      <c r="Q806" s="4">
        <f t="shared" si="113"/>
        <v>240900.00000000012</v>
      </c>
      <c r="R806" s="4">
        <f t="shared" si="114"/>
        <v>340900.00000000012</v>
      </c>
    </row>
    <row r="807" spans="5:18" x14ac:dyDescent="0.25">
      <c r="E807" s="1">
        <f t="shared" si="109"/>
        <v>804</v>
      </c>
      <c r="F807" s="4">
        <f t="shared" ca="1" si="110"/>
        <v>339000</v>
      </c>
      <c r="G807" s="1" t="s">
        <v>70</v>
      </c>
      <c r="H807" s="26">
        <f t="shared" ca="1" si="108"/>
        <v>0.49116077778819267</v>
      </c>
      <c r="I807" s="4">
        <f>IF(G807="Yes",-$C$8,0)</f>
        <v>-500</v>
      </c>
      <c r="J807" s="4">
        <f>IF(G807="Yes",$C$8-I807,0)</f>
        <v>1000</v>
      </c>
      <c r="K807" s="4">
        <f ca="1">IF(H807&gt;=$C$4,J807+I807,I807)</f>
        <v>500</v>
      </c>
      <c r="M807" s="61">
        <f t="shared" si="115"/>
        <v>643.20000000000005</v>
      </c>
      <c r="N807" s="61">
        <f t="shared" si="116"/>
        <v>160.79999999999995</v>
      </c>
      <c r="O807" s="4">
        <f t="shared" si="111"/>
        <v>321600</v>
      </c>
      <c r="P807" s="4">
        <f t="shared" si="112"/>
        <v>-80399.999999999971</v>
      </c>
      <c r="Q807" s="4">
        <f t="shared" si="113"/>
        <v>241200.00000000003</v>
      </c>
      <c r="R807" s="4">
        <f t="shared" si="114"/>
        <v>341200</v>
      </c>
    </row>
    <row r="808" spans="5:18" x14ac:dyDescent="0.25">
      <c r="E808" s="1">
        <f t="shared" si="109"/>
        <v>805</v>
      </c>
      <c r="F808" s="4">
        <f t="shared" ca="1" si="110"/>
        <v>338500</v>
      </c>
      <c r="G808" s="1" t="s">
        <v>70</v>
      </c>
      <c r="H808" s="26">
        <f t="shared" ca="1" si="108"/>
        <v>0.17147048147498045</v>
      </c>
      <c r="I808" s="4">
        <f>IF(G808="Yes",-$C$8,0)</f>
        <v>-500</v>
      </c>
      <c r="J808" s="4">
        <f>IF(G808="Yes",$C$8-I808,0)</f>
        <v>1000</v>
      </c>
      <c r="K808" s="4">
        <f ca="1">IF(H808&gt;=$C$4,J808+I808,I808)</f>
        <v>-500</v>
      </c>
      <c r="M808" s="61">
        <f t="shared" si="115"/>
        <v>644</v>
      </c>
      <c r="N808" s="61">
        <f t="shared" si="116"/>
        <v>161</v>
      </c>
      <c r="O808" s="4">
        <f t="shared" si="111"/>
        <v>322000</v>
      </c>
      <c r="P808" s="4">
        <f t="shared" si="112"/>
        <v>-80500</v>
      </c>
      <c r="Q808" s="4">
        <f t="shared" si="113"/>
        <v>241500</v>
      </c>
      <c r="R808" s="4">
        <f t="shared" si="114"/>
        <v>341500</v>
      </c>
    </row>
    <row r="809" spans="5:18" x14ac:dyDescent="0.25">
      <c r="E809" s="1">
        <f t="shared" si="109"/>
        <v>806</v>
      </c>
      <c r="F809" s="4">
        <f t="shared" ca="1" si="110"/>
        <v>338000</v>
      </c>
      <c r="G809" s="1" t="s">
        <v>70</v>
      </c>
      <c r="H809" s="26">
        <f t="shared" ca="1" si="108"/>
        <v>4.7930056770897345E-2</v>
      </c>
      <c r="I809" s="4">
        <f>IF(G809="Yes",-$C$8,0)</f>
        <v>-500</v>
      </c>
      <c r="J809" s="4">
        <f>IF(G809="Yes",$C$8-I809,0)</f>
        <v>1000</v>
      </c>
      <c r="K809" s="4">
        <f ca="1">IF(H809&gt;=$C$4,J809+I809,I809)</f>
        <v>-500</v>
      </c>
      <c r="M809" s="61">
        <f t="shared" si="115"/>
        <v>644.80000000000007</v>
      </c>
      <c r="N809" s="61">
        <f t="shared" si="116"/>
        <v>161.19999999999993</v>
      </c>
      <c r="O809" s="4">
        <f t="shared" si="111"/>
        <v>322400.00000000006</v>
      </c>
      <c r="P809" s="4">
        <f t="shared" si="112"/>
        <v>-80599.999999999971</v>
      </c>
      <c r="Q809" s="4">
        <f t="shared" si="113"/>
        <v>241800.00000000009</v>
      </c>
      <c r="R809" s="4">
        <f t="shared" si="114"/>
        <v>341800.00000000012</v>
      </c>
    </row>
    <row r="810" spans="5:18" x14ac:dyDescent="0.25">
      <c r="E810" s="1">
        <f t="shared" si="109"/>
        <v>807</v>
      </c>
      <c r="F810" s="4">
        <f t="shared" ca="1" si="110"/>
        <v>338500</v>
      </c>
      <c r="G810" s="1" t="s">
        <v>70</v>
      </c>
      <c r="H810" s="26">
        <f t="shared" ca="1" si="108"/>
        <v>0.60936925167074485</v>
      </c>
      <c r="I810" s="4">
        <f>IF(G810="Yes",-$C$8,0)</f>
        <v>-500</v>
      </c>
      <c r="J810" s="4">
        <f>IF(G810="Yes",$C$8-I810,0)</f>
        <v>1000</v>
      </c>
      <c r="K810" s="4">
        <f ca="1">IF(H810&gt;=$C$4,J810+I810,I810)</f>
        <v>500</v>
      </c>
      <c r="M810" s="61">
        <f t="shared" si="115"/>
        <v>645.6</v>
      </c>
      <c r="N810" s="61">
        <f t="shared" si="116"/>
        <v>161.39999999999998</v>
      </c>
      <c r="O810" s="4">
        <f t="shared" si="111"/>
        <v>322800</v>
      </c>
      <c r="P810" s="4">
        <f t="shared" si="112"/>
        <v>-80699.999999999985</v>
      </c>
      <c r="Q810" s="4">
        <f t="shared" si="113"/>
        <v>242100</v>
      </c>
      <c r="R810" s="4">
        <f t="shared" si="114"/>
        <v>342100</v>
      </c>
    </row>
    <row r="811" spans="5:18" x14ac:dyDescent="0.25">
      <c r="E811" s="1">
        <f t="shared" si="109"/>
        <v>808</v>
      </c>
      <c r="F811" s="4">
        <f t="shared" ca="1" si="110"/>
        <v>339000</v>
      </c>
      <c r="G811" s="1" t="s">
        <v>70</v>
      </c>
      <c r="H811" s="26">
        <f t="shared" ca="1" si="108"/>
        <v>0.21447510543373849</v>
      </c>
      <c r="I811" s="4">
        <f>IF(G811="Yes",-$C$8,0)</f>
        <v>-500</v>
      </c>
      <c r="J811" s="4">
        <f>IF(G811="Yes",$C$8-I811,0)</f>
        <v>1000</v>
      </c>
      <c r="K811" s="4">
        <f ca="1">IF(H811&gt;=$C$4,J811+I811,I811)</f>
        <v>500</v>
      </c>
      <c r="M811" s="61">
        <f t="shared" si="115"/>
        <v>646.40000000000009</v>
      </c>
      <c r="N811" s="61">
        <f t="shared" si="116"/>
        <v>161.59999999999991</v>
      </c>
      <c r="O811" s="4">
        <f t="shared" si="111"/>
        <v>323200.00000000006</v>
      </c>
      <c r="P811" s="4">
        <f t="shared" si="112"/>
        <v>-80799.999999999956</v>
      </c>
      <c r="Q811" s="4">
        <f t="shared" si="113"/>
        <v>242400.00000000012</v>
      </c>
      <c r="R811" s="4">
        <f t="shared" si="114"/>
        <v>342400.00000000012</v>
      </c>
    </row>
    <row r="812" spans="5:18" x14ac:dyDescent="0.25">
      <c r="E812" s="1">
        <f t="shared" si="109"/>
        <v>809</v>
      </c>
      <c r="F812" s="4">
        <f t="shared" ca="1" si="110"/>
        <v>339500</v>
      </c>
      <c r="G812" s="1" t="s">
        <v>70</v>
      </c>
      <c r="H812" s="26">
        <f t="shared" ca="1" si="108"/>
        <v>0.95561839360750755</v>
      </c>
      <c r="I812" s="4">
        <f>IF(G812="Yes",-$C$8,0)</f>
        <v>-500</v>
      </c>
      <c r="J812" s="4">
        <f>IF(G812="Yes",$C$8-I812,0)</f>
        <v>1000</v>
      </c>
      <c r="K812" s="4">
        <f ca="1">IF(H812&gt;=$C$4,J812+I812,I812)</f>
        <v>500</v>
      </c>
      <c r="M812" s="61">
        <f t="shared" si="115"/>
        <v>647.20000000000005</v>
      </c>
      <c r="N812" s="61">
        <f t="shared" si="116"/>
        <v>161.79999999999995</v>
      </c>
      <c r="O812" s="4">
        <f t="shared" si="111"/>
        <v>323600</v>
      </c>
      <c r="P812" s="4">
        <f t="shared" si="112"/>
        <v>-80899.999999999971</v>
      </c>
      <c r="Q812" s="4">
        <f t="shared" si="113"/>
        <v>242700.00000000003</v>
      </c>
      <c r="R812" s="4">
        <f t="shared" si="114"/>
        <v>342700</v>
      </c>
    </row>
    <row r="813" spans="5:18" x14ac:dyDescent="0.25">
      <c r="E813" s="1">
        <f t="shared" si="109"/>
        <v>810</v>
      </c>
      <c r="F813" s="4">
        <f t="shared" ca="1" si="110"/>
        <v>340000</v>
      </c>
      <c r="G813" s="1" t="s">
        <v>70</v>
      </c>
      <c r="H813" s="26">
        <f t="shared" ca="1" si="108"/>
        <v>0.26740000699826283</v>
      </c>
      <c r="I813" s="4">
        <f>IF(G813="Yes",-$C$8,0)</f>
        <v>-500</v>
      </c>
      <c r="J813" s="4">
        <f>IF(G813="Yes",$C$8-I813,0)</f>
        <v>1000</v>
      </c>
      <c r="K813" s="4">
        <f ca="1">IF(H813&gt;=$C$4,J813+I813,I813)</f>
        <v>500</v>
      </c>
      <c r="M813" s="61">
        <f t="shared" si="115"/>
        <v>648</v>
      </c>
      <c r="N813" s="61">
        <f t="shared" si="116"/>
        <v>162</v>
      </c>
      <c r="O813" s="4">
        <f t="shared" si="111"/>
        <v>324000</v>
      </c>
      <c r="P813" s="4">
        <f t="shared" si="112"/>
        <v>-81000</v>
      </c>
      <c r="Q813" s="4">
        <f t="shared" si="113"/>
        <v>243000</v>
      </c>
      <c r="R813" s="4">
        <f t="shared" si="114"/>
        <v>343000</v>
      </c>
    </row>
    <row r="814" spans="5:18" x14ac:dyDescent="0.25">
      <c r="E814" s="1">
        <f t="shared" si="109"/>
        <v>811</v>
      </c>
      <c r="F814" s="4">
        <f t="shared" ca="1" si="110"/>
        <v>339500</v>
      </c>
      <c r="G814" s="1" t="s">
        <v>70</v>
      </c>
      <c r="H814" s="26">
        <f t="shared" ca="1" si="108"/>
        <v>0.17713146276169678</v>
      </c>
      <c r="I814" s="4">
        <f>IF(G814="Yes",-$C$8,0)</f>
        <v>-500</v>
      </c>
      <c r="J814" s="4">
        <f>IF(G814="Yes",$C$8-I814,0)</f>
        <v>1000</v>
      </c>
      <c r="K814" s="4">
        <f ca="1">IF(H814&gt;=$C$4,J814+I814,I814)</f>
        <v>-500</v>
      </c>
      <c r="M814" s="61">
        <f t="shared" si="115"/>
        <v>648.80000000000007</v>
      </c>
      <c r="N814" s="61">
        <f t="shared" si="116"/>
        <v>162.19999999999993</v>
      </c>
      <c r="O814" s="4">
        <f t="shared" si="111"/>
        <v>324400.00000000006</v>
      </c>
      <c r="P814" s="4">
        <f t="shared" si="112"/>
        <v>-81099.999999999971</v>
      </c>
      <c r="Q814" s="4">
        <f t="shared" si="113"/>
        <v>243300.00000000009</v>
      </c>
      <c r="R814" s="4">
        <f t="shared" si="114"/>
        <v>343300.00000000012</v>
      </c>
    </row>
    <row r="815" spans="5:18" x14ac:dyDescent="0.25">
      <c r="E815" s="1">
        <f t="shared" si="109"/>
        <v>812</v>
      </c>
      <c r="F815" s="4">
        <f t="shared" ca="1" si="110"/>
        <v>340000</v>
      </c>
      <c r="G815" s="1" t="s">
        <v>70</v>
      </c>
      <c r="H815" s="26">
        <f t="shared" ca="1" si="108"/>
        <v>0.91040329067928127</v>
      </c>
      <c r="I815" s="4">
        <f>IF(G815="Yes",-$C$8,0)</f>
        <v>-500</v>
      </c>
      <c r="J815" s="4">
        <f>IF(G815="Yes",$C$8-I815,0)</f>
        <v>1000</v>
      </c>
      <c r="K815" s="4">
        <f ca="1">IF(H815&gt;=$C$4,J815+I815,I815)</f>
        <v>500</v>
      </c>
      <c r="M815" s="61">
        <f t="shared" si="115"/>
        <v>649.6</v>
      </c>
      <c r="N815" s="61">
        <f t="shared" si="116"/>
        <v>162.39999999999998</v>
      </c>
      <c r="O815" s="4">
        <f t="shared" si="111"/>
        <v>324800</v>
      </c>
      <c r="P815" s="4">
        <f t="shared" si="112"/>
        <v>-81199.999999999985</v>
      </c>
      <c r="Q815" s="4">
        <f t="shared" si="113"/>
        <v>243600</v>
      </c>
      <c r="R815" s="4">
        <f t="shared" si="114"/>
        <v>343600</v>
      </c>
    </row>
    <row r="816" spans="5:18" x14ac:dyDescent="0.25">
      <c r="E816" s="1">
        <f t="shared" si="109"/>
        <v>813</v>
      </c>
      <c r="F816" s="4">
        <f t="shared" ca="1" si="110"/>
        <v>340500</v>
      </c>
      <c r="G816" s="1" t="s">
        <v>70</v>
      </c>
      <c r="H816" s="26">
        <f t="shared" ca="1" si="108"/>
        <v>0.70338057973306733</v>
      </c>
      <c r="I816" s="4">
        <f>IF(G816="Yes",-$C$8,0)</f>
        <v>-500</v>
      </c>
      <c r="J816" s="4">
        <f>IF(G816="Yes",$C$8-I816,0)</f>
        <v>1000</v>
      </c>
      <c r="K816" s="4">
        <f ca="1">IF(H816&gt;=$C$4,J816+I816,I816)</f>
        <v>500</v>
      </c>
      <c r="M816" s="61">
        <f t="shared" si="115"/>
        <v>650.40000000000009</v>
      </c>
      <c r="N816" s="61">
        <f t="shared" si="116"/>
        <v>162.59999999999991</v>
      </c>
      <c r="O816" s="4">
        <f t="shared" si="111"/>
        <v>325200.00000000006</v>
      </c>
      <c r="P816" s="4">
        <f t="shared" si="112"/>
        <v>-81299.999999999956</v>
      </c>
      <c r="Q816" s="4">
        <f t="shared" si="113"/>
        <v>243900.00000000012</v>
      </c>
      <c r="R816" s="4">
        <f t="shared" si="114"/>
        <v>343900.00000000012</v>
      </c>
    </row>
    <row r="817" spans="5:18" x14ac:dyDescent="0.25">
      <c r="E817" s="1">
        <f t="shared" si="109"/>
        <v>814</v>
      </c>
      <c r="F817" s="4">
        <f t="shared" ca="1" si="110"/>
        <v>341000</v>
      </c>
      <c r="G817" s="1" t="s">
        <v>70</v>
      </c>
      <c r="H817" s="26">
        <f t="shared" ca="1" si="108"/>
        <v>0.8177386065955804</v>
      </c>
      <c r="I817" s="4">
        <f>IF(G817="Yes",-$C$8,0)</f>
        <v>-500</v>
      </c>
      <c r="J817" s="4">
        <f>IF(G817="Yes",$C$8-I817,0)</f>
        <v>1000</v>
      </c>
      <c r="K817" s="4">
        <f ca="1">IF(H817&gt;=$C$4,J817+I817,I817)</f>
        <v>500</v>
      </c>
      <c r="M817" s="61">
        <f t="shared" si="115"/>
        <v>651.20000000000005</v>
      </c>
      <c r="N817" s="61">
        <f t="shared" si="116"/>
        <v>162.79999999999995</v>
      </c>
      <c r="O817" s="4">
        <f t="shared" si="111"/>
        <v>325600</v>
      </c>
      <c r="P817" s="4">
        <f t="shared" si="112"/>
        <v>-81399.999999999971</v>
      </c>
      <c r="Q817" s="4">
        <f t="shared" si="113"/>
        <v>244200.00000000003</v>
      </c>
      <c r="R817" s="4">
        <f t="shared" si="114"/>
        <v>344200</v>
      </c>
    </row>
    <row r="818" spans="5:18" x14ac:dyDescent="0.25">
      <c r="E818" s="1">
        <f t="shared" si="109"/>
        <v>815</v>
      </c>
      <c r="F818" s="4">
        <f t="shared" ca="1" si="110"/>
        <v>340500</v>
      </c>
      <c r="G818" s="1" t="s">
        <v>70</v>
      </c>
      <c r="H818" s="26">
        <f t="shared" ca="1" si="108"/>
        <v>3.2306537725974471E-2</v>
      </c>
      <c r="I818" s="4">
        <f>IF(G818="Yes",-$C$8,0)</f>
        <v>-500</v>
      </c>
      <c r="J818" s="4">
        <f>IF(G818="Yes",$C$8-I818,0)</f>
        <v>1000</v>
      </c>
      <c r="K818" s="4">
        <f ca="1">IF(H818&gt;=$C$4,J818+I818,I818)</f>
        <v>-500</v>
      </c>
      <c r="M818" s="61">
        <f t="shared" si="115"/>
        <v>652</v>
      </c>
      <c r="N818" s="61">
        <f t="shared" si="116"/>
        <v>163</v>
      </c>
      <c r="O818" s="4">
        <f t="shared" si="111"/>
        <v>326000</v>
      </c>
      <c r="P818" s="4">
        <f t="shared" si="112"/>
        <v>-81500</v>
      </c>
      <c r="Q818" s="4">
        <f t="shared" si="113"/>
        <v>244500</v>
      </c>
      <c r="R818" s="4">
        <f t="shared" si="114"/>
        <v>344500</v>
      </c>
    </row>
    <row r="819" spans="5:18" x14ac:dyDescent="0.25">
      <c r="E819" s="1">
        <f t="shared" si="109"/>
        <v>816</v>
      </c>
      <c r="F819" s="4">
        <f t="shared" ca="1" si="110"/>
        <v>341000</v>
      </c>
      <c r="G819" s="1" t="s">
        <v>70</v>
      </c>
      <c r="H819" s="26">
        <f t="shared" ca="1" si="108"/>
        <v>0.8501465374132362</v>
      </c>
      <c r="I819" s="4">
        <f>IF(G819="Yes",-$C$8,0)</f>
        <v>-500</v>
      </c>
      <c r="J819" s="4">
        <f>IF(G819="Yes",$C$8-I819,0)</f>
        <v>1000</v>
      </c>
      <c r="K819" s="4">
        <f ca="1">IF(H819&gt;=$C$4,J819+I819,I819)</f>
        <v>500</v>
      </c>
      <c r="M819" s="61">
        <f t="shared" si="115"/>
        <v>652.80000000000007</v>
      </c>
      <c r="N819" s="61">
        <f t="shared" si="116"/>
        <v>163.19999999999993</v>
      </c>
      <c r="O819" s="4">
        <f t="shared" si="111"/>
        <v>326400.00000000006</v>
      </c>
      <c r="P819" s="4">
        <f t="shared" si="112"/>
        <v>-81599.999999999971</v>
      </c>
      <c r="Q819" s="4">
        <f t="shared" si="113"/>
        <v>244800.00000000009</v>
      </c>
      <c r="R819" s="4">
        <f t="shared" si="114"/>
        <v>344800.00000000012</v>
      </c>
    </row>
    <row r="820" spans="5:18" x14ac:dyDescent="0.25">
      <c r="E820" s="1">
        <f t="shared" si="109"/>
        <v>817</v>
      </c>
      <c r="F820" s="4">
        <f t="shared" ca="1" si="110"/>
        <v>341500</v>
      </c>
      <c r="G820" s="1" t="s">
        <v>70</v>
      </c>
      <c r="H820" s="26">
        <f t="shared" ca="1" si="108"/>
        <v>0.40460651445895668</v>
      </c>
      <c r="I820" s="4">
        <f>IF(G820="Yes",-$C$8,0)</f>
        <v>-500</v>
      </c>
      <c r="J820" s="4">
        <f>IF(G820="Yes",$C$8-I820,0)</f>
        <v>1000</v>
      </c>
      <c r="K820" s="4">
        <f ca="1">IF(H820&gt;=$C$4,J820+I820,I820)</f>
        <v>500</v>
      </c>
      <c r="M820" s="61">
        <f t="shared" si="115"/>
        <v>653.6</v>
      </c>
      <c r="N820" s="61">
        <f t="shared" si="116"/>
        <v>163.39999999999998</v>
      </c>
      <c r="O820" s="4">
        <f t="shared" si="111"/>
        <v>326800</v>
      </c>
      <c r="P820" s="4">
        <f t="shared" si="112"/>
        <v>-81699.999999999985</v>
      </c>
      <c r="Q820" s="4">
        <f t="shared" si="113"/>
        <v>245100</v>
      </c>
      <c r="R820" s="4">
        <f t="shared" si="114"/>
        <v>345100</v>
      </c>
    </row>
    <row r="821" spans="5:18" x14ac:dyDescent="0.25">
      <c r="E821" s="1">
        <f t="shared" si="109"/>
        <v>818</v>
      </c>
      <c r="F821" s="4">
        <f t="shared" ca="1" si="110"/>
        <v>342000</v>
      </c>
      <c r="G821" s="1" t="s">
        <v>70</v>
      </c>
      <c r="H821" s="26">
        <f t="shared" ca="1" si="108"/>
        <v>0.32342125949106315</v>
      </c>
      <c r="I821" s="4">
        <f>IF(G821="Yes",-$C$8,0)</f>
        <v>-500</v>
      </c>
      <c r="J821" s="4">
        <f>IF(G821="Yes",$C$8-I821,0)</f>
        <v>1000</v>
      </c>
      <c r="K821" s="4">
        <f ca="1">IF(H821&gt;=$C$4,J821+I821,I821)</f>
        <v>500</v>
      </c>
      <c r="M821" s="61">
        <f t="shared" si="115"/>
        <v>654.40000000000009</v>
      </c>
      <c r="N821" s="61">
        <f t="shared" si="116"/>
        <v>163.59999999999991</v>
      </c>
      <c r="O821" s="4">
        <f t="shared" si="111"/>
        <v>327200.00000000006</v>
      </c>
      <c r="P821" s="4">
        <f t="shared" si="112"/>
        <v>-81799.999999999956</v>
      </c>
      <c r="Q821" s="4">
        <f t="shared" si="113"/>
        <v>245400.00000000012</v>
      </c>
      <c r="R821" s="4">
        <f t="shared" si="114"/>
        <v>345400.00000000012</v>
      </c>
    </row>
    <row r="822" spans="5:18" x14ac:dyDescent="0.25">
      <c r="E822" s="1">
        <f t="shared" si="109"/>
        <v>819</v>
      </c>
      <c r="F822" s="4">
        <f t="shared" ca="1" si="110"/>
        <v>342500</v>
      </c>
      <c r="G822" s="1" t="s">
        <v>70</v>
      </c>
      <c r="H822" s="26">
        <f t="shared" ca="1" si="108"/>
        <v>0.9967900129467735</v>
      </c>
      <c r="I822" s="4">
        <f>IF(G822="Yes",-$C$8,0)</f>
        <v>-500</v>
      </c>
      <c r="J822" s="4">
        <f>IF(G822="Yes",$C$8-I822,0)</f>
        <v>1000</v>
      </c>
      <c r="K822" s="4">
        <f ca="1">IF(H822&gt;=$C$4,J822+I822,I822)</f>
        <v>500</v>
      </c>
      <c r="M822" s="61">
        <f t="shared" si="115"/>
        <v>655.20000000000005</v>
      </c>
      <c r="N822" s="61">
        <f t="shared" si="116"/>
        <v>163.79999999999995</v>
      </c>
      <c r="O822" s="4">
        <f t="shared" si="111"/>
        <v>327600</v>
      </c>
      <c r="P822" s="4">
        <f t="shared" si="112"/>
        <v>-81899.999999999971</v>
      </c>
      <c r="Q822" s="4">
        <f t="shared" si="113"/>
        <v>245700.00000000003</v>
      </c>
      <c r="R822" s="4">
        <f t="shared" si="114"/>
        <v>345700</v>
      </c>
    </row>
    <row r="823" spans="5:18" x14ac:dyDescent="0.25">
      <c r="E823" s="1">
        <f t="shared" si="109"/>
        <v>820</v>
      </c>
      <c r="F823" s="4">
        <f t="shared" ca="1" si="110"/>
        <v>343000</v>
      </c>
      <c r="G823" s="1" t="s">
        <v>70</v>
      </c>
      <c r="H823" s="26">
        <f t="shared" ca="1" si="108"/>
        <v>0.84989380736455178</v>
      </c>
      <c r="I823" s="4">
        <f>IF(G823="Yes",-$C$8,0)</f>
        <v>-500</v>
      </c>
      <c r="J823" s="4">
        <f>IF(G823="Yes",$C$8-I823,0)</f>
        <v>1000</v>
      </c>
      <c r="K823" s="4">
        <f ca="1">IF(H823&gt;=$C$4,J823+I823,I823)</f>
        <v>500</v>
      </c>
      <c r="M823" s="61">
        <f t="shared" si="115"/>
        <v>656</v>
      </c>
      <c r="N823" s="61">
        <f t="shared" si="116"/>
        <v>164</v>
      </c>
      <c r="O823" s="4">
        <f t="shared" si="111"/>
        <v>328000</v>
      </c>
      <c r="P823" s="4">
        <f t="shared" si="112"/>
        <v>-82000</v>
      </c>
      <c r="Q823" s="4">
        <f t="shared" si="113"/>
        <v>246000</v>
      </c>
      <c r="R823" s="4">
        <f t="shared" si="114"/>
        <v>346000</v>
      </c>
    </row>
    <row r="824" spans="5:18" x14ac:dyDescent="0.25">
      <c r="E824" s="1">
        <f t="shared" si="109"/>
        <v>821</v>
      </c>
      <c r="F824" s="4">
        <f t="shared" ca="1" si="110"/>
        <v>343500</v>
      </c>
      <c r="G824" s="1" t="s">
        <v>70</v>
      </c>
      <c r="H824" s="26">
        <f t="shared" ca="1" si="108"/>
        <v>0.3742817084260015</v>
      </c>
      <c r="I824" s="4">
        <f>IF(G824="Yes",-$C$8,0)</f>
        <v>-500</v>
      </c>
      <c r="J824" s="4">
        <f>IF(G824="Yes",$C$8-I824,0)</f>
        <v>1000</v>
      </c>
      <c r="K824" s="4">
        <f ca="1">IF(H824&gt;=$C$4,J824+I824,I824)</f>
        <v>500</v>
      </c>
      <c r="M824" s="61">
        <f t="shared" si="115"/>
        <v>656.80000000000007</v>
      </c>
      <c r="N824" s="61">
        <f t="shared" si="116"/>
        <v>164.19999999999993</v>
      </c>
      <c r="O824" s="4">
        <f t="shared" si="111"/>
        <v>328400.00000000006</v>
      </c>
      <c r="P824" s="4">
        <f t="shared" si="112"/>
        <v>-82099.999999999971</v>
      </c>
      <c r="Q824" s="4">
        <f t="shared" si="113"/>
        <v>246300.00000000009</v>
      </c>
      <c r="R824" s="4">
        <f t="shared" si="114"/>
        <v>346300.00000000012</v>
      </c>
    </row>
    <row r="825" spans="5:18" x14ac:dyDescent="0.25">
      <c r="E825" s="1">
        <f t="shared" si="109"/>
        <v>822</v>
      </c>
      <c r="F825" s="4">
        <f t="shared" ca="1" si="110"/>
        <v>344000</v>
      </c>
      <c r="G825" s="1" t="s">
        <v>70</v>
      </c>
      <c r="H825" s="26">
        <f t="shared" ca="1" si="108"/>
        <v>0.91213648502925027</v>
      </c>
      <c r="I825" s="4">
        <f>IF(G825="Yes",-$C$8,0)</f>
        <v>-500</v>
      </c>
      <c r="J825" s="4">
        <f>IF(G825="Yes",$C$8-I825,0)</f>
        <v>1000</v>
      </c>
      <c r="K825" s="4">
        <f ca="1">IF(H825&gt;=$C$4,J825+I825,I825)</f>
        <v>500</v>
      </c>
      <c r="M825" s="61">
        <f t="shared" si="115"/>
        <v>657.6</v>
      </c>
      <c r="N825" s="61">
        <f t="shared" si="116"/>
        <v>164.39999999999998</v>
      </c>
      <c r="O825" s="4">
        <f t="shared" si="111"/>
        <v>328800</v>
      </c>
      <c r="P825" s="4">
        <f t="shared" si="112"/>
        <v>-82199.999999999985</v>
      </c>
      <c r="Q825" s="4">
        <f t="shared" si="113"/>
        <v>246600</v>
      </c>
      <c r="R825" s="4">
        <f t="shared" si="114"/>
        <v>346600</v>
      </c>
    </row>
    <row r="826" spans="5:18" x14ac:dyDescent="0.25">
      <c r="E826" s="1">
        <f t="shared" si="109"/>
        <v>823</v>
      </c>
      <c r="F826" s="4">
        <f t="shared" ca="1" si="110"/>
        <v>344500</v>
      </c>
      <c r="G826" s="1" t="s">
        <v>70</v>
      </c>
      <c r="H826" s="26">
        <f t="shared" ca="1" si="108"/>
        <v>0.40445023662233148</v>
      </c>
      <c r="I826" s="4">
        <f>IF(G826="Yes",-$C$8,0)</f>
        <v>-500</v>
      </c>
      <c r="J826" s="4">
        <f>IF(G826="Yes",$C$8-I826,0)</f>
        <v>1000</v>
      </c>
      <c r="K826" s="4">
        <f ca="1">IF(H826&gt;=$C$4,J826+I826,I826)</f>
        <v>500</v>
      </c>
      <c r="M826" s="61">
        <f t="shared" si="115"/>
        <v>658.40000000000009</v>
      </c>
      <c r="N826" s="61">
        <f t="shared" si="116"/>
        <v>164.59999999999991</v>
      </c>
      <c r="O826" s="4">
        <f t="shared" si="111"/>
        <v>329200.00000000006</v>
      </c>
      <c r="P826" s="4">
        <f t="shared" si="112"/>
        <v>-82299.999999999956</v>
      </c>
      <c r="Q826" s="4">
        <f t="shared" si="113"/>
        <v>246900.00000000012</v>
      </c>
      <c r="R826" s="4">
        <f t="shared" si="114"/>
        <v>346900.00000000012</v>
      </c>
    </row>
    <row r="827" spans="5:18" x14ac:dyDescent="0.25">
      <c r="E827" s="1">
        <f t="shared" si="109"/>
        <v>824</v>
      </c>
      <c r="F827" s="4">
        <f t="shared" ca="1" si="110"/>
        <v>345000</v>
      </c>
      <c r="G827" s="1" t="s">
        <v>70</v>
      </c>
      <c r="H827" s="26">
        <f t="shared" ca="1" si="108"/>
        <v>0.93541358965865395</v>
      </c>
      <c r="I827" s="4">
        <f>IF(G827="Yes",-$C$8,0)</f>
        <v>-500</v>
      </c>
      <c r="J827" s="4">
        <f>IF(G827="Yes",$C$8-I827,0)</f>
        <v>1000</v>
      </c>
      <c r="K827" s="4">
        <f ca="1">IF(H827&gt;=$C$4,J827+I827,I827)</f>
        <v>500</v>
      </c>
      <c r="M827" s="61">
        <f t="shared" si="115"/>
        <v>659.2</v>
      </c>
      <c r="N827" s="61">
        <f t="shared" si="116"/>
        <v>164.79999999999995</v>
      </c>
      <c r="O827" s="4">
        <f t="shared" si="111"/>
        <v>329600</v>
      </c>
      <c r="P827" s="4">
        <f t="shared" si="112"/>
        <v>-82399.999999999971</v>
      </c>
      <c r="Q827" s="4">
        <f t="shared" si="113"/>
        <v>247200.00000000003</v>
      </c>
      <c r="R827" s="4">
        <f t="shared" si="114"/>
        <v>347200</v>
      </c>
    </row>
    <row r="828" spans="5:18" x14ac:dyDescent="0.25">
      <c r="E828" s="1">
        <f t="shared" si="109"/>
        <v>825</v>
      </c>
      <c r="F828" s="4">
        <f t="shared" ca="1" si="110"/>
        <v>344500</v>
      </c>
      <c r="G828" s="1" t="s">
        <v>70</v>
      </c>
      <c r="H828" s="26">
        <f t="shared" ca="1" si="108"/>
        <v>0.15006350396020074</v>
      </c>
      <c r="I828" s="4">
        <f>IF(G828="Yes",-$C$8,0)</f>
        <v>-500</v>
      </c>
      <c r="J828" s="4">
        <f>IF(G828="Yes",$C$8-I828,0)</f>
        <v>1000</v>
      </c>
      <c r="K828" s="4">
        <f ca="1">IF(H828&gt;=$C$4,J828+I828,I828)</f>
        <v>-500</v>
      </c>
      <c r="M828" s="61">
        <f t="shared" si="115"/>
        <v>660</v>
      </c>
      <c r="N828" s="61">
        <f t="shared" si="116"/>
        <v>165</v>
      </c>
      <c r="O828" s="4">
        <f t="shared" si="111"/>
        <v>330000</v>
      </c>
      <c r="P828" s="4">
        <f t="shared" si="112"/>
        <v>-82500</v>
      </c>
      <c r="Q828" s="4">
        <f t="shared" si="113"/>
        <v>247500</v>
      </c>
      <c r="R828" s="4">
        <f t="shared" si="114"/>
        <v>347500</v>
      </c>
    </row>
    <row r="829" spans="5:18" x14ac:dyDescent="0.25">
      <c r="E829" s="1">
        <f t="shared" si="109"/>
        <v>826</v>
      </c>
      <c r="F829" s="4">
        <f t="shared" ca="1" si="110"/>
        <v>344000</v>
      </c>
      <c r="G829" s="1" t="s">
        <v>70</v>
      </c>
      <c r="H829" s="26">
        <f t="shared" ca="1" si="108"/>
        <v>0.11739830870097934</v>
      </c>
      <c r="I829" s="4">
        <f>IF(G829="Yes",-$C$8,0)</f>
        <v>-500</v>
      </c>
      <c r="J829" s="4">
        <f>IF(G829="Yes",$C$8-I829,0)</f>
        <v>1000</v>
      </c>
      <c r="K829" s="4">
        <f ca="1">IF(H829&gt;=$C$4,J829+I829,I829)</f>
        <v>-500</v>
      </c>
      <c r="M829" s="61">
        <f t="shared" si="115"/>
        <v>660.80000000000007</v>
      </c>
      <c r="N829" s="61">
        <f t="shared" si="116"/>
        <v>165.19999999999993</v>
      </c>
      <c r="O829" s="4">
        <f t="shared" si="111"/>
        <v>330400.00000000006</v>
      </c>
      <c r="P829" s="4">
        <f t="shared" si="112"/>
        <v>-82599.999999999971</v>
      </c>
      <c r="Q829" s="4">
        <f t="shared" si="113"/>
        <v>247800.00000000009</v>
      </c>
      <c r="R829" s="4">
        <f t="shared" si="114"/>
        <v>347800.00000000012</v>
      </c>
    </row>
    <row r="830" spans="5:18" x14ac:dyDescent="0.25">
      <c r="E830" s="1">
        <f t="shared" si="109"/>
        <v>827</v>
      </c>
      <c r="F830" s="4">
        <f t="shared" ca="1" si="110"/>
        <v>344500</v>
      </c>
      <c r="G830" s="1" t="s">
        <v>70</v>
      </c>
      <c r="H830" s="26">
        <f t="shared" ca="1" si="108"/>
        <v>0.97129126517197806</v>
      </c>
      <c r="I830" s="4">
        <f>IF(G830="Yes",-$C$8,0)</f>
        <v>-500</v>
      </c>
      <c r="J830" s="4">
        <f>IF(G830="Yes",$C$8-I830,0)</f>
        <v>1000</v>
      </c>
      <c r="K830" s="4">
        <f ca="1">IF(H830&gt;=$C$4,J830+I830,I830)</f>
        <v>500</v>
      </c>
      <c r="M830" s="61">
        <f t="shared" si="115"/>
        <v>661.6</v>
      </c>
      <c r="N830" s="61">
        <f t="shared" si="116"/>
        <v>165.39999999999998</v>
      </c>
      <c r="O830" s="4">
        <f t="shared" si="111"/>
        <v>330800</v>
      </c>
      <c r="P830" s="4">
        <f t="shared" si="112"/>
        <v>-82699.999999999985</v>
      </c>
      <c r="Q830" s="4">
        <f t="shared" si="113"/>
        <v>248100</v>
      </c>
      <c r="R830" s="4">
        <f t="shared" si="114"/>
        <v>348100</v>
      </c>
    </row>
    <row r="831" spans="5:18" x14ac:dyDescent="0.25">
      <c r="E831" s="1">
        <f t="shared" si="109"/>
        <v>828</v>
      </c>
      <c r="F831" s="4">
        <f t="shared" ca="1" si="110"/>
        <v>345000</v>
      </c>
      <c r="G831" s="1" t="s">
        <v>70</v>
      </c>
      <c r="H831" s="26">
        <f t="shared" ca="1" si="108"/>
        <v>0.79958299922767029</v>
      </c>
      <c r="I831" s="4">
        <f>IF(G831="Yes",-$C$8,0)</f>
        <v>-500</v>
      </c>
      <c r="J831" s="4">
        <f>IF(G831="Yes",$C$8-I831,0)</f>
        <v>1000</v>
      </c>
      <c r="K831" s="4">
        <f ca="1">IF(H831&gt;=$C$4,J831+I831,I831)</f>
        <v>500</v>
      </c>
      <c r="M831" s="61">
        <f t="shared" si="115"/>
        <v>662.40000000000009</v>
      </c>
      <c r="N831" s="61">
        <f t="shared" si="116"/>
        <v>165.59999999999991</v>
      </c>
      <c r="O831" s="4">
        <f t="shared" si="111"/>
        <v>331200.00000000006</v>
      </c>
      <c r="P831" s="4">
        <f t="shared" si="112"/>
        <v>-82799.999999999956</v>
      </c>
      <c r="Q831" s="4">
        <f t="shared" si="113"/>
        <v>248400.00000000012</v>
      </c>
      <c r="R831" s="4">
        <f t="shared" si="114"/>
        <v>348400.00000000012</v>
      </c>
    </row>
    <row r="832" spans="5:18" x14ac:dyDescent="0.25">
      <c r="E832" s="1">
        <f t="shared" si="109"/>
        <v>829</v>
      </c>
      <c r="F832" s="4">
        <f t="shared" ca="1" si="110"/>
        <v>345500</v>
      </c>
      <c r="G832" s="1" t="s">
        <v>70</v>
      </c>
      <c r="H832" s="26">
        <f t="shared" ca="1" si="108"/>
        <v>0.4526432524173325</v>
      </c>
      <c r="I832" s="4">
        <f>IF(G832="Yes",-$C$8,0)</f>
        <v>-500</v>
      </c>
      <c r="J832" s="4">
        <f>IF(G832="Yes",$C$8-I832,0)</f>
        <v>1000</v>
      </c>
      <c r="K832" s="4">
        <f ca="1">IF(H832&gt;=$C$4,J832+I832,I832)</f>
        <v>500</v>
      </c>
      <c r="M832" s="61">
        <f t="shared" si="115"/>
        <v>663.2</v>
      </c>
      <c r="N832" s="61">
        <f t="shared" si="116"/>
        <v>165.79999999999995</v>
      </c>
      <c r="O832" s="4">
        <f t="shared" si="111"/>
        <v>331600</v>
      </c>
      <c r="P832" s="4">
        <f t="shared" si="112"/>
        <v>-82899.999999999971</v>
      </c>
      <c r="Q832" s="4">
        <f t="shared" si="113"/>
        <v>248700.00000000003</v>
      </c>
      <c r="R832" s="4">
        <f t="shared" si="114"/>
        <v>348700</v>
      </c>
    </row>
    <row r="833" spans="5:18" x14ac:dyDescent="0.25">
      <c r="E833" s="1">
        <f t="shared" si="109"/>
        <v>830</v>
      </c>
      <c r="F833" s="4">
        <f t="shared" ca="1" si="110"/>
        <v>346000</v>
      </c>
      <c r="G833" s="1" t="s">
        <v>70</v>
      </c>
      <c r="H833" s="26">
        <f t="shared" ca="1" si="108"/>
        <v>0.77296579986833081</v>
      </c>
      <c r="I833" s="4">
        <f>IF(G833="Yes",-$C$8,0)</f>
        <v>-500</v>
      </c>
      <c r="J833" s="4">
        <f>IF(G833="Yes",$C$8-I833,0)</f>
        <v>1000</v>
      </c>
      <c r="K833" s="4">
        <f ca="1">IF(H833&gt;=$C$4,J833+I833,I833)</f>
        <v>500</v>
      </c>
      <c r="M833" s="61">
        <f t="shared" si="115"/>
        <v>664</v>
      </c>
      <c r="N833" s="61">
        <f t="shared" si="116"/>
        <v>166</v>
      </c>
      <c r="O833" s="4">
        <f t="shared" si="111"/>
        <v>332000</v>
      </c>
      <c r="P833" s="4">
        <f t="shared" si="112"/>
        <v>-83000</v>
      </c>
      <c r="Q833" s="4">
        <f t="shared" si="113"/>
        <v>249000</v>
      </c>
      <c r="R833" s="4">
        <f t="shared" si="114"/>
        <v>349000</v>
      </c>
    </row>
    <row r="834" spans="5:18" x14ac:dyDescent="0.25">
      <c r="E834" s="1">
        <f t="shared" si="109"/>
        <v>831</v>
      </c>
      <c r="F834" s="4">
        <f t="shared" ca="1" si="110"/>
        <v>346500</v>
      </c>
      <c r="G834" s="1" t="s">
        <v>70</v>
      </c>
      <c r="H834" s="26">
        <f t="shared" ca="1" si="108"/>
        <v>0.27718383068618879</v>
      </c>
      <c r="I834" s="4">
        <f>IF(G834="Yes",-$C$8,0)</f>
        <v>-500</v>
      </c>
      <c r="J834" s="4">
        <f>IF(G834="Yes",$C$8-I834,0)</f>
        <v>1000</v>
      </c>
      <c r="K834" s="4">
        <f ca="1">IF(H834&gt;=$C$4,J834+I834,I834)</f>
        <v>500</v>
      </c>
      <c r="M834" s="61">
        <f t="shared" si="115"/>
        <v>664.80000000000007</v>
      </c>
      <c r="N834" s="61">
        <f t="shared" si="116"/>
        <v>166.19999999999993</v>
      </c>
      <c r="O834" s="4">
        <f t="shared" si="111"/>
        <v>332400.00000000006</v>
      </c>
      <c r="P834" s="4">
        <f t="shared" si="112"/>
        <v>-83099.999999999971</v>
      </c>
      <c r="Q834" s="4">
        <f t="shared" si="113"/>
        <v>249300.00000000009</v>
      </c>
      <c r="R834" s="4">
        <f t="shared" si="114"/>
        <v>349300.00000000012</v>
      </c>
    </row>
    <row r="835" spans="5:18" x14ac:dyDescent="0.25">
      <c r="E835" s="1">
        <f t="shared" si="109"/>
        <v>832</v>
      </c>
      <c r="F835" s="4">
        <f t="shared" ca="1" si="110"/>
        <v>347000</v>
      </c>
      <c r="G835" s="1" t="s">
        <v>70</v>
      </c>
      <c r="H835" s="26">
        <f t="shared" ca="1" si="108"/>
        <v>0.473281932026274</v>
      </c>
      <c r="I835" s="4">
        <f>IF(G835="Yes",-$C$8,0)</f>
        <v>-500</v>
      </c>
      <c r="J835" s="4">
        <f>IF(G835="Yes",$C$8-I835,0)</f>
        <v>1000</v>
      </c>
      <c r="K835" s="4">
        <f ca="1">IF(H835&gt;=$C$4,J835+I835,I835)</f>
        <v>500</v>
      </c>
      <c r="M835" s="61">
        <f t="shared" si="115"/>
        <v>665.6</v>
      </c>
      <c r="N835" s="61">
        <f t="shared" si="116"/>
        <v>166.39999999999998</v>
      </c>
      <c r="O835" s="4">
        <f t="shared" si="111"/>
        <v>332800</v>
      </c>
      <c r="P835" s="4">
        <f t="shared" si="112"/>
        <v>-83199.999999999985</v>
      </c>
      <c r="Q835" s="4">
        <f t="shared" si="113"/>
        <v>249600</v>
      </c>
      <c r="R835" s="4">
        <f t="shared" si="114"/>
        <v>349600</v>
      </c>
    </row>
    <row r="836" spans="5:18" x14ac:dyDescent="0.25">
      <c r="E836" s="1">
        <f t="shared" si="109"/>
        <v>833</v>
      </c>
      <c r="F836" s="4">
        <f t="shared" ca="1" si="110"/>
        <v>346500</v>
      </c>
      <c r="G836" s="1" t="s">
        <v>70</v>
      </c>
      <c r="H836" s="26">
        <f t="shared" ref="H836:H899" ca="1" si="117">RAND()</f>
        <v>0.12553206384684323</v>
      </c>
      <c r="I836" s="4">
        <f>IF(G836="Yes",-$C$8,0)</f>
        <v>-500</v>
      </c>
      <c r="J836" s="4">
        <f>IF(G836="Yes",$C$8-I836,0)</f>
        <v>1000</v>
      </c>
      <c r="K836" s="4">
        <f ca="1">IF(H836&gt;=$C$4,J836+I836,I836)</f>
        <v>-500</v>
      </c>
      <c r="M836" s="61">
        <f t="shared" si="115"/>
        <v>666.40000000000009</v>
      </c>
      <c r="N836" s="61">
        <f t="shared" si="116"/>
        <v>166.59999999999991</v>
      </c>
      <c r="O836" s="4">
        <f t="shared" si="111"/>
        <v>333200.00000000006</v>
      </c>
      <c r="P836" s="4">
        <f t="shared" si="112"/>
        <v>-83299.999999999956</v>
      </c>
      <c r="Q836" s="4">
        <f t="shared" si="113"/>
        <v>249900.00000000012</v>
      </c>
      <c r="R836" s="4">
        <f t="shared" si="114"/>
        <v>349900.00000000012</v>
      </c>
    </row>
    <row r="837" spans="5:18" x14ac:dyDescent="0.25">
      <c r="E837" s="1">
        <f t="shared" ref="E837:E900" si="118">E836+1</f>
        <v>834</v>
      </c>
      <c r="F837" s="4">
        <f t="shared" ref="F837:F900" ca="1" si="119">F836+K837</f>
        <v>346000</v>
      </c>
      <c r="G837" s="1" t="s">
        <v>70</v>
      </c>
      <c r="H837" s="26">
        <f t="shared" ca="1" si="117"/>
        <v>9.5900232043519384E-2</v>
      </c>
      <c r="I837" s="4">
        <f>IF(G837="Yes",-$C$8,0)</f>
        <v>-500</v>
      </c>
      <c r="J837" s="4">
        <f>IF(G837="Yes",$C$8-I837,0)</f>
        <v>1000</v>
      </c>
      <c r="K837" s="4">
        <f ca="1">IF(H837&gt;=$C$4,J837+I837,I837)</f>
        <v>-500</v>
      </c>
      <c r="M837" s="61">
        <f t="shared" si="115"/>
        <v>667.2</v>
      </c>
      <c r="N837" s="61">
        <f t="shared" si="116"/>
        <v>166.79999999999995</v>
      </c>
      <c r="O837" s="4">
        <f t="shared" ref="O837:O900" si="120">M837*$C$8</f>
        <v>333600</v>
      </c>
      <c r="P837" s="4">
        <f t="shared" ref="P837:P900" si="121">N837*(-$C$8)</f>
        <v>-83399.999999999971</v>
      </c>
      <c r="Q837" s="4">
        <f t="shared" ref="Q837:Q900" si="122">O837+P837</f>
        <v>250200.00000000003</v>
      </c>
      <c r="R837" s="4">
        <f t="shared" ref="R837:R900" si="123">$C$7+Q837</f>
        <v>350200</v>
      </c>
    </row>
    <row r="838" spans="5:18" x14ac:dyDescent="0.25">
      <c r="E838" s="1">
        <f t="shared" si="118"/>
        <v>835</v>
      </c>
      <c r="F838" s="4">
        <f t="shared" ca="1" si="119"/>
        <v>346500</v>
      </c>
      <c r="G838" s="1" t="s">
        <v>70</v>
      </c>
      <c r="H838" s="26">
        <f t="shared" ca="1" si="117"/>
        <v>0.25727228922614043</v>
      </c>
      <c r="I838" s="4">
        <f>IF(G838="Yes",-$C$8,0)</f>
        <v>-500</v>
      </c>
      <c r="J838" s="4">
        <f>IF(G838="Yes",$C$8-I838,0)</f>
        <v>1000</v>
      </c>
      <c r="K838" s="4">
        <f ca="1">IF(H838&gt;=$C$4,J838+I838,I838)</f>
        <v>500</v>
      </c>
      <c r="M838" s="61">
        <f t="shared" si="115"/>
        <v>668</v>
      </c>
      <c r="N838" s="61">
        <f t="shared" si="116"/>
        <v>167</v>
      </c>
      <c r="O838" s="4">
        <f t="shared" si="120"/>
        <v>334000</v>
      </c>
      <c r="P838" s="4">
        <f t="shared" si="121"/>
        <v>-83500</v>
      </c>
      <c r="Q838" s="4">
        <f t="shared" si="122"/>
        <v>250500</v>
      </c>
      <c r="R838" s="4">
        <f t="shared" si="123"/>
        <v>350500</v>
      </c>
    </row>
    <row r="839" spans="5:18" x14ac:dyDescent="0.25">
      <c r="E839" s="1">
        <f t="shared" si="118"/>
        <v>836</v>
      </c>
      <c r="F839" s="4">
        <f t="shared" ca="1" si="119"/>
        <v>347000</v>
      </c>
      <c r="G839" s="1" t="s">
        <v>70</v>
      </c>
      <c r="H839" s="26">
        <f t="shared" ca="1" si="117"/>
        <v>0.26240092051166852</v>
      </c>
      <c r="I839" s="4">
        <f>IF(G839="Yes",-$C$8,0)</f>
        <v>-500</v>
      </c>
      <c r="J839" s="4">
        <f>IF(G839="Yes",$C$8-I839,0)</f>
        <v>1000</v>
      </c>
      <c r="K839" s="4">
        <f ca="1">IF(H839&gt;=$C$4,J839+I839,I839)</f>
        <v>500</v>
      </c>
      <c r="M839" s="61">
        <f t="shared" si="115"/>
        <v>668.80000000000007</v>
      </c>
      <c r="N839" s="61">
        <f t="shared" si="116"/>
        <v>167.19999999999993</v>
      </c>
      <c r="O839" s="4">
        <f t="shared" si="120"/>
        <v>334400.00000000006</v>
      </c>
      <c r="P839" s="4">
        <f t="shared" si="121"/>
        <v>-83599.999999999971</v>
      </c>
      <c r="Q839" s="4">
        <f t="shared" si="122"/>
        <v>250800.00000000009</v>
      </c>
      <c r="R839" s="4">
        <f t="shared" si="123"/>
        <v>350800.00000000012</v>
      </c>
    </row>
    <row r="840" spans="5:18" x14ac:dyDescent="0.25">
      <c r="E840" s="1">
        <f t="shared" si="118"/>
        <v>837</v>
      </c>
      <c r="F840" s="4">
        <f t="shared" ca="1" si="119"/>
        <v>347500</v>
      </c>
      <c r="G840" s="1" t="s">
        <v>70</v>
      </c>
      <c r="H840" s="26">
        <f t="shared" ca="1" si="117"/>
        <v>0.23606378402443751</v>
      </c>
      <c r="I840" s="4">
        <f>IF(G840="Yes",-$C$8,0)</f>
        <v>-500</v>
      </c>
      <c r="J840" s="4">
        <f>IF(G840="Yes",$C$8-I840,0)</f>
        <v>1000</v>
      </c>
      <c r="K840" s="4">
        <f ca="1">IF(H840&gt;=$C$4,J840+I840,I840)</f>
        <v>500</v>
      </c>
      <c r="M840" s="61">
        <f t="shared" si="115"/>
        <v>669.6</v>
      </c>
      <c r="N840" s="61">
        <f t="shared" si="116"/>
        <v>167.39999999999998</v>
      </c>
      <c r="O840" s="4">
        <f t="shared" si="120"/>
        <v>334800</v>
      </c>
      <c r="P840" s="4">
        <f t="shared" si="121"/>
        <v>-83699.999999999985</v>
      </c>
      <c r="Q840" s="4">
        <f t="shared" si="122"/>
        <v>251100</v>
      </c>
      <c r="R840" s="4">
        <f t="shared" si="123"/>
        <v>351100</v>
      </c>
    </row>
    <row r="841" spans="5:18" x14ac:dyDescent="0.25">
      <c r="E841" s="1">
        <f t="shared" si="118"/>
        <v>838</v>
      </c>
      <c r="F841" s="4">
        <f t="shared" ca="1" si="119"/>
        <v>348000</v>
      </c>
      <c r="G841" s="1" t="s">
        <v>70</v>
      </c>
      <c r="H841" s="26">
        <f t="shared" ca="1" si="117"/>
        <v>0.30503952062890882</v>
      </c>
      <c r="I841" s="4">
        <f>IF(G841="Yes",-$C$8,0)</f>
        <v>-500</v>
      </c>
      <c r="J841" s="4">
        <f>IF(G841="Yes",$C$8-I841,0)</f>
        <v>1000</v>
      </c>
      <c r="K841" s="4">
        <f ca="1">IF(H841&gt;=$C$4,J841+I841,I841)</f>
        <v>500</v>
      </c>
      <c r="M841" s="61">
        <f t="shared" si="115"/>
        <v>670.40000000000009</v>
      </c>
      <c r="N841" s="61">
        <f t="shared" si="116"/>
        <v>167.59999999999991</v>
      </c>
      <c r="O841" s="4">
        <f t="shared" si="120"/>
        <v>335200.00000000006</v>
      </c>
      <c r="P841" s="4">
        <f t="shared" si="121"/>
        <v>-83799.999999999956</v>
      </c>
      <c r="Q841" s="4">
        <f t="shared" si="122"/>
        <v>251400.00000000012</v>
      </c>
      <c r="R841" s="4">
        <f t="shared" si="123"/>
        <v>351400.00000000012</v>
      </c>
    </row>
    <row r="842" spans="5:18" x14ac:dyDescent="0.25">
      <c r="E842" s="1">
        <f t="shared" si="118"/>
        <v>839</v>
      </c>
      <c r="F842" s="4">
        <f t="shared" ca="1" si="119"/>
        <v>348500</v>
      </c>
      <c r="G842" s="1" t="s">
        <v>70</v>
      </c>
      <c r="H842" s="26">
        <f t="shared" ca="1" si="117"/>
        <v>0.20997367754189056</v>
      </c>
      <c r="I842" s="4">
        <f>IF(G842="Yes",-$C$8,0)</f>
        <v>-500</v>
      </c>
      <c r="J842" s="4">
        <f>IF(G842="Yes",$C$8-I842,0)</f>
        <v>1000</v>
      </c>
      <c r="K842" s="4">
        <f ca="1">IF(H842&gt;=$C$4,J842+I842,I842)</f>
        <v>500</v>
      </c>
      <c r="M842" s="61">
        <f t="shared" si="115"/>
        <v>671.2</v>
      </c>
      <c r="N842" s="61">
        <f t="shared" si="116"/>
        <v>167.79999999999995</v>
      </c>
      <c r="O842" s="4">
        <f t="shared" si="120"/>
        <v>335600</v>
      </c>
      <c r="P842" s="4">
        <f t="shared" si="121"/>
        <v>-83899.999999999971</v>
      </c>
      <c r="Q842" s="4">
        <f t="shared" si="122"/>
        <v>251700.00000000003</v>
      </c>
      <c r="R842" s="4">
        <f t="shared" si="123"/>
        <v>351700</v>
      </c>
    </row>
    <row r="843" spans="5:18" x14ac:dyDescent="0.25">
      <c r="E843" s="1">
        <f t="shared" si="118"/>
        <v>840</v>
      </c>
      <c r="F843" s="4">
        <f t="shared" ca="1" si="119"/>
        <v>349000</v>
      </c>
      <c r="G843" s="1" t="s">
        <v>70</v>
      </c>
      <c r="H843" s="26">
        <f t="shared" ca="1" si="117"/>
        <v>0.67055485032276596</v>
      </c>
      <c r="I843" s="4">
        <f>IF(G843="Yes",-$C$8,0)</f>
        <v>-500</v>
      </c>
      <c r="J843" s="4">
        <f>IF(G843="Yes",$C$8-I843,0)</f>
        <v>1000</v>
      </c>
      <c r="K843" s="4">
        <f ca="1">IF(H843&gt;=$C$4,J843+I843,I843)</f>
        <v>500</v>
      </c>
      <c r="M843" s="61">
        <f t="shared" si="115"/>
        <v>672</v>
      </c>
      <c r="N843" s="61">
        <f t="shared" si="116"/>
        <v>168</v>
      </c>
      <c r="O843" s="4">
        <f t="shared" si="120"/>
        <v>336000</v>
      </c>
      <c r="P843" s="4">
        <f t="shared" si="121"/>
        <v>-84000</v>
      </c>
      <c r="Q843" s="4">
        <f t="shared" si="122"/>
        <v>252000</v>
      </c>
      <c r="R843" s="4">
        <f t="shared" si="123"/>
        <v>352000</v>
      </c>
    </row>
    <row r="844" spans="5:18" x14ac:dyDescent="0.25">
      <c r="E844" s="1">
        <f t="shared" si="118"/>
        <v>841</v>
      </c>
      <c r="F844" s="4">
        <f t="shared" ca="1" si="119"/>
        <v>349500</v>
      </c>
      <c r="G844" s="1" t="s">
        <v>70</v>
      </c>
      <c r="H844" s="26">
        <f t="shared" ca="1" si="117"/>
        <v>0.41739821807841182</v>
      </c>
      <c r="I844" s="4">
        <f>IF(G844="Yes",-$C$8,0)</f>
        <v>-500</v>
      </c>
      <c r="J844" s="4">
        <f>IF(G844="Yes",$C$8-I844,0)</f>
        <v>1000</v>
      </c>
      <c r="K844" s="4">
        <f ca="1">IF(H844&gt;=$C$4,J844+I844,I844)</f>
        <v>500</v>
      </c>
      <c r="M844" s="61">
        <f t="shared" si="115"/>
        <v>672.80000000000007</v>
      </c>
      <c r="N844" s="61">
        <f t="shared" si="116"/>
        <v>168.19999999999993</v>
      </c>
      <c r="O844" s="4">
        <f t="shared" si="120"/>
        <v>336400.00000000006</v>
      </c>
      <c r="P844" s="4">
        <f t="shared" si="121"/>
        <v>-84099.999999999971</v>
      </c>
      <c r="Q844" s="4">
        <f t="shared" si="122"/>
        <v>252300.00000000009</v>
      </c>
      <c r="R844" s="4">
        <f t="shared" si="123"/>
        <v>352300.00000000012</v>
      </c>
    </row>
    <row r="845" spans="5:18" x14ac:dyDescent="0.25">
      <c r="E845" s="1">
        <f t="shared" si="118"/>
        <v>842</v>
      </c>
      <c r="F845" s="4">
        <f t="shared" ca="1" si="119"/>
        <v>350000</v>
      </c>
      <c r="G845" s="1" t="s">
        <v>70</v>
      </c>
      <c r="H845" s="26">
        <f t="shared" ca="1" si="117"/>
        <v>0.31234858459659598</v>
      </c>
      <c r="I845" s="4">
        <f>IF(G845="Yes",-$C$8,0)</f>
        <v>-500</v>
      </c>
      <c r="J845" s="4">
        <f>IF(G845="Yes",$C$8-I845,0)</f>
        <v>1000</v>
      </c>
      <c r="K845" s="4">
        <f ca="1">IF(H845&gt;=$C$4,J845+I845,I845)</f>
        <v>500</v>
      </c>
      <c r="M845" s="61">
        <f t="shared" si="115"/>
        <v>673.6</v>
      </c>
      <c r="N845" s="61">
        <f t="shared" si="116"/>
        <v>168.39999999999998</v>
      </c>
      <c r="O845" s="4">
        <f t="shared" si="120"/>
        <v>336800</v>
      </c>
      <c r="P845" s="4">
        <f t="shared" si="121"/>
        <v>-84199.999999999985</v>
      </c>
      <c r="Q845" s="4">
        <f t="shared" si="122"/>
        <v>252600</v>
      </c>
      <c r="R845" s="4">
        <f t="shared" si="123"/>
        <v>352600</v>
      </c>
    </row>
    <row r="846" spans="5:18" x14ac:dyDescent="0.25">
      <c r="E846" s="1">
        <f t="shared" si="118"/>
        <v>843</v>
      </c>
      <c r="F846" s="4">
        <f t="shared" ca="1" si="119"/>
        <v>350500</v>
      </c>
      <c r="G846" s="1" t="s">
        <v>70</v>
      </c>
      <c r="H846" s="26">
        <f t="shared" ca="1" si="117"/>
        <v>0.58303948135228989</v>
      </c>
      <c r="I846" s="4">
        <f>IF(G846="Yes",-$C$8,0)</f>
        <v>-500</v>
      </c>
      <c r="J846" s="4">
        <f>IF(G846="Yes",$C$8-I846,0)</f>
        <v>1000</v>
      </c>
      <c r="K846" s="4">
        <f ca="1">IF(H846&gt;=$C$4,J846+I846,I846)</f>
        <v>500</v>
      </c>
      <c r="M846" s="61">
        <f t="shared" ref="M846:M909" si="124">E846*$C$3</f>
        <v>674.40000000000009</v>
      </c>
      <c r="N846" s="61">
        <f t="shared" ref="N846:N909" si="125">E846-M846</f>
        <v>168.59999999999991</v>
      </c>
      <c r="O846" s="4">
        <f t="shared" si="120"/>
        <v>337200.00000000006</v>
      </c>
      <c r="P846" s="4">
        <f t="shared" si="121"/>
        <v>-84299.999999999956</v>
      </c>
      <c r="Q846" s="4">
        <f t="shared" si="122"/>
        <v>252900.00000000012</v>
      </c>
      <c r="R846" s="4">
        <f t="shared" si="123"/>
        <v>352900.00000000012</v>
      </c>
    </row>
    <row r="847" spans="5:18" x14ac:dyDescent="0.25">
      <c r="E847" s="1">
        <f t="shared" si="118"/>
        <v>844</v>
      </c>
      <c r="F847" s="4">
        <f t="shared" ca="1" si="119"/>
        <v>350000</v>
      </c>
      <c r="G847" s="1" t="s">
        <v>70</v>
      </c>
      <c r="H847" s="26">
        <f t="shared" ca="1" si="117"/>
        <v>0.10138725795893899</v>
      </c>
      <c r="I847" s="4">
        <f>IF(G847="Yes",-$C$8,0)</f>
        <v>-500</v>
      </c>
      <c r="J847" s="4">
        <f>IF(G847="Yes",$C$8-I847,0)</f>
        <v>1000</v>
      </c>
      <c r="K847" s="4">
        <f ca="1">IF(H847&gt;=$C$4,J847+I847,I847)</f>
        <v>-500</v>
      </c>
      <c r="M847" s="61">
        <f t="shared" si="124"/>
        <v>675.2</v>
      </c>
      <c r="N847" s="61">
        <f t="shared" si="125"/>
        <v>168.79999999999995</v>
      </c>
      <c r="O847" s="4">
        <f t="shared" si="120"/>
        <v>337600</v>
      </c>
      <c r="P847" s="4">
        <f t="shared" si="121"/>
        <v>-84399.999999999971</v>
      </c>
      <c r="Q847" s="4">
        <f t="shared" si="122"/>
        <v>253200.00000000003</v>
      </c>
      <c r="R847" s="4">
        <f t="shared" si="123"/>
        <v>353200</v>
      </c>
    </row>
    <row r="848" spans="5:18" x14ac:dyDescent="0.25">
      <c r="E848" s="1">
        <f t="shared" si="118"/>
        <v>845</v>
      </c>
      <c r="F848" s="4">
        <f t="shared" ca="1" si="119"/>
        <v>350500</v>
      </c>
      <c r="G848" s="1" t="s">
        <v>70</v>
      </c>
      <c r="H848" s="26">
        <f t="shared" ca="1" si="117"/>
        <v>0.50268112934918086</v>
      </c>
      <c r="I848" s="4">
        <f>IF(G848="Yes",-$C$8,0)</f>
        <v>-500</v>
      </c>
      <c r="J848" s="4">
        <f>IF(G848="Yes",$C$8-I848,0)</f>
        <v>1000</v>
      </c>
      <c r="K848" s="4">
        <f ca="1">IF(H848&gt;=$C$4,J848+I848,I848)</f>
        <v>500</v>
      </c>
      <c r="M848" s="61">
        <f t="shared" si="124"/>
        <v>676</v>
      </c>
      <c r="N848" s="61">
        <f t="shared" si="125"/>
        <v>169</v>
      </c>
      <c r="O848" s="4">
        <f t="shared" si="120"/>
        <v>338000</v>
      </c>
      <c r="P848" s="4">
        <f t="shared" si="121"/>
        <v>-84500</v>
      </c>
      <c r="Q848" s="4">
        <f t="shared" si="122"/>
        <v>253500</v>
      </c>
      <c r="R848" s="4">
        <f t="shared" si="123"/>
        <v>353500</v>
      </c>
    </row>
    <row r="849" spans="5:18" x14ac:dyDescent="0.25">
      <c r="E849" s="1">
        <f t="shared" si="118"/>
        <v>846</v>
      </c>
      <c r="F849" s="4">
        <f t="shared" ca="1" si="119"/>
        <v>351000</v>
      </c>
      <c r="G849" s="1" t="s">
        <v>70</v>
      </c>
      <c r="H849" s="26">
        <f t="shared" ca="1" si="117"/>
        <v>0.46522158568787875</v>
      </c>
      <c r="I849" s="4">
        <f>IF(G849="Yes",-$C$8,0)</f>
        <v>-500</v>
      </c>
      <c r="J849" s="4">
        <f>IF(G849="Yes",$C$8-I849,0)</f>
        <v>1000</v>
      </c>
      <c r="K849" s="4">
        <f ca="1">IF(H849&gt;=$C$4,J849+I849,I849)</f>
        <v>500</v>
      </c>
      <c r="M849" s="61">
        <f t="shared" si="124"/>
        <v>676.80000000000007</v>
      </c>
      <c r="N849" s="61">
        <f t="shared" si="125"/>
        <v>169.19999999999993</v>
      </c>
      <c r="O849" s="4">
        <f t="shared" si="120"/>
        <v>338400.00000000006</v>
      </c>
      <c r="P849" s="4">
        <f t="shared" si="121"/>
        <v>-84599.999999999971</v>
      </c>
      <c r="Q849" s="4">
        <f t="shared" si="122"/>
        <v>253800.00000000009</v>
      </c>
      <c r="R849" s="4">
        <f t="shared" si="123"/>
        <v>353800.00000000012</v>
      </c>
    </row>
    <row r="850" spans="5:18" x14ac:dyDescent="0.25">
      <c r="E850" s="1">
        <f t="shared" si="118"/>
        <v>847</v>
      </c>
      <c r="F850" s="4">
        <f t="shared" ca="1" si="119"/>
        <v>351500</v>
      </c>
      <c r="G850" s="1" t="s">
        <v>70</v>
      </c>
      <c r="H850" s="26">
        <f t="shared" ca="1" si="117"/>
        <v>0.79783742476121244</v>
      </c>
      <c r="I850" s="4">
        <f>IF(G850="Yes",-$C$8,0)</f>
        <v>-500</v>
      </c>
      <c r="J850" s="4">
        <f>IF(G850="Yes",$C$8-I850,0)</f>
        <v>1000</v>
      </c>
      <c r="K850" s="4">
        <f ca="1">IF(H850&gt;=$C$4,J850+I850,I850)</f>
        <v>500</v>
      </c>
      <c r="M850" s="61">
        <f t="shared" si="124"/>
        <v>677.6</v>
      </c>
      <c r="N850" s="61">
        <f t="shared" si="125"/>
        <v>169.39999999999998</v>
      </c>
      <c r="O850" s="4">
        <f t="shared" si="120"/>
        <v>338800</v>
      </c>
      <c r="P850" s="4">
        <f t="shared" si="121"/>
        <v>-84699.999999999985</v>
      </c>
      <c r="Q850" s="4">
        <f t="shared" si="122"/>
        <v>254100</v>
      </c>
      <c r="R850" s="4">
        <f t="shared" si="123"/>
        <v>354100</v>
      </c>
    </row>
    <row r="851" spans="5:18" x14ac:dyDescent="0.25">
      <c r="E851" s="1">
        <f t="shared" si="118"/>
        <v>848</v>
      </c>
      <c r="F851" s="4">
        <f t="shared" ca="1" si="119"/>
        <v>352000</v>
      </c>
      <c r="G851" s="1" t="s">
        <v>70</v>
      </c>
      <c r="H851" s="26">
        <f t="shared" ca="1" si="117"/>
        <v>0.44048103401270189</v>
      </c>
      <c r="I851" s="4">
        <f>IF(G851="Yes",-$C$8,0)</f>
        <v>-500</v>
      </c>
      <c r="J851" s="4">
        <f>IF(G851="Yes",$C$8-I851,0)</f>
        <v>1000</v>
      </c>
      <c r="K851" s="4">
        <f ca="1">IF(H851&gt;=$C$4,J851+I851,I851)</f>
        <v>500</v>
      </c>
      <c r="M851" s="61">
        <f t="shared" si="124"/>
        <v>678.40000000000009</v>
      </c>
      <c r="N851" s="61">
        <f t="shared" si="125"/>
        <v>169.59999999999991</v>
      </c>
      <c r="O851" s="4">
        <f t="shared" si="120"/>
        <v>339200.00000000006</v>
      </c>
      <c r="P851" s="4">
        <f t="shared" si="121"/>
        <v>-84799.999999999956</v>
      </c>
      <c r="Q851" s="4">
        <f t="shared" si="122"/>
        <v>254400.00000000012</v>
      </c>
      <c r="R851" s="4">
        <f t="shared" si="123"/>
        <v>354400.00000000012</v>
      </c>
    </row>
    <row r="852" spans="5:18" x14ac:dyDescent="0.25">
      <c r="E852" s="1">
        <f t="shared" si="118"/>
        <v>849</v>
      </c>
      <c r="F852" s="4">
        <f t="shared" ca="1" si="119"/>
        <v>352500</v>
      </c>
      <c r="G852" s="1" t="s">
        <v>70</v>
      </c>
      <c r="H852" s="26">
        <f t="shared" ca="1" si="117"/>
        <v>0.60846650681442649</v>
      </c>
      <c r="I852" s="4">
        <f>IF(G852="Yes",-$C$8,0)</f>
        <v>-500</v>
      </c>
      <c r="J852" s="4">
        <f>IF(G852="Yes",$C$8-I852,0)</f>
        <v>1000</v>
      </c>
      <c r="K852" s="4">
        <f ca="1">IF(H852&gt;=$C$4,J852+I852,I852)</f>
        <v>500</v>
      </c>
      <c r="M852" s="61">
        <f t="shared" si="124"/>
        <v>679.2</v>
      </c>
      <c r="N852" s="61">
        <f t="shared" si="125"/>
        <v>169.79999999999995</v>
      </c>
      <c r="O852" s="4">
        <f t="shared" si="120"/>
        <v>339600</v>
      </c>
      <c r="P852" s="4">
        <f t="shared" si="121"/>
        <v>-84899.999999999971</v>
      </c>
      <c r="Q852" s="4">
        <f t="shared" si="122"/>
        <v>254700.00000000003</v>
      </c>
      <c r="R852" s="4">
        <f t="shared" si="123"/>
        <v>354700</v>
      </c>
    </row>
    <row r="853" spans="5:18" x14ac:dyDescent="0.25">
      <c r="E853" s="1">
        <f t="shared" si="118"/>
        <v>850</v>
      </c>
      <c r="F853" s="4">
        <f t="shared" ca="1" si="119"/>
        <v>353000</v>
      </c>
      <c r="G853" s="1" t="s">
        <v>70</v>
      </c>
      <c r="H853" s="26">
        <f t="shared" ca="1" si="117"/>
        <v>0.24108634667556772</v>
      </c>
      <c r="I853" s="4">
        <f>IF(G853="Yes",-$C$8,0)</f>
        <v>-500</v>
      </c>
      <c r="J853" s="4">
        <f>IF(G853="Yes",$C$8-I853,0)</f>
        <v>1000</v>
      </c>
      <c r="K853" s="4">
        <f ca="1">IF(H853&gt;=$C$4,J853+I853,I853)</f>
        <v>500</v>
      </c>
      <c r="M853" s="61">
        <f t="shared" si="124"/>
        <v>680</v>
      </c>
      <c r="N853" s="61">
        <f t="shared" si="125"/>
        <v>170</v>
      </c>
      <c r="O853" s="4">
        <f t="shared" si="120"/>
        <v>340000</v>
      </c>
      <c r="P853" s="4">
        <f t="shared" si="121"/>
        <v>-85000</v>
      </c>
      <c r="Q853" s="4">
        <f t="shared" si="122"/>
        <v>255000</v>
      </c>
      <c r="R853" s="4">
        <f t="shared" si="123"/>
        <v>355000</v>
      </c>
    </row>
    <row r="854" spans="5:18" x14ac:dyDescent="0.25">
      <c r="E854" s="1">
        <f t="shared" si="118"/>
        <v>851</v>
      </c>
      <c r="F854" s="4">
        <f t="shared" ca="1" si="119"/>
        <v>353500</v>
      </c>
      <c r="G854" s="1" t="s">
        <v>70</v>
      </c>
      <c r="H854" s="26">
        <f t="shared" ca="1" si="117"/>
        <v>0.62486988734944793</v>
      </c>
      <c r="I854" s="4">
        <f>IF(G854="Yes",-$C$8,0)</f>
        <v>-500</v>
      </c>
      <c r="J854" s="4">
        <f>IF(G854="Yes",$C$8-I854,0)</f>
        <v>1000</v>
      </c>
      <c r="K854" s="4">
        <f ca="1">IF(H854&gt;=$C$4,J854+I854,I854)</f>
        <v>500</v>
      </c>
      <c r="M854" s="61">
        <f t="shared" si="124"/>
        <v>680.80000000000007</v>
      </c>
      <c r="N854" s="61">
        <f t="shared" si="125"/>
        <v>170.19999999999993</v>
      </c>
      <c r="O854" s="4">
        <f t="shared" si="120"/>
        <v>340400.00000000006</v>
      </c>
      <c r="P854" s="4">
        <f t="shared" si="121"/>
        <v>-85099.999999999971</v>
      </c>
      <c r="Q854" s="4">
        <f t="shared" si="122"/>
        <v>255300.00000000009</v>
      </c>
      <c r="R854" s="4">
        <f t="shared" si="123"/>
        <v>355300.00000000012</v>
      </c>
    </row>
    <row r="855" spans="5:18" x14ac:dyDescent="0.25">
      <c r="E855" s="1">
        <f t="shared" si="118"/>
        <v>852</v>
      </c>
      <c r="F855" s="4">
        <f t="shared" ca="1" si="119"/>
        <v>354000</v>
      </c>
      <c r="G855" s="1" t="s">
        <v>70</v>
      </c>
      <c r="H855" s="26">
        <f t="shared" ca="1" si="117"/>
        <v>0.95998702489783261</v>
      </c>
      <c r="I855" s="4">
        <f>IF(G855="Yes",-$C$8,0)</f>
        <v>-500</v>
      </c>
      <c r="J855" s="4">
        <f>IF(G855="Yes",$C$8-I855,0)</f>
        <v>1000</v>
      </c>
      <c r="K855" s="4">
        <f ca="1">IF(H855&gt;=$C$4,J855+I855,I855)</f>
        <v>500</v>
      </c>
      <c r="M855" s="61">
        <f t="shared" si="124"/>
        <v>681.6</v>
      </c>
      <c r="N855" s="61">
        <f t="shared" si="125"/>
        <v>170.39999999999998</v>
      </c>
      <c r="O855" s="4">
        <f t="shared" si="120"/>
        <v>340800</v>
      </c>
      <c r="P855" s="4">
        <f t="shared" si="121"/>
        <v>-85199.999999999985</v>
      </c>
      <c r="Q855" s="4">
        <f t="shared" si="122"/>
        <v>255600</v>
      </c>
      <c r="R855" s="4">
        <f t="shared" si="123"/>
        <v>355600</v>
      </c>
    </row>
    <row r="856" spans="5:18" x14ac:dyDescent="0.25">
      <c r="E856" s="1">
        <f t="shared" si="118"/>
        <v>853</v>
      </c>
      <c r="F856" s="4">
        <f t="shared" ca="1" si="119"/>
        <v>353500</v>
      </c>
      <c r="G856" s="1" t="s">
        <v>70</v>
      </c>
      <c r="H856" s="26">
        <f t="shared" ca="1" si="117"/>
        <v>0.13371759000364969</v>
      </c>
      <c r="I856" s="4">
        <f>IF(G856="Yes",-$C$8,0)</f>
        <v>-500</v>
      </c>
      <c r="J856" s="4">
        <f>IF(G856="Yes",$C$8-I856,0)</f>
        <v>1000</v>
      </c>
      <c r="K856" s="4">
        <f ca="1">IF(H856&gt;=$C$4,J856+I856,I856)</f>
        <v>-500</v>
      </c>
      <c r="M856" s="61">
        <f t="shared" si="124"/>
        <v>682.40000000000009</v>
      </c>
      <c r="N856" s="61">
        <f t="shared" si="125"/>
        <v>170.59999999999991</v>
      </c>
      <c r="O856" s="4">
        <f t="shared" si="120"/>
        <v>341200.00000000006</v>
      </c>
      <c r="P856" s="4">
        <f t="shared" si="121"/>
        <v>-85299.999999999956</v>
      </c>
      <c r="Q856" s="4">
        <f t="shared" si="122"/>
        <v>255900.00000000012</v>
      </c>
      <c r="R856" s="4">
        <f t="shared" si="123"/>
        <v>355900.00000000012</v>
      </c>
    </row>
    <row r="857" spans="5:18" x14ac:dyDescent="0.25">
      <c r="E857" s="1">
        <f t="shared" si="118"/>
        <v>854</v>
      </c>
      <c r="F857" s="4">
        <f t="shared" ca="1" si="119"/>
        <v>354000</v>
      </c>
      <c r="G857" s="1" t="s">
        <v>70</v>
      </c>
      <c r="H857" s="26">
        <f t="shared" ca="1" si="117"/>
        <v>0.72685588868164752</v>
      </c>
      <c r="I857" s="4">
        <f>IF(G857="Yes",-$C$8,0)</f>
        <v>-500</v>
      </c>
      <c r="J857" s="4">
        <f>IF(G857="Yes",$C$8-I857,0)</f>
        <v>1000</v>
      </c>
      <c r="K857" s="4">
        <f ca="1">IF(H857&gt;=$C$4,J857+I857,I857)</f>
        <v>500</v>
      </c>
      <c r="M857" s="61">
        <f t="shared" si="124"/>
        <v>683.2</v>
      </c>
      <c r="N857" s="61">
        <f t="shared" si="125"/>
        <v>170.79999999999995</v>
      </c>
      <c r="O857" s="4">
        <f t="shared" si="120"/>
        <v>341600</v>
      </c>
      <c r="P857" s="4">
        <f t="shared" si="121"/>
        <v>-85399.999999999971</v>
      </c>
      <c r="Q857" s="4">
        <f t="shared" si="122"/>
        <v>256200.00000000003</v>
      </c>
      <c r="R857" s="4">
        <f t="shared" si="123"/>
        <v>356200</v>
      </c>
    </row>
    <row r="858" spans="5:18" x14ac:dyDescent="0.25">
      <c r="E858" s="1">
        <f t="shared" si="118"/>
        <v>855</v>
      </c>
      <c r="F858" s="4">
        <f t="shared" ca="1" si="119"/>
        <v>354500</v>
      </c>
      <c r="G858" s="1" t="s">
        <v>70</v>
      </c>
      <c r="H858" s="26">
        <f t="shared" ca="1" si="117"/>
        <v>0.6220770509115372</v>
      </c>
      <c r="I858" s="4">
        <f>IF(G858="Yes",-$C$8,0)</f>
        <v>-500</v>
      </c>
      <c r="J858" s="4">
        <f>IF(G858="Yes",$C$8-I858,0)</f>
        <v>1000</v>
      </c>
      <c r="K858" s="4">
        <f ca="1">IF(H858&gt;=$C$4,J858+I858,I858)</f>
        <v>500</v>
      </c>
      <c r="M858" s="61">
        <f t="shared" si="124"/>
        <v>684</v>
      </c>
      <c r="N858" s="61">
        <f t="shared" si="125"/>
        <v>171</v>
      </c>
      <c r="O858" s="4">
        <f t="shared" si="120"/>
        <v>342000</v>
      </c>
      <c r="P858" s="4">
        <f t="shared" si="121"/>
        <v>-85500</v>
      </c>
      <c r="Q858" s="4">
        <f t="shared" si="122"/>
        <v>256500</v>
      </c>
      <c r="R858" s="4">
        <f t="shared" si="123"/>
        <v>356500</v>
      </c>
    </row>
    <row r="859" spans="5:18" x14ac:dyDescent="0.25">
      <c r="E859" s="1">
        <f t="shared" si="118"/>
        <v>856</v>
      </c>
      <c r="F859" s="4">
        <f t="shared" ca="1" si="119"/>
        <v>355000</v>
      </c>
      <c r="G859" s="1" t="s">
        <v>70</v>
      </c>
      <c r="H859" s="26">
        <f t="shared" ca="1" si="117"/>
        <v>0.30330823866987611</v>
      </c>
      <c r="I859" s="4">
        <f>IF(G859="Yes",-$C$8,0)</f>
        <v>-500</v>
      </c>
      <c r="J859" s="4">
        <f>IF(G859="Yes",$C$8-I859,0)</f>
        <v>1000</v>
      </c>
      <c r="K859" s="4">
        <f ca="1">IF(H859&gt;=$C$4,J859+I859,I859)</f>
        <v>500</v>
      </c>
      <c r="M859" s="61">
        <f t="shared" si="124"/>
        <v>684.80000000000007</v>
      </c>
      <c r="N859" s="61">
        <f t="shared" si="125"/>
        <v>171.19999999999993</v>
      </c>
      <c r="O859" s="4">
        <f t="shared" si="120"/>
        <v>342400.00000000006</v>
      </c>
      <c r="P859" s="4">
        <f t="shared" si="121"/>
        <v>-85599.999999999971</v>
      </c>
      <c r="Q859" s="4">
        <f t="shared" si="122"/>
        <v>256800.00000000009</v>
      </c>
      <c r="R859" s="4">
        <f t="shared" si="123"/>
        <v>356800.00000000012</v>
      </c>
    </row>
    <row r="860" spans="5:18" x14ac:dyDescent="0.25">
      <c r="E860" s="1">
        <f t="shared" si="118"/>
        <v>857</v>
      </c>
      <c r="F860" s="4">
        <f t="shared" ca="1" si="119"/>
        <v>355500</v>
      </c>
      <c r="G860" s="1" t="s">
        <v>70</v>
      </c>
      <c r="H860" s="26">
        <f t="shared" ca="1" si="117"/>
        <v>0.8892971886317862</v>
      </c>
      <c r="I860" s="4">
        <f>IF(G860="Yes",-$C$8,0)</f>
        <v>-500</v>
      </c>
      <c r="J860" s="4">
        <f>IF(G860="Yes",$C$8-I860,0)</f>
        <v>1000</v>
      </c>
      <c r="K860" s="4">
        <f ca="1">IF(H860&gt;=$C$4,J860+I860,I860)</f>
        <v>500</v>
      </c>
      <c r="M860" s="61">
        <f t="shared" si="124"/>
        <v>685.6</v>
      </c>
      <c r="N860" s="61">
        <f t="shared" si="125"/>
        <v>171.39999999999998</v>
      </c>
      <c r="O860" s="4">
        <f t="shared" si="120"/>
        <v>342800</v>
      </c>
      <c r="P860" s="4">
        <f t="shared" si="121"/>
        <v>-85699.999999999985</v>
      </c>
      <c r="Q860" s="4">
        <f t="shared" si="122"/>
        <v>257100</v>
      </c>
      <c r="R860" s="4">
        <f t="shared" si="123"/>
        <v>357100</v>
      </c>
    </row>
    <row r="861" spans="5:18" x14ac:dyDescent="0.25">
      <c r="E861" s="1">
        <f t="shared" si="118"/>
        <v>858</v>
      </c>
      <c r="F861" s="4">
        <f t="shared" ca="1" si="119"/>
        <v>356000</v>
      </c>
      <c r="G861" s="1" t="s">
        <v>70</v>
      </c>
      <c r="H861" s="26">
        <f t="shared" ca="1" si="117"/>
        <v>0.5559537377816246</v>
      </c>
      <c r="I861" s="4">
        <f>IF(G861="Yes",-$C$8,0)</f>
        <v>-500</v>
      </c>
      <c r="J861" s="4">
        <f>IF(G861="Yes",$C$8-I861,0)</f>
        <v>1000</v>
      </c>
      <c r="K861" s="4">
        <f ca="1">IF(H861&gt;=$C$4,J861+I861,I861)</f>
        <v>500</v>
      </c>
      <c r="M861" s="61">
        <f t="shared" si="124"/>
        <v>686.40000000000009</v>
      </c>
      <c r="N861" s="61">
        <f t="shared" si="125"/>
        <v>171.59999999999991</v>
      </c>
      <c r="O861" s="4">
        <f t="shared" si="120"/>
        <v>343200.00000000006</v>
      </c>
      <c r="P861" s="4">
        <f t="shared" si="121"/>
        <v>-85799.999999999956</v>
      </c>
      <c r="Q861" s="4">
        <f t="shared" si="122"/>
        <v>257400.00000000012</v>
      </c>
      <c r="R861" s="4">
        <f t="shared" si="123"/>
        <v>357400.00000000012</v>
      </c>
    </row>
    <row r="862" spans="5:18" x14ac:dyDescent="0.25">
      <c r="E862" s="1">
        <f t="shared" si="118"/>
        <v>859</v>
      </c>
      <c r="F862" s="4">
        <f t="shared" ca="1" si="119"/>
        <v>356500</v>
      </c>
      <c r="G862" s="1" t="s">
        <v>70</v>
      </c>
      <c r="H862" s="26">
        <f t="shared" ca="1" si="117"/>
        <v>0.72638997308476028</v>
      </c>
      <c r="I862" s="4">
        <f>IF(G862="Yes",-$C$8,0)</f>
        <v>-500</v>
      </c>
      <c r="J862" s="4">
        <f>IF(G862="Yes",$C$8-I862,0)</f>
        <v>1000</v>
      </c>
      <c r="K862" s="4">
        <f ca="1">IF(H862&gt;=$C$4,J862+I862,I862)</f>
        <v>500</v>
      </c>
      <c r="M862" s="61">
        <f t="shared" si="124"/>
        <v>687.2</v>
      </c>
      <c r="N862" s="61">
        <f t="shared" si="125"/>
        <v>171.79999999999995</v>
      </c>
      <c r="O862" s="4">
        <f t="shared" si="120"/>
        <v>343600</v>
      </c>
      <c r="P862" s="4">
        <f t="shared" si="121"/>
        <v>-85899.999999999971</v>
      </c>
      <c r="Q862" s="4">
        <f t="shared" si="122"/>
        <v>257700.00000000003</v>
      </c>
      <c r="R862" s="4">
        <f t="shared" si="123"/>
        <v>357700</v>
      </c>
    </row>
    <row r="863" spans="5:18" x14ac:dyDescent="0.25">
      <c r="E863" s="1">
        <f t="shared" si="118"/>
        <v>860</v>
      </c>
      <c r="F863" s="4">
        <f t="shared" ca="1" si="119"/>
        <v>357000</v>
      </c>
      <c r="G863" s="1" t="s">
        <v>70</v>
      </c>
      <c r="H863" s="26">
        <f t="shared" ca="1" si="117"/>
        <v>0.42613642826018427</v>
      </c>
      <c r="I863" s="4">
        <f>IF(G863="Yes",-$C$8,0)</f>
        <v>-500</v>
      </c>
      <c r="J863" s="4">
        <f>IF(G863="Yes",$C$8-I863,0)</f>
        <v>1000</v>
      </c>
      <c r="K863" s="4">
        <f ca="1">IF(H863&gt;=$C$4,J863+I863,I863)</f>
        <v>500</v>
      </c>
      <c r="M863" s="61">
        <f t="shared" si="124"/>
        <v>688</v>
      </c>
      <c r="N863" s="61">
        <f t="shared" si="125"/>
        <v>172</v>
      </c>
      <c r="O863" s="4">
        <f t="shared" si="120"/>
        <v>344000</v>
      </c>
      <c r="P863" s="4">
        <f t="shared" si="121"/>
        <v>-86000</v>
      </c>
      <c r="Q863" s="4">
        <f t="shared" si="122"/>
        <v>258000</v>
      </c>
      <c r="R863" s="4">
        <f t="shared" si="123"/>
        <v>358000</v>
      </c>
    </row>
    <row r="864" spans="5:18" x14ac:dyDescent="0.25">
      <c r="E864" s="1">
        <f t="shared" si="118"/>
        <v>861</v>
      </c>
      <c r="F864" s="4">
        <f t="shared" ca="1" si="119"/>
        <v>357500</v>
      </c>
      <c r="G864" s="1" t="s">
        <v>70</v>
      </c>
      <c r="H864" s="26">
        <f t="shared" ca="1" si="117"/>
        <v>0.50960696874832456</v>
      </c>
      <c r="I864" s="4">
        <f>IF(G864="Yes",-$C$8,0)</f>
        <v>-500</v>
      </c>
      <c r="J864" s="4">
        <f>IF(G864="Yes",$C$8-I864,0)</f>
        <v>1000</v>
      </c>
      <c r="K864" s="4">
        <f ca="1">IF(H864&gt;=$C$4,J864+I864,I864)</f>
        <v>500</v>
      </c>
      <c r="M864" s="61">
        <f t="shared" si="124"/>
        <v>688.80000000000007</v>
      </c>
      <c r="N864" s="61">
        <f t="shared" si="125"/>
        <v>172.19999999999993</v>
      </c>
      <c r="O864" s="4">
        <f t="shared" si="120"/>
        <v>344400.00000000006</v>
      </c>
      <c r="P864" s="4">
        <f t="shared" si="121"/>
        <v>-86099.999999999971</v>
      </c>
      <c r="Q864" s="4">
        <f t="shared" si="122"/>
        <v>258300.00000000009</v>
      </c>
      <c r="R864" s="4">
        <f t="shared" si="123"/>
        <v>358300.00000000012</v>
      </c>
    </row>
    <row r="865" spans="5:18" x14ac:dyDescent="0.25">
      <c r="E865" s="1">
        <f t="shared" si="118"/>
        <v>862</v>
      </c>
      <c r="F865" s="4">
        <f t="shared" ca="1" si="119"/>
        <v>357000</v>
      </c>
      <c r="G865" s="1" t="s">
        <v>70</v>
      </c>
      <c r="H865" s="26">
        <f t="shared" ca="1" si="117"/>
        <v>0.16401636796982444</v>
      </c>
      <c r="I865" s="4">
        <f>IF(G865="Yes",-$C$8,0)</f>
        <v>-500</v>
      </c>
      <c r="J865" s="4">
        <f>IF(G865="Yes",$C$8-I865,0)</f>
        <v>1000</v>
      </c>
      <c r="K865" s="4">
        <f ca="1">IF(H865&gt;=$C$4,J865+I865,I865)</f>
        <v>-500</v>
      </c>
      <c r="M865" s="61">
        <f t="shared" si="124"/>
        <v>689.6</v>
      </c>
      <c r="N865" s="61">
        <f t="shared" si="125"/>
        <v>172.39999999999998</v>
      </c>
      <c r="O865" s="4">
        <f t="shared" si="120"/>
        <v>344800</v>
      </c>
      <c r="P865" s="4">
        <f t="shared" si="121"/>
        <v>-86199.999999999985</v>
      </c>
      <c r="Q865" s="4">
        <f t="shared" si="122"/>
        <v>258600</v>
      </c>
      <c r="R865" s="4">
        <f t="shared" si="123"/>
        <v>358600</v>
      </c>
    </row>
    <row r="866" spans="5:18" x14ac:dyDescent="0.25">
      <c r="E866" s="1">
        <f t="shared" si="118"/>
        <v>863</v>
      </c>
      <c r="F866" s="4">
        <f t="shared" ca="1" si="119"/>
        <v>357500</v>
      </c>
      <c r="G866" s="1" t="s">
        <v>70</v>
      </c>
      <c r="H866" s="26">
        <f t="shared" ca="1" si="117"/>
        <v>0.43034126518039062</v>
      </c>
      <c r="I866" s="4">
        <f>IF(G866="Yes",-$C$8,0)</f>
        <v>-500</v>
      </c>
      <c r="J866" s="4">
        <f>IF(G866="Yes",$C$8-I866,0)</f>
        <v>1000</v>
      </c>
      <c r="K866" s="4">
        <f ca="1">IF(H866&gt;=$C$4,J866+I866,I866)</f>
        <v>500</v>
      </c>
      <c r="M866" s="61">
        <f t="shared" si="124"/>
        <v>690.40000000000009</v>
      </c>
      <c r="N866" s="61">
        <f t="shared" si="125"/>
        <v>172.59999999999991</v>
      </c>
      <c r="O866" s="4">
        <f t="shared" si="120"/>
        <v>345200.00000000006</v>
      </c>
      <c r="P866" s="4">
        <f t="shared" si="121"/>
        <v>-86299.999999999956</v>
      </c>
      <c r="Q866" s="4">
        <f t="shared" si="122"/>
        <v>258900.00000000012</v>
      </c>
      <c r="R866" s="4">
        <f t="shared" si="123"/>
        <v>358900.00000000012</v>
      </c>
    </row>
    <row r="867" spans="5:18" x14ac:dyDescent="0.25">
      <c r="E867" s="1">
        <f t="shared" si="118"/>
        <v>864</v>
      </c>
      <c r="F867" s="4">
        <f t="shared" ca="1" si="119"/>
        <v>358000</v>
      </c>
      <c r="G867" s="1" t="s">
        <v>70</v>
      </c>
      <c r="H867" s="26">
        <f t="shared" ca="1" si="117"/>
        <v>0.95381944326330703</v>
      </c>
      <c r="I867" s="4">
        <f>IF(G867="Yes",-$C$8,0)</f>
        <v>-500</v>
      </c>
      <c r="J867" s="4">
        <f>IF(G867="Yes",$C$8-I867,0)</f>
        <v>1000</v>
      </c>
      <c r="K867" s="4">
        <f ca="1">IF(H867&gt;=$C$4,J867+I867,I867)</f>
        <v>500</v>
      </c>
      <c r="M867" s="61">
        <f t="shared" si="124"/>
        <v>691.2</v>
      </c>
      <c r="N867" s="61">
        <f t="shared" si="125"/>
        <v>172.79999999999995</v>
      </c>
      <c r="O867" s="4">
        <f t="shared" si="120"/>
        <v>345600</v>
      </c>
      <c r="P867" s="4">
        <f t="shared" si="121"/>
        <v>-86399.999999999971</v>
      </c>
      <c r="Q867" s="4">
        <f t="shared" si="122"/>
        <v>259200.00000000003</v>
      </c>
      <c r="R867" s="4">
        <f t="shared" si="123"/>
        <v>359200</v>
      </c>
    </row>
    <row r="868" spans="5:18" x14ac:dyDescent="0.25">
      <c r="E868" s="1">
        <f t="shared" si="118"/>
        <v>865</v>
      </c>
      <c r="F868" s="4">
        <f t="shared" ca="1" si="119"/>
        <v>358500</v>
      </c>
      <c r="G868" s="1" t="s">
        <v>70</v>
      </c>
      <c r="H868" s="26">
        <f t="shared" ca="1" si="117"/>
        <v>0.33496475769608391</v>
      </c>
      <c r="I868" s="4">
        <f>IF(G868="Yes",-$C$8,0)</f>
        <v>-500</v>
      </c>
      <c r="J868" s="4">
        <f>IF(G868="Yes",$C$8-I868,0)</f>
        <v>1000</v>
      </c>
      <c r="K868" s="4">
        <f ca="1">IF(H868&gt;=$C$4,J868+I868,I868)</f>
        <v>500</v>
      </c>
      <c r="M868" s="61">
        <f t="shared" si="124"/>
        <v>692</v>
      </c>
      <c r="N868" s="61">
        <f t="shared" si="125"/>
        <v>173</v>
      </c>
      <c r="O868" s="4">
        <f t="shared" si="120"/>
        <v>346000</v>
      </c>
      <c r="P868" s="4">
        <f t="shared" si="121"/>
        <v>-86500</v>
      </c>
      <c r="Q868" s="4">
        <f t="shared" si="122"/>
        <v>259500</v>
      </c>
      <c r="R868" s="4">
        <f t="shared" si="123"/>
        <v>359500</v>
      </c>
    </row>
    <row r="869" spans="5:18" x14ac:dyDescent="0.25">
      <c r="E869" s="1">
        <f t="shared" si="118"/>
        <v>866</v>
      </c>
      <c r="F869" s="4">
        <f t="shared" ca="1" si="119"/>
        <v>359000</v>
      </c>
      <c r="G869" s="1" t="s">
        <v>70</v>
      </c>
      <c r="H869" s="26">
        <f t="shared" ca="1" si="117"/>
        <v>0.85035793801452908</v>
      </c>
      <c r="I869" s="4">
        <f>IF(G869="Yes",-$C$8,0)</f>
        <v>-500</v>
      </c>
      <c r="J869" s="4">
        <f>IF(G869="Yes",$C$8-I869,0)</f>
        <v>1000</v>
      </c>
      <c r="K869" s="4">
        <f ca="1">IF(H869&gt;=$C$4,J869+I869,I869)</f>
        <v>500</v>
      </c>
      <c r="M869" s="61">
        <f t="shared" si="124"/>
        <v>692.80000000000007</v>
      </c>
      <c r="N869" s="61">
        <f t="shared" si="125"/>
        <v>173.19999999999993</v>
      </c>
      <c r="O869" s="4">
        <f t="shared" si="120"/>
        <v>346400.00000000006</v>
      </c>
      <c r="P869" s="4">
        <f t="shared" si="121"/>
        <v>-86599.999999999971</v>
      </c>
      <c r="Q869" s="4">
        <f t="shared" si="122"/>
        <v>259800.00000000009</v>
      </c>
      <c r="R869" s="4">
        <f t="shared" si="123"/>
        <v>359800.00000000012</v>
      </c>
    </row>
    <row r="870" spans="5:18" x14ac:dyDescent="0.25">
      <c r="E870" s="1">
        <f t="shared" si="118"/>
        <v>867</v>
      </c>
      <c r="F870" s="4">
        <f t="shared" ca="1" si="119"/>
        <v>358500</v>
      </c>
      <c r="G870" s="1" t="s">
        <v>70</v>
      </c>
      <c r="H870" s="26">
        <f t="shared" ca="1" si="117"/>
        <v>0.16414190573191623</v>
      </c>
      <c r="I870" s="4">
        <f>IF(G870="Yes",-$C$8,0)</f>
        <v>-500</v>
      </c>
      <c r="J870" s="4">
        <f>IF(G870="Yes",$C$8-I870,0)</f>
        <v>1000</v>
      </c>
      <c r="K870" s="4">
        <f ca="1">IF(H870&gt;=$C$4,J870+I870,I870)</f>
        <v>-500</v>
      </c>
      <c r="M870" s="61">
        <f t="shared" si="124"/>
        <v>693.6</v>
      </c>
      <c r="N870" s="61">
        <f t="shared" si="125"/>
        <v>173.39999999999998</v>
      </c>
      <c r="O870" s="4">
        <f t="shared" si="120"/>
        <v>346800</v>
      </c>
      <c r="P870" s="4">
        <f t="shared" si="121"/>
        <v>-86699.999999999985</v>
      </c>
      <c r="Q870" s="4">
        <f t="shared" si="122"/>
        <v>260100</v>
      </c>
      <c r="R870" s="4">
        <f t="shared" si="123"/>
        <v>360100</v>
      </c>
    </row>
    <row r="871" spans="5:18" x14ac:dyDescent="0.25">
      <c r="E871" s="1">
        <f t="shared" si="118"/>
        <v>868</v>
      </c>
      <c r="F871" s="4">
        <f t="shared" ca="1" si="119"/>
        <v>359000</v>
      </c>
      <c r="G871" s="1" t="s">
        <v>70</v>
      </c>
      <c r="H871" s="26">
        <f t="shared" ca="1" si="117"/>
        <v>0.2129154720852906</v>
      </c>
      <c r="I871" s="4">
        <f>IF(G871="Yes",-$C$8,0)</f>
        <v>-500</v>
      </c>
      <c r="J871" s="4">
        <f>IF(G871="Yes",$C$8-I871,0)</f>
        <v>1000</v>
      </c>
      <c r="K871" s="4">
        <f ca="1">IF(H871&gt;=$C$4,J871+I871,I871)</f>
        <v>500</v>
      </c>
      <c r="M871" s="61">
        <f t="shared" si="124"/>
        <v>694.40000000000009</v>
      </c>
      <c r="N871" s="61">
        <f t="shared" si="125"/>
        <v>173.59999999999991</v>
      </c>
      <c r="O871" s="4">
        <f t="shared" si="120"/>
        <v>347200.00000000006</v>
      </c>
      <c r="P871" s="4">
        <f t="shared" si="121"/>
        <v>-86799.999999999956</v>
      </c>
      <c r="Q871" s="4">
        <f t="shared" si="122"/>
        <v>260400.00000000012</v>
      </c>
      <c r="R871" s="4">
        <f t="shared" si="123"/>
        <v>360400.00000000012</v>
      </c>
    </row>
    <row r="872" spans="5:18" x14ac:dyDescent="0.25">
      <c r="E872" s="1">
        <f t="shared" si="118"/>
        <v>869</v>
      </c>
      <c r="F872" s="4">
        <f t="shared" ca="1" si="119"/>
        <v>359500</v>
      </c>
      <c r="G872" s="1" t="s">
        <v>70</v>
      </c>
      <c r="H872" s="26">
        <f t="shared" ca="1" si="117"/>
        <v>0.33370637157945915</v>
      </c>
      <c r="I872" s="4">
        <f>IF(G872="Yes",-$C$8,0)</f>
        <v>-500</v>
      </c>
      <c r="J872" s="4">
        <f>IF(G872="Yes",$C$8-I872,0)</f>
        <v>1000</v>
      </c>
      <c r="K872" s="4">
        <f ca="1">IF(H872&gt;=$C$4,J872+I872,I872)</f>
        <v>500</v>
      </c>
      <c r="M872" s="61">
        <f t="shared" si="124"/>
        <v>695.2</v>
      </c>
      <c r="N872" s="61">
        <f t="shared" si="125"/>
        <v>173.79999999999995</v>
      </c>
      <c r="O872" s="4">
        <f t="shared" si="120"/>
        <v>347600</v>
      </c>
      <c r="P872" s="4">
        <f t="shared" si="121"/>
        <v>-86899.999999999971</v>
      </c>
      <c r="Q872" s="4">
        <f t="shared" si="122"/>
        <v>260700.00000000003</v>
      </c>
      <c r="R872" s="4">
        <f t="shared" si="123"/>
        <v>360700</v>
      </c>
    </row>
    <row r="873" spans="5:18" x14ac:dyDescent="0.25">
      <c r="E873" s="1">
        <f t="shared" si="118"/>
        <v>870</v>
      </c>
      <c r="F873" s="4">
        <f t="shared" ca="1" si="119"/>
        <v>360000</v>
      </c>
      <c r="G873" s="1" t="s">
        <v>70</v>
      </c>
      <c r="H873" s="26">
        <f t="shared" ca="1" si="117"/>
        <v>0.43332721942911534</v>
      </c>
      <c r="I873" s="4">
        <f>IF(G873="Yes",-$C$8,0)</f>
        <v>-500</v>
      </c>
      <c r="J873" s="4">
        <f>IF(G873="Yes",$C$8-I873,0)</f>
        <v>1000</v>
      </c>
      <c r="K873" s="4">
        <f ca="1">IF(H873&gt;=$C$4,J873+I873,I873)</f>
        <v>500</v>
      </c>
      <c r="M873" s="61">
        <f t="shared" si="124"/>
        <v>696</v>
      </c>
      <c r="N873" s="61">
        <f t="shared" si="125"/>
        <v>174</v>
      </c>
      <c r="O873" s="4">
        <f t="shared" si="120"/>
        <v>348000</v>
      </c>
      <c r="P873" s="4">
        <f t="shared" si="121"/>
        <v>-87000</v>
      </c>
      <c r="Q873" s="4">
        <f t="shared" si="122"/>
        <v>261000</v>
      </c>
      <c r="R873" s="4">
        <f t="shared" si="123"/>
        <v>361000</v>
      </c>
    </row>
    <row r="874" spans="5:18" x14ac:dyDescent="0.25">
      <c r="E874" s="1">
        <f t="shared" si="118"/>
        <v>871</v>
      </c>
      <c r="F874" s="4">
        <f t="shared" ca="1" si="119"/>
        <v>360500</v>
      </c>
      <c r="G874" s="1" t="s">
        <v>70</v>
      </c>
      <c r="H874" s="26">
        <f t="shared" ca="1" si="117"/>
        <v>0.34976714023984856</v>
      </c>
      <c r="I874" s="4">
        <f>IF(G874="Yes",-$C$8,0)</f>
        <v>-500</v>
      </c>
      <c r="J874" s="4">
        <f>IF(G874="Yes",$C$8-I874,0)</f>
        <v>1000</v>
      </c>
      <c r="K874" s="4">
        <f ca="1">IF(H874&gt;=$C$4,J874+I874,I874)</f>
        <v>500</v>
      </c>
      <c r="M874" s="61">
        <f t="shared" si="124"/>
        <v>696.80000000000007</v>
      </c>
      <c r="N874" s="61">
        <f t="shared" si="125"/>
        <v>174.19999999999993</v>
      </c>
      <c r="O874" s="4">
        <f t="shared" si="120"/>
        <v>348400.00000000006</v>
      </c>
      <c r="P874" s="4">
        <f t="shared" si="121"/>
        <v>-87099.999999999971</v>
      </c>
      <c r="Q874" s="4">
        <f t="shared" si="122"/>
        <v>261300.00000000009</v>
      </c>
      <c r="R874" s="4">
        <f t="shared" si="123"/>
        <v>361300.00000000012</v>
      </c>
    </row>
    <row r="875" spans="5:18" x14ac:dyDescent="0.25">
      <c r="E875" s="1">
        <f t="shared" si="118"/>
        <v>872</v>
      </c>
      <c r="F875" s="4">
        <f t="shared" ca="1" si="119"/>
        <v>361000</v>
      </c>
      <c r="G875" s="1" t="s">
        <v>70</v>
      </c>
      <c r="H875" s="26">
        <f t="shared" ca="1" si="117"/>
        <v>0.85207441536464879</v>
      </c>
      <c r="I875" s="4">
        <f>IF(G875="Yes",-$C$8,0)</f>
        <v>-500</v>
      </c>
      <c r="J875" s="4">
        <f>IF(G875="Yes",$C$8-I875,0)</f>
        <v>1000</v>
      </c>
      <c r="K875" s="4">
        <f ca="1">IF(H875&gt;=$C$4,J875+I875,I875)</f>
        <v>500</v>
      </c>
      <c r="M875" s="61">
        <f t="shared" si="124"/>
        <v>697.6</v>
      </c>
      <c r="N875" s="61">
        <f t="shared" si="125"/>
        <v>174.39999999999998</v>
      </c>
      <c r="O875" s="4">
        <f t="shared" si="120"/>
        <v>348800</v>
      </c>
      <c r="P875" s="4">
        <f t="shared" si="121"/>
        <v>-87199.999999999985</v>
      </c>
      <c r="Q875" s="4">
        <f t="shared" si="122"/>
        <v>261600</v>
      </c>
      <c r="R875" s="4">
        <f t="shared" si="123"/>
        <v>361600</v>
      </c>
    </row>
    <row r="876" spans="5:18" x14ac:dyDescent="0.25">
      <c r="E876" s="1">
        <f t="shared" si="118"/>
        <v>873</v>
      </c>
      <c r="F876" s="4">
        <f t="shared" ca="1" si="119"/>
        <v>361500</v>
      </c>
      <c r="G876" s="1" t="s">
        <v>70</v>
      </c>
      <c r="H876" s="26">
        <f t="shared" ca="1" si="117"/>
        <v>0.89194719574216674</v>
      </c>
      <c r="I876" s="4">
        <f>IF(G876="Yes",-$C$8,0)</f>
        <v>-500</v>
      </c>
      <c r="J876" s="4">
        <f>IF(G876="Yes",$C$8-I876,0)</f>
        <v>1000</v>
      </c>
      <c r="K876" s="4">
        <f ca="1">IF(H876&gt;=$C$4,J876+I876,I876)</f>
        <v>500</v>
      </c>
      <c r="M876" s="61">
        <f t="shared" si="124"/>
        <v>698.40000000000009</v>
      </c>
      <c r="N876" s="61">
        <f t="shared" si="125"/>
        <v>174.59999999999991</v>
      </c>
      <c r="O876" s="4">
        <f t="shared" si="120"/>
        <v>349200.00000000006</v>
      </c>
      <c r="P876" s="4">
        <f t="shared" si="121"/>
        <v>-87299.999999999956</v>
      </c>
      <c r="Q876" s="4">
        <f t="shared" si="122"/>
        <v>261900.00000000012</v>
      </c>
      <c r="R876" s="4">
        <f t="shared" si="123"/>
        <v>361900.00000000012</v>
      </c>
    </row>
    <row r="877" spans="5:18" x14ac:dyDescent="0.25">
      <c r="E877" s="1">
        <f t="shared" si="118"/>
        <v>874</v>
      </c>
      <c r="F877" s="4">
        <f t="shared" ca="1" si="119"/>
        <v>362000</v>
      </c>
      <c r="G877" s="1" t="s">
        <v>70</v>
      </c>
      <c r="H877" s="26">
        <f t="shared" ca="1" si="117"/>
        <v>0.82002385446625525</v>
      </c>
      <c r="I877" s="4">
        <f>IF(G877="Yes",-$C$8,0)</f>
        <v>-500</v>
      </c>
      <c r="J877" s="4">
        <f>IF(G877="Yes",$C$8-I877,0)</f>
        <v>1000</v>
      </c>
      <c r="K877" s="4">
        <f ca="1">IF(H877&gt;=$C$4,J877+I877,I877)</f>
        <v>500</v>
      </c>
      <c r="M877" s="61">
        <f t="shared" si="124"/>
        <v>699.2</v>
      </c>
      <c r="N877" s="61">
        <f t="shared" si="125"/>
        <v>174.79999999999995</v>
      </c>
      <c r="O877" s="4">
        <f t="shared" si="120"/>
        <v>349600</v>
      </c>
      <c r="P877" s="4">
        <f t="shared" si="121"/>
        <v>-87399.999999999971</v>
      </c>
      <c r="Q877" s="4">
        <f t="shared" si="122"/>
        <v>262200</v>
      </c>
      <c r="R877" s="4">
        <f t="shared" si="123"/>
        <v>362200</v>
      </c>
    </row>
    <row r="878" spans="5:18" x14ac:dyDescent="0.25">
      <c r="E878" s="1">
        <f t="shared" si="118"/>
        <v>875</v>
      </c>
      <c r="F878" s="4">
        <f t="shared" ca="1" si="119"/>
        <v>361500</v>
      </c>
      <c r="G878" s="1" t="s">
        <v>70</v>
      </c>
      <c r="H878" s="26">
        <f t="shared" ca="1" si="117"/>
        <v>0.16459665340613727</v>
      </c>
      <c r="I878" s="4">
        <f>IF(G878="Yes",-$C$8,0)</f>
        <v>-500</v>
      </c>
      <c r="J878" s="4">
        <f>IF(G878="Yes",$C$8-I878,0)</f>
        <v>1000</v>
      </c>
      <c r="K878" s="4">
        <f ca="1">IF(H878&gt;=$C$4,J878+I878,I878)</f>
        <v>-500</v>
      </c>
      <c r="M878" s="61">
        <f t="shared" si="124"/>
        <v>700</v>
      </c>
      <c r="N878" s="61">
        <f t="shared" si="125"/>
        <v>175</v>
      </c>
      <c r="O878" s="4">
        <f t="shared" si="120"/>
        <v>350000</v>
      </c>
      <c r="P878" s="4">
        <f t="shared" si="121"/>
        <v>-87500</v>
      </c>
      <c r="Q878" s="4">
        <f t="shared" si="122"/>
        <v>262500</v>
      </c>
      <c r="R878" s="4">
        <f t="shared" si="123"/>
        <v>362500</v>
      </c>
    </row>
    <row r="879" spans="5:18" x14ac:dyDescent="0.25">
      <c r="E879" s="1">
        <f t="shared" si="118"/>
        <v>876</v>
      </c>
      <c r="F879" s="4">
        <f t="shared" ca="1" si="119"/>
        <v>361000</v>
      </c>
      <c r="G879" s="1" t="s">
        <v>70</v>
      </c>
      <c r="H879" s="26">
        <f t="shared" ca="1" si="117"/>
        <v>3.5076572925173077E-2</v>
      </c>
      <c r="I879" s="4">
        <f>IF(G879="Yes",-$C$8,0)</f>
        <v>-500</v>
      </c>
      <c r="J879" s="4">
        <f>IF(G879="Yes",$C$8-I879,0)</f>
        <v>1000</v>
      </c>
      <c r="K879" s="4">
        <f ca="1">IF(H879&gt;=$C$4,J879+I879,I879)</f>
        <v>-500</v>
      </c>
      <c r="M879" s="61">
        <f t="shared" si="124"/>
        <v>700.80000000000007</v>
      </c>
      <c r="N879" s="61">
        <f t="shared" si="125"/>
        <v>175.19999999999993</v>
      </c>
      <c r="O879" s="4">
        <f t="shared" si="120"/>
        <v>350400.00000000006</v>
      </c>
      <c r="P879" s="4">
        <f t="shared" si="121"/>
        <v>-87599.999999999971</v>
      </c>
      <c r="Q879" s="4">
        <f t="shared" si="122"/>
        <v>262800.00000000012</v>
      </c>
      <c r="R879" s="4">
        <f t="shared" si="123"/>
        <v>362800.00000000012</v>
      </c>
    </row>
    <row r="880" spans="5:18" x14ac:dyDescent="0.25">
      <c r="E880" s="1">
        <f t="shared" si="118"/>
        <v>877</v>
      </c>
      <c r="F880" s="4">
        <f t="shared" ca="1" si="119"/>
        <v>361500</v>
      </c>
      <c r="G880" s="1" t="s">
        <v>70</v>
      </c>
      <c r="H880" s="26">
        <f t="shared" ca="1" si="117"/>
        <v>0.71579396722112432</v>
      </c>
      <c r="I880" s="4">
        <f>IF(G880="Yes",-$C$8,0)</f>
        <v>-500</v>
      </c>
      <c r="J880" s="4">
        <f>IF(G880="Yes",$C$8-I880,0)</f>
        <v>1000</v>
      </c>
      <c r="K880" s="4">
        <f ca="1">IF(H880&gt;=$C$4,J880+I880,I880)</f>
        <v>500</v>
      </c>
      <c r="M880" s="61">
        <f t="shared" si="124"/>
        <v>701.6</v>
      </c>
      <c r="N880" s="61">
        <f t="shared" si="125"/>
        <v>175.39999999999998</v>
      </c>
      <c r="O880" s="4">
        <f t="shared" si="120"/>
        <v>350800</v>
      </c>
      <c r="P880" s="4">
        <f t="shared" si="121"/>
        <v>-87699.999999999985</v>
      </c>
      <c r="Q880" s="4">
        <f t="shared" si="122"/>
        <v>263100</v>
      </c>
      <c r="R880" s="4">
        <f t="shared" si="123"/>
        <v>363100</v>
      </c>
    </row>
    <row r="881" spans="5:18" x14ac:dyDescent="0.25">
      <c r="E881" s="1">
        <f t="shared" si="118"/>
        <v>878</v>
      </c>
      <c r="F881" s="4">
        <f t="shared" ca="1" si="119"/>
        <v>362000</v>
      </c>
      <c r="G881" s="1" t="s">
        <v>70</v>
      </c>
      <c r="H881" s="26">
        <f t="shared" ca="1" si="117"/>
        <v>0.30243907469158671</v>
      </c>
      <c r="I881" s="4">
        <f>IF(G881="Yes",-$C$8,0)</f>
        <v>-500</v>
      </c>
      <c r="J881" s="4">
        <f>IF(G881="Yes",$C$8-I881,0)</f>
        <v>1000</v>
      </c>
      <c r="K881" s="4">
        <f ca="1">IF(H881&gt;=$C$4,J881+I881,I881)</f>
        <v>500</v>
      </c>
      <c r="M881" s="61">
        <f t="shared" si="124"/>
        <v>702.40000000000009</v>
      </c>
      <c r="N881" s="61">
        <f t="shared" si="125"/>
        <v>175.59999999999991</v>
      </c>
      <c r="O881" s="4">
        <f t="shared" si="120"/>
        <v>351200.00000000006</v>
      </c>
      <c r="P881" s="4">
        <f t="shared" si="121"/>
        <v>-87799.999999999956</v>
      </c>
      <c r="Q881" s="4">
        <f t="shared" si="122"/>
        <v>263400.00000000012</v>
      </c>
      <c r="R881" s="4">
        <f t="shared" si="123"/>
        <v>363400.00000000012</v>
      </c>
    </row>
    <row r="882" spans="5:18" x14ac:dyDescent="0.25">
      <c r="E882" s="1">
        <f t="shared" si="118"/>
        <v>879</v>
      </c>
      <c r="F882" s="4">
        <f t="shared" ca="1" si="119"/>
        <v>362500</v>
      </c>
      <c r="G882" s="1" t="s">
        <v>70</v>
      </c>
      <c r="H882" s="26">
        <f t="shared" ca="1" si="117"/>
        <v>0.28956176287144342</v>
      </c>
      <c r="I882" s="4">
        <f>IF(G882="Yes",-$C$8,0)</f>
        <v>-500</v>
      </c>
      <c r="J882" s="4">
        <f>IF(G882="Yes",$C$8-I882,0)</f>
        <v>1000</v>
      </c>
      <c r="K882" s="4">
        <f ca="1">IF(H882&gt;=$C$4,J882+I882,I882)</f>
        <v>500</v>
      </c>
      <c r="M882" s="61">
        <f t="shared" si="124"/>
        <v>703.2</v>
      </c>
      <c r="N882" s="61">
        <f t="shared" si="125"/>
        <v>175.79999999999995</v>
      </c>
      <c r="O882" s="4">
        <f t="shared" si="120"/>
        <v>351600</v>
      </c>
      <c r="P882" s="4">
        <f t="shared" si="121"/>
        <v>-87899.999999999971</v>
      </c>
      <c r="Q882" s="4">
        <f t="shared" si="122"/>
        <v>263700</v>
      </c>
      <c r="R882" s="4">
        <f t="shared" si="123"/>
        <v>363700</v>
      </c>
    </row>
    <row r="883" spans="5:18" x14ac:dyDescent="0.25">
      <c r="E883" s="1">
        <f t="shared" si="118"/>
        <v>880</v>
      </c>
      <c r="F883" s="4">
        <f t="shared" ca="1" si="119"/>
        <v>363000</v>
      </c>
      <c r="G883" s="1" t="s">
        <v>70</v>
      </c>
      <c r="H883" s="26">
        <f t="shared" ca="1" si="117"/>
        <v>0.84547526349848845</v>
      </c>
      <c r="I883" s="4">
        <f>IF(G883="Yes",-$C$8,0)</f>
        <v>-500</v>
      </c>
      <c r="J883" s="4">
        <f>IF(G883="Yes",$C$8-I883,0)</f>
        <v>1000</v>
      </c>
      <c r="K883" s="4">
        <f ca="1">IF(H883&gt;=$C$4,J883+I883,I883)</f>
        <v>500</v>
      </c>
      <c r="M883" s="61">
        <f t="shared" si="124"/>
        <v>704</v>
      </c>
      <c r="N883" s="61">
        <f t="shared" si="125"/>
        <v>176</v>
      </c>
      <c r="O883" s="4">
        <f t="shared" si="120"/>
        <v>352000</v>
      </c>
      <c r="P883" s="4">
        <f t="shared" si="121"/>
        <v>-88000</v>
      </c>
      <c r="Q883" s="4">
        <f t="shared" si="122"/>
        <v>264000</v>
      </c>
      <c r="R883" s="4">
        <f t="shared" si="123"/>
        <v>364000</v>
      </c>
    </row>
    <row r="884" spans="5:18" x14ac:dyDescent="0.25">
      <c r="E884" s="1">
        <f t="shared" si="118"/>
        <v>881</v>
      </c>
      <c r="F884" s="4">
        <f t="shared" ca="1" si="119"/>
        <v>363500</v>
      </c>
      <c r="G884" s="1" t="s">
        <v>70</v>
      </c>
      <c r="H884" s="26">
        <f t="shared" ca="1" si="117"/>
        <v>0.54796431540448121</v>
      </c>
      <c r="I884" s="4">
        <f>IF(G884="Yes",-$C$8,0)</f>
        <v>-500</v>
      </c>
      <c r="J884" s="4">
        <f>IF(G884="Yes",$C$8-I884,0)</f>
        <v>1000</v>
      </c>
      <c r="K884" s="4">
        <f ca="1">IF(H884&gt;=$C$4,J884+I884,I884)</f>
        <v>500</v>
      </c>
      <c r="M884" s="61">
        <f t="shared" si="124"/>
        <v>704.80000000000007</v>
      </c>
      <c r="N884" s="61">
        <f t="shared" si="125"/>
        <v>176.19999999999993</v>
      </c>
      <c r="O884" s="4">
        <f t="shared" si="120"/>
        <v>352400.00000000006</v>
      </c>
      <c r="P884" s="4">
        <f t="shared" si="121"/>
        <v>-88099.999999999971</v>
      </c>
      <c r="Q884" s="4">
        <f t="shared" si="122"/>
        <v>264300.00000000012</v>
      </c>
      <c r="R884" s="4">
        <f t="shared" si="123"/>
        <v>364300.00000000012</v>
      </c>
    </row>
    <row r="885" spans="5:18" x14ac:dyDescent="0.25">
      <c r="E885" s="1">
        <f t="shared" si="118"/>
        <v>882</v>
      </c>
      <c r="F885" s="4">
        <f t="shared" ca="1" si="119"/>
        <v>364000</v>
      </c>
      <c r="G885" s="1" t="s">
        <v>70</v>
      </c>
      <c r="H885" s="26">
        <f t="shared" ca="1" si="117"/>
        <v>0.88760014057491121</v>
      </c>
      <c r="I885" s="4">
        <f>IF(G885="Yes",-$C$8,0)</f>
        <v>-500</v>
      </c>
      <c r="J885" s="4">
        <f>IF(G885="Yes",$C$8-I885,0)</f>
        <v>1000</v>
      </c>
      <c r="K885" s="4">
        <f ca="1">IF(H885&gt;=$C$4,J885+I885,I885)</f>
        <v>500</v>
      </c>
      <c r="M885" s="61">
        <f t="shared" si="124"/>
        <v>705.6</v>
      </c>
      <c r="N885" s="61">
        <f t="shared" si="125"/>
        <v>176.39999999999998</v>
      </c>
      <c r="O885" s="4">
        <f t="shared" si="120"/>
        <v>352800</v>
      </c>
      <c r="P885" s="4">
        <f t="shared" si="121"/>
        <v>-88199.999999999985</v>
      </c>
      <c r="Q885" s="4">
        <f t="shared" si="122"/>
        <v>264600</v>
      </c>
      <c r="R885" s="4">
        <f t="shared" si="123"/>
        <v>364600</v>
      </c>
    </row>
    <row r="886" spans="5:18" x14ac:dyDescent="0.25">
      <c r="E886" s="1">
        <f t="shared" si="118"/>
        <v>883</v>
      </c>
      <c r="F886" s="4">
        <f t="shared" ca="1" si="119"/>
        <v>363500</v>
      </c>
      <c r="G886" s="1" t="s">
        <v>70</v>
      </c>
      <c r="H886" s="26">
        <f t="shared" ca="1" si="117"/>
        <v>9.6354594550559391E-2</v>
      </c>
      <c r="I886" s="4">
        <f>IF(G886="Yes",-$C$8,0)</f>
        <v>-500</v>
      </c>
      <c r="J886" s="4">
        <f>IF(G886="Yes",$C$8-I886,0)</f>
        <v>1000</v>
      </c>
      <c r="K886" s="4">
        <f ca="1">IF(H886&gt;=$C$4,J886+I886,I886)</f>
        <v>-500</v>
      </c>
      <c r="M886" s="61">
        <f t="shared" si="124"/>
        <v>706.40000000000009</v>
      </c>
      <c r="N886" s="61">
        <f t="shared" si="125"/>
        <v>176.59999999999991</v>
      </c>
      <c r="O886" s="4">
        <f t="shared" si="120"/>
        <v>353200.00000000006</v>
      </c>
      <c r="P886" s="4">
        <f t="shared" si="121"/>
        <v>-88299.999999999956</v>
      </c>
      <c r="Q886" s="4">
        <f t="shared" si="122"/>
        <v>264900.00000000012</v>
      </c>
      <c r="R886" s="4">
        <f t="shared" si="123"/>
        <v>364900.00000000012</v>
      </c>
    </row>
    <row r="887" spans="5:18" x14ac:dyDescent="0.25">
      <c r="E887" s="1">
        <f t="shared" si="118"/>
        <v>884</v>
      </c>
      <c r="F887" s="4">
        <f t="shared" ca="1" si="119"/>
        <v>364000</v>
      </c>
      <c r="G887" s="1" t="s">
        <v>70</v>
      </c>
      <c r="H887" s="26">
        <f t="shared" ca="1" si="117"/>
        <v>0.26568364225583851</v>
      </c>
      <c r="I887" s="4">
        <f>IF(G887="Yes",-$C$8,0)</f>
        <v>-500</v>
      </c>
      <c r="J887" s="4">
        <f>IF(G887="Yes",$C$8-I887,0)</f>
        <v>1000</v>
      </c>
      <c r="K887" s="4">
        <f ca="1">IF(H887&gt;=$C$4,J887+I887,I887)</f>
        <v>500</v>
      </c>
      <c r="M887" s="61">
        <f t="shared" si="124"/>
        <v>707.2</v>
      </c>
      <c r="N887" s="61">
        <f t="shared" si="125"/>
        <v>176.79999999999995</v>
      </c>
      <c r="O887" s="4">
        <f t="shared" si="120"/>
        <v>353600</v>
      </c>
      <c r="P887" s="4">
        <f t="shared" si="121"/>
        <v>-88399.999999999971</v>
      </c>
      <c r="Q887" s="4">
        <f t="shared" si="122"/>
        <v>265200</v>
      </c>
      <c r="R887" s="4">
        <f t="shared" si="123"/>
        <v>365200</v>
      </c>
    </row>
    <row r="888" spans="5:18" x14ac:dyDescent="0.25">
      <c r="E888" s="1">
        <f t="shared" si="118"/>
        <v>885</v>
      </c>
      <c r="F888" s="4">
        <f t="shared" ca="1" si="119"/>
        <v>364500</v>
      </c>
      <c r="G888" s="1" t="s">
        <v>70</v>
      </c>
      <c r="H888" s="26">
        <f t="shared" ca="1" si="117"/>
        <v>0.44816244337830646</v>
      </c>
      <c r="I888" s="4">
        <f>IF(G888="Yes",-$C$8,0)</f>
        <v>-500</v>
      </c>
      <c r="J888" s="4">
        <f>IF(G888="Yes",$C$8-I888,0)</f>
        <v>1000</v>
      </c>
      <c r="K888" s="4">
        <f ca="1">IF(H888&gt;=$C$4,J888+I888,I888)</f>
        <v>500</v>
      </c>
      <c r="M888" s="61">
        <f t="shared" si="124"/>
        <v>708</v>
      </c>
      <c r="N888" s="61">
        <f t="shared" si="125"/>
        <v>177</v>
      </c>
      <c r="O888" s="4">
        <f t="shared" si="120"/>
        <v>354000</v>
      </c>
      <c r="P888" s="4">
        <f t="shared" si="121"/>
        <v>-88500</v>
      </c>
      <c r="Q888" s="4">
        <f t="shared" si="122"/>
        <v>265500</v>
      </c>
      <c r="R888" s="4">
        <f t="shared" si="123"/>
        <v>365500</v>
      </c>
    </row>
    <row r="889" spans="5:18" x14ac:dyDescent="0.25">
      <c r="E889" s="1">
        <f t="shared" si="118"/>
        <v>886</v>
      </c>
      <c r="F889" s="4">
        <f t="shared" ca="1" si="119"/>
        <v>365000</v>
      </c>
      <c r="G889" s="1" t="s">
        <v>70</v>
      </c>
      <c r="H889" s="26">
        <f t="shared" ca="1" si="117"/>
        <v>0.60118497018355044</v>
      </c>
      <c r="I889" s="4">
        <f>IF(G889="Yes",-$C$8,0)</f>
        <v>-500</v>
      </c>
      <c r="J889" s="4">
        <f>IF(G889="Yes",$C$8-I889,0)</f>
        <v>1000</v>
      </c>
      <c r="K889" s="4">
        <f ca="1">IF(H889&gt;=$C$4,J889+I889,I889)</f>
        <v>500</v>
      </c>
      <c r="M889" s="61">
        <f t="shared" si="124"/>
        <v>708.80000000000007</v>
      </c>
      <c r="N889" s="61">
        <f t="shared" si="125"/>
        <v>177.19999999999993</v>
      </c>
      <c r="O889" s="4">
        <f t="shared" si="120"/>
        <v>354400.00000000006</v>
      </c>
      <c r="P889" s="4">
        <f t="shared" si="121"/>
        <v>-88599.999999999971</v>
      </c>
      <c r="Q889" s="4">
        <f t="shared" si="122"/>
        <v>265800.00000000012</v>
      </c>
      <c r="R889" s="4">
        <f t="shared" si="123"/>
        <v>365800.00000000012</v>
      </c>
    </row>
    <row r="890" spans="5:18" x14ac:dyDescent="0.25">
      <c r="E890" s="1">
        <f t="shared" si="118"/>
        <v>887</v>
      </c>
      <c r="F890" s="4">
        <f t="shared" ca="1" si="119"/>
        <v>365500</v>
      </c>
      <c r="G890" s="1" t="s">
        <v>70</v>
      </c>
      <c r="H890" s="26">
        <f t="shared" ca="1" si="117"/>
        <v>0.93550031603845374</v>
      </c>
      <c r="I890" s="4">
        <f>IF(G890="Yes",-$C$8,0)</f>
        <v>-500</v>
      </c>
      <c r="J890" s="4">
        <f>IF(G890="Yes",$C$8-I890,0)</f>
        <v>1000</v>
      </c>
      <c r="K890" s="4">
        <f ca="1">IF(H890&gt;=$C$4,J890+I890,I890)</f>
        <v>500</v>
      </c>
      <c r="M890" s="61">
        <f t="shared" si="124"/>
        <v>709.6</v>
      </c>
      <c r="N890" s="61">
        <f t="shared" si="125"/>
        <v>177.39999999999998</v>
      </c>
      <c r="O890" s="4">
        <f t="shared" si="120"/>
        <v>354800</v>
      </c>
      <c r="P890" s="4">
        <f t="shared" si="121"/>
        <v>-88699.999999999985</v>
      </c>
      <c r="Q890" s="4">
        <f t="shared" si="122"/>
        <v>266100</v>
      </c>
      <c r="R890" s="4">
        <f t="shared" si="123"/>
        <v>366100</v>
      </c>
    </row>
    <row r="891" spans="5:18" x14ac:dyDescent="0.25">
      <c r="E891" s="1">
        <f t="shared" si="118"/>
        <v>888</v>
      </c>
      <c r="F891" s="4">
        <f t="shared" ca="1" si="119"/>
        <v>366000</v>
      </c>
      <c r="G891" s="1" t="s">
        <v>70</v>
      </c>
      <c r="H891" s="26">
        <f t="shared" ca="1" si="117"/>
        <v>0.38651100283401263</v>
      </c>
      <c r="I891" s="4">
        <f>IF(G891="Yes",-$C$8,0)</f>
        <v>-500</v>
      </c>
      <c r="J891" s="4">
        <f>IF(G891="Yes",$C$8-I891,0)</f>
        <v>1000</v>
      </c>
      <c r="K891" s="4">
        <f ca="1">IF(H891&gt;=$C$4,J891+I891,I891)</f>
        <v>500</v>
      </c>
      <c r="M891" s="61">
        <f t="shared" si="124"/>
        <v>710.40000000000009</v>
      </c>
      <c r="N891" s="61">
        <f t="shared" si="125"/>
        <v>177.59999999999991</v>
      </c>
      <c r="O891" s="4">
        <f t="shared" si="120"/>
        <v>355200.00000000006</v>
      </c>
      <c r="P891" s="4">
        <f t="shared" si="121"/>
        <v>-88799.999999999956</v>
      </c>
      <c r="Q891" s="4">
        <f t="shared" si="122"/>
        <v>266400.00000000012</v>
      </c>
      <c r="R891" s="4">
        <f t="shared" si="123"/>
        <v>366400.00000000012</v>
      </c>
    </row>
    <row r="892" spans="5:18" x14ac:dyDescent="0.25">
      <c r="E892" s="1">
        <f t="shared" si="118"/>
        <v>889</v>
      </c>
      <c r="F892" s="4">
        <f t="shared" ca="1" si="119"/>
        <v>366500</v>
      </c>
      <c r="G892" s="1" t="s">
        <v>70</v>
      </c>
      <c r="H892" s="26">
        <f t="shared" ca="1" si="117"/>
        <v>0.33161775375393909</v>
      </c>
      <c r="I892" s="4">
        <f>IF(G892="Yes",-$C$8,0)</f>
        <v>-500</v>
      </c>
      <c r="J892" s="4">
        <f>IF(G892="Yes",$C$8-I892,0)</f>
        <v>1000</v>
      </c>
      <c r="K892" s="4">
        <f ca="1">IF(H892&gt;=$C$4,J892+I892,I892)</f>
        <v>500</v>
      </c>
      <c r="M892" s="61">
        <f t="shared" si="124"/>
        <v>711.2</v>
      </c>
      <c r="N892" s="61">
        <f t="shared" si="125"/>
        <v>177.79999999999995</v>
      </c>
      <c r="O892" s="4">
        <f t="shared" si="120"/>
        <v>355600</v>
      </c>
      <c r="P892" s="4">
        <f t="shared" si="121"/>
        <v>-88899.999999999971</v>
      </c>
      <c r="Q892" s="4">
        <f t="shared" si="122"/>
        <v>266700</v>
      </c>
      <c r="R892" s="4">
        <f t="shared" si="123"/>
        <v>366700</v>
      </c>
    </row>
    <row r="893" spans="5:18" x14ac:dyDescent="0.25">
      <c r="E893" s="1">
        <f t="shared" si="118"/>
        <v>890</v>
      </c>
      <c r="F893" s="4">
        <f t="shared" ca="1" si="119"/>
        <v>367000</v>
      </c>
      <c r="G893" s="1" t="s">
        <v>70</v>
      </c>
      <c r="H893" s="26">
        <f t="shared" ca="1" si="117"/>
        <v>0.36801810815152625</v>
      </c>
      <c r="I893" s="4">
        <f>IF(G893="Yes",-$C$8,0)</f>
        <v>-500</v>
      </c>
      <c r="J893" s="4">
        <f>IF(G893="Yes",$C$8-I893,0)</f>
        <v>1000</v>
      </c>
      <c r="K893" s="4">
        <f ca="1">IF(H893&gt;=$C$4,J893+I893,I893)</f>
        <v>500</v>
      </c>
      <c r="M893" s="61">
        <f t="shared" si="124"/>
        <v>712</v>
      </c>
      <c r="N893" s="61">
        <f t="shared" si="125"/>
        <v>178</v>
      </c>
      <c r="O893" s="4">
        <f t="shared" si="120"/>
        <v>356000</v>
      </c>
      <c r="P893" s="4">
        <f t="shared" si="121"/>
        <v>-89000</v>
      </c>
      <c r="Q893" s="4">
        <f t="shared" si="122"/>
        <v>267000</v>
      </c>
      <c r="R893" s="4">
        <f t="shared" si="123"/>
        <v>367000</v>
      </c>
    </row>
    <row r="894" spans="5:18" x14ac:dyDescent="0.25">
      <c r="E894" s="1">
        <f t="shared" si="118"/>
        <v>891</v>
      </c>
      <c r="F894" s="4">
        <f t="shared" ca="1" si="119"/>
        <v>366500</v>
      </c>
      <c r="G894" s="1" t="s">
        <v>70</v>
      </c>
      <c r="H894" s="26">
        <f t="shared" ca="1" si="117"/>
        <v>0.18448236791644501</v>
      </c>
      <c r="I894" s="4">
        <f>IF(G894="Yes",-$C$8,0)</f>
        <v>-500</v>
      </c>
      <c r="J894" s="4">
        <f>IF(G894="Yes",$C$8-I894,0)</f>
        <v>1000</v>
      </c>
      <c r="K894" s="4">
        <f ca="1">IF(H894&gt;=$C$4,J894+I894,I894)</f>
        <v>-500</v>
      </c>
      <c r="M894" s="61">
        <f t="shared" si="124"/>
        <v>712.80000000000007</v>
      </c>
      <c r="N894" s="61">
        <f t="shared" si="125"/>
        <v>178.19999999999993</v>
      </c>
      <c r="O894" s="4">
        <f t="shared" si="120"/>
        <v>356400.00000000006</v>
      </c>
      <c r="P894" s="4">
        <f t="shared" si="121"/>
        <v>-89099.999999999971</v>
      </c>
      <c r="Q894" s="4">
        <f t="shared" si="122"/>
        <v>267300.00000000012</v>
      </c>
      <c r="R894" s="4">
        <f t="shared" si="123"/>
        <v>367300.00000000012</v>
      </c>
    </row>
    <row r="895" spans="5:18" x14ac:dyDescent="0.25">
      <c r="E895" s="1">
        <f t="shared" si="118"/>
        <v>892</v>
      </c>
      <c r="F895" s="4">
        <f t="shared" ca="1" si="119"/>
        <v>367000</v>
      </c>
      <c r="G895" s="1" t="s">
        <v>70</v>
      </c>
      <c r="H895" s="26">
        <f t="shared" ca="1" si="117"/>
        <v>0.69951964128285149</v>
      </c>
      <c r="I895" s="4">
        <f>IF(G895="Yes",-$C$8,0)</f>
        <v>-500</v>
      </c>
      <c r="J895" s="4">
        <f>IF(G895="Yes",$C$8-I895,0)</f>
        <v>1000</v>
      </c>
      <c r="K895" s="4">
        <f ca="1">IF(H895&gt;=$C$4,J895+I895,I895)</f>
        <v>500</v>
      </c>
      <c r="M895" s="61">
        <f t="shared" si="124"/>
        <v>713.6</v>
      </c>
      <c r="N895" s="61">
        <f t="shared" si="125"/>
        <v>178.39999999999998</v>
      </c>
      <c r="O895" s="4">
        <f t="shared" si="120"/>
        <v>356800</v>
      </c>
      <c r="P895" s="4">
        <f t="shared" si="121"/>
        <v>-89199.999999999985</v>
      </c>
      <c r="Q895" s="4">
        <f t="shared" si="122"/>
        <v>267600</v>
      </c>
      <c r="R895" s="4">
        <f t="shared" si="123"/>
        <v>367600</v>
      </c>
    </row>
    <row r="896" spans="5:18" x14ac:dyDescent="0.25">
      <c r="E896" s="1">
        <f t="shared" si="118"/>
        <v>893</v>
      </c>
      <c r="F896" s="4">
        <f t="shared" ca="1" si="119"/>
        <v>367500</v>
      </c>
      <c r="G896" s="1" t="s">
        <v>70</v>
      </c>
      <c r="H896" s="26">
        <f t="shared" ca="1" si="117"/>
        <v>0.73074471832249721</v>
      </c>
      <c r="I896" s="4">
        <f>IF(G896="Yes",-$C$8,0)</f>
        <v>-500</v>
      </c>
      <c r="J896" s="4">
        <f>IF(G896="Yes",$C$8-I896,0)</f>
        <v>1000</v>
      </c>
      <c r="K896" s="4">
        <f ca="1">IF(H896&gt;=$C$4,J896+I896,I896)</f>
        <v>500</v>
      </c>
      <c r="M896" s="61">
        <f t="shared" si="124"/>
        <v>714.40000000000009</v>
      </c>
      <c r="N896" s="61">
        <f t="shared" si="125"/>
        <v>178.59999999999991</v>
      </c>
      <c r="O896" s="4">
        <f t="shared" si="120"/>
        <v>357200.00000000006</v>
      </c>
      <c r="P896" s="4">
        <f t="shared" si="121"/>
        <v>-89299.999999999956</v>
      </c>
      <c r="Q896" s="4">
        <f t="shared" si="122"/>
        <v>267900.00000000012</v>
      </c>
      <c r="R896" s="4">
        <f t="shared" si="123"/>
        <v>367900.00000000012</v>
      </c>
    </row>
    <row r="897" spans="5:18" x14ac:dyDescent="0.25">
      <c r="E897" s="1">
        <f t="shared" si="118"/>
        <v>894</v>
      </c>
      <c r="F897" s="4">
        <f t="shared" ca="1" si="119"/>
        <v>368000</v>
      </c>
      <c r="G897" s="1" t="s">
        <v>70</v>
      </c>
      <c r="H897" s="26">
        <f t="shared" ca="1" si="117"/>
        <v>0.83143982735040167</v>
      </c>
      <c r="I897" s="4">
        <f>IF(G897="Yes",-$C$8,0)</f>
        <v>-500</v>
      </c>
      <c r="J897" s="4">
        <f>IF(G897="Yes",$C$8-I897,0)</f>
        <v>1000</v>
      </c>
      <c r="K897" s="4">
        <f ca="1">IF(H897&gt;=$C$4,J897+I897,I897)</f>
        <v>500</v>
      </c>
      <c r="M897" s="61">
        <f t="shared" si="124"/>
        <v>715.2</v>
      </c>
      <c r="N897" s="61">
        <f t="shared" si="125"/>
        <v>178.79999999999995</v>
      </c>
      <c r="O897" s="4">
        <f t="shared" si="120"/>
        <v>357600</v>
      </c>
      <c r="P897" s="4">
        <f t="shared" si="121"/>
        <v>-89399.999999999971</v>
      </c>
      <c r="Q897" s="4">
        <f t="shared" si="122"/>
        <v>268200</v>
      </c>
      <c r="R897" s="4">
        <f t="shared" si="123"/>
        <v>368200</v>
      </c>
    </row>
    <row r="898" spans="5:18" x14ac:dyDescent="0.25">
      <c r="E898" s="1">
        <f t="shared" si="118"/>
        <v>895</v>
      </c>
      <c r="F898" s="4">
        <f t="shared" ca="1" si="119"/>
        <v>367500</v>
      </c>
      <c r="G898" s="1" t="s">
        <v>70</v>
      </c>
      <c r="H898" s="26">
        <f t="shared" ca="1" si="117"/>
        <v>6.37426433890671E-2</v>
      </c>
      <c r="I898" s="4">
        <f>IF(G898="Yes",-$C$8,0)</f>
        <v>-500</v>
      </c>
      <c r="J898" s="4">
        <f>IF(G898="Yes",$C$8-I898,0)</f>
        <v>1000</v>
      </c>
      <c r="K898" s="4">
        <f ca="1">IF(H898&gt;=$C$4,J898+I898,I898)</f>
        <v>-500</v>
      </c>
      <c r="M898" s="61">
        <f t="shared" si="124"/>
        <v>716</v>
      </c>
      <c r="N898" s="61">
        <f t="shared" si="125"/>
        <v>179</v>
      </c>
      <c r="O898" s="4">
        <f t="shared" si="120"/>
        <v>358000</v>
      </c>
      <c r="P898" s="4">
        <f t="shared" si="121"/>
        <v>-89500</v>
      </c>
      <c r="Q898" s="4">
        <f t="shared" si="122"/>
        <v>268500</v>
      </c>
      <c r="R898" s="4">
        <f t="shared" si="123"/>
        <v>368500</v>
      </c>
    </row>
    <row r="899" spans="5:18" x14ac:dyDescent="0.25">
      <c r="E899" s="1">
        <f t="shared" si="118"/>
        <v>896</v>
      </c>
      <c r="F899" s="4">
        <f t="shared" ca="1" si="119"/>
        <v>367000</v>
      </c>
      <c r="G899" s="1" t="s">
        <v>70</v>
      </c>
      <c r="H899" s="26">
        <f t="shared" ca="1" si="117"/>
        <v>8.600584082259477E-2</v>
      </c>
      <c r="I899" s="4">
        <f>IF(G899="Yes",-$C$8,0)</f>
        <v>-500</v>
      </c>
      <c r="J899" s="4">
        <f>IF(G899="Yes",$C$8-I899,0)</f>
        <v>1000</v>
      </c>
      <c r="K899" s="4">
        <f ca="1">IF(H899&gt;=$C$4,J899+I899,I899)</f>
        <v>-500</v>
      </c>
      <c r="M899" s="61">
        <f t="shared" si="124"/>
        <v>716.80000000000007</v>
      </c>
      <c r="N899" s="61">
        <f t="shared" si="125"/>
        <v>179.19999999999993</v>
      </c>
      <c r="O899" s="4">
        <f t="shared" si="120"/>
        <v>358400.00000000006</v>
      </c>
      <c r="P899" s="4">
        <f t="shared" si="121"/>
        <v>-89599.999999999971</v>
      </c>
      <c r="Q899" s="4">
        <f t="shared" si="122"/>
        <v>268800.00000000012</v>
      </c>
      <c r="R899" s="4">
        <f t="shared" si="123"/>
        <v>368800.00000000012</v>
      </c>
    </row>
    <row r="900" spans="5:18" x14ac:dyDescent="0.25">
      <c r="E900" s="1">
        <f t="shared" si="118"/>
        <v>897</v>
      </c>
      <c r="F900" s="4">
        <f t="shared" ca="1" si="119"/>
        <v>366500</v>
      </c>
      <c r="G900" s="1" t="s">
        <v>70</v>
      </c>
      <c r="H900" s="26">
        <f t="shared" ref="H900:H963" ca="1" si="126">RAND()</f>
        <v>8.620838568636835E-2</v>
      </c>
      <c r="I900" s="4">
        <f>IF(G900="Yes",-$C$8,0)</f>
        <v>-500</v>
      </c>
      <c r="J900" s="4">
        <f>IF(G900="Yes",$C$8-I900,0)</f>
        <v>1000</v>
      </c>
      <c r="K900" s="4">
        <f ca="1">IF(H900&gt;=$C$4,J900+I900,I900)</f>
        <v>-500</v>
      </c>
      <c r="M900" s="61">
        <f t="shared" si="124"/>
        <v>717.6</v>
      </c>
      <c r="N900" s="61">
        <f t="shared" si="125"/>
        <v>179.39999999999998</v>
      </c>
      <c r="O900" s="4">
        <f t="shared" si="120"/>
        <v>358800</v>
      </c>
      <c r="P900" s="4">
        <f t="shared" si="121"/>
        <v>-89699.999999999985</v>
      </c>
      <c r="Q900" s="4">
        <f t="shared" si="122"/>
        <v>269100</v>
      </c>
      <c r="R900" s="4">
        <f t="shared" si="123"/>
        <v>369100</v>
      </c>
    </row>
    <row r="901" spans="5:18" x14ac:dyDescent="0.25">
      <c r="E901" s="1">
        <f t="shared" ref="E901:E964" si="127">E900+1</f>
        <v>898</v>
      </c>
      <c r="F901" s="4">
        <f t="shared" ref="F901:F964" ca="1" si="128">F900+K901</f>
        <v>366000</v>
      </c>
      <c r="G901" s="1" t="s">
        <v>70</v>
      </c>
      <c r="H901" s="26">
        <f t="shared" ca="1" si="126"/>
        <v>0.13628129257465948</v>
      </c>
      <c r="I901" s="4">
        <f>IF(G901="Yes",-$C$8,0)</f>
        <v>-500</v>
      </c>
      <c r="J901" s="4">
        <f>IF(G901="Yes",$C$8-I901,0)</f>
        <v>1000</v>
      </c>
      <c r="K901" s="4">
        <f ca="1">IF(H901&gt;=$C$4,J901+I901,I901)</f>
        <v>-500</v>
      </c>
      <c r="M901" s="61">
        <f t="shared" si="124"/>
        <v>718.40000000000009</v>
      </c>
      <c r="N901" s="61">
        <f t="shared" si="125"/>
        <v>179.59999999999991</v>
      </c>
      <c r="O901" s="4">
        <f t="shared" ref="O901:O964" si="129">M901*$C$8</f>
        <v>359200.00000000006</v>
      </c>
      <c r="P901" s="4">
        <f t="shared" ref="P901:P964" si="130">N901*(-$C$8)</f>
        <v>-89799.999999999956</v>
      </c>
      <c r="Q901" s="4">
        <f t="shared" ref="Q901:Q964" si="131">O901+P901</f>
        <v>269400.00000000012</v>
      </c>
      <c r="R901" s="4">
        <f t="shared" ref="R901:R964" si="132">$C$7+Q901</f>
        <v>369400.00000000012</v>
      </c>
    </row>
    <row r="902" spans="5:18" x14ac:dyDescent="0.25">
      <c r="E902" s="1">
        <f t="shared" si="127"/>
        <v>899</v>
      </c>
      <c r="F902" s="4">
        <f t="shared" ca="1" si="128"/>
        <v>365500</v>
      </c>
      <c r="G902" s="1" t="s">
        <v>70</v>
      </c>
      <c r="H902" s="26">
        <f t="shared" ca="1" si="126"/>
        <v>0.13755492558828797</v>
      </c>
      <c r="I902" s="4">
        <f>IF(G902="Yes",-$C$8,0)</f>
        <v>-500</v>
      </c>
      <c r="J902" s="4">
        <f>IF(G902="Yes",$C$8-I902,0)</f>
        <v>1000</v>
      </c>
      <c r="K902" s="4">
        <f ca="1">IF(H902&gt;=$C$4,J902+I902,I902)</f>
        <v>-500</v>
      </c>
      <c r="M902" s="61">
        <f t="shared" si="124"/>
        <v>719.2</v>
      </c>
      <c r="N902" s="61">
        <f t="shared" si="125"/>
        <v>179.79999999999995</v>
      </c>
      <c r="O902" s="4">
        <f t="shared" si="129"/>
        <v>359600</v>
      </c>
      <c r="P902" s="4">
        <f t="shared" si="130"/>
        <v>-89899.999999999971</v>
      </c>
      <c r="Q902" s="4">
        <f t="shared" si="131"/>
        <v>269700</v>
      </c>
      <c r="R902" s="4">
        <f t="shared" si="132"/>
        <v>369700</v>
      </c>
    </row>
    <row r="903" spans="5:18" x14ac:dyDescent="0.25">
      <c r="E903" s="1">
        <f t="shared" si="127"/>
        <v>900</v>
      </c>
      <c r="F903" s="4">
        <f t="shared" ca="1" si="128"/>
        <v>366000</v>
      </c>
      <c r="G903" s="1" t="s">
        <v>70</v>
      </c>
      <c r="H903" s="26">
        <f t="shared" ca="1" si="126"/>
        <v>0.57020965695059034</v>
      </c>
      <c r="I903" s="4">
        <f>IF(G903="Yes",-$C$8,0)</f>
        <v>-500</v>
      </c>
      <c r="J903" s="4">
        <f>IF(G903="Yes",$C$8-I903,0)</f>
        <v>1000</v>
      </c>
      <c r="K903" s="4">
        <f ca="1">IF(H903&gt;=$C$4,J903+I903,I903)</f>
        <v>500</v>
      </c>
      <c r="M903" s="61">
        <f t="shared" si="124"/>
        <v>720</v>
      </c>
      <c r="N903" s="61">
        <f t="shared" si="125"/>
        <v>180</v>
      </c>
      <c r="O903" s="4">
        <f t="shared" si="129"/>
        <v>360000</v>
      </c>
      <c r="P903" s="4">
        <f t="shared" si="130"/>
        <v>-90000</v>
      </c>
      <c r="Q903" s="4">
        <f t="shared" si="131"/>
        <v>270000</v>
      </c>
      <c r="R903" s="4">
        <f t="shared" si="132"/>
        <v>370000</v>
      </c>
    </row>
    <row r="904" spans="5:18" x14ac:dyDescent="0.25">
      <c r="E904" s="1">
        <f t="shared" si="127"/>
        <v>901</v>
      </c>
      <c r="F904" s="4">
        <f t="shared" ca="1" si="128"/>
        <v>365500</v>
      </c>
      <c r="G904" s="1" t="s">
        <v>70</v>
      </c>
      <c r="H904" s="26">
        <f t="shared" ca="1" si="126"/>
        <v>0.10541593583414932</v>
      </c>
      <c r="I904" s="4">
        <f>IF(G904="Yes",-$C$8,0)</f>
        <v>-500</v>
      </c>
      <c r="J904" s="4">
        <f>IF(G904="Yes",$C$8-I904,0)</f>
        <v>1000</v>
      </c>
      <c r="K904" s="4">
        <f ca="1">IF(H904&gt;=$C$4,J904+I904,I904)</f>
        <v>-500</v>
      </c>
      <c r="M904" s="61">
        <f t="shared" si="124"/>
        <v>720.80000000000007</v>
      </c>
      <c r="N904" s="61">
        <f t="shared" si="125"/>
        <v>180.19999999999993</v>
      </c>
      <c r="O904" s="4">
        <f t="shared" si="129"/>
        <v>360400.00000000006</v>
      </c>
      <c r="P904" s="4">
        <f t="shared" si="130"/>
        <v>-90099.999999999971</v>
      </c>
      <c r="Q904" s="4">
        <f t="shared" si="131"/>
        <v>270300.00000000012</v>
      </c>
      <c r="R904" s="4">
        <f t="shared" si="132"/>
        <v>370300.00000000012</v>
      </c>
    </row>
    <row r="905" spans="5:18" x14ac:dyDescent="0.25">
      <c r="E905" s="1">
        <f t="shared" si="127"/>
        <v>902</v>
      </c>
      <c r="F905" s="4">
        <f t="shared" ca="1" si="128"/>
        <v>366000</v>
      </c>
      <c r="G905" s="1" t="s">
        <v>70</v>
      </c>
      <c r="H905" s="26">
        <f t="shared" ca="1" si="126"/>
        <v>0.65435571485569377</v>
      </c>
      <c r="I905" s="4">
        <f>IF(G905="Yes",-$C$8,0)</f>
        <v>-500</v>
      </c>
      <c r="J905" s="4">
        <f>IF(G905="Yes",$C$8-I905,0)</f>
        <v>1000</v>
      </c>
      <c r="K905" s="4">
        <f ca="1">IF(H905&gt;=$C$4,J905+I905,I905)</f>
        <v>500</v>
      </c>
      <c r="M905" s="61">
        <f t="shared" si="124"/>
        <v>721.6</v>
      </c>
      <c r="N905" s="61">
        <f t="shared" si="125"/>
        <v>180.39999999999998</v>
      </c>
      <c r="O905" s="4">
        <f t="shared" si="129"/>
        <v>360800</v>
      </c>
      <c r="P905" s="4">
        <f t="shared" si="130"/>
        <v>-90199.999999999985</v>
      </c>
      <c r="Q905" s="4">
        <f t="shared" si="131"/>
        <v>270600</v>
      </c>
      <c r="R905" s="4">
        <f t="shared" si="132"/>
        <v>370600</v>
      </c>
    </row>
    <row r="906" spans="5:18" x14ac:dyDescent="0.25">
      <c r="E906" s="1">
        <f t="shared" si="127"/>
        <v>903</v>
      </c>
      <c r="F906" s="4">
        <f t="shared" ca="1" si="128"/>
        <v>366500</v>
      </c>
      <c r="G906" s="1" t="s">
        <v>70</v>
      </c>
      <c r="H906" s="26">
        <f t="shared" ca="1" si="126"/>
        <v>0.64786792884596756</v>
      </c>
      <c r="I906" s="4">
        <f>IF(G906="Yes",-$C$8,0)</f>
        <v>-500</v>
      </c>
      <c r="J906" s="4">
        <f>IF(G906="Yes",$C$8-I906,0)</f>
        <v>1000</v>
      </c>
      <c r="K906" s="4">
        <f ca="1">IF(H906&gt;=$C$4,J906+I906,I906)</f>
        <v>500</v>
      </c>
      <c r="M906" s="61">
        <f t="shared" si="124"/>
        <v>722.40000000000009</v>
      </c>
      <c r="N906" s="61">
        <f t="shared" si="125"/>
        <v>180.59999999999991</v>
      </c>
      <c r="O906" s="4">
        <f t="shared" si="129"/>
        <v>361200.00000000006</v>
      </c>
      <c r="P906" s="4">
        <f t="shared" si="130"/>
        <v>-90299.999999999956</v>
      </c>
      <c r="Q906" s="4">
        <f t="shared" si="131"/>
        <v>270900.00000000012</v>
      </c>
      <c r="R906" s="4">
        <f t="shared" si="132"/>
        <v>370900.00000000012</v>
      </c>
    </row>
    <row r="907" spans="5:18" x14ac:dyDescent="0.25">
      <c r="E907" s="1">
        <f t="shared" si="127"/>
        <v>904</v>
      </c>
      <c r="F907" s="4">
        <f t="shared" ca="1" si="128"/>
        <v>367000</v>
      </c>
      <c r="G907" s="1" t="s">
        <v>70</v>
      </c>
      <c r="H907" s="26">
        <f t="shared" ca="1" si="126"/>
        <v>0.45447721943150132</v>
      </c>
      <c r="I907" s="4">
        <f>IF(G907="Yes",-$C$8,0)</f>
        <v>-500</v>
      </c>
      <c r="J907" s="4">
        <f>IF(G907="Yes",$C$8-I907,0)</f>
        <v>1000</v>
      </c>
      <c r="K907" s="4">
        <f ca="1">IF(H907&gt;=$C$4,J907+I907,I907)</f>
        <v>500</v>
      </c>
      <c r="M907" s="61">
        <f t="shared" si="124"/>
        <v>723.2</v>
      </c>
      <c r="N907" s="61">
        <f t="shared" si="125"/>
        <v>180.79999999999995</v>
      </c>
      <c r="O907" s="4">
        <f t="shared" si="129"/>
        <v>361600</v>
      </c>
      <c r="P907" s="4">
        <f t="shared" si="130"/>
        <v>-90399.999999999971</v>
      </c>
      <c r="Q907" s="4">
        <f t="shared" si="131"/>
        <v>271200</v>
      </c>
      <c r="R907" s="4">
        <f t="shared" si="132"/>
        <v>371200</v>
      </c>
    </row>
    <row r="908" spans="5:18" x14ac:dyDescent="0.25">
      <c r="E908" s="1">
        <f t="shared" si="127"/>
        <v>905</v>
      </c>
      <c r="F908" s="4">
        <f t="shared" ca="1" si="128"/>
        <v>367500</v>
      </c>
      <c r="G908" s="1" t="s">
        <v>70</v>
      </c>
      <c r="H908" s="26">
        <f t="shared" ca="1" si="126"/>
        <v>0.74145620246388055</v>
      </c>
      <c r="I908" s="4">
        <f>IF(G908="Yes",-$C$8,0)</f>
        <v>-500</v>
      </c>
      <c r="J908" s="4">
        <f>IF(G908="Yes",$C$8-I908,0)</f>
        <v>1000</v>
      </c>
      <c r="K908" s="4">
        <f ca="1">IF(H908&gt;=$C$4,J908+I908,I908)</f>
        <v>500</v>
      </c>
      <c r="M908" s="61">
        <f t="shared" si="124"/>
        <v>724</v>
      </c>
      <c r="N908" s="61">
        <f t="shared" si="125"/>
        <v>181</v>
      </c>
      <c r="O908" s="4">
        <f t="shared" si="129"/>
        <v>362000</v>
      </c>
      <c r="P908" s="4">
        <f t="shared" si="130"/>
        <v>-90500</v>
      </c>
      <c r="Q908" s="4">
        <f t="shared" si="131"/>
        <v>271500</v>
      </c>
      <c r="R908" s="4">
        <f t="shared" si="132"/>
        <v>371500</v>
      </c>
    </row>
    <row r="909" spans="5:18" x14ac:dyDescent="0.25">
      <c r="E909" s="1">
        <f t="shared" si="127"/>
        <v>906</v>
      </c>
      <c r="F909" s="4">
        <f t="shared" ca="1" si="128"/>
        <v>368000</v>
      </c>
      <c r="G909" s="1" t="s">
        <v>70</v>
      </c>
      <c r="H909" s="26">
        <f t="shared" ca="1" si="126"/>
        <v>0.62105674851580028</v>
      </c>
      <c r="I909" s="4">
        <f>IF(G909="Yes",-$C$8,0)</f>
        <v>-500</v>
      </c>
      <c r="J909" s="4">
        <f>IF(G909="Yes",$C$8-I909,0)</f>
        <v>1000</v>
      </c>
      <c r="K909" s="4">
        <f ca="1">IF(H909&gt;=$C$4,J909+I909,I909)</f>
        <v>500</v>
      </c>
      <c r="M909" s="61">
        <f t="shared" si="124"/>
        <v>724.80000000000007</v>
      </c>
      <c r="N909" s="61">
        <f t="shared" si="125"/>
        <v>181.19999999999993</v>
      </c>
      <c r="O909" s="4">
        <f t="shared" si="129"/>
        <v>362400.00000000006</v>
      </c>
      <c r="P909" s="4">
        <f t="shared" si="130"/>
        <v>-90599.999999999971</v>
      </c>
      <c r="Q909" s="4">
        <f t="shared" si="131"/>
        <v>271800.00000000012</v>
      </c>
      <c r="R909" s="4">
        <f t="shared" si="132"/>
        <v>371800.00000000012</v>
      </c>
    </row>
    <row r="910" spans="5:18" x14ac:dyDescent="0.25">
      <c r="E910" s="1">
        <f t="shared" si="127"/>
        <v>907</v>
      </c>
      <c r="F910" s="4">
        <f t="shared" ca="1" si="128"/>
        <v>368500</v>
      </c>
      <c r="G910" s="1" t="s">
        <v>70</v>
      </c>
      <c r="H910" s="26">
        <f t="shared" ca="1" si="126"/>
        <v>0.30520454270888075</v>
      </c>
      <c r="I910" s="4">
        <f>IF(G910="Yes",-$C$8,0)</f>
        <v>-500</v>
      </c>
      <c r="J910" s="4">
        <f>IF(G910="Yes",$C$8-I910,0)</f>
        <v>1000</v>
      </c>
      <c r="K910" s="4">
        <f ca="1">IF(H910&gt;=$C$4,J910+I910,I910)</f>
        <v>500</v>
      </c>
      <c r="M910" s="61">
        <f t="shared" ref="M910:M973" si="133">E910*$C$3</f>
        <v>725.6</v>
      </c>
      <c r="N910" s="61">
        <f t="shared" ref="N910:N973" si="134">E910-M910</f>
        <v>181.39999999999998</v>
      </c>
      <c r="O910" s="4">
        <f t="shared" si="129"/>
        <v>362800</v>
      </c>
      <c r="P910" s="4">
        <f t="shared" si="130"/>
        <v>-90699.999999999985</v>
      </c>
      <c r="Q910" s="4">
        <f t="shared" si="131"/>
        <v>272100</v>
      </c>
      <c r="R910" s="4">
        <f t="shared" si="132"/>
        <v>372100</v>
      </c>
    </row>
    <row r="911" spans="5:18" x14ac:dyDescent="0.25">
      <c r="E911" s="1">
        <f t="shared" si="127"/>
        <v>908</v>
      </c>
      <c r="F911" s="4">
        <f t="shared" ca="1" si="128"/>
        <v>369000</v>
      </c>
      <c r="G911" s="1" t="s">
        <v>70</v>
      </c>
      <c r="H911" s="26">
        <f t="shared" ca="1" si="126"/>
        <v>0.49854447497875154</v>
      </c>
      <c r="I911" s="4">
        <f>IF(G911="Yes",-$C$8,0)</f>
        <v>-500</v>
      </c>
      <c r="J911" s="4">
        <f>IF(G911="Yes",$C$8-I911,0)</f>
        <v>1000</v>
      </c>
      <c r="K911" s="4">
        <f ca="1">IF(H911&gt;=$C$4,J911+I911,I911)</f>
        <v>500</v>
      </c>
      <c r="M911" s="61">
        <f t="shared" si="133"/>
        <v>726.40000000000009</v>
      </c>
      <c r="N911" s="61">
        <f t="shared" si="134"/>
        <v>181.59999999999991</v>
      </c>
      <c r="O911" s="4">
        <f t="shared" si="129"/>
        <v>363200.00000000006</v>
      </c>
      <c r="P911" s="4">
        <f t="shared" si="130"/>
        <v>-90799.999999999956</v>
      </c>
      <c r="Q911" s="4">
        <f t="shared" si="131"/>
        <v>272400.00000000012</v>
      </c>
      <c r="R911" s="4">
        <f t="shared" si="132"/>
        <v>372400.00000000012</v>
      </c>
    </row>
    <row r="912" spans="5:18" x14ac:dyDescent="0.25">
      <c r="E912" s="1">
        <f t="shared" si="127"/>
        <v>909</v>
      </c>
      <c r="F912" s="4">
        <f t="shared" ca="1" si="128"/>
        <v>369500</v>
      </c>
      <c r="G912" s="1" t="s">
        <v>70</v>
      </c>
      <c r="H912" s="26">
        <f t="shared" ca="1" si="126"/>
        <v>0.97783805311981231</v>
      </c>
      <c r="I912" s="4">
        <f>IF(G912="Yes",-$C$8,0)</f>
        <v>-500</v>
      </c>
      <c r="J912" s="4">
        <f>IF(G912="Yes",$C$8-I912,0)</f>
        <v>1000</v>
      </c>
      <c r="K912" s="4">
        <f ca="1">IF(H912&gt;=$C$4,J912+I912,I912)</f>
        <v>500</v>
      </c>
      <c r="M912" s="61">
        <f t="shared" si="133"/>
        <v>727.2</v>
      </c>
      <c r="N912" s="61">
        <f t="shared" si="134"/>
        <v>181.79999999999995</v>
      </c>
      <c r="O912" s="4">
        <f t="shared" si="129"/>
        <v>363600</v>
      </c>
      <c r="P912" s="4">
        <f t="shared" si="130"/>
        <v>-90899.999999999971</v>
      </c>
      <c r="Q912" s="4">
        <f t="shared" si="131"/>
        <v>272700</v>
      </c>
      <c r="R912" s="4">
        <f t="shared" si="132"/>
        <v>372700</v>
      </c>
    </row>
    <row r="913" spans="5:18" x14ac:dyDescent="0.25">
      <c r="E913" s="1">
        <f t="shared" si="127"/>
        <v>910</v>
      </c>
      <c r="F913" s="4">
        <f t="shared" ca="1" si="128"/>
        <v>370000</v>
      </c>
      <c r="G913" s="1" t="s">
        <v>70</v>
      </c>
      <c r="H913" s="26">
        <f t="shared" ca="1" si="126"/>
        <v>0.23000130788271433</v>
      </c>
      <c r="I913" s="4">
        <f>IF(G913="Yes",-$C$8,0)</f>
        <v>-500</v>
      </c>
      <c r="J913" s="4">
        <f>IF(G913="Yes",$C$8-I913,0)</f>
        <v>1000</v>
      </c>
      <c r="K913" s="4">
        <f ca="1">IF(H913&gt;=$C$4,J913+I913,I913)</f>
        <v>500</v>
      </c>
      <c r="M913" s="61">
        <f t="shared" si="133"/>
        <v>728</v>
      </c>
      <c r="N913" s="61">
        <f t="shared" si="134"/>
        <v>182</v>
      </c>
      <c r="O913" s="4">
        <f t="shared" si="129"/>
        <v>364000</v>
      </c>
      <c r="P913" s="4">
        <f t="shared" si="130"/>
        <v>-91000</v>
      </c>
      <c r="Q913" s="4">
        <f t="shared" si="131"/>
        <v>273000</v>
      </c>
      <c r="R913" s="4">
        <f t="shared" si="132"/>
        <v>373000</v>
      </c>
    </row>
    <row r="914" spans="5:18" x14ac:dyDescent="0.25">
      <c r="E914" s="1">
        <f t="shared" si="127"/>
        <v>911</v>
      </c>
      <c r="F914" s="4">
        <f t="shared" ca="1" si="128"/>
        <v>369500</v>
      </c>
      <c r="G914" s="1" t="s">
        <v>70</v>
      </c>
      <c r="H914" s="26">
        <f t="shared" ca="1" si="126"/>
        <v>0.12149827528106316</v>
      </c>
      <c r="I914" s="4">
        <f>IF(G914="Yes",-$C$8,0)</f>
        <v>-500</v>
      </c>
      <c r="J914" s="4">
        <f>IF(G914="Yes",$C$8-I914,0)</f>
        <v>1000</v>
      </c>
      <c r="K914" s="4">
        <f ca="1">IF(H914&gt;=$C$4,J914+I914,I914)</f>
        <v>-500</v>
      </c>
      <c r="M914" s="61">
        <f t="shared" si="133"/>
        <v>728.80000000000007</v>
      </c>
      <c r="N914" s="61">
        <f t="shared" si="134"/>
        <v>182.19999999999993</v>
      </c>
      <c r="O914" s="4">
        <f t="shared" si="129"/>
        <v>364400.00000000006</v>
      </c>
      <c r="P914" s="4">
        <f t="shared" si="130"/>
        <v>-91099.999999999971</v>
      </c>
      <c r="Q914" s="4">
        <f t="shared" si="131"/>
        <v>273300.00000000012</v>
      </c>
      <c r="R914" s="4">
        <f t="shared" si="132"/>
        <v>373300.00000000012</v>
      </c>
    </row>
    <row r="915" spans="5:18" x14ac:dyDescent="0.25">
      <c r="E915" s="1">
        <f t="shared" si="127"/>
        <v>912</v>
      </c>
      <c r="F915" s="4">
        <f t="shared" ca="1" si="128"/>
        <v>370000</v>
      </c>
      <c r="G915" s="1" t="s">
        <v>70</v>
      </c>
      <c r="H915" s="26">
        <f t="shared" ca="1" si="126"/>
        <v>0.93597658487367996</v>
      </c>
      <c r="I915" s="4">
        <f>IF(G915="Yes",-$C$8,0)</f>
        <v>-500</v>
      </c>
      <c r="J915" s="4">
        <f>IF(G915="Yes",$C$8-I915,0)</f>
        <v>1000</v>
      </c>
      <c r="K915" s="4">
        <f ca="1">IF(H915&gt;=$C$4,J915+I915,I915)</f>
        <v>500</v>
      </c>
      <c r="M915" s="61">
        <f t="shared" si="133"/>
        <v>729.6</v>
      </c>
      <c r="N915" s="61">
        <f t="shared" si="134"/>
        <v>182.39999999999998</v>
      </c>
      <c r="O915" s="4">
        <f t="shared" si="129"/>
        <v>364800</v>
      </c>
      <c r="P915" s="4">
        <f t="shared" si="130"/>
        <v>-91199.999999999985</v>
      </c>
      <c r="Q915" s="4">
        <f t="shared" si="131"/>
        <v>273600</v>
      </c>
      <c r="R915" s="4">
        <f t="shared" si="132"/>
        <v>373600</v>
      </c>
    </row>
    <row r="916" spans="5:18" x14ac:dyDescent="0.25">
      <c r="E916" s="1">
        <f t="shared" si="127"/>
        <v>913</v>
      </c>
      <c r="F916" s="4">
        <f t="shared" ca="1" si="128"/>
        <v>370500</v>
      </c>
      <c r="G916" s="1" t="s">
        <v>70</v>
      </c>
      <c r="H916" s="26">
        <f t="shared" ca="1" si="126"/>
        <v>0.7896331012104767</v>
      </c>
      <c r="I916" s="4">
        <f>IF(G916="Yes",-$C$8,0)</f>
        <v>-500</v>
      </c>
      <c r="J916" s="4">
        <f>IF(G916="Yes",$C$8-I916,0)</f>
        <v>1000</v>
      </c>
      <c r="K916" s="4">
        <f ca="1">IF(H916&gt;=$C$4,J916+I916,I916)</f>
        <v>500</v>
      </c>
      <c r="M916" s="61">
        <f t="shared" si="133"/>
        <v>730.40000000000009</v>
      </c>
      <c r="N916" s="61">
        <f t="shared" si="134"/>
        <v>182.59999999999991</v>
      </c>
      <c r="O916" s="4">
        <f t="shared" si="129"/>
        <v>365200.00000000006</v>
      </c>
      <c r="P916" s="4">
        <f t="shared" si="130"/>
        <v>-91299.999999999956</v>
      </c>
      <c r="Q916" s="4">
        <f t="shared" si="131"/>
        <v>273900.00000000012</v>
      </c>
      <c r="R916" s="4">
        <f t="shared" si="132"/>
        <v>373900.00000000012</v>
      </c>
    </row>
    <row r="917" spans="5:18" x14ac:dyDescent="0.25">
      <c r="E917" s="1">
        <f t="shared" si="127"/>
        <v>914</v>
      </c>
      <c r="F917" s="4">
        <f t="shared" ca="1" si="128"/>
        <v>371000</v>
      </c>
      <c r="G917" s="1" t="s">
        <v>70</v>
      </c>
      <c r="H917" s="26">
        <f t="shared" ca="1" si="126"/>
        <v>0.29358281005110032</v>
      </c>
      <c r="I917" s="4">
        <f>IF(G917="Yes",-$C$8,0)</f>
        <v>-500</v>
      </c>
      <c r="J917" s="4">
        <f>IF(G917="Yes",$C$8-I917,0)</f>
        <v>1000</v>
      </c>
      <c r="K917" s="4">
        <f ca="1">IF(H917&gt;=$C$4,J917+I917,I917)</f>
        <v>500</v>
      </c>
      <c r="M917" s="61">
        <f t="shared" si="133"/>
        <v>731.2</v>
      </c>
      <c r="N917" s="61">
        <f t="shared" si="134"/>
        <v>182.79999999999995</v>
      </c>
      <c r="O917" s="4">
        <f t="shared" si="129"/>
        <v>365600</v>
      </c>
      <c r="P917" s="4">
        <f t="shared" si="130"/>
        <v>-91399.999999999971</v>
      </c>
      <c r="Q917" s="4">
        <f t="shared" si="131"/>
        <v>274200</v>
      </c>
      <c r="R917" s="4">
        <f t="shared" si="132"/>
        <v>374200</v>
      </c>
    </row>
    <row r="918" spans="5:18" x14ac:dyDescent="0.25">
      <c r="E918" s="1">
        <f t="shared" si="127"/>
        <v>915</v>
      </c>
      <c r="F918" s="4">
        <f t="shared" ca="1" si="128"/>
        <v>371500</v>
      </c>
      <c r="G918" s="1" t="s">
        <v>70</v>
      </c>
      <c r="H918" s="26">
        <f t="shared" ca="1" si="126"/>
        <v>0.77167448923922566</v>
      </c>
      <c r="I918" s="4">
        <f>IF(G918="Yes",-$C$8,0)</f>
        <v>-500</v>
      </c>
      <c r="J918" s="4">
        <f>IF(G918="Yes",$C$8-I918,0)</f>
        <v>1000</v>
      </c>
      <c r="K918" s="4">
        <f ca="1">IF(H918&gt;=$C$4,J918+I918,I918)</f>
        <v>500</v>
      </c>
      <c r="M918" s="61">
        <f t="shared" si="133"/>
        <v>732</v>
      </c>
      <c r="N918" s="61">
        <f t="shared" si="134"/>
        <v>183</v>
      </c>
      <c r="O918" s="4">
        <f t="shared" si="129"/>
        <v>366000</v>
      </c>
      <c r="P918" s="4">
        <f t="shared" si="130"/>
        <v>-91500</v>
      </c>
      <c r="Q918" s="4">
        <f t="shared" si="131"/>
        <v>274500</v>
      </c>
      <c r="R918" s="4">
        <f t="shared" si="132"/>
        <v>374500</v>
      </c>
    </row>
    <row r="919" spans="5:18" x14ac:dyDescent="0.25">
      <c r="E919" s="1">
        <f t="shared" si="127"/>
        <v>916</v>
      </c>
      <c r="F919" s="4">
        <f t="shared" ca="1" si="128"/>
        <v>372000</v>
      </c>
      <c r="G919" s="1" t="s">
        <v>70</v>
      </c>
      <c r="H919" s="26">
        <f t="shared" ca="1" si="126"/>
        <v>0.88082928684197093</v>
      </c>
      <c r="I919" s="4">
        <f>IF(G919="Yes",-$C$8,0)</f>
        <v>-500</v>
      </c>
      <c r="J919" s="4">
        <f>IF(G919="Yes",$C$8-I919,0)</f>
        <v>1000</v>
      </c>
      <c r="K919" s="4">
        <f ca="1">IF(H919&gt;=$C$4,J919+I919,I919)</f>
        <v>500</v>
      </c>
      <c r="M919" s="61">
        <f t="shared" si="133"/>
        <v>732.80000000000007</v>
      </c>
      <c r="N919" s="61">
        <f t="shared" si="134"/>
        <v>183.19999999999993</v>
      </c>
      <c r="O919" s="4">
        <f t="shared" si="129"/>
        <v>366400.00000000006</v>
      </c>
      <c r="P919" s="4">
        <f t="shared" si="130"/>
        <v>-91599.999999999971</v>
      </c>
      <c r="Q919" s="4">
        <f t="shared" si="131"/>
        <v>274800.00000000012</v>
      </c>
      <c r="R919" s="4">
        <f t="shared" si="132"/>
        <v>374800.00000000012</v>
      </c>
    </row>
    <row r="920" spans="5:18" x14ac:dyDescent="0.25">
      <c r="E920" s="1">
        <f t="shared" si="127"/>
        <v>917</v>
      </c>
      <c r="F920" s="4">
        <f t="shared" ca="1" si="128"/>
        <v>372500</v>
      </c>
      <c r="G920" s="1" t="s">
        <v>70</v>
      </c>
      <c r="H920" s="26">
        <f t="shared" ca="1" si="126"/>
        <v>0.47207939533937104</v>
      </c>
      <c r="I920" s="4">
        <f>IF(G920="Yes",-$C$8,0)</f>
        <v>-500</v>
      </c>
      <c r="J920" s="4">
        <f>IF(G920="Yes",$C$8-I920,0)</f>
        <v>1000</v>
      </c>
      <c r="K920" s="4">
        <f ca="1">IF(H920&gt;=$C$4,J920+I920,I920)</f>
        <v>500</v>
      </c>
      <c r="M920" s="61">
        <f t="shared" si="133"/>
        <v>733.6</v>
      </c>
      <c r="N920" s="61">
        <f t="shared" si="134"/>
        <v>183.39999999999998</v>
      </c>
      <c r="O920" s="4">
        <f t="shared" si="129"/>
        <v>366800</v>
      </c>
      <c r="P920" s="4">
        <f t="shared" si="130"/>
        <v>-91699.999999999985</v>
      </c>
      <c r="Q920" s="4">
        <f t="shared" si="131"/>
        <v>275100</v>
      </c>
      <c r="R920" s="4">
        <f t="shared" si="132"/>
        <v>375100</v>
      </c>
    </row>
    <row r="921" spans="5:18" x14ac:dyDescent="0.25">
      <c r="E921" s="1">
        <f t="shared" si="127"/>
        <v>918</v>
      </c>
      <c r="F921" s="4">
        <f t="shared" ca="1" si="128"/>
        <v>373000</v>
      </c>
      <c r="G921" s="1" t="s">
        <v>70</v>
      </c>
      <c r="H921" s="26">
        <f t="shared" ca="1" si="126"/>
        <v>0.7983249398246659</v>
      </c>
      <c r="I921" s="4">
        <f>IF(G921="Yes",-$C$8,0)</f>
        <v>-500</v>
      </c>
      <c r="J921" s="4">
        <f>IF(G921="Yes",$C$8-I921,0)</f>
        <v>1000</v>
      </c>
      <c r="K921" s="4">
        <f ca="1">IF(H921&gt;=$C$4,J921+I921,I921)</f>
        <v>500</v>
      </c>
      <c r="M921" s="61">
        <f t="shared" si="133"/>
        <v>734.40000000000009</v>
      </c>
      <c r="N921" s="61">
        <f t="shared" si="134"/>
        <v>183.59999999999991</v>
      </c>
      <c r="O921" s="4">
        <f t="shared" si="129"/>
        <v>367200.00000000006</v>
      </c>
      <c r="P921" s="4">
        <f t="shared" si="130"/>
        <v>-91799.999999999956</v>
      </c>
      <c r="Q921" s="4">
        <f t="shared" si="131"/>
        <v>275400.00000000012</v>
      </c>
      <c r="R921" s="4">
        <f t="shared" si="132"/>
        <v>375400.00000000012</v>
      </c>
    </row>
    <row r="922" spans="5:18" x14ac:dyDescent="0.25">
      <c r="E922" s="1">
        <f t="shared" si="127"/>
        <v>919</v>
      </c>
      <c r="F922" s="4">
        <f t="shared" ca="1" si="128"/>
        <v>372500</v>
      </c>
      <c r="G922" s="1" t="s">
        <v>70</v>
      </c>
      <c r="H922" s="26">
        <f t="shared" ca="1" si="126"/>
        <v>7.3760664284553634E-2</v>
      </c>
      <c r="I922" s="4">
        <f>IF(G922="Yes",-$C$8,0)</f>
        <v>-500</v>
      </c>
      <c r="J922" s="4">
        <f>IF(G922="Yes",$C$8-I922,0)</f>
        <v>1000</v>
      </c>
      <c r="K922" s="4">
        <f ca="1">IF(H922&gt;=$C$4,J922+I922,I922)</f>
        <v>-500</v>
      </c>
      <c r="M922" s="61">
        <f t="shared" si="133"/>
        <v>735.2</v>
      </c>
      <c r="N922" s="61">
        <f t="shared" si="134"/>
        <v>183.79999999999995</v>
      </c>
      <c r="O922" s="4">
        <f t="shared" si="129"/>
        <v>367600</v>
      </c>
      <c r="P922" s="4">
        <f t="shared" si="130"/>
        <v>-91899.999999999971</v>
      </c>
      <c r="Q922" s="4">
        <f t="shared" si="131"/>
        <v>275700</v>
      </c>
      <c r="R922" s="4">
        <f t="shared" si="132"/>
        <v>375700</v>
      </c>
    </row>
    <row r="923" spans="5:18" x14ac:dyDescent="0.25">
      <c r="E923" s="1">
        <f t="shared" si="127"/>
        <v>920</v>
      </c>
      <c r="F923" s="4">
        <f t="shared" ca="1" si="128"/>
        <v>373000</v>
      </c>
      <c r="G923" s="1" t="s">
        <v>70</v>
      </c>
      <c r="H923" s="26">
        <f t="shared" ca="1" si="126"/>
        <v>0.25888020779921894</v>
      </c>
      <c r="I923" s="4">
        <f>IF(G923="Yes",-$C$8,0)</f>
        <v>-500</v>
      </c>
      <c r="J923" s="4">
        <f>IF(G923="Yes",$C$8-I923,0)</f>
        <v>1000</v>
      </c>
      <c r="K923" s="4">
        <f ca="1">IF(H923&gt;=$C$4,J923+I923,I923)</f>
        <v>500</v>
      </c>
      <c r="M923" s="61">
        <f t="shared" si="133"/>
        <v>736</v>
      </c>
      <c r="N923" s="61">
        <f t="shared" si="134"/>
        <v>184</v>
      </c>
      <c r="O923" s="4">
        <f t="shared" si="129"/>
        <v>368000</v>
      </c>
      <c r="P923" s="4">
        <f t="shared" si="130"/>
        <v>-92000</v>
      </c>
      <c r="Q923" s="4">
        <f t="shared" si="131"/>
        <v>276000</v>
      </c>
      <c r="R923" s="4">
        <f t="shared" si="132"/>
        <v>376000</v>
      </c>
    </row>
    <row r="924" spans="5:18" x14ac:dyDescent="0.25">
      <c r="E924" s="1">
        <f t="shared" si="127"/>
        <v>921</v>
      </c>
      <c r="F924" s="4">
        <f t="shared" ca="1" si="128"/>
        <v>373500</v>
      </c>
      <c r="G924" s="1" t="s">
        <v>70</v>
      </c>
      <c r="H924" s="26">
        <f t="shared" ca="1" si="126"/>
        <v>0.45995717646530543</v>
      </c>
      <c r="I924" s="4">
        <f>IF(G924="Yes",-$C$8,0)</f>
        <v>-500</v>
      </c>
      <c r="J924" s="4">
        <f>IF(G924="Yes",$C$8-I924,0)</f>
        <v>1000</v>
      </c>
      <c r="K924" s="4">
        <f ca="1">IF(H924&gt;=$C$4,J924+I924,I924)</f>
        <v>500</v>
      </c>
      <c r="M924" s="61">
        <f t="shared" si="133"/>
        <v>736.80000000000007</v>
      </c>
      <c r="N924" s="61">
        <f t="shared" si="134"/>
        <v>184.19999999999993</v>
      </c>
      <c r="O924" s="4">
        <f t="shared" si="129"/>
        <v>368400.00000000006</v>
      </c>
      <c r="P924" s="4">
        <f t="shared" si="130"/>
        <v>-92099.999999999971</v>
      </c>
      <c r="Q924" s="4">
        <f t="shared" si="131"/>
        <v>276300.00000000012</v>
      </c>
      <c r="R924" s="4">
        <f t="shared" si="132"/>
        <v>376300.00000000012</v>
      </c>
    </row>
    <row r="925" spans="5:18" x14ac:dyDescent="0.25">
      <c r="E925" s="1">
        <f t="shared" si="127"/>
        <v>922</v>
      </c>
      <c r="F925" s="4">
        <f t="shared" ca="1" si="128"/>
        <v>373000</v>
      </c>
      <c r="G925" s="1" t="s">
        <v>70</v>
      </c>
      <c r="H925" s="26">
        <f t="shared" ca="1" si="126"/>
        <v>8.6868824408740664E-2</v>
      </c>
      <c r="I925" s="4">
        <f>IF(G925="Yes",-$C$8,0)</f>
        <v>-500</v>
      </c>
      <c r="J925" s="4">
        <f>IF(G925="Yes",$C$8-I925,0)</f>
        <v>1000</v>
      </c>
      <c r="K925" s="4">
        <f ca="1">IF(H925&gt;=$C$4,J925+I925,I925)</f>
        <v>-500</v>
      </c>
      <c r="M925" s="61">
        <f t="shared" si="133"/>
        <v>737.6</v>
      </c>
      <c r="N925" s="61">
        <f t="shared" si="134"/>
        <v>184.39999999999998</v>
      </c>
      <c r="O925" s="4">
        <f t="shared" si="129"/>
        <v>368800</v>
      </c>
      <c r="P925" s="4">
        <f t="shared" si="130"/>
        <v>-92199.999999999985</v>
      </c>
      <c r="Q925" s="4">
        <f t="shared" si="131"/>
        <v>276600</v>
      </c>
      <c r="R925" s="4">
        <f t="shared" si="132"/>
        <v>376600</v>
      </c>
    </row>
    <row r="926" spans="5:18" x14ac:dyDescent="0.25">
      <c r="E926" s="1">
        <f t="shared" si="127"/>
        <v>923</v>
      </c>
      <c r="F926" s="4">
        <f t="shared" ca="1" si="128"/>
        <v>373500</v>
      </c>
      <c r="G926" s="1" t="s">
        <v>70</v>
      </c>
      <c r="H926" s="26">
        <f t="shared" ca="1" si="126"/>
        <v>0.56186899542014979</v>
      </c>
      <c r="I926" s="4">
        <f>IF(G926="Yes",-$C$8,0)</f>
        <v>-500</v>
      </c>
      <c r="J926" s="4">
        <f>IF(G926="Yes",$C$8-I926,0)</f>
        <v>1000</v>
      </c>
      <c r="K926" s="4">
        <f ca="1">IF(H926&gt;=$C$4,J926+I926,I926)</f>
        <v>500</v>
      </c>
      <c r="M926" s="61">
        <f t="shared" si="133"/>
        <v>738.40000000000009</v>
      </c>
      <c r="N926" s="61">
        <f t="shared" si="134"/>
        <v>184.59999999999991</v>
      </c>
      <c r="O926" s="4">
        <f t="shared" si="129"/>
        <v>369200.00000000006</v>
      </c>
      <c r="P926" s="4">
        <f t="shared" si="130"/>
        <v>-92299.999999999956</v>
      </c>
      <c r="Q926" s="4">
        <f t="shared" si="131"/>
        <v>276900.00000000012</v>
      </c>
      <c r="R926" s="4">
        <f t="shared" si="132"/>
        <v>376900.00000000012</v>
      </c>
    </row>
    <row r="927" spans="5:18" x14ac:dyDescent="0.25">
      <c r="E927" s="1">
        <f t="shared" si="127"/>
        <v>924</v>
      </c>
      <c r="F927" s="4">
        <f t="shared" ca="1" si="128"/>
        <v>373000</v>
      </c>
      <c r="G927" s="1" t="s">
        <v>70</v>
      </c>
      <c r="H927" s="26">
        <f t="shared" ca="1" si="126"/>
        <v>4.1445746318654497E-2</v>
      </c>
      <c r="I927" s="4">
        <f>IF(G927="Yes",-$C$8,0)</f>
        <v>-500</v>
      </c>
      <c r="J927" s="4">
        <f>IF(G927="Yes",$C$8-I927,0)</f>
        <v>1000</v>
      </c>
      <c r="K927" s="4">
        <f ca="1">IF(H927&gt;=$C$4,J927+I927,I927)</f>
        <v>-500</v>
      </c>
      <c r="M927" s="61">
        <f t="shared" si="133"/>
        <v>739.2</v>
      </c>
      <c r="N927" s="61">
        <f t="shared" si="134"/>
        <v>184.79999999999995</v>
      </c>
      <c r="O927" s="4">
        <f t="shared" si="129"/>
        <v>369600</v>
      </c>
      <c r="P927" s="4">
        <f t="shared" si="130"/>
        <v>-92399.999999999971</v>
      </c>
      <c r="Q927" s="4">
        <f t="shared" si="131"/>
        <v>277200</v>
      </c>
      <c r="R927" s="4">
        <f t="shared" si="132"/>
        <v>377200</v>
      </c>
    </row>
    <row r="928" spans="5:18" x14ac:dyDescent="0.25">
      <c r="E928" s="1">
        <f t="shared" si="127"/>
        <v>925</v>
      </c>
      <c r="F928" s="4">
        <f t="shared" ca="1" si="128"/>
        <v>373500</v>
      </c>
      <c r="G928" s="1" t="s">
        <v>70</v>
      </c>
      <c r="H928" s="26">
        <f t="shared" ca="1" si="126"/>
        <v>0.26869361622511623</v>
      </c>
      <c r="I928" s="4">
        <f>IF(G928="Yes",-$C$8,0)</f>
        <v>-500</v>
      </c>
      <c r="J928" s="4">
        <f>IF(G928="Yes",$C$8-I928,0)</f>
        <v>1000</v>
      </c>
      <c r="K928" s="4">
        <f ca="1">IF(H928&gt;=$C$4,J928+I928,I928)</f>
        <v>500</v>
      </c>
      <c r="M928" s="61">
        <f t="shared" si="133"/>
        <v>740</v>
      </c>
      <c r="N928" s="61">
        <f t="shared" si="134"/>
        <v>185</v>
      </c>
      <c r="O928" s="4">
        <f t="shared" si="129"/>
        <v>370000</v>
      </c>
      <c r="P928" s="4">
        <f t="shared" si="130"/>
        <v>-92500</v>
      </c>
      <c r="Q928" s="4">
        <f t="shared" si="131"/>
        <v>277500</v>
      </c>
      <c r="R928" s="4">
        <f t="shared" si="132"/>
        <v>377500</v>
      </c>
    </row>
    <row r="929" spans="5:18" x14ac:dyDescent="0.25">
      <c r="E929" s="1">
        <f t="shared" si="127"/>
        <v>926</v>
      </c>
      <c r="F929" s="4">
        <f t="shared" ca="1" si="128"/>
        <v>373000</v>
      </c>
      <c r="G929" s="1" t="s">
        <v>70</v>
      </c>
      <c r="H929" s="26">
        <f t="shared" ca="1" si="126"/>
        <v>0.14551278282697955</v>
      </c>
      <c r="I929" s="4">
        <f>IF(G929="Yes",-$C$8,0)</f>
        <v>-500</v>
      </c>
      <c r="J929" s="4">
        <f>IF(G929="Yes",$C$8-I929,0)</f>
        <v>1000</v>
      </c>
      <c r="K929" s="4">
        <f ca="1">IF(H929&gt;=$C$4,J929+I929,I929)</f>
        <v>-500</v>
      </c>
      <c r="M929" s="61">
        <f t="shared" si="133"/>
        <v>740.80000000000007</v>
      </c>
      <c r="N929" s="61">
        <f t="shared" si="134"/>
        <v>185.19999999999993</v>
      </c>
      <c r="O929" s="4">
        <f t="shared" si="129"/>
        <v>370400.00000000006</v>
      </c>
      <c r="P929" s="4">
        <f t="shared" si="130"/>
        <v>-92599.999999999971</v>
      </c>
      <c r="Q929" s="4">
        <f t="shared" si="131"/>
        <v>277800.00000000012</v>
      </c>
      <c r="R929" s="4">
        <f t="shared" si="132"/>
        <v>377800.00000000012</v>
      </c>
    </row>
    <row r="930" spans="5:18" x14ac:dyDescent="0.25">
      <c r="E930" s="1">
        <f t="shared" si="127"/>
        <v>927</v>
      </c>
      <c r="F930" s="4">
        <f t="shared" ca="1" si="128"/>
        <v>373500</v>
      </c>
      <c r="G930" s="1" t="s">
        <v>70</v>
      </c>
      <c r="H930" s="26">
        <f t="shared" ca="1" si="126"/>
        <v>0.34292034661362958</v>
      </c>
      <c r="I930" s="4">
        <f>IF(G930="Yes",-$C$8,0)</f>
        <v>-500</v>
      </c>
      <c r="J930" s="4">
        <f>IF(G930="Yes",$C$8-I930,0)</f>
        <v>1000</v>
      </c>
      <c r="K930" s="4">
        <f ca="1">IF(H930&gt;=$C$4,J930+I930,I930)</f>
        <v>500</v>
      </c>
      <c r="M930" s="61">
        <f t="shared" si="133"/>
        <v>741.6</v>
      </c>
      <c r="N930" s="61">
        <f t="shared" si="134"/>
        <v>185.39999999999998</v>
      </c>
      <c r="O930" s="4">
        <f t="shared" si="129"/>
        <v>370800</v>
      </c>
      <c r="P930" s="4">
        <f t="shared" si="130"/>
        <v>-92699.999999999985</v>
      </c>
      <c r="Q930" s="4">
        <f t="shared" si="131"/>
        <v>278100</v>
      </c>
      <c r="R930" s="4">
        <f t="shared" si="132"/>
        <v>378100</v>
      </c>
    </row>
    <row r="931" spans="5:18" x14ac:dyDescent="0.25">
      <c r="E931" s="1">
        <f t="shared" si="127"/>
        <v>928</v>
      </c>
      <c r="F931" s="4">
        <f t="shared" ca="1" si="128"/>
        <v>374000</v>
      </c>
      <c r="G931" s="1" t="s">
        <v>70</v>
      </c>
      <c r="H931" s="26">
        <f t="shared" ca="1" si="126"/>
        <v>0.31873029270474273</v>
      </c>
      <c r="I931" s="4">
        <f>IF(G931="Yes",-$C$8,0)</f>
        <v>-500</v>
      </c>
      <c r="J931" s="4">
        <f>IF(G931="Yes",$C$8-I931,0)</f>
        <v>1000</v>
      </c>
      <c r="K931" s="4">
        <f ca="1">IF(H931&gt;=$C$4,J931+I931,I931)</f>
        <v>500</v>
      </c>
      <c r="M931" s="61">
        <f t="shared" si="133"/>
        <v>742.40000000000009</v>
      </c>
      <c r="N931" s="61">
        <f t="shared" si="134"/>
        <v>185.59999999999991</v>
      </c>
      <c r="O931" s="4">
        <f t="shared" si="129"/>
        <v>371200.00000000006</v>
      </c>
      <c r="P931" s="4">
        <f t="shared" si="130"/>
        <v>-92799.999999999956</v>
      </c>
      <c r="Q931" s="4">
        <f t="shared" si="131"/>
        <v>278400.00000000012</v>
      </c>
      <c r="R931" s="4">
        <f t="shared" si="132"/>
        <v>378400.00000000012</v>
      </c>
    </row>
    <row r="932" spans="5:18" x14ac:dyDescent="0.25">
      <c r="E932" s="1">
        <f t="shared" si="127"/>
        <v>929</v>
      </c>
      <c r="F932" s="4">
        <f t="shared" ca="1" si="128"/>
        <v>374500</v>
      </c>
      <c r="G932" s="1" t="s">
        <v>70</v>
      </c>
      <c r="H932" s="26">
        <f t="shared" ca="1" si="126"/>
        <v>0.68981836637698346</v>
      </c>
      <c r="I932" s="4">
        <f>IF(G932="Yes",-$C$8,0)</f>
        <v>-500</v>
      </c>
      <c r="J932" s="4">
        <f>IF(G932="Yes",$C$8-I932,0)</f>
        <v>1000</v>
      </c>
      <c r="K932" s="4">
        <f ca="1">IF(H932&gt;=$C$4,J932+I932,I932)</f>
        <v>500</v>
      </c>
      <c r="M932" s="61">
        <f t="shared" si="133"/>
        <v>743.2</v>
      </c>
      <c r="N932" s="61">
        <f t="shared" si="134"/>
        <v>185.79999999999995</v>
      </c>
      <c r="O932" s="4">
        <f t="shared" si="129"/>
        <v>371600</v>
      </c>
      <c r="P932" s="4">
        <f t="shared" si="130"/>
        <v>-92899.999999999971</v>
      </c>
      <c r="Q932" s="4">
        <f t="shared" si="131"/>
        <v>278700</v>
      </c>
      <c r="R932" s="4">
        <f t="shared" si="132"/>
        <v>378700</v>
      </c>
    </row>
    <row r="933" spans="5:18" x14ac:dyDescent="0.25">
      <c r="E933" s="1">
        <f t="shared" si="127"/>
        <v>930</v>
      </c>
      <c r="F933" s="4">
        <f t="shared" ca="1" si="128"/>
        <v>375000</v>
      </c>
      <c r="G933" s="1" t="s">
        <v>70</v>
      </c>
      <c r="H933" s="26">
        <f t="shared" ca="1" si="126"/>
        <v>0.31407669018713158</v>
      </c>
      <c r="I933" s="4">
        <f>IF(G933="Yes",-$C$8,0)</f>
        <v>-500</v>
      </c>
      <c r="J933" s="4">
        <f>IF(G933="Yes",$C$8-I933,0)</f>
        <v>1000</v>
      </c>
      <c r="K933" s="4">
        <f ca="1">IF(H933&gt;=$C$4,J933+I933,I933)</f>
        <v>500</v>
      </c>
      <c r="M933" s="61">
        <f t="shared" si="133"/>
        <v>744</v>
      </c>
      <c r="N933" s="61">
        <f t="shared" si="134"/>
        <v>186</v>
      </c>
      <c r="O933" s="4">
        <f t="shared" si="129"/>
        <v>372000</v>
      </c>
      <c r="P933" s="4">
        <f t="shared" si="130"/>
        <v>-93000</v>
      </c>
      <c r="Q933" s="4">
        <f t="shared" si="131"/>
        <v>279000</v>
      </c>
      <c r="R933" s="4">
        <f t="shared" si="132"/>
        <v>379000</v>
      </c>
    </row>
    <row r="934" spans="5:18" x14ac:dyDescent="0.25">
      <c r="E934" s="1">
        <f t="shared" si="127"/>
        <v>931</v>
      </c>
      <c r="F934" s="4">
        <f t="shared" ca="1" si="128"/>
        <v>375500</v>
      </c>
      <c r="G934" s="1" t="s">
        <v>70</v>
      </c>
      <c r="H934" s="26">
        <f t="shared" ca="1" si="126"/>
        <v>0.71876351340956313</v>
      </c>
      <c r="I934" s="4">
        <f>IF(G934="Yes",-$C$8,0)</f>
        <v>-500</v>
      </c>
      <c r="J934" s="4">
        <f>IF(G934="Yes",$C$8-I934,0)</f>
        <v>1000</v>
      </c>
      <c r="K934" s="4">
        <f ca="1">IF(H934&gt;=$C$4,J934+I934,I934)</f>
        <v>500</v>
      </c>
      <c r="M934" s="61">
        <f t="shared" si="133"/>
        <v>744.80000000000007</v>
      </c>
      <c r="N934" s="61">
        <f t="shared" si="134"/>
        <v>186.19999999999993</v>
      </c>
      <c r="O934" s="4">
        <f t="shared" si="129"/>
        <v>372400.00000000006</v>
      </c>
      <c r="P934" s="4">
        <f t="shared" si="130"/>
        <v>-93099.999999999971</v>
      </c>
      <c r="Q934" s="4">
        <f t="shared" si="131"/>
        <v>279300.00000000012</v>
      </c>
      <c r="R934" s="4">
        <f t="shared" si="132"/>
        <v>379300.00000000012</v>
      </c>
    </row>
    <row r="935" spans="5:18" x14ac:dyDescent="0.25">
      <c r="E935" s="1">
        <f t="shared" si="127"/>
        <v>932</v>
      </c>
      <c r="F935" s="4">
        <f t="shared" ca="1" si="128"/>
        <v>375000</v>
      </c>
      <c r="G935" s="1" t="s">
        <v>70</v>
      </c>
      <c r="H935" s="26">
        <f t="shared" ca="1" si="126"/>
        <v>7.2748089586062714E-2</v>
      </c>
      <c r="I935" s="4">
        <f>IF(G935="Yes",-$C$8,0)</f>
        <v>-500</v>
      </c>
      <c r="J935" s="4">
        <f>IF(G935="Yes",$C$8-I935,0)</f>
        <v>1000</v>
      </c>
      <c r="K935" s="4">
        <f ca="1">IF(H935&gt;=$C$4,J935+I935,I935)</f>
        <v>-500</v>
      </c>
      <c r="M935" s="61">
        <f t="shared" si="133"/>
        <v>745.6</v>
      </c>
      <c r="N935" s="61">
        <f t="shared" si="134"/>
        <v>186.39999999999998</v>
      </c>
      <c r="O935" s="4">
        <f t="shared" si="129"/>
        <v>372800</v>
      </c>
      <c r="P935" s="4">
        <f t="shared" si="130"/>
        <v>-93199.999999999985</v>
      </c>
      <c r="Q935" s="4">
        <f t="shared" si="131"/>
        <v>279600</v>
      </c>
      <c r="R935" s="4">
        <f t="shared" si="132"/>
        <v>379600</v>
      </c>
    </row>
    <row r="936" spans="5:18" x14ac:dyDescent="0.25">
      <c r="E936" s="1">
        <f t="shared" si="127"/>
        <v>933</v>
      </c>
      <c r="F936" s="4">
        <f t="shared" ca="1" si="128"/>
        <v>374500</v>
      </c>
      <c r="G936" s="1" t="s">
        <v>70</v>
      </c>
      <c r="H936" s="26">
        <f t="shared" ca="1" si="126"/>
        <v>0.12546062312819561</v>
      </c>
      <c r="I936" s="4">
        <f>IF(G936="Yes",-$C$8,0)</f>
        <v>-500</v>
      </c>
      <c r="J936" s="4">
        <f>IF(G936="Yes",$C$8-I936,0)</f>
        <v>1000</v>
      </c>
      <c r="K936" s="4">
        <f ca="1">IF(H936&gt;=$C$4,J936+I936,I936)</f>
        <v>-500</v>
      </c>
      <c r="M936" s="61">
        <f t="shared" si="133"/>
        <v>746.40000000000009</v>
      </c>
      <c r="N936" s="61">
        <f t="shared" si="134"/>
        <v>186.59999999999991</v>
      </c>
      <c r="O936" s="4">
        <f t="shared" si="129"/>
        <v>373200.00000000006</v>
      </c>
      <c r="P936" s="4">
        <f t="shared" si="130"/>
        <v>-93299.999999999956</v>
      </c>
      <c r="Q936" s="4">
        <f t="shared" si="131"/>
        <v>279900.00000000012</v>
      </c>
      <c r="R936" s="4">
        <f t="shared" si="132"/>
        <v>379900.00000000012</v>
      </c>
    </row>
    <row r="937" spans="5:18" x14ac:dyDescent="0.25">
      <c r="E937" s="1">
        <f t="shared" si="127"/>
        <v>934</v>
      </c>
      <c r="F937" s="4">
        <f t="shared" ca="1" si="128"/>
        <v>375000</v>
      </c>
      <c r="G937" s="1" t="s">
        <v>70</v>
      </c>
      <c r="H937" s="26">
        <f t="shared" ca="1" si="126"/>
        <v>0.43580988236928453</v>
      </c>
      <c r="I937" s="4">
        <f>IF(G937="Yes",-$C$8,0)</f>
        <v>-500</v>
      </c>
      <c r="J937" s="4">
        <f>IF(G937="Yes",$C$8-I937,0)</f>
        <v>1000</v>
      </c>
      <c r="K937" s="4">
        <f ca="1">IF(H937&gt;=$C$4,J937+I937,I937)</f>
        <v>500</v>
      </c>
      <c r="M937" s="61">
        <f t="shared" si="133"/>
        <v>747.2</v>
      </c>
      <c r="N937" s="61">
        <f t="shared" si="134"/>
        <v>186.79999999999995</v>
      </c>
      <c r="O937" s="4">
        <f t="shared" si="129"/>
        <v>373600</v>
      </c>
      <c r="P937" s="4">
        <f t="shared" si="130"/>
        <v>-93399.999999999971</v>
      </c>
      <c r="Q937" s="4">
        <f t="shared" si="131"/>
        <v>280200</v>
      </c>
      <c r="R937" s="4">
        <f t="shared" si="132"/>
        <v>380200</v>
      </c>
    </row>
    <row r="938" spans="5:18" x14ac:dyDescent="0.25">
      <c r="E938" s="1">
        <f t="shared" si="127"/>
        <v>935</v>
      </c>
      <c r="F938" s="4">
        <f t="shared" ca="1" si="128"/>
        <v>375500</v>
      </c>
      <c r="G938" s="1" t="s">
        <v>70</v>
      </c>
      <c r="H938" s="26">
        <f t="shared" ca="1" si="126"/>
        <v>0.91712566113541516</v>
      </c>
      <c r="I938" s="4">
        <f>IF(G938="Yes",-$C$8,0)</f>
        <v>-500</v>
      </c>
      <c r="J938" s="4">
        <f>IF(G938="Yes",$C$8-I938,0)</f>
        <v>1000</v>
      </c>
      <c r="K938" s="4">
        <f ca="1">IF(H938&gt;=$C$4,J938+I938,I938)</f>
        <v>500</v>
      </c>
      <c r="M938" s="61">
        <f t="shared" si="133"/>
        <v>748</v>
      </c>
      <c r="N938" s="61">
        <f t="shared" si="134"/>
        <v>187</v>
      </c>
      <c r="O938" s="4">
        <f t="shared" si="129"/>
        <v>374000</v>
      </c>
      <c r="P938" s="4">
        <f t="shared" si="130"/>
        <v>-93500</v>
      </c>
      <c r="Q938" s="4">
        <f t="shared" si="131"/>
        <v>280500</v>
      </c>
      <c r="R938" s="4">
        <f t="shared" si="132"/>
        <v>380500</v>
      </c>
    </row>
    <row r="939" spans="5:18" x14ac:dyDescent="0.25">
      <c r="E939" s="1">
        <f t="shared" si="127"/>
        <v>936</v>
      </c>
      <c r="F939" s="4">
        <f t="shared" ca="1" si="128"/>
        <v>376000</v>
      </c>
      <c r="G939" s="1" t="s">
        <v>70</v>
      </c>
      <c r="H939" s="26">
        <f t="shared" ca="1" si="126"/>
        <v>0.65221458489591688</v>
      </c>
      <c r="I939" s="4">
        <f>IF(G939="Yes",-$C$8,0)</f>
        <v>-500</v>
      </c>
      <c r="J939" s="4">
        <f>IF(G939="Yes",$C$8-I939,0)</f>
        <v>1000</v>
      </c>
      <c r="K939" s="4">
        <f ca="1">IF(H939&gt;=$C$4,J939+I939,I939)</f>
        <v>500</v>
      </c>
      <c r="M939" s="61">
        <f t="shared" si="133"/>
        <v>748.80000000000007</v>
      </c>
      <c r="N939" s="61">
        <f t="shared" si="134"/>
        <v>187.19999999999993</v>
      </c>
      <c r="O939" s="4">
        <f t="shared" si="129"/>
        <v>374400.00000000006</v>
      </c>
      <c r="P939" s="4">
        <f t="shared" si="130"/>
        <v>-93599.999999999971</v>
      </c>
      <c r="Q939" s="4">
        <f t="shared" si="131"/>
        <v>280800.00000000012</v>
      </c>
      <c r="R939" s="4">
        <f t="shared" si="132"/>
        <v>380800.00000000012</v>
      </c>
    </row>
    <row r="940" spans="5:18" x14ac:dyDescent="0.25">
      <c r="E940" s="1">
        <f t="shared" si="127"/>
        <v>937</v>
      </c>
      <c r="F940" s="4">
        <f t="shared" ca="1" si="128"/>
        <v>376500</v>
      </c>
      <c r="G940" s="1" t="s">
        <v>70</v>
      </c>
      <c r="H940" s="26">
        <f t="shared" ca="1" si="126"/>
        <v>0.68671983872675579</v>
      </c>
      <c r="I940" s="4">
        <f>IF(G940="Yes",-$C$8,0)</f>
        <v>-500</v>
      </c>
      <c r="J940" s="4">
        <f>IF(G940="Yes",$C$8-I940,0)</f>
        <v>1000</v>
      </c>
      <c r="K940" s="4">
        <f ca="1">IF(H940&gt;=$C$4,J940+I940,I940)</f>
        <v>500</v>
      </c>
      <c r="M940" s="61">
        <f t="shared" si="133"/>
        <v>749.6</v>
      </c>
      <c r="N940" s="61">
        <f t="shared" si="134"/>
        <v>187.39999999999998</v>
      </c>
      <c r="O940" s="4">
        <f t="shared" si="129"/>
        <v>374800</v>
      </c>
      <c r="P940" s="4">
        <f t="shared" si="130"/>
        <v>-93699.999999999985</v>
      </c>
      <c r="Q940" s="4">
        <f t="shared" si="131"/>
        <v>281100</v>
      </c>
      <c r="R940" s="4">
        <f t="shared" si="132"/>
        <v>381100</v>
      </c>
    </row>
    <row r="941" spans="5:18" x14ac:dyDescent="0.25">
      <c r="E941" s="1">
        <f t="shared" si="127"/>
        <v>938</v>
      </c>
      <c r="F941" s="4">
        <f t="shared" ca="1" si="128"/>
        <v>377000</v>
      </c>
      <c r="G941" s="1" t="s">
        <v>70</v>
      </c>
      <c r="H941" s="26">
        <f t="shared" ca="1" si="126"/>
        <v>0.41797134744915365</v>
      </c>
      <c r="I941" s="4">
        <f>IF(G941="Yes",-$C$8,0)</f>
        <v>-500</v>
      </c>
      <c r="J941" s="4">
        <f>IF(G941="Yes",$C$8-I941,0)</f>
        <v>1000</v>
      </c>
      <c r="K941" s="4">
        <f ca="1">IF(H941&gt;=$C$4,J941+I941,I941)</f>
        <v>500</v>
      </c>
      <c r="M941" s="61">
        <f t="shared" si="133"/>
        <v>750.40000000000009</v>
      </c>
      <c r="N941" s="61">
        <f t="shared" si="134"/>
        <v>187.59999999999991</v>
      </c>
      <c r="O941" s="4">
        <f t="shared" si="129"/>
        <v>375200.00000000006</v>
      </c>
      <c r="P941" s="4">
        <f t="shared" si="130"/>
        <v>-93799.999999999956</v>
      </c>
      <c r="Q941" s="4">
        <f t="shared" si="131"/>
        <v>281400.00000000012</v>
      </c>
      <c r="R941" s="4">
        <f t="shared" si="132"/>
        <v>381400.00000000012</v>
      </c>
    </row>
    <row r="942" spans="5:18" x14ac:dyDescent="0.25">
      <c r="E942" s="1">
        <f t="shared" si="127"/>
        <v>939</v>
      </c>
      <c r="F942" s="4">
        <f t="shared" ca="1" si="128"/>
        <v>376500</v>
      </c>
      <c r="G942" s="1" t="s">
        <v>70</v>
      </c>
      <c r="H942" s="26">
        <f t="shared" ca="1" si="126"/>
        <v>0.11536119058266536</v>
      </c>
      <c r="I942" s="4">
        <f>IF(G942="Yes",-$C$8,0)</f>
        <v>-500</v>
      </c>
      <c r="J942" s="4">
        <f>IF(G942="Yes",$C$8-I942,0)</f>
        <v>1000</v>
      </c>
      <c r="K942" s="4">
        <f ca="1">IF(H942&gt;=$C$4,J942+I942,I942)</f>
        <v>-500</v>
      </c>
      <c r="M942" s="61">
        <f t="shared" si="133"/>
        <v>751.2</v>
      </c>
      <c r="N942" s="61">
        <f t="shared" si="134"/>
        <v>187.79999999999995</v>
      </c>
      <c r="O942" s="4">
        <f t="shared" si="129"/>
        <v>375600</v>
      </c>
      <c r="P942" s="4">
        <f t="shared" si="130"/>
        <v>-93899.999999999971</v>
      </c>
      <c r="Q942" s="4">
        <f t="shared" si="131"/>
        <v>281700</v>
      </c>
      <c r="R942" s="4">
        <f t="shared" si="132"/>
        <v>381700</v>
      </c>
    </row>
    <row r="943" spans="5:18" x14ac:dyDescent="0.25">
      <c r="E943" s="1">
        <f t="shared" si="127"/>
        <v>940</v>
      </c>
      <c r="F943" s="4">
        <f t="shared" ca="1" si="128"/>
        <v>377000</v>
      </c>
      <c r="G943" s="1" t="s">
        <v>70</v>
      </c>
      <c r="H943" s="26">
        <f t="shared" ca="1" si="126"/>
        <v>0.85698906045388612</v>
      </c>
      <c r="I943" s="4">
        <f>IF(G943="Yes",-$C$8,0)</f>
        <v>-500</v>
      </c>
      <c r="J943" s="4">
        <f>IF(G943="Yes",$C$8-I943,0)</f>
        <v>1000</v>
      </c>
      <c r="K943" s="4">
        <f ca="1">IF(H943&gt;=$C$4,J943+I943,I943)</f>
        <v>500</v>
      </c>
      <c r="M943" s="61">
        <f t="shared" si="133"/>
        <v>752</v>
      </c>
      <c r="N943" s="61">
        <f t="shared" si="134"/>
        <v>188</v>
      </c>
      <c r="O943" s="4">
        <f t="shared" si="129"/>
        <v>376000</v>
      </c>
      <c r="P943" s="4">
        <f t="shared" si="130"/>
        <v>-94000</v>
      </c>
      <c r="Q943" s="4">
        <f t="shared" si="131"/>
        <v>282000</v>
      </c>
      <c r="R943" s="4">
        <f t="shared" si="132"/>
        <v>382000</v>
      </c>
    </row>
    <row r="944" spans="5:18" x14ac:dyDescent="0.25">
      <c r="E944" s="1">
        <f t="shared" si="127"/>
        <v>941</v>
      </c>
      <c r="F944" s="4">
        <f t="shared" ca="1" si="128"/>
        <v>377500</v>
      </c>
      <c r="G944" s="1" t="s">
        <v>70</v>
      </c>
      <c r="H944" s="26">
        <f t="shared" ca="1" si="126"/>
        <v>0.58678855493102433</v>
      </c>
      <c r="I944" s="4">
        <f>IF(G944="Yes",-$C$8,0)</f>
        <v>-500</v>
      </c>
      <c r="J944" s="4">
        <f>IF(G944="Yes",$C$8-I944,0)</f>
        <v>1000</v>
      </c>
      <c r="K944" s="4">
        <f ca="1">IF(H944&gt;=$C$4,J944+I944,I944)</f>
        <v>500</v>
      </c>
      <c r="M944" s="61">
        <f t="shared" si="133"/>
        <v>752.80000000000007</v>
      </c>
      <c r="N944" s="61">
        <f t="shared" si="134"/>
        <v>188.19999999999993</v>
      </c>
      <c r="O944" s="4">
        <f t="shared" si="129"/>
        <v>376400.00000000006</v>
      </c>
      <c r="P944" s="4">
        <f t="shared" si="130"/>
        <v>-94099.999999999971</v>
      </c>
      <c r="Q944" s="4">
        <f t="shared" si="131"/>
        <v>282300.00000000012</v>
      </c>
      <c r="R944" s="4">
        <f t="shared" si="132"/>
        <v>382300.00000000012</v>
      </c>
    </row>
    <row r="945" spans="5:18" x14ac:dyDescent="0.25">
      <c r="E945" s="1">
        <f t="shared" si="127"/>
        <v>942</v>
      </c>
      <c r="F945" s="4">
        <f t="shared" ca="1" si="128"/>
        <v>378000</v>
      </c>
      <c r="G945" s="1" t="s">
        <v>70</v>
      </c>
      <c r="H945" s="26">
        <f t="shared" ca="1" si="126"/>
        <v>0.52395699250651362</v>
      </c>
      <c r="I945" s="4">
        <f>IF(G945="Yes",-$C$8,0)</f>
        <v>-500</v>
      </c>
      <c r="J945" s="4">
        <f>IF(G945="Yes",$C$8-I945,0)</f>
        <v>1000</v>
      </c>
      <c r="K945" s="4">
        <f ca="1">IF(H945&gt;=$C$4,J945+I945,I945)</f>
        <v>500</v>
      </c>
      <c r="M945" s="61">
        <f t="shared" si="133"/>
        <v>753.6</v>
      </c>
      <c r="N945" s="61">
        <f t="shared" si="134"/>
        <v>188.39999999999998</v>
      </c>
      <c r="O945" s="4">
        <f t="shared" si="129"/>
        <v>376800</v>
      </c>
      <c r="P945" s="4">
        <f t="shared" si="130"/>
        <v>-94199.999999999985</v>
      </c>
      <c r="Q945" s="4">
        <f t="shared" si="131"/>
        <v>282600</v>
      </c>
      <c r="R945" s="4">
        <f t="shared" si="132"/>
        <v>382600</v>
      </c>
    </row>
    <row r="946" spans="5:18" x14ac:dyDescent="0.25">
      <c r="E946" s="1">
        <f t="shared" si="127"/>
        <v>943</v>
      </c>
      <c r="F946" s="4">
        <f t="shared" ca="1" si="128"/>
        <v>377500</v>
      </c>
      <c r="G946" s="1" t="s">
        <v>70</v>
      </c>
      <c r="H946" s="26">
        <f t="shared" ca="1" si="126"/>
        <v>0.11838141518942458</v>
      </c>
      <c r="I946" s="4">
        <f>IF(G946="Yes",-$C$8,0)</f>
        <v>-500</v>
      </c>
      <c r="J946" s="4">
        <f>IF(G946="Yes",$C$8-I946,0)</f>
        <v>1000</v>
      </c>
      <c r="K946" s="4">
        <f ca="1">IF(H946&gt;=$C$4,J946+I946,I946)</f>
        <v>-500</v>
      </c>
      <c r="M946" s="61">
        <f t="shared" si="133"/>
        <v>754.40000000000009</v>
      </c>
      <c r="N946" s="61">
        <f t="shared" si="134"/>
        <v>188.59999999999991</v>
      </c>
      <c r="O946" s="4">
        <f t="shared" si="129"/>
        <v>377200.00000000006</v>
      </c>
      <c r="P946" s="4">
        <f t="shared" si="130"/>
        <v>-94299.999999999956</v>
      </c>
      <c r="Q946" s="4">
        <f t="shared" si="131"/>
        <v>282900.00000000012</v>
      </c>
      <c r="R946" s="4">
        <f t="shared" si="132"/>
        <v>382900.00000000012</v>
      </c>
    </row>
    <row r="947" spans="5:18" x14ac:dyDescent="0.25">
      <c r="E947" s="1">
        <f t="shared" si="127"/>
        <v>944</v>
      </c>
      <c r="F947" s="4">
        <f t="shared" ca="1" si="128"/>
        <v>378000</v>
      </c>
      <c r="G947" s="1" t="s">
        <v>70</v>
      </c>
      <c r="H947" s="26">
        <f t="shared" ca="1" si="126"/>
        <v>0.240497637647343</v>
      </c>
      <c r="I947" s="4">
        <f>IF(G947="Yes",-$C$8,0)</f>
        <v>-500</v>
      </c>
      <c r="J947" s="4">
        <f>IF(G947="Yes",$C$8-I947,0)</f>
        <v>1000</v>
      </c>
      <c r="K947" s="4">
        <f ca="1">IF(H947&gt;=$C$4,J947+I947,I947)</f>
        <v>500</v>
      </c>
      <c r="M947" s="61">
        <f t="shared" si="133"/>
        <v>755.2</v>
      </c>
      <c r="N947" s="61">
        <f t="shared" si="134"/>
        <v>188.79999999999995</v>
      </c>
      <c r="O947" s="4">
        <f t="shared" si="129"/>
        <v>377600</v>
      </c>
      <c r="P947" s="4">
        <f t="shared" si="130"/>
        <v>-94399.999999999971</v>
      </c>
      <c r="Q947" s="4">
        <f t="shared" si="131"/>
        <v>283200</v>
      </c>
      <c r="R947" s="4">
        <f t="shared" si="132"/>
        <v>383200</v>
      </c>
    </row>
    <row r="948" spans="5:18" x14ac:dyDescent="0.25">
      <c r="E948" s="1">
        <f t="shared" si="127"/>
        <v>945</v>
      </c>
      <c r="F948" s="4">
        <f t="shared" ca="1" si="128"/>
        <v>377500</v>
      </c>
      <c r="G948" s="1" t="s">
        <v>70</v>
      </c>
      <c r="H948" s="26">
        <f t="shared" ca="1" si="126"/>
        <v>0.10859351464634026</v>
      </c>
      <c r="I948" s="4">
        <f>IF(G948="Yes",-$C$8,0)</f>
        <v>-500</v>
      </c>
      <c r="J948" s="4">
        <f>IF(G948="Yes",$C$8-I948,0)</f>
        <v>1000</v>
      </c>
      <c r="K948" s="4">
        <f ca="1">IF(H948&gt;=$C$4,J948+I948,I948)</f>
        <v>-500</v>
      </c>
      <c r="M948" s="61">
        <f t="shared" si="133"/>
        <v>756</v>
      </c>
      <c r="N948" s="61">
        <f t="shared" si="134"/>
        <v>189</v>
      </c>
      <c r="O948" s="4">
        <f t="shared" si="129"/>
        <v>378000</v>
      </c>
      <c r="P948" s="4">
        <f t="shared" si="130"/>
        <v>-94500</v>
      </c>
      <c r="Q948" s="4">
        <f t="shared" si="131"/>
        <v>283500</v>
      </c>
      <c r="R948" s="4">
        <f t="shared" si="132"/>
        <v>383500</v>
      </c>
    </row>
    <row r="949" spans="5:18" x14ac:dyDescent="0.25">
      <c r="E949" s="1">
        <f t="shared" si="127"/>
        <v>946</v>
      </c>
      <c r="F949" s="4">
        <f t="shared" ca="1" si="128"/>
        <v>378000</v>
      </c>
      <c r="G949" s="1" t="s">
        <v>70</v>
      </c>
      <c r="H949" s="26">
        <f t="shared" ca="1" si="126"/>
        <v>0.75719199726953823</v>
      </c>
      <c r="I949" s="4">
        <f>IF(G949="Yes",-$C$8,0)</f>
        <v>-500</v>
      </c>
      <c r="J949" s="4">
        <f>IF(G949="Yes",$C$8-I949,0)</f>
        <v>1000</v>
      </c>
      <c r="K949" s="4">
        <f ca="1">IF(H949&gt;=$C$4,J949+I949,I949)</f>
        <v>500</v>
      </c>
      <c r="M949" s="61">
        <f t="shared" si="133"/>
        <v>756.80000000000007</v>
      </c>
      <c r="N949" s="61">
        <f t="shared" si="134"/>
        <v>189.19999999999993</v>
      </c>
      <c r="O949" s="4">
        <f t="shared" si="129"/>
        <v>378400.00000000006</v>
      </c>
      <c r="P949" s="4">
        <f t="shared" si="130"/>
        <v>-94599.999999999971</v>
      </c>
      <c r="Q949" s="4">
        <f t="shared" si="131"/>
        <v>283800.00000000012</v>
      </c>
      <c r="R949" s="4">
        <f t="shared" si="132"/>
        <v>383800.00000000012</v>
      </c>
    </row>
    <row r="950" spans="5:18" x14ac:dyDescent="0.25">
      <c r="E950" s="1">
        <f t="shared" si="127"/>
        <v>947</v>
      </c>
      <c r="F950" s="4">
        <f t="shared" ca="1" si="128"/>
        <v>377500</v>
      </c>
      <c r="G950" s="1" t="s">
        <v>70</v>
      </c>
      <c r="H950" s="26">
        <f t="shared" ca="1" si="126"/>
        <v>0.1189202258236679</v>
      </c>
      <c r="I950" s="4">
        <f>IF(G950="Yes",-$C$8,0)</f>
        <v>-500</v>
      </c>
      <c r="J950" s="4">
        <f>IF(G950="Yes",$C$8-I950,0)</f>
        <v>1000</v>
      </c>
      <c r="K950" s="4">
        <f ca="1">IF(H950&gt;=$C$4,J950+I950,I950)</f>
        <v>-500</v>
      </c>
      <c r="M950" s="61">
        <f t="shared" si="133"/>
        <v>757.6</v>
      </c>
      <c r="N950" s="61">
        <f t="shared" si="134"/>
        <v>189.39999999999998</v>
      </c>
      <c r="O950" s="4">
        <f t="shared" si="129"/>
        <v>378800</v>
      </c>
      <c r="P950" s="4">
        <f t="shared" si="130"/>
        <v>-94699.999999999985</v>
      </c>
      <c r="Q950" s="4">
        <f t="shared" si="131"/>
        <v>284100</v>
      </c>
      <c r="R950" s="4">
        <f t="shared" si="132"/>
        <v>384100</v>
      </c>
    </row>
    <row r="951" spans="5:18" x14ac:dyDescent="0.25">
      <c r="E951" s="1">
        <f t="shared" si="127"/>
        <v>948</v>
      </c>
      <c r="F951" s="4">
        <f t="shared" ca="1" si="128"/>
        <v>378000</v>
      </c>
      <c r="G951" s="1" t="s">
        <v>70</v>
      </c>
      <c r="H951" s="26">
        <f t="shared" ca="1" si="126"/>
        <v>0.27514980264063871</v>
      </c>
      <c r="I951" s="4">
        <f>IF(G951="Yes",-$C$8,0)</f>
        <v>-500</v>
      </c>
      <c r="J951" s="4">
        <f>IF(G951="Yes",$C$8-I951,0)</f>
        <v>1000</v>
      </c>
      <c r="K951" s="4">
        <f ca="1">IF(H951&gt;=$C$4,J951+I951,I951)</f>
        <v>500</v>
      </c>
      <c r="M951" s="61">
        <f t="shared" si="133"/>
        <v>758.40000000000009</v>
      </c>
      <c r="N951" s="61">
        <f t="shared" si="134"/>
        <v>189.59999999999991</v>
      </c>
      <c r="O951" s="4">
        <f t="shared" si="129"/>
        <v>379200.00000000006</v>
      </c>
      <c r="P951" s="4">
        <f t="shared" si="130"/>
        <v>-94799.999999999956</v>
      </c>
      <c r="Q951" s="4">
        <f t="shared" si="131"/>
        <v>284400.00000000012</v>
      </c>
      <c r="R951" s="4">
        <f t="shared" si="132"/>
        <v>384400.00000000012</v>
      </c>
    </row>
    <row r="952" spans="5:18" x14ac:dyDescent="0.25">
      <c r="E952" s="1">
        <f t="shared" si="127"/>
        <v>949</v>
      </c>
      <c r="F952" s="4">
        <f t="shared" ca="1" si="128"/>
        <v>378500</v>
      </c>
      <c r="G952" s="1" t="s">
        <v>70</v>
      </c>
      <c r="H952" s="26">
        <f t="shared" ca="1" si="126"/>
        <v>0.30683260507536736</v>
      </c>
      <c r="I952" s="4">
        <f>IF(G952="Yes",-$C$8,0)</f>
        <v>-500</v>
      </c>
      <c r="J952" s="4">
        <f>IF(G952="Yes",$C$8-I952,0)</f>
        <v>1000</v>
      </c>
      <c r="K952" s="4">
        <f ca="1">IF(H952&gt;=$C$4,J952+I952,I952)</f>
        <v>500</v>
      </c>
      <c r="M952" s="61">
        <f t="shared" si="133"/>
        <v>759.2</v>
      </c>
      <c r="N952" s="61">
        <f t="shared" si="134"/>
        <v>189.79999999999995</v>
      </c>
      <c r="O952" s="4">
        <f t="shared" si="129"/>
        <v>379600</v>
      </c>
      <c r="P952" s="4">
        <f t="shared" si="130"/>
        <v>-94899.999999999971</v>
      </c>
      <c r="Q952" s="4">
        <f t="shared" si="131"/>
        <v>284700</v>
      </c>
      <c r="R952" s="4">
        <f t="shared" si="132"/>
        <v>384700</v>
      </c>
    </row>
    <row r="953" spans="5:18" x14ac:dyDescent="0.25">
      <c r="E953" s="1">
        <f t="shared" si="127"/>
        <v>950</v>
      </c>
      <c r="F953" s="4">
        <f t="shared" ca="1" si="128"/>
        <v>378000</v>
      </c>
      <c r="G953" s="1" t="s">
        <v>70</v>
      </c>
      <c r="H953" s="26">
        <f t="shared" ca="1" si="126"/>
        <v>0.16998807600980348</v>
      </c>
      <c r="I953" s="4">
        <f>IF(G953="Yes",-$C$8,0)</f>
        <v>-500</v>
      </c>
      <c r="J953" s="4">
        <f>IF(G953="Yes",$C$8-I953,0)</f>
        <v>1000</v>
      </c>
      <c r="K953" s="4">
        <f ca="1">IF(H953&gt;=$C$4,J953+I953,I953)</f>
        <v>-500</v>
      </c>
      <c r="M953" s="61">
        <f t="shared" si="133"/>
        <v>760</v>
      </c>
      <c r="N953" s="61">
        <f t="shared" si="134"/>
        <v>190</v>
      </c>
      <c r="O953" s="4">
        <f t="shared" si="129"/>
        <v>380000</v>
      </c>
      <c r="P953" s="4">
        <f t="shared" si="130"/>
        <v>-95000</v>
      </c>
      <c r="Q953" s="4">
        <f t="shared" si="131"/>
        <v>285000</v>
      </c>
      <c r="R953" s="4">
        <f t="shared" si="132"/>
        <v>385000</v>
      </c>
    </row>
    <row r="954" spans="5:18" x14ac:dyDescent="0.25">
      <c r="E954" s="1">
        <f t="shared" si="127"/>
        <v>951</v>
      </c>
      <c r="F954" s="4">
        <f t="shared" ca="1" si="128"/>
        <v>378500</v>
      </c>
      <c r="G954" s="1" t="s">
        <v>70</v>
      </c>
      <c r="H954" s="26">
        <f t="shared" ca="1" si="126"/>
        <v>0.41897277014002998</v>
      </c>
      <c r="I954" s="4">
        <f>IF(G954="Yes",-$C$8,0)</f>
        <v>-500</v>
      </c>
      <c r="J954" s="4">
        <f>IF(G954="Yes",$C$8-I954,0)</f>
        <v>1000</v>
      </c>
      <c r="K954" s="4">
        <f ca="1">IF(H954&gt;=$C$4,J954+I954,I954)</f>
        <v>500</v>
      </c>
      <c r="M954" s="61">
        <f t="shared" si="133"/>
        <v>760.80000000000007</v>
      </c>
      <c r="N954" s="61">
        <f t="shared" si="134"/>
        <v>190.19999999999993</v>
      </c>
      <c r="O954" s="4">
        <f t="shared" si="129"/>
        <v>380400.00000000006</v>
      </c>
      <c r="P954" s="4">
        <f t="shared" si="130"/>
        <v>-95099.999999999971</v>
      </c>
      <c r="Q954" s="4">
        <f t="shared" si="131"/>
        <v>285300.00000000012</v>
      </c>
      <c r="R954" s="4">
        <f t="shared" si="132"/>
        <v>385300.00000000012</v>
      </c>
    </row>
    <row r="955" spans="5:18" x14ac:dyDescent="0.25">
      <c r="E955" s="1">
        <f t="shared" si="127"/>
        <v>952</v>
      </c>
      <c r="F955" s="4">
        <f t="shared" ca="1" si="128"/>
        <v>379000</v>
      </c>
      <c r="G955" s="1" t="s">
        <v>70</v>
      </c>
      <c r="H955" s="26">
        <f t="shared" ca="1" si="126"/>
        <v>0.79817212039191943</v>
      </c>
      <c r="I955" s="4">
        <f>IF(G955="Yes",-$C$8,0)</f>
        <v>-500</v>
      </c>
      <c r="J955" s="4">
        <f>IF(G955="Yes",$C$8-I955,0)</f>
        <v>1000</v>
      </c>
      <c r="K955" s="4">
        <f ca="1">IF(H955&gt;=$C$4,J955+I955,I955)</f>
        <v>500</v>
      </c>
      <c r="M955" s="61">
        <f t="shared" si="133"/>
        <v>761.6</v>
      </c>
      <c r="N955" s="61">
        <f t="shared" si="134"/>
        <v>190.39999999999998</v>
      </c>
      <c r="O955" s="4">
        <f t="shared" si="129"/>
        <v>380800</v>
      </c>
      <c r="P955" s="4">
        <f t="shared" si="130"/>
        <v>-95199.999999999985</v>
      </c>
      <c r="Q955" s="4">
        <f t="shared" si="131"/>
        <v>285600</v>
      </c>
      <c r="R955" s="4">
        <f t="shared" si="132"/>
        <v>385600</v>
      </c>
    </row>
    <row r="956" spans="5:18" x14ac:dyDescent="0.25">
      <c r="E956" s="1">
        <f t="shared" si="127"/>
        <v>953</v>
      </c>
      <c r="F956" s="4">
        <f t="shared" ca="1" si="128"/>
        <v>379500</v>
      </c>
      <c r="G956" s="1" t="s">
        <v>70</v>
      </c>
      <c r="H956" s="26">
        <f t="shared" ca="1" si="126"/>
        <v>0.82138642617723601</v>
      </c>
      <c r="I956" s="4">
        <f>IF(G956="Yes",-$C$8,0)</f>
        <v>-500</v>
      </c>
      <c r="J956" s="4">
        <f>IF(G956="Yes",$C$8-I956,0)</f>
        <v>1000</v>
      </c>
      <c r="K956" s="4">
        <f ca="1">IF(H956&gt;=$C$4,J956+I956,I956)</f>
        <v>500</v>
      </c>
      <c r="M956" s="61">
        <f t="shared" si="133"/>
        <v>762.40000000000009</v>
      </c>
      <c r="N956" s="61">
        <f t="shared" si="134"/>
        <v>190.59999999999991</v>
      </c>
      <c r="O956" s="4">
        <f t="shared" si="129"/>
        <v>381200.00000000006</v>
      </c>
      <c r="P956" s="4">
        <f t="shared" si="130"/>
        <v>-95299.999999999956</v>
      </c>
      <c r="Q956" s="4">
        <f t="shared" si="131"/>
        <v>285900.00000000012</v>
      </c>
      <c r="R956" s="4">
        <f t="shared" si="132"/>
        <v>385900.00000000012</v>
      </c>
    </row>
    <row r="957" spans="5:18" x14ac:dyDescent="0.25">
      <c r="E957" s="1">
        <f t="shared" si="127"/>
        <v>954</v>
      </c>
      <c r="F957" s="4">
        <f t="shared" ca="1" si="128"/>
        <v>380000</v>
      </c>
      <c r="G957" s="1" t="s">
        <v>70</v>
      </c>
      <c r="H957" s="26">
        <f t="shared" ca="1" si="126"/>
        <v>0.64268848479622087</v>
      </c>
      <c r="I957" s="4">
        <f>IF(G957="Yes",-$C$8,0)</f>
        <v>-500</v>
      </c>
      <c r="J957" s="4">
        <f>IF(G957="Yes",$C$8-I957,0)</f>
        <v>1000</v>
      </c>
      <c r="K957" s="4">
        <f ca="1">IF(H957&gt;=$C$4,J957+I957,I957)</f>
        <v>500</v>
      </c>
      <c r="M957" s="61">
        <f t="shared" si="133"/>
        <v>763.2</v>
      </c>
      <c r="N957" s="61">
        <f t="shared" si="134"/>
        <v>190.79999999999995</v>
      </c>
      <c r="O957" s="4">
        <f t="shared" si="129"/>
        <v>381600</v>
      </c>
      <c r="P957" s="4">
        <f t="shared" si="130"/>
        <v>-95399.999999999971</v>
      </c>
      <c r="Q957" s="4">
        <f t="shared" si="131"/>
        <v>286200</v>
      </c>
      <c r="R957" s="4">
        <f t="shared" si="132"/>
        <v>386200</v>
      </c>
    </row>
    <row r="958" spans="5:18" x14ac:dyDescent="0.25">
      <c r="E958" s="1">
        <f t="shared" si="127"/>
        <v>955</v>
      </c>
      <c r="F958" s="4">
        <f t="shared" ca="1" si="128"/>
        <v>380500</v>
      </c>
      <c r="G958" s="1" t="s">
        <v>70</v>
      </c>
      <c r="H958" s="26">
        <f t="shared" ca="1" si="126"/>
        <v>0.72738884995145525</v>
      </c>
      <c r="I958" s="4">
        <f>IF(G958="Yes",-$C$8,0)</f>
        <v>-500</v>
      </c>
      <c r="J958" s="4">
        <f>IF(G958="Yes",$C$8-I958,0)</f>
        <v>1000</v>
      </c>
      <c r="K958" s="4">
        <f ca="1">IF(H958&gt;=$C$4,J958+I958,I958)</f>
        <v>500</v>
      </c>
      <c r="M958" s="61">
        <f t="shared" si="133"/>
        <v>764</v>
      </c>
      <c r="N958" s="61">
        <f t="shared" si="134"/>
        <v>191</v>
      </c>
      <c r="O958" s="4">
        <f t="shared" si="129"/>
        <v>382000</v>
      </c>
      <c r="P958" s="4">
        <f t="shared" si="130"/>
        <v>-95500</v>
      </c>
      <c r="Q958" s="4">
        <f t="shared" si="131"/>
        <v>286500</v>
      </c>
      <c r="R958" s="4">
        <f t="shared" si="132"/>
        <v>386500</v>
      </c>
    </row>
    <row r="959" spans="5:18" x14ac:dyDescent="0.25">
      <c r="E959" s="1">
        <f t="shared" si="127"/>
        <v>956</v>
      </c>
      <c r="F959" s="4">
        <f t="shared" ca="1" si="128"/>
        <v>380000</v>
      </c>
      <c r="G959" s="1" t="s">
        <v>70</v>
      </c>
      <c r="H959" s="26">
        <f t="shared" ca="1" si="126"/>
        <v>0.1581745308401673</v>
      </c>
      <c r="I959" s="4">
        <f>IF(G959="Yes",-$C$8,0)</f>
        <v>-500</v>
      </c>
      <c r="J959" s="4">
        <f>IF(G959="Yes",$C$8-I959,0)</f>
        <v>1000</v>
      </c>
      <c r="K959" s="4">
        <f ca="1">IF(H959&gt;=$C$4,J959+I959,I959)</f>
        <v>-500</v>
      </c>
      <c r="M959" s="61">
        <f t="shared" si="133"/>
        <v>764.80000000000007</v>
      </c>
      <c r="N959" s="61">
        <f t="shared" si="134"/>
        <v>191.19999999999993</v>
      </c>
      <c r="O959" s="4">
        <f t="shared" si="129"/>
        <v>382400.00000000006</v>
      </c>
      <c r="P959" s="4">
        <f t="shared" si="130"/>
        <v>-95599.999999999971</v>
      </c>
      <c r="Q959" s="4">
        <f t="shared" si="131"/>
        <v>286800.00000000012</v>
      </c>
      <c r="R959" s="4">
        <f t="shared" si="132"/>
        <v>386800.00000000012</v>
      </c>
    </row>
    <row r="960" spans="5:18" x14ac:dyDescent="0.25">
      <c r="E960" s="1">
        <f t="shared" si="127"/>
        <v>957</v>
      </c>
      <c r="F960" s="4">
        <f t="shared" ca="1" si="128"/>
        <v>380500</v>
      </c>
      <c r="G960" s="1" t="s">
        <v>70</v>
      </c>
      <c r="H960" s="26">
        <f t="shared" ca="1" si="126"/>
        <v>0.90179360090344518</v>
      </c>
      <c r="I960" s="4">
        <f>IF(G960="Yes",-$C$8,0)</f>
        <v>-500</v>
      </c>
      <c r="J960" s="4">
        <f>IF(G960="Yes",$C$8-I960,0)</f>
        <v>1000</v>
      </c>
      <c r="K960" s="4">
        <f ca="1">IF(H960&gt;=$C$4,J960+I960,I960)</f>
        <v>500</v>
      </c>
      <c r="M960" s="61">
        <f t="shared" si="133"/>
        <v>765.6</v>
      </c>
      <c r="N960" s="61">
        <f t="shared" si="134"/>
        <v>191.39999999999998</v>
      </c>
      <c r="O960" s="4">
        <f t="shared" si="129"/>
        <v>382800</v>
      </c>
      <c r="P960" s="4">
        <f t="shared" si="130"/>
        <v>-95699.999999999985</v>
      </c>
      <c r="Q960" s="4">
        <f t="shared" si="131"/>
        <v>287100</v>
      </c>
      <c r="R960" s="4">
        <f t="shared" si="132"/>
        <v>387100</v>
      </c>
    </row>
    <row r="961" spans="5:18" x14ac:dyDescent="0.25">
      <c r="E961" s="1">
        <f t="shared" si="127"/>
        <v>958</v>
      </c>
      <c r="F961" s="4">
        <f t="shared" ca="1" si="128"/>
        <v>380000</v>
      </c>
      <c r="G961" s="1" t="s">
        <v>70</v>
      </c>
      <c r="H961" s="26">
        <f t="shared" ca="1" si="126"/>
        <v>9.899104458439012E-2</v>
      </c>
      <c r="I961" s="4">
        <f>IF(G961="Yes",-$C$8,0)</f>
        <v>-500</v>
      </c>
      <c r="J961" s="4">
        <f>IF(G961="Yes",$C$8-I961,0)</f>
        <v>1000</v>
      </c>
      <c r="K961" s="4">
        <f ca="1">IF(H961&gt;=$C$4,J961+I961,I961)</f>
        <v>-500</v>
      </c>
      <c r="M961" s="61">
        <f t="shared" si="133"/>
        <v>766.40000000000009</v>
      </c>
      <c r="N961" s="61">
        <f t="shared" si="134"/>
        <v>191.59999999999991</v>
      </c>
      <c r="O961" s="4">
        <f t="shared" si="129"/>
        <v>383200.00000000006</v>
      </c>
      <c r="P961" s="4">
        <f t="shared" si="130"/>
        <v>-95799.999999999956</v>
      </c>
      <c r="Q961" s="4">
        <f t="shared" si="131"/>
        <v>287400.00000000012</v>
      </c>
      <c r="R961" s="4">
        <f t="shared" si="132"/>
        <v>387400.00000000012</v>
      </c>
    </row>
    <row r="962" spans="5:18" x14ac:dyDescent="0.25">
      <c r="E962" s="1">
        <f t="shared" si="127"/>
        <v>959</v>
      </c>
      <c r="F962" s="4">
        <f t="shared" ca="1" si="128"/>
        <v>380500</v>
      </c>
      <c r="G962" s="1" t="s">
        <v>70</v>
      </c>
      <c r="H962" s="26">
        <f t="shared" ca="1" si="126"/>
        <v>0.46792031361108577</v>
      </c>
      <c r="I962" s="4">
        <f>IF(G962="Yes",-$C$8,0)</f>
        <v>-500</v>
      </c>
      <c r="J962" s="4">
        <f>IF(G962="Yes",$C$8-I962,0)</f>
        <v>1000</v>
      </c>
      <c r="K962" s="4">
        <f ca="1">IF(H962&gt;=$C$4,J962+I962,I962)</f>
        <v>500</v>
      </c>
      <c r="M962" s="61">
        <f t="shared" si="133"/>
        <v>767.2</v>
      </c>
      <c r="N962" s="61">
        <f t="shared" si="134"/>
        <v>191.79999999999995</v>
      </c>
      <c r="O962" s="4">
        <f t="shared" si="129"/>
        <v>383600</v>
      </c>
      <c r="P962" s="4">
        <f t="shared" si="130"/>
        <v>-95899.999999999971</v>
      </c>
      <c r="Q962" s="4">
        <f t="shared" si="131"/>
        <v>287700</v>
      </c>
      <c r="R962" s="4">
        <f t="shared" si="132"/>
        <v>387700</v>
      </c>
    </row>
    <row r="963" spans="5:18" x14ac:dyDescent="0.25">
      <c r="E963" s="1">
        <f t="shared" si="127"/>
        <v>960</v>
      </c>
      <c r="F963" s="4">
        <f t="shared" ca="1" si="128"/>
        <v>381000</v>
      </c>
      <c r="G963" s="1" t="s">
        <v>70</v>
      </c>
      <c r="H963" s="26">
        <f t="shared" ca="1" si="126"/>
        <v>0.81221604722274154</v>
      </c>
      <c r="I963" s="4">
        <f>IF(G963="Yes",-$C$8,0)</f>
        <v>-500</v>
      </c>
      <c r="J963" s="4">
        <f>IF(G963="Yes",$C$8-I963,0)</f>
        <v>1000</v>
      </c>
      <c r="K963" s="4">
        <f ca="1">IF(H963&gt;=$C$4,J963+I963,I963)</f>
        <v>500</v>
      </c>
      <c r="M963" s="61">
        <f t="shared" si="133"/>
        <v>768</v>
      </c>
      <c r="N963" s="61">
        <f t="shared" si="134"/>
        <v>192</v>
      </c>
      <c r="O963" s="4">
        <f t="shared" si="129"/>
        <v>384000</v>
      </c>
      <c r="P963" s="4">
        <f t="shared" si="130"/>
        <v>-96000</v>
      </c>
      <c r="Q963" s="4">
        <f t="shared" si="131"/>
        <v>288000</v>
      </c>
      <c r="R963" s="4">
        <f t="shared" si="132"/>
        <v>388000</v>
      </c>
    </row>
    <row r="964" spans="5:18" x14ac:dyDescent="0.25">
      <c r="E964" s="1">
        <f t="shared" si="127"/>
        <v>961</v>
      </c>
      <c r="F964" s="4">
        <f t="shared" ca="1" si="128"/>
        <v>381500</v>
      </c>
      <c r="G964" s="1" t="s">
        <v>70</v>
      </c>
      <c r="H964" s="26">
        <f t="shared" ref="H964:H1003" ca="1" si="135">RAND()</f>
        <v>0.61503849446648529</v>
      </c>
      <c r="I964" s="4">
        <f>IF(G964="Yes",-$C$8,0)</f>
        <v>-500</v>
      </c>
      <c r="J964" s="4">
        <f>IF(G964="Yes",$C$8-I964,0)</f>
        <v>1000</v>
      </c>
      <c r="K964" s="4">
        <f ca="1">IF(H964&gt;=$C$4,J964+I964,I964)</f>
        <v>500</v>
      </c>
      <c r="M964" s="61">
        <f t="shared" si="133"/>
        <v>768.80000000000007</v>
      </c>
      <c r="N964" s="61">
        <f t="shared" si="134"/>
        <v>192.19999999999993</v>
      </c>
      <c r="O964" s="4">
        <f t="shared" si="129"/>
        <v>384400.00000000006</v>
      </c>
      <c r="P964" s="4">
        <f t="shared" si="130"/>
        <v>-96099.999999999971</v>
      </c>
      <c r="Q964" s="4">
        <f t="shared" si="131"/>
        <v>288300.00000000012</v>
      </c>
      <c r="R964" s="4">
        <f t="shared" si="132"/>
        <v>388300.00000000012</v>
      </c>
    </row>
    <row r="965" spans="5:18" x14ac:dyDescent="0.25">
      <c r="E965" s="1">
        <f t="shared" ref="E965:E1003" si="136">E964+1</f>
        <v>962</v>
      </c>
      <c r="F965" s="4">
        <f t="shared" ref="F965:F1003" ca="1" si="137">F964+K965</f>
        <v>382000</v>
      </c>
      <c r="G965" s="1" t="s">
        <v>70</v>
      </c>
      <c r="H965" s="26">
        <f t="shared" ca="1" si="135"/>
        <v>0.53550652373367391</v>
      </c>
      <c r="I965" s="4">
        <f>IF(G965="Yes",-$C$8,0)</f>
        <v>-500</v>
      </c>
      <c r="J965" s="4">
        <f>IF(G965="Yes",$C$8-I965,0)</f>
        <v>1000</v>
      </c>
      <c r="K965" s="4">
        <f ca="1">IF(H965&gt;=$C$4,J965+I965,I965)</f>
        <v>500</v>
      </c>
      <c r="M965" s="61">
        <f t="shared" si="133"/>
        <v>769.6</v>
      </c>
      <c r="N965" s="61">
        <f t="shared" si="134"/>
        <v>192.39999999999998</v>
      </c>
      <c r="O965" s="4">
        <f t="shared" ref="O965:O1003" si="138">M965*$C$8</f>
        <v>384800</v>
      </c>
      <c r="P965" s="4">
        <f t="shared" ref="P965:P1003" si="139">N965*(-$C$8)</f>
        <v>-96199.999999999985</v>
      </c>
      <c r="Q965" s="4">
        <f t="shared" ref="Q965:Q1003" si="140">O965+P965</f>
        <v>288600</v>
      </c>
      <c r="R965" s="4">
        <f t="shared" ref="R965:R1003" si="141">$C$7+Q965</f>
        <v>388600</v>
      </c>
    </row>
    <row r="966" spans="5:18" x14ac:dyDescent="0.25">
      <c r="E966" s="1">
        <f t="shared" si="136"/>
        <v>963</v>
      </c>
      <c r="F966" s="4">
        <f t="shared" ca="1" si="137"/>
        <v>381500</v>
      </c>
      <c r="G966" s="1" t="s">
        <v>70</v>
      </c>
      <c r="H966" s="26">
        <f t="shared" ca="1" si="135"/>
        <v>0.10951703255373602</v>
      </c>
      <c r="I966" s="4">
        <f>IF(G966="Yes",-$C$8,0)</f>
        <v>-500</v>
      </c>
      <c r="J966" s="4">
        <f>IF(G966="Yes",$C$8-I966,0)</f>
        <v>1000</v>
      </c>
      <c r="K966" s="4">
        <f ca="1">IF(H966&gt;=$C$4,J966+I966,I966)</f>
        <v>-500</v>
      </c>
      <c r="M966" s="61">
        <f t="shared" si="133"/>
        <v>770.40000000000009</v>
      </c>
      <c r="N966" s="61">
        <f t="shared" si="134"/>
        <v>192.59999999999991</v>
      </c>
      <c r="O966" s="4">
        <f t="shared" si="138"/>
        <v>385200.00000000006</v>
      </c>
      <c r="P966" s="4">
        <f t="shared" si="139"/>
        <v>-96299.999999999956</v>
      </c>
      <c r="Q966" s="4">
        <f t="shared" si="140"/>
        <v>288900.00000000012</v>
      </c>
      <c r="R966" s="4">
        <f t="shared" si="141"/>
        <v>388900.00000000012</v>
      </c>
    </row>
    <row r="967" spans="5:18" x14ac:dyDescent="0.25">
      <c r="E967" s="1">
        <f t="shared" si="136"/>
        <v>964</v>
      </c>
      <c r="F967" s="4">
        <f t="shared" ca="1" si="137"/>
        <v>381000</v>
      </c>
      <c r="G967" s="1" t="s">
        <v>70</v>
      </c>
      <c r="H967" s="26">
        <f t="shared" ca="1" si="135"/>
        <v>3.9359813041912384E-2</v>
      </c>
      <c r="I967" s="4">
        <f>IF(G967="Yes",-$C$8,0)</f>
        <v>-500</v>
      </c>
      <c r="J967" s="4">
        <f>IF(G967="Yes",$C$8-I967,0)</f>
        <v>1000</v>
      </c>
      <c r="K967" s="4">
        <f ca="1">IF(H967&gt;=$C$4,J967+I967,I967)</f>
        <v>-500</v>
      </c>
      <c r="M967" s="61">
        <f t="shared" si="133"/>
        <v>771.2</v>
      </c>
      <c r="N967" s="61">
        <f t="shared" si="134"/>
        <v>192.79999999999995</v>
      </c>
      <c r="O967" s="4">
        <f t="shared" si="138"/>
        <v>385600</v>
      </c>
      <c r="P967" s="4">
        <f t="shared" si="139"/>
        <v>-96399.999999999971</v>
      </c>
      <c r="Q967" s="4">
        <f t="shared" si="140"/>
        <v>289200</v>
      </c>
      <c r="R967" s="4">
        <f t="shared" si="141"/>
        <v>389200</v>
      </c>
    </row>
    <row r="968" spans="5:18" x14ac:dyDescent="0.25">
      <c r="E968" s="1">
        <f t="shared" si="136"/>
        <v>965</v>
      </c>
      <c r="F968" s="4">
        <f t="shared" ca="1" si="137"/>
        <v>380500</v>
      </c>
      <c r="G968" s="1" t="s">
        <v>70</v>
      </c>
      <c r="H968" s="26">
        <f t="shared" ca="1" si="135"/>
        <v>0.16601702959733489</v>
      </c>
      <c r="I968" s="4">
        <f>IF(G968="Yes",-$C$8,0)</f>
        <v>-500</v>
      </c>
      <c r="J968" s="4">
        <f>IF(G968="Yes",$C$8-I968,0)</f>
        <v>1000</v>
      </c>
      <c r="K968" s="4">
        <f ca="1">IF(H968&gt;=$C$4,J968+I968,I968)</f>
        <v>-500</v>
      </c>
      <c r="M968" s="61">
        <f t="shared" si="133"/>
        <v>772</v>
      </c>
      <c r="N968" s="61">
        <f t="shared" si="134"/>
        <v>193</v>
      </c>
      <c r="O968" s="4">
        <f t="shared" si="138"/>
        <v>386000</v>
      </c>
      <c r="P968" s="4">
        <f t="shared" si="139"/>
        <v>-96500</v>
      </c>
      <c r="Q968" s="4">
        <f t="shared" si="140"/>
        <v>289500</v>
      </c>
      <c r="R968" s="4">
        <f t="shared" si="141"/>
        <v>389500</v>
      </c>
    </row>
    <row r="969" spans="5:18" x14ac:dyDescent="0.25">
      <c r="E969" s="1">
        <f t="shared" si="136"/>
        <v>966</v>
      </c>
      <c r="F969" s="4">
        <f t="shared" ca="1" si="137"/>
        <v>381000</v>
      </c>
      <c r="G969" s="1" t="s">
        <v>70</v>
      </c>
      <c r="H969" s="26">
        <f t="shared" ca="1" si="135"/>
        <v>0.38205524144112046</v>
      </c>
      <c r="I969" s="4">
        <f>IF(G969="Yes",-$C$8,0)</f>
        <v>-500</v>
      </c>
      <c r="J969" s="4">
        <f>IF(G969="Yes",$C$8-I969,0)</f>
        <v>1000</v>
      </c>
      <c r="K969" s="4">
        <f ca="1">IF(H969&gt;=$C$4,J969+I969,I969)</f>
        <v>500</v>
      </c>
      <c r="M969" s="61">
        <f t="shared" si="133"/>
        <v>772.80000000000007</v>
      </c>
      <c r="N969" s="61">
        <f t="shared" si="134"/>
        <v>193.19999999999993</v>
      </c>
      <c r="O969" s="4">
        <f t="shared" si="138"/>
        <v>386400.00000000006</v>
      </c>
      <c r="P969" s="4">
        <f t="shared" si="139"/>
        <v>-96599.999999999971</v>
      </c>
      <c r="Q969" s="4">
        <f t="shared" si="140"/>
        <v>289800.00000000012</v>
      </c>
      <c r="R969" s="4">
        <f t="shared" si="141"/>
        <v>389800.00000000012</v>
      </c>
    </row>
    <row r="970" spans="5:18" x14ac:dyDescent="0.25">
      <c r="E970" s="1">
        <f t="shared" si="136"/>
        <v>967</v>
      </c>
      <c r="F970" s="4">
        <f t="shared" ca="1" si="137"/>
        <v>381500</v>
      </c>
      <c r="G970" s="1" t="s">
        <v>70</v>
      </c>
      <c r="H970" s="26">
        <f t="shared" ca="1" si="135"/>
        <v>0.56544944834650968</v>
      </c>
      <c r="I970" s="4">
        <f>IF(G970="Yes",-$C$8,0)</f>
        <v>-500</v>
      </c>
      <c r="J970" s="4">
        <f>IF(G970="Yes",$C$8-I970,0)</f>
        <v>1000</v>
      </c>
      <c r="K970" s="4">
        <f ca="1">IF(H970&gt;=$C$4,J970+I970,I970)</f>
        <v>500</v>
      </c>
      <c r="M970" s="61">
        <f t="shared" si="133"/>
        <v>773.6</v>
      </c>
      <c r="N970" s="61">
        <f t="shared" si="134"/>
        <v>193.39999999999998</v>
      </c>
      <c r="O970" s="4">
        <f t="shared" si="138"/>
        <v>386800</v>
      </c>
      <c r="P970" s="4">
        <f t="shared" si="139"/>
        <v>-96699.999999999985</v>
      </c>
      <c r="Q970" s="4">
        <f t="shared" si="140"/>
        <v>290100</v>
      </c>
      <c r="R970" s="4">
        <f t="shared" si="141"/>
        <v>390100</v>
      </c>
    </row>
    <row r="971" spans="5:18" x14ac:dyDescent="0.25">
      <c r="E971" s="1">
        <f t="shared" si="136"/>
        <v>968</v>
      </c>
      <c r="F971" s="4">
        <f t="shared" ca="1" si="137"/>
        <v>382000</v>
      </c>
      <c r="G971" s="1" t="s">
        <v>70</v>
      </c>
      <c r="H971" s="26">
        <f t="shared" ca="1" si="135"/>
        <v>0.9309606713368096</v>
      </c>
      <c r="I971" s="4">
        <f>IF(G971="Yes",-$C$8,0)</f>
        <v>-500</v>
      </c>
      <c r="J971" s="4">
        <f>IF(G971="Yes",$C$8-I971,0)</f>
        <v>1000</v>
      </c>
      <c r="K971" s="4">
        <f ca="1">IF(H971&gt;=$C$4,J971+I971,I971)</f>
        <v>500</v>
      </c>
      <c r="M971" s="61">
        <f t="shared" si="133"/>
        <v>774.40000000000009</v>
      </c>
      <c r="N971" s="61">
        <f t="shared" si="134"/>
        <v>193.59999999999991</v>
      </c>
      <c r="O971" s="4">
        <f t="shared" si="138"/>
        <v>387200.00000000006</v>
      </c>
      <c r="P971" s="4">
        <f t="shared" si="139"/>
        <v>-96799.999999999956</v>
      </c>
      <c r="Q971" s="4">
        <f t="shared" si="140"/>
        <v>290400.00000000012</v>
      </c>
      <c r="R971" s="4">
        <f t="shared" si="141"/>
        <v>390400.00000000012</v>
      </c>
    </row>
    <row r="972" spans="5:18" x14ac:dyDescent="0.25">
      <c r="E972" s="1">
        <f t="shared" si="136"/>
        <v>969</v>
      </c>
      <c r="F972" s="4">
        <f t="shared" ca="1" si="137"/>
        <v>382500</v>
      </c>
      <c r="G972" s="1" t="s">
        <v>70</v>
      </c>
      <c r="H972" s="26">
        <f t="shared" ca="1" si="135"/>
        <v>0.38854893767046428</v>
      </c>
      <c r="I972" s="4">
        <f>IF(G972="Yes",-$C$8,0)</f>
        <v>-500</v>
      </c>
      <c r="J972" s="4">
        <f>IF(G972="Yes",$C$8-I972,0)</f>
        <v>1000</v>
      </c>
      <c r="K972" s="4">
        <f ca="1">IF(H972&gt;=$C$4,J972+I972,I972)</f>
        <v>500</v>
      </c>
      <c r="M972" s="61">
        <f t="shared" si="133"/>
        <v>775.2</v>
      </c>
      <c r="N972" s="61">
        <f t="shared" si="134"/>
        <v>193.79999999999995</v>
      </c>
      <c r="O972" s="4">
        <f t="shared" si="138"/>
        <v>387600</v>
      </c>
      <c r="P972" s="4">
        <f t="shared" si="139"/>
        <v>-96899.999999999971</v>
      </c>
      <c r="Q972" s="4">
        <f t="shared" si="140"/>
        <v>290700</v>
      </c>
      <c r="R972" s="4">
        <f t="shared" si="141"/>
        <v>390700</v>
      </c>
    </row>
    <row r="973" spans="5:18" x14ac:dyDescent="0.25">
      <c r="E973" s="1">
        <f t="shared" si="136"/>
        <v>970</v>
      </c>
      <c r="F973" s="4">
        <f t="shared" ca="1" si="137"/>
        <v>382000</v>
      </c>
      <c r="G973" s="1" t="s">
        <v>70</v>
      </c>
      <c r="H973" s="26">
        <f t="shared" ca="1" si="135"/>
        <v>1.5255435968923203E-2</v>
      </c>
      <c r="I973" s="4">
        <f>IF(G973="Yes",-$C$8,0)</f>
        <v>-500</v>
      </c>
      <c r="J973" s="4">
        <f>IF(G973="Yes",$C$8-I973,0)</f>
        <v>1000</v>
      </c>
      <c r="K973" s="4">
        <f ca="1">IF(H973&gt;=$C$4,J973+I973,I973)</f>
        <v>-500</v>
      </c>
      <c r="M973" s="61">
        <f t="shared" si="133"/>
        <v>776</v>
      </c>
      <c r="N973" s="61">
        <f t="shared" si="134"/>
        <v>194</v>
      </c>
      <c r="O973" s="4">
        <f t="shared" si="138"/>
        <v>388000</v>
      </c>
      <c r="P973" s="4">
        <f t="shared" si="139"/>
        <v>-97000</v>
      </c>
      <c r="Q973" s="4">
        <f t="shared" si="140"/>
        <v>291000</v>
      </c>
      <c r="R973" s="4">
        <f t="shared" si="141"/>
        <v>391000</v>
      </c>
    </row>
    <row r="974" spans="5:18" x14ac:dyDescent="0.25">
      <c r="E974" s="1">
        <f t="shared" si="136"/>
        <v>971</v>
      </c>
      <c r="F974" s="4">
        <f t="shared" ca="1" si="137"/>
        <v>382500</v>
      </c>
      <c r="G974" s="1" t="s">
        <v>70</v>
      </c>
      <c r="H974" s="26">
        <f t="shared" ca="1" si="135"/>
        <v>0.50252938673555581</v>
      </c>
      <c r="I974" s="4">
        <f>IF(G974="Yes",-$C$8,0)</f>
        <v>-500</v>
      </c>
      <c r="J974" s="4">
        <f>IF(G974="Yes",$C$8-I974,0)</f>
        <v>1000</v>
      </c>
      <c r="K974" s="4">
        <f ca="1">IF(H974&gt;=$C$4,J974+I974,I974)</f>
        <v>500</v>
      </c>
      <c r="M974" s="61">
        <f t="shared" ref="M974:M1003" si="142">E974*$C$3</f>
        <v>776.80000000000007</v>
      </c>
      <c r="N974" s="61">
        <f t="shared" ref="N974:N1003" si="143">E974-M974</f>
        <v>194.19999999999993</v>
      </c>
      <c r="O974" s="4">
        <f t="shared" si="138"/>
        <v>388400.00000000006</v>
      </c>
      <c r="P974" s="4">
        <f t="shared" si="139"/>
        <v>-97099.999999999971</v>
      </c>
      <c r="Q974" s="4">
        <f t="shared" si="140"/>
        <v>291300.00000000012</v>
      </c>
      <c r="R974" s="4">
        <f t="shared" si="141"/>
        <v>391300.00000000012</v>
      </c>
    </row>
    <row r="975" spans="5:18" x14ac:dyDescent="0.25">
      <c r="E975" s="1">
        <f t="shared" si="136"/>
        <v>972</v>
      </c>
      <c r="F975" s="4">
        <f t="shared" ca="1" si="137"/>
        <v>382000</v>
      </c>
      <c r="G975" s="1" t="s">
        <v>70</v>
      </c>
      <c r="H975" s="26">
        <f t="shared" ca="1" si="135"/>
        <v>0.16332630179873098</v>
      </c>
      <c r="I975" s="4">
        <f>IF(G975="Yes",-$C$8,0)</f>
        <v>-500</v>
      </c>
      <c r="J975" s="4">
        <f>IF(G975="Yes",$C$8-I975,0)</f>
        <v>1000</v>
      </c>
      <c r="K975" s="4">
        <f ca="1">IF(H975&gt;=$C$4,J975+I975,I975)</f>
        <v>-500</v>
      </c>
      <c r="M975" s="61">
        <f t="shared" si="142"/>
        <v>777.6</v>
      </c>
      <c r="N975" s="61">
        <f t="shared" si="143"/>
        <v>194.39999999999998</v>
      </c>
      <c r="O975" s="4">
        <f t="shared" si="138"/>
        <v>388800</v>
      </c>
      <c r="P975" s="4">
        <f t="shared" si="139"/>
        <v>-97199.999999999985</v>
      </c>
      <c r="Q975" s="4">
        <f t="shared" si="140"/>
        <v>291600</v>
      </c>
      <c r="R975" s="4">
        <f t="shared" si="141"/>
        <v>391600</v>
      </c>
    </row>
    <row r="976" spans="5:18" x14ac:dyDescent="0.25">
      <c r="E976" s="1">
        <f t="shared" si="136"/>
        <v>973</v>
      </c>
      <c r="F976" s="4">
        <f t="shared" ca="1" si="137"/>
        <v>382500</v>
      </c>
      <c r="G976" s="1" t="s">
        <v>70</v>
      </c>
      <c r="H976" s="26">
        <f t="shared" ca="1" si="135"/>
        <v>0.4925906319724872</v>
      </c>
      <c r="I976" s="4">
        <f>IF(G976="Yes",-$C$8,0)</f>
        <v>-500</v>
      </c>
      <c r="J976" s="4">
        <f>IF(G976="Yes",$C$8-I976,0)</f>
        <v>1000</v>
      </c>
      <c r="K976" s="4">
        <f ca="1">IF(H976&gt;=$C$4,J976+I976,I976)</f>
        <v>500</v>
      </c>
      <c r="M976" s="61">
        <f t="shared" si="142"/>
        <v>778.40000000000009</v>
      </c>
      <c r="N976" s="61">
        <f t="shared" si="143"/>
        <v>194.59999999999991</v>
      </c>
      <c r="O976" s="4">
        <f t="shared" si="138"/>
        <v>389200.00000000006</v>
      </c>
      <c r="P976" s="4">
        <f t="shared" si="139"/>
        <v>-97299.999999999956</v>
      </c>
      <c r="Q976" s="4">
        <f t="shared" si="140"/>
        <v>291900.00000000012</v>
      </c>
      <c r="R976" s="4">
        <f t="shared" si="141"/>
        <v>391900.00000000012</v>
      </c>
    </row>
    <row r="977" spans="5:18" x14ac:dyDescent="0.25">
      <c r="E977" s="1">
        <f t="shared" si="136"/>
        <v>974</v>
      </c>
      <c r="F977" s="4">
        <f t="shared" ca="1" si="137"/>
        <v>383000</v>
      </c>
      <c r="G977" s="1" t="s">
        <v>70</v>
      </c>
      <c r="H977" s="26">
        <f t="shared" ca="1" si="135"/>
        <v>0.74153908650227907</v>
      </c>
      <c r="I977" s="4">
        <f>IF(G977="Yes",-$C$8,0)</f>
        <v>-500</v>
      </c>
      <c r="J977" s="4">
        <f>IF(G977="Yes",$C$8-I977,0)</f>
        <v>1000</v>
      </c>
      <c r="K977" s="4">
        <f ca="1">IF(H977&gt;=$C$4,J977+I977,I977)</f>
        <v>500</v>
      </c>
      <c r="M977" s="61">
        <f t="shared" si="142"/>
        <v>779.2</v>
      </c>
      <c r="N977" s="61">
        <f t="shared" si="143"/>
        <v>194.79999999999995</v>
      </c>
      <c r="O977" s="4">
        <f t="shared" si="138"/>
        <v>389600</v>
      </c>
      <c r="P977" s="4">
        <f t="shared" si="139"/>
        <v>-97399.999999999971</v>
      </c>
      <c r="Q977" s="4">
        <f t="shared" si="140"/>
        <v>292200</v>
      </c>
      <c r="R977" s="4">
        <f t="shared" si="141"/>
        <v>392200</v>
      </c>
    </row>
    <row r="978" spans="5:18" x14ac:dyDescent="0.25">
      <c r="E978" s="1">
        <f t="shared" si="136"/>
        <v>975</v>
      </c>
      <c r="F978" s="4">
        <f t="shared" ca="1" si="137"/>
        <v>382500</v>
      </c>
      <c r="G978" s="1" t="s">
        <v>70</v>
      </c>
      <c r="H978" s="26">
        <f t="shared" ca="1" si="135"/>
        <v>0.16608096151965357</v>
      </c>
      <c r="I978" s="4">
        <f>IF(G978="Yes",-$C$8,0)</f>
        <v>-500</v>
      </c>
      <c r="J978" s="4">
        <f>IF(G978="Yes",$C$8-I978,0)</f>
        <v>1000</v>
      </c>
      <c r="K978" s="4">
        <f ca="1">IF(H978&gt;=$C$4,J978+I978,I978)</f>
        <v>-500</v>
      </c>
      <c r="M978" s="61">
        <f t="shared" si="142"/>
        <v>780</v>
      </c>
      <c r="N978" s="61">
        <f t="shared" si="143"/>
        <v>195</v>
      </c>
      <c r="O978" s="4">
        <f t="shared" si="138"/>
        <v>390000</v>
      </c>
      <c r="P978" s="4">
        <f t="shared" si="139"/>
        <v>-97500</v>
      </c>
      <c r="Q978" s="4">
        <f t="shared" si="140"/>
        <v>292500</v>
      </c>
      <c r="R978" s="4">
        <f t="shared" si="141"/>
        <v>392500</v>
      </c>
    </row>
    <row r="979" spans="5:18" x14ac:dyDescent="0.25">
      <c r="E979" s="1">
        <f t="shared" si="136"/>
        <v>976</v>
      </c>
      <c r="F979" s="4">
        <f t="shared" ca="1" si="137"/>
        <v>383000</v>
      </c>
      <c r="G979" s="1" t="s">
        <v>70</v>
      </c>
      <c r="H979" s="26">
        <f t="shared" ca="1" si="135"/>
        <v>0.93676594735055119</v>
      </c>
      <c r="I979" s="4">
        <f>IF(G979="Yes",-$C$8,0)</f>
        <v>-500</v>
      </c>
      <c r="J979" s="4">
        <f>IF(G979="Yes",$C$8-I979,0)</f>
        <v>1000</v>
      </c>
      <c r="K979" s="4">
        <f ca="1">IF(H979&gt;=$C$4,J979+I979,I979)</f>
        <v>500</v>
      </c>
      <c r="M979" s="61">
        <f t="shared" si="142"/>
        <v>780.80000000000007</v>
      </c>
      <c r="N979" s="61">
        <f t="shared" si="143"/>
        <v>195.19999999999993</v>
      </c>
      <c r="O979" s="4">
        <f t="shared" si="138"/>
        <v>390400.00000000006</v>
      </c>
      <c r="P979" s="4">
        <f t="shared" si="139"/>
        <v>-97599.999999999971</v>
      </c>
      <c r="Q979" s="4">
        <f t="shared" si="140"/>
        <v>292800.00000000012</v>
      </c>
      <c r="R979" s="4">
        <f t="shared" si="141"/>
        <v>392800.00000000012</v>
      </c>
    </row>
    <row r="980" spans="5:18" x14ac:dyDescent="0.25">
      <c r="E980" s="1">
        <f t="shared" si="136"/>
        <v>977</v>
      </c>
      <c r="F980" s="4">
        <f t="shared" ca="1" si="137"/>
        <v>383500</v>
      </c>
      <c r="G980" s="1" t="s">
        <v>70</v>
      </c>
      <c r="H980" s="26">
        <f t="shared" ca="1" si="135"/>
        <v>0.90291598336973133</v>
      </c>
      <c r="I980" s="4">
        <f>IF(G980="Yes",-$C$8,0)</f>
        <v>-500</v>
      </c>
      <c r="J980" s="4">
        <f>IF(G980="Yes",$C$8-I980,0)</f>
        <v>1000</v>
      </c>
      <c r="K980" s="4">
        <f ca="1">IF(H980&gt;=$C$4,J980+I980,I980)</f>
        <v>500</v>
      </c>
      <c r="M980" s="61">
        <f t="shared" si="142"/>
        <v>781.6</v>
      </c>
      <c r="N980" s="61">
        <f t="shared" si="143"/>
        <v>195.39999999999998</v>
      </c>
      <c r="O980" s="4">
        <f t="shared" si="138"/>
        <v>390800</v>
      </c>
      <c r="P980" s="4">
        <f t="shared" si="139"/>
        <v>-97699.999999999985</v>
      </c>
      <c r="Q980" s="4">
        <f t="shared" si="140"/>
        <v>293100</v>
      </c>
      <c r="R980" s="4">
        <f t="shared" si="141"/>
        <v>393100</v>
      </c>
    </row>
    <row r="981" spans="5:18" x14ac:dyDescent="0.25">
      <c r="E981" s="1">
        <f t="shared" si="136"/>
        <v>978</v>
      </c>
      <c r="F981" s="4">
        <f t="shared" ca="1" si="137"/>
        <v>384000</v>
      </c>
      <c r="G981" s="1" t="s">
        <v>70</v>
      </c>
      <c r="H981" s="26">
        <f t="shared" ca="1" si="135"/>
        <v>0.57150133309345885</v>
      </c>
      <c r="I981" s="4">
        <f>IF(G981="Yes",-$C$8,0)</f>
        <v>-500</v>
      </c>
      <c r="J981" s="4">
        <f>IF(G981="Yes",$C$8-I981,0)</f>
        <v>1000</v>
      </c>
      <c r="K981" s="4">
        <f ca="1">IF(H981&gt;=$C$4,J981+I981,I981)</f>
        <v>500</v>
      </c>
      <c r="M981" s="61">
        <f t="shared" si="142"/>
        <v>782.40000000000009</v>
      </c>
      <c r="N981" s="61">
        <f t="shared" si="143"/>
        <v>195.59999999999991</v>
      </c>
      <c r="O981" s="4">
        <f t="shared" si="138"/>
        <v>391200.00000000006</v>
      </c>
      <c r="P981" s="4">
        <f t="shared" si="139"/>
        <v>-97799.999999999956</v>
      </c>
      <c r="Q981" s="4">
        <f t="shared" si="140"/>
        <v>293400.00000000012</v>
      </c>
      <c r="R981" s="4">
        <f t="shared" si="141"/>
        <v>393400.00000000012</v>
      </c>
    </row>
    <row r="982" spans="5:18" x14ac:dyDescent="0.25">
      <c r="E982" s="1">
        <f t="shared" si="136"/>
        <v>979</v>
      </c>
      <c r="F982" s="4">
        <f t="shared" ca="1" si="137"/>
        <v>384500</v>
      </c>
      <c r="G982" s="1" t="s">
        <v>70</v>
      </c>
      <c r="H982" s="26">
        <f t="shared" ca="1" si="135"/>
        <v>0.28139728120527174</v>
      </c>
      <c r="I982" s="4">
        <f>IF(G982="Yes",-$C$8,0)</f>
        <v>-500</v>
      </c>
      <c r="J982" s="4">
        <f>IF(G982="Yes",$C$8-I982,0)</f>
        <v>1000</v>
      </c>
      <c r="K982" s="4">
        <f ca="1">IF(H982&gt;=$C$4,J982+I982,I982)</f>
        <v>500</v>
      </c>
      <c r="M982" s="61">
        <f t="shared" si="142"/>
        <v>783.2</v>
      </c>
      <c r="N982" s="61">
        <f t="shared" si="143"/>
        <v>195.79999999999995</v>
      </c>
      <c r="O982" s="4">
        <f t="shared" si="138"/>
        <v>391600</v>
      </c>
      <c r="P982" s="4">
        <f t="shared" si="139"/>
        <v>-97899.999999999971</v>
      </c>
      <c r="Q982" s="4">
        <f t="shared" si="140"/>
        <v>293700</v>
      </c>
      <c r="R982" s="4">
        <f t="shared" si="141"/>
        <v>393700</v>
      </c>
    </row>
    <row r="983" spans="5:18" x14ac:dyDescent="0.25">
      <c r="E983" s="1">
        <f t="shared" si="136"/>
        <v>980</v>
      </c>
      <c r="F983" s="4">
        <f t="shared" ca="1" si="137"/>
        <v>385000</v>
      </c>
      <c r="G983" s="1" t="s">
        <v>70</v>
      </c>
      <c r="H983" s="26">
        <f t="shared" ca="1" si="135"/>
        <v>0.58972677491880088</v>
      </c>
      <c r="I983" s="4">
        <f>IF(G983="Yes",-$C$8,0)</f>
        <v>-500</v>
      </c>
      <c r="J983" s="4">
        <f>IF(G983="Yes",$C$8-I983,0)</f>
        <v>1000</v>
      </c>
      <c r="K983" s="4">
        <f ca="1">IF(H983&gt;=$C$4,J983+I983,I983)</f>
        <v>500</v>
      </c>
      <c r="M983" s="61">
        <f t="shared" si="142"/>
        <v>784</v>
      </c>
      <c r="N983" s="61">
        <f t="shared" si="143"/>
        <v>196</v>
      </c>
      <c r="O983" s="4">
        <f t="shared" si="138"/>
        <v>392000</v>
      </c>
      <c r="P983" s="4">
        <f t="shared" si="139"/>
        <v>-98000</v>
      </c>
      <c r="Q983" s="4">
        <f t="shared" si="140"/>
        <v>294000</v>
      </c>
      <c r="R983" s="4">
        <f t="shared" si="141"/>
        <v>394000</v>
      </c>
    </row>
    <row r="984" spans="5:18" x14ac:dyDescent="0.25">
      <c r="E984" s="1">
        <f t="shared" si="136"/>
        <v>981</v>
      </c>
      <c r="F984" s="4">
        <f t="shared" ca="1" si="137"/>
        <v>385500</v>
      </c>
      <c r="G984" s="1" t="s">
        <v>70</v>
      </c>
      <c r="H984" s="26">
        <f t="shared" ca="1" si="135"/>
        <v>0.97286059968731176</v>
      </c>
      <c r="I984" s="4">
        <f>IF(G984="Yes",-$C$8,0)</f>
        <v>-500</v>
      </c>
      <c r="J984" s="4">
        <f>IF(G984="Yes",$C$8-I984,0)</f>
        <v>1000</v>
      </c>
      <c r="K984" s="4">
        <f ca="1">IF(H984&gt;=$C$4,J984+I984,I984)</f>
        <v>500</v>
      </c>
      <c r="M984" s="61">
        <f t="shared" si="142"/>
        <v>784.80000000000007</v>
      </c>
      <c r="N984" s="61">
        <f t="shared" si="143"/>
        <v>196.19999999999993</v>
      </c>
      <c r="O984" s="4">
        <f t="shared" si="138"/>
        <v>392400.00000000006</v>
      </c>
      <c r="P984" s="4">
        <f t="shared" si="139"/>
        <v>-98099.999999999971</v>
      </c>
      <c r="Q984" s="4">
        <f t="shared" si="140"/>
        <v>294300.00000000012</v>
      </c>
      <c r="R984" s="4">
        <f t="shared" si="141"/>
        <v>394300.00000000012</v>
      </c>
    </row>
    <row r="985" spans="5:18" x14ac:dyDescent="0.25">
      <c r="E985" s="1">
        <f t="shared" si="136"/>
        <v>982</v>
      </c>
      <c r="F985" s="4">
        <f t="shared" ca="1" si="137"/>
        <v>386000</v>
      </c>
      <c r="G985" s="1" t="s">
        <v>70</v>
      </c>
      <c r="H985" s="26">
        <f t="shared" ca="1" si="135"/>
        <v>0.30296228368396849</v>
      </c>
      <c r="I985" s="4">
        <f>IF(G985="Yes",-$C$8,0)</f>
        <v>-500</v>
      </c>
      <c r="J985" s="4">
        <f>IF(G985="Yes",$C$8-I985,0)</f>
        <v>1000</v>
      </c>
      <c r="K985" s="4">
        <f ca="1">IF(H985&gt;=$C$4,J985+I985,I985)</f>
        <v>500</v>
      </c>
      <c r="M985" s="61">
        <f t="shared" si="142"/>
        <v>785.6</v>
      </c>
      <c r="N985" s="61">
        <f t="shared" si="143"/>
        <v>196.39999999999998</v>
      </c>
      <c r="O985" s="4">
        <f t="shared" si="138"/>
        <v>392800</v>
      </c>
      <c r="P985" s="4">
        <f t="shared" si="139"/>
        <v>-98199.999999999985</v>
      </c>
      <c r="Q985" s="4">
        <f t="shared" si="140"/>
        <v>294600</v>
      </c>
      <c r="R985" s="4">
        <f t="shared" si="141"/>
        <v>394600</v>
      </c>
    </row>
    <row r="986" spans="5:18" x14ac:dyDescent="0.25">
      <c r="E986" s="1">
        <f t="shared" si="136"/>
        <v>983</v>
      </c>
      <c r="F986" s="4">
        <f t="shared" ca="1" si="137"/>
        <v>386500</v>
      </c>
      <c r="G986" s="1" t="s">
        <v>70</v>
      </c>
      <c r="H986" s="26">
        <f t="shared" ca="1" si="135"/>
        <v>0.53922078064213241</v>
      </c>
      <c r="I986" s="4">
        <f>IF(G986="Yes",-$C$8,0)</f>
        <v>-500</v>
      </c>
      <c r="J986" s="4">
        <f>IF(G986="Yes",$C$8-I986,0)</f>
        <v>1000</v>
      </c>
      <c r="K986" s="4">
        <f ca="1">IF(H986&gt;=$C$4,J986+I986,I986)</f>
        <v>500</v>
      </c>
      <c r="M986" s="61">
        <f t="shared" si="142"/>
        <v>786.40000000000009</v>
      </c>
      <c r="N986" s="61">
        <f t="shared" si="143"/>
        <v>196.59999999999991</v>
      </c>
      <c r="O986" s="4">
        <f t="shared" si="138"/>
        <v>393200.00000000006</v>
      </c>
      <c r="P986" s="4">
        <f t="shared" si="139"/>
        <v>-98299.999999999956</v>
      </c>
      <c r="Q986" s="4">
        <f t="shared" si="140"/>
        <v>294900.00000000012</v>
      </c>
      <c r="R986" s="4">
        <f t="shared" si="141"/>
        <v>394900.00000000012</v>
      </c>
    </row>
    <row r="987" spans="5:18" x14ac:dyDescent="0.25">
      <c r="E987" s="1">
        <f t="shared" si="136"/>
        <v>984</v>
      </c>
      <c r="F987" s="4">
        <f t="shared" ca="1" si="137"/>
        <v>387000</v>
      </c>
      <c r="G987" s="1" t="s">
        <v>70</v>
      </c>
      <c r="H987" s="26">
        <f t="shared" ca="1" si="135"/>
        <v>0.63283246528094839</v>
      </c>
      <c r="I987" s="4">
        <f>IF(G987="Yes",-$C$8,0)</f>
        <v>-500</v>
      </c>
      <c r="J987" s="4">
        <f>IF(G987="Yes",$C$8-I987,0)</f>
        <v>1000</v>
      </c>
      <c r="K987" s="4">
        <f ca="1">IF(H987&gt;=$C$4,J987+I987,I987)</f>
        <v>500</v>
      </c>
      <c r="M987" s="61">
        <f t="shared" si="142"/>
        <v>787.2</v>
      </c>
      <c r="N987" s="61">
        <f t="shared" si="143"/>
        <v>196.79999999999995</v>
      </c>
      <c r="O987" s="4">
        <f t="shared" si="138"/>
        <v>393600</v>
      </c>
      <c r="P987" s="4">
        <f t="shared" si="139"/>
        <v>-98399.999999999971</v>
      </c>
      <c r="Q987" s="4">
        <f t="shared" si="140"/>
        <v>295200</v>
      </c>
      <c r="R987" s="4">
        <f t="shared" si="141"/>
        <v>395200</v>
      </c>
    </row>
    <row r="988" spans="5:18" x14ac:dyDescent="0.25">
      <c r="E988" s="1">
        <f t="shared" si="136"/>
        <v>985</v>
      </c>
      <c r="F988" s="4">
        <f t="shared" ca="1" si="137"/>
        <v>386500</v>
      </c>
      <c r="G988" s="1" t="s">
        <v>70</v>
      </c>
      <c r="H988" s="26">
        <f t="shared" ca="1" si="135"/>
        <v>0.12889132210416621</v>
      </c>
      <c r="I988" s="4">
        <f>IF(G988="Yes",-$C$8,0)</f>
        <v>-500</v>
      </c>
      <c r="J988" s="4">
        <f>IF(G988="Yes",$C$8-I988,0)</f>
        <v>1000</v>
      </c>
      <c r="K988" s="4">
        <f ca="1">IF(H988&gt;=$C$4,J988+I988,I988)</f>
        <v>-500</v>
      </c>
      <c r="M988" s="61">
        <f t="shared" si="142"/>
        <v>788</v>
      </c>
      <c r="N988" s="61">
        <f t="shared" si="143"/>
        <v>197</v>
      </c>
      <c r="O988" s="4">
        <f t="shared" si="138"/>
        <v>394000</v>
      </c>
      <c r="P988" s="4">
        <f t="shared" si="139"/>
        <v>-98500</v>
      </c>
      <c r="Q988" s="4">
        <f t="shared" si="140"/>
        <v>295500</v>
      </c>
      <c r="R988" s="4">
        <f t="shared" si="141"/>
        <v>395500</v>
      </c>
    </row>
    <row r="989" spans="5:18" x14ac:dyDescent="0.25">
      <c r="E989" s="1">
        <f t="shared" si="136"/>
        <v>986</v>
      </c>
      <c r="F989" s="4">
        <f t="shared" ca="1" si="137"/>
        <v>387000</v>
      </c>
      <c r="G989" s="1" t="s">
        <v>70</v>
      </c>
      <c r="H989" s="26">
        <f t="shared" ca="1" si="135"/>
        <v>0.87819843629368</v>
      </c>
      <c r="I989" s="4">
        <f>IF(G989="Yes",-$C$8,0)</f>
        <v>-500</v>
      </c>
      <c r="J989" s="4">
        <f>IF(G989="Yes",$C$8-I989,0)</f>
        <v>1000</v>
      </c>
      <c r="K989" s="4">
        <f ca="1">IF(H989&gt;=$C$4,J989+I989,I989)</f>
        <v>500</v>
      </c>
      <c r="M989" s="61">
        <f t="shared" si="142"/>
        <v>788.80000000000007</v>
      </c>
      <c r="N989" s="61">
        <f t="shared" si="143"/>
        <v>197.19999999999993</v>
      </c>
      <c r="O989" s="4">
        <f t="shared" si="138"/>
        <v>394400.00000000006</v>
      </c>
      <c r="P989" s="4">
        <f t="shared" si="139"/>
        <v>-98599.999999999971</v>
      </c>
      <c r="Q989" s="4">
        <f t="shared" si="140"/>
        <v>295800.00000000012</v>
      </c>
      <c r="R989" s="4">
        <f t="shared" si="141"/>
        <v>395800.00000000012</v>
      </c>
    </row>
    <row r="990" spans="5:18" x14ac:dyDescent="0.25">
      <c r="E990" s="1">
        <f t="shared" si="136"/>
        <v>987</v>
      </c>
      <c r="F990" s="4">
        <f t="shared" ca="1" si="137"/>
        <v>387500</v>
      </c>
      <c r="G990" s="1" t="s">
        <v>70</v>
      </c>
      <c r="H990" s="26">
        <f t="shared" ca="1" si="135"/>
        <v>0.97786057149303063</v>
      </c>
      <c r="I990" s="4">
        <f>IF(G990="Yes",-$C$8,0)</f>
        <v>-500</v>
      </c>
      <c r="J990" s="4">
        <f>IF(G990="Yes",$C$8-I990,0)</f>
        <v>1000</v>
      </c>
      <c r="K990" s="4">
        <f ca="1">IF(H990&gt;=$C$4,J990+I990,I990)</f>
        <v>500</v>
      </c>
      <c r="M990" s="61">
        <f t="shared" si="142"/>
        <v>789.6</v>
      </c>
      <c r="N990" s="61">
        <f t="shared" si="143"/>
        <v>197.39999999999998</v>
      </c>
      <c r="O990" s="4">
        <f t="shared" si="138"/>
        <v>394800</v>
      </c>
      <c r="P990" s="4">
        <f t="shared" si="139"/>
        <v>-98699.999999999985</v>
      </c>
      <c r="Q990" s="4">
        <f t="shared" si="140"/>
        <v>296100</v>
      </c>
      <c r="R990" s="4">
        <f t="shared" si="141"/>
        <v>396100</v>
      </c>
    </row>
    <row r="991" spans="5:18" x14ac:dyDescent="0.25">
      <c r="E991" s="1">
        <f t="shared" si="136"/>
        <v>988</v>
      </c>
      <c r="F991" s="4">
        <f t="shared" ca="1" si="137"/>
        <v>388000</v>
      </c>
      <c r="G991" s="1" t="s">
        <v>70</v>
      </c>
      <c r="H991" s="26">
        <f t="shared" ca="1" si="135"/>
        <v>0.3917402471744138</v>
      </c>
      <c r="I991" s="4">
        <f>IF(G991="Yes",-$C$8,0)</f>
        <v>-500</v>
      </c>
      <c r="J991" s="4">
        <f>IF(G991="Yes",$C$8-I991,0)</f>
        <v>1000</v>
      </c>
      <c r="K991" s="4">
        <f ca="1">IF(H991&gt;=$C$4,J991+I991,I991)</f>
        <v>500</v>
      </c>
      <c r="M991" s="61">
        <f t="shared" si="142"/>
        <v>790.40000000000009</v>
      </c>
      <c r="N991" s="61">
        <f t="shared" si="143"/>
        <v>197.59999999999991</v>
      </c>
      <c r="O991" s="4">
        <f t="shared" si="138"/>
        <v>395200.00000000006</v>
      </c>
      <c r="P991" s="4">
        <f t="shared" si="139"/>
        <v>-98799.999999999956</v>
      </c>
      <c r="Q991" s="4">
        <f t="shared" si="140"/>
        <v>296400.00000000012</v>
      </c>
      <c r="R991" s="4">
        <f t="shared" si="141"/>
        <v>396400.00000000012</v>
      </c>
    </row>
    <row r="992" spans="5:18" x14ac:dyDescent="0.25">
      <c r="E992" s="1">
        <f t="shared" si="136"/>
        <v>989</v>
      </c>
      <c r="F992" s="4">
        <f t="shared" ca="1" si="137"/>
        <v>387500</v>
      </c>
      <c r="G992" s="1" t="s">
        <v>70</v>
      </c>
      <c r="H992" s="26">
        <f t="shared" ca="1" si="135"/>
        <v>0.19903401271558219</v>
      </c>
      <c r="I992" s="4">
        <f>IF(G992="Yes",-$C$8,0)</f>
        <v>-500</v>
      </c>
      <c r="J992" s="4">
        <f>IF(G992="Yes",$C$8-I992,0)</f>
        <v>1000</v>
      </c>
      <c r="K992" s="4">
        <f ca="1">IF(H992&gt;=$C$4,J992+I992,I992)</f>
        <v>-500</v>
      </c>
      <c r="M992" s="61">
        <f t="shared" si="142"/>
        <v>791.2</v>
      </c>
      <c r="N992" s="61">
        <f t="shared" si="143"/>
        <v>197.79999999999995</v>
      </c>
      <c r="O992" s="4">
        <f t="shared" si="138"/>
        <v>395600</v>
      </c>
      <c r="P992" s="4">
        <f t="shared" si="139"/>
        <v>-98899.999999999971</v>
      </c>
      <c r="Q992" s="4">
        <f t="shared" si="140"/>
        <v>296700</v>
      </c>
      <c r="R992" s="4">
        <f t="shared" si="141"/>
        <v>396700</v>
      </c>
    </row>
    <row r="993" spans="5:18" x14ac:dyDescent="0.25">
      <c r="E993" s="1">
        <f t="shared" si="136"/>
        <v>990</v>
      </c>
      <c r="F993" s="4">
        <f t="shared" ca="1" si="137"/>
        <v>388000</v>
      </c>
      <c r="G993" s="1" t="s">
        <v>70</v>
      </c>
      <c r="H993" s="26">
        <f t="shared" ca="1" si="135"/>
        <v>0.95957844221663202</v>
      </c>
      <c r="I993" s="4">
        <f>IF(G993="Yes",-$C$8,0)</f>
        <v>-500</v>
      </c>
      <c r="J993" s="4">
        <f>IF(G993="Yes",$C$8-I993,0)</f>
        <v>1000</v>
      </c>
      <c r="K993" s="4">
        <f ca="1">IF(H993&gt;=$C$4,J993+I993,I993)</f>
        <v>500</v>
      </c>
      <c r="M993" s="61">
        <f t="shared" si="142"/>
        <v>792</v>
      </c>
      <c r="N993" s="61">
        <f t="shared" si="143"/>
        <v>198</v>
      </c>
      <c r="O993" s="4">
        <f t="shared" si="138"/>
        <v>396000</v>
      </c>
      <c r="P993" s="4">
        <f t="shared" si="139"/>
        <v>-99000</v>
      </c>
      <c r="Q993" s="4">
        <f t="shared" si="140"/>
        <v>297000</v>
      </c>
      <c r="R993" s="4">
        <f t="shared" si="141"/>
        <v>397000</v>
      </c>
    </row>
    <row r="994" spans="5:18" x14ac:dyDescent="0.25">
      <c r="E994" s="1">
        <f t="shared" si="136"/>
        <v>991</v>
      </c>
      <c r="F994" s="4">
        <f t="shared" ca="1" si="137"/>
        <v>388500</v>
      </c>
      <c r="G994" s="1" t="s">
        <v>70</v>
      </c>
      <c r="H994" s="26">
        <f t="shared" ca="1" si="135"/>
        <v>0.83563664558692863</v>
      </c>
      <c r="I994" s="4">
        <f>IF(G994="Yes",-$C$8,0)</f>
        <v>-500</v>
      </c>
      <c r="J994" s="4">
        <f>IF(G994="Yes",$C$8-I994,0)</f>
        <v>1000</v>
      </c>
      <c r="K994" s="4">
        <f ca="1">IF(H994&gt;=$C$4,J994+I994,I994)</f>
        <v>500</v>
      </c>
      <c r="M994" s="61">
        <f t="shared" si="142"/>
        <v>792.80000000000007</v>
      </c>
      <c r="N994" s="61">
        <f t="shared" si="143"/>
        <v>198.19999999999993</v>
      </c>
      <c r="O994" s="4">
        <f t="shared" si="138"/>
        <v>396400.00000000006</v>
      </c>
      <c r="P994" s="4">
        <f t="shared" si="139"/>
        <v>-99099.999999999971</v>
      </c>
      <c r="Q994" s="4">
        <f t="shared" si="140"/>
        <v>297300.00000000012</v>
      </c>
      <c r="R994" s="4">
        <f t="shared" si="141"/>
        <v>397300.00000000012</v>
      </c>
    </row>
    <row r="995" spans="5:18" x14ac:dyDescent="0.25">
      <c r="E995" s="1">
        <f t="shared" si="136"/>
        <v>992</v>
      </c>
      <c r="F995" s="4">
        <f t="shared" ca="1" si="137"/>
        <v>389000</v>
      </c>
      <c r="G995" s="1" t="s">
        <v>70</v>
      </c>
      <c r="H995" s="26">
        <f t="shared" ca="1" si="135"/>
        <v>0.43894619529155943</v>
      </c>
      <c r="I995" s="4">
        <f>IF(G995="Yes",-$C$8,0)</f>
        <v>-500</v>
      </c>
      <c r="J995" s="4">
        <f>IF(G995="Yes",$C$8-I995,0)</f>
        <v>1000</v>
      </c>
      <c r="K995" s="4">
        <f ca="1">IF(H995&gt;=$C$4,J995+I995,I995)</f>
        <v>500</v>
      </c>
      <c r="M995" s="61">
        <f t="shared" si="142"/>
        <v>793.6</v>
      </c>
      <c r="N995" s="61">
        <f t="shared" si="143"/>
        <v>198.39999999999998</v>
      </c>
      <c r="O995" s="4">
        <f t="shared" si="138"/>
        <v>396800</v>
      </c>
      <c r="P995" s="4">
        <f t="shared" si="139"/>
        <v>-99199.999999999985</v>
      </c>
      <c r="Q995" s="4">
        <f t="shared" si="140"/>
        <v>297600</v>
      </c>
      <c r="R995" s="4">
        <f t="shared" si="141"/>
        <v>397600</v>
      </c>
    </row>
    <row r="996" spans="5:18" x14ac:dyDescent="0.25">
      <c r="E996" s="1">
        <f t="shared" si="136"/>
        <v>993</v>
      </c>
      <c r="F996" s="4">
        <f t="shared" ca="1" si="137"/>
        <v>389500</v>
      </c>
      <c r="G996" s="1" t="s">
        <v>70</v>
      </c>
      <c r="H996" s="26">
        <f t="shared" ca="1" si="135"/>
        <v>0.33067792190141121</v>
      </c>
      <c r="I996" s="4">
        <f>IF(G996="Yes",-$C$8,0)</f>
        <v>-500</v>
      </c>
      <c r="J996" s="4">
        <f>IF(G996="Yes",$C$8-I996,0)</f>
        <v>1000</v>
      </c>
      <c r="K996" s="4">
        <f ca="1">IF(H996&gt;=$C$4,J996+I996,I996)</f>
        <v>500</v>
      </c>
      <c r="M996" s="61">
        <f t="shared" si="142"/>
        <v>794.40000000000009</v>
      </c>
      <c r="N996" s="61">
        <f t="shared" si="143"/>
        <v>198.59999999999991</v>
      </c>
      <c r="O996" s="4">
        <f t="shared" si="138"/>
        <v>397200.00000000006</v>
      </c>
      <c r="P996" s="4">
        <f t="shared" si="139"/>
        <v>-99299.999999999956</v>
      </c>
      <c r="Q996" s="4">
        <f t="shared" si="140"/>
        <v>297900.00000000012</v>
      </c>
      <c r="R996" s="4">
        <f t="shared" si="141"/>
        <v>397900.00000000012</v>
      </c>
    </row>
    <row r="997" spans="5:18" x14ac:dyDescent="0.25">
      <c r="E997" s="1">
        <f t="shared" si="136"/>
        <v>994</v>
      </c>
      <c r="F997" s="4">
        <f t="shared" ca="1" si="137"/>
        <v>390000</v>
      </c>
      <c r="G997" s="1" t="s">
        <v>70</v>
      </c>
      <c r="H997" s="26">
        <f t="shared" ca="1" si="135"/>
        <v>0.70696617744744827</v>
      </c>
      <c r="I997" s="4">
        <f>IF(G997="Yes",-$C$8,0)</f>
        <v>-500</v>
      </c>
      <c r="J997" s="4">
        <f>IF(G997="Yes",$C$8-I997,0)</f>
        <v>1000</v>
      </c>
      <c r="K997" s="4">
        <f ca="1">IF(H997&gt;=$C$4,J997+I997,I997)</f>
        <v>500</v>
      </c>
      <c r="M997" s="61">
        <f t="shared" si="142"/>
        <v>795.2</v>
      </c>
      <c r="N997" s="61">
        <f t="shared" si="143"/>
        <v>198.79999999999995</v>
      </c>
      <c r="O997" s="4">
        <f t="shared" si="138"/>
        <v>397600</v>
      </c>
      <c r="P997" s="4">
        <f t="shared" si="139"/>
        <v>-99399.999999999971</v>
      </c>
      <c r="Q997" s="4">
        <f t="shared" si="140"/>
        <v>298200</v>
      </c>
      <c r="R997" s="4">
        <f t="shared" si="141"/>
        <v>398200</v>
      </c>
    </row>
    <row r="998" spans="5:18" x14ac:dyDescent="0.25">
      <c r="E998" s="1">
        <f t="shared" si="136"/>
        <v>995</v>
      </c>
      <c r="F998" s="4">
        <f t="shared" ca="1" si="137"/>
        <v>390500</v>
      </c>
      <c r="G998" s="1" t="s">
        <v>70</v>
      </c>
      <c r="H998" s="26">
        <f t="shared" ca="1" si="135"/>
        <v>0.82697656417571885</v>
      </c>
      <c r="I998" s="4">
        <f>IF(G998="Yes",-$C$8,0)</f>
        <v>-500</v>
      </c>
      <c r="J998" s="4">
        <f>IF(G998="Yes",$C$8-I998,0)</f>
        <v>1000</v>
      </c>
      <c r="K998" s="4">
        <f ca="1">IF(H998&gt;=$C$4,J998+I998,I998)</f>
        <v>500</v>
      </c>
      <c r="M998" s="61">
        <f t="shared" si="142"/>
        <v>796</v>
      </c>
      <c r="N998" s="61">
        <f t="shared" si="143"/>
        <v>199</v>
      </c>
      <c r="O998" s="4">
        <f t="shared" si="138"/>
        <v>398000</v>
      </c>
      <c r="P998" s="4">
        <f t="shared" si="139"/>
        <v>-99500</v>
      </c>
      <c r="Q998" s="4">
        <f t="shared" si="140"/>
        <v>298500</v>
      </c>
      <c r="R998" s="4">
        <f t="shared" si="141"/>
        <v>398500</v>
      </c>
    </row>
    <row r="999" spans="5:18" x14ac:dyDescent="0.25">
      <c r="E999" s="1">
        <f t="shared" si="136"/>
        <v>996</v>
      </c>
      <c r="F999" s="4">
        <f t="shared" ca="1" si="137"/>
        <v>390000</v>
      </c>
      <c r="G999" s="1" t="s">
        <v>70</v>
      </c>
      <c r="H999" s="26">
        <f t="shared" ca="1" si="135"/>
        <v>8.3032018136980246E-2</v>
      </c>
      <c r="I999" s="4">
        <f>IF(G999="Yes",-$C$8,0)</f>
        <v>-500</v>
      </c>
      <c r="J999" s="4">
        <f>IF(G999="Yes",$C$8-I999,0)</f>
        <v>1000</v>
      </c>
      <c r="K999" s="4">
        <f ca="1">IF(H999&gt;=$C$4,J999+I999,I999)</f>
        <v>-500</v>
      </c>
      <c r="M999" s="61">
        <f t="shared" si="142"/>
        <v>796.80000000000007</v>
      </c>
      <c r="N999" s="61">
        <f t="shared" si="143"/>
        <v>199.19999999999993</v>
      </c>
      <c r="O999" s="4">
        <f t="shared" si="138"/>
        <v>398400.00000000006</v>
      </c>
      <c r="P999" s="4">
        <f t="shared" si="139"/>
        <v>-99599.999999999971</v>
      </c>
      <c r="Q999" s="4">
        <f t="shared" si="140"/>
        <v>298800.00000000012</v>
      </c>
      <c r="R999" s="4">
        <f t="shared" si="141"/>
        <v>398800.00000000012</v>
      </c>
    </row>
    <row r="1000" spans="5:18" x14ac:dyDescent="0.25">
      <c r="E1000" s="1">
        <f t="shared" si="136"/>
        <v>997</v>
      </c>
      <c r="F1000" s="4">
        <f t="shared" ca="1" si="137"/>
        <v>390500</v>
      </c>
      <c r="G1000" s="1" t="s">
        <v>70</v>
      </c>
      <c r="H1000" s="26">
        <f t="shared" ca="1" si="135"/>
        <v>0.4956695961652805</v>
      </c>
      <c r="I1000" s="4">
        <f>IF(G1000="Yes",-$C$8,0)</f>
        <v>-500</v>
      </c>
      <c r="J1000" s="4">
        <f>IF(G1000="Yes",$C$8-I1000,0)</f>
        <v>1000</v>
      </c>
      <c r="K1000" s="4">
        <f ca="1">IF(H1000&gt;=$C$4,J1000+I1000,I1000)</f>
        <v>500</v>
      </c>
      <c r="M1000" s="61">
        <f t="shared" si="142"/>
        <v>797.6</v>
      </c>
      <c r="N1000" s="61">
        <f t="shared" si="143"/>
        <v>199.39999999999998</v>
      </c>
      <c r="O1000" s="4">
        <f t="shared" si="138"/>
        <v>398800</v>
      </c>
      <c r="P1000" s="4">
        <f t="shared" si="139"/>
        <v>-99699.999999999985</v>
      </c>
      <c r="Q1000" s="4">
        <f t="shared" si="140"/>
        <v>299100</v>
      </c>
      <c r="R1000" s="4">
        <f t="shared" si="141"/>
        <v>399100</v>
      </c>
    </row>
    <row r="1001" spans="5:18" x14ac:dyDescent="0.25">
      <c r="E1001" s="1">
        <f t="shared" si="136"/>
        <v>998</v>
      </c>
      <c r="F1001" s="4">
        <f t="shared" ca="1" si="137"/>
        <v>390000</v>
      </c>
      <c r="G1001" s="1" t="s">
        <v>70</v>
      </c>
      <c r="H1001" s="26">
        <f t="shared" ca="1" si="135"/>
        <v>0.15385981631048762</v>
      </c>
      <c r="I1001" s="4">
        <f>IF(G1001="Yes",-$C$8,0)</f>
        <v>-500</v>
      </c>
      <c r="J1001" s="4">
        <f>IF(G1001="Yes",$C$8-I1001,0)</f>
        <v>1000</v>
      </c>
      <c r="K1001" s="4">
        <f ca="1">IF(H1001&gt;=$C$4,J1001+I1001,I1001)</f>
        <v>-500</v>
      </c>
      <c r="M1001" s="61">
        <f t="shared" si="142"/>
        <v>798.40000000000009</v>
      </c>
      <c r="N1001" s="61">
        <f t="shared" si="143"/>
        <v>199.59999999999991</v>
      </c>
      <c r="O1001" s="4">
        <f t="shared" si="138"/>
        <v>399200.00000000006</v>
      </c>
      <c r="P1001" s="4">
        <f t="shared" si="139"/>
        <v>-99799.999999999956</v>
      </c>
      <c r="Q1001" s="4">
        <f t="shared" si="140"/>
        <v>299400.00000000012</v>
      </c>
      <c r="R1001" s="4">
        <f t="shared" si="141"/>
        <v>399400.00000000012</v>
      </c>
    </row>
    <row r="1002" spans="5:18" x14ac:dyDescent="0.25">
      <c r="E1002" s="1">
        <f t="shared" si="136"/>
        <v>999</v>
      </c>
      <c r="F1002" s="4">
        <f t="shared" ca="1" si="137"/>
        <v>390500</v>
      </c>
      <c r="G1002" s="1" t="s">
        <v>70</v>
      </c>
      <c r="H1002" s="26">
        <f t="shared" ca="1" si="135"/>
        <v>0.2977110404072365</v>
      </c>
      <c r="I1002" s="4">
        <f>IF(G1002="Yes",-$C$8,0)</f>
        <v>-500</v>
      </c>
      <c r="J1002" s="4">
        <f>IF(G1002="Yes",$C$8-I1002,0)</f>
        <v>1000</v>
      </c>
      <c r="K1002" s="4">
        <f ca="1">IF(H1002&gt;=$C$4,J1002+I1002,I1002)</f>
        <v>500</v>
      </c>
      <c r="M1002" s="61">
        <f t="shared" si="142"/>
        <v>799.2</v>
      </c>
      <c r="N1002" s="61">
        <f t="shared" si="143"/>
        <v>199.79999999999995</v>
      </c>
      <c r="O1002" s="4">
        <f t="shared" si="138"/>
        <v>399600</v>
      </c>
      <c r="P1002" s="4">
        <f t="shared" si="139"/>
        <v>-99899.999999999971</v>
      </c>
      <c r="Q1002" s="4">
        <f t="shared" si="140"/>
        <v>299700</v>
      </c>
      <c r="R1002" s="4">
        <f t="shared" si="141"/>
        <v>399700</v>
      </c>
    </row>
    <row r="1003" spans="5:18" x14ac:dyDescent="0.25">
      <c r="E1003" s="1">
        <f t="shared" si="136"/>
        <v>1000</v>
      </c>
      <c r="F1003" s="4">
        <f t="shared" ca="1" si="137"/>
        <v>391000</v>
      </c>
      <c r="G1003" s="1" t="s">
        <v>70</v>
      </c>
      <c r="H1003" s="26">
        <f t="shared" ca="1" si="135"/>
        <v>0.74567359800054323</v>
      </c>
      <c r="I1003" s="4">
        <f>IF(G1003="Yes",-$C$8,0)</f>
        <v>-500</v>
      </c>
      <c r="J1003" s="4">
        <f>IF(G1003="Yes",$C$8-I1003,0)</f>
        <v>1000</v>
      </c>
      <c r="K1003" s="4">
        <f ca="1">IF(H1003&gt;=$C$4,J1003+I1003,I1003)</f>
        <v>500</v>
      </c>
      <c r="M1003" s="61">
        <f t="shared" si="142"/>
        <v>800</v>
      </c>
      <c r="N1003" s="61">
        <f t="shared" si="143"/>
        <v>200</v>
      </c>
      <c r="O1003" s="4">
        <f t="shared" si="138"/>
        <v>400000</v>
      </c>
      <c r="P1003" s="4">
        <f t="shared" si="139"/>
        <v>-100000</v>
      </c>
      <c r="Q1003" s="4">
        <f t="shared" si="140"/>
        <v>300000</v>
      </c>
      <c r="R1003" s="4">
        <f t="shared" si="141"/>
        <v>400000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256"/>
  <sheetViews>
    <sheetView showGridLines="0" workbookViewId="0">
      <pane ySplit="10" topLeftCell="A490" activePane="bottomLeft" state="frozenSplit"/>
      <selection pane="bottomLeft" activeCell="E7" sqref="E7"/>
    </sheetView>
  </sheetViews>
  <sheetFormatPr defaultRowHeight="15" x14ac:dyDescent="0.25"/>
  <cols>
    <col min="1" max="1" width="23.42578125" bestFit="1" customWidth="1"/>
    <col min="2" max="2" width="13.140625" customWidth="1"/>
    <col min="3" max="3" width="7.7109375" style="1" customWidth="1"/>
    <col min="4" max="4" width="31" style="1" bestFit="1" customWidth="1"/>
    <col min="5" max="5" width="10.85546875" customWidth="1"/>
    <col min="6" max="7" width="11.7109375" customWidth="1"/>
    <col min="9" max="9" width="13.85546875" style="1" customWidth="1"/>
    <col min="10" max="12" width="14" customWidth="1"/>
    <col min="13" max="13" width="13.5703125" customWidth="1"/>
    <col min="14" max="15" width="13.5703125" style="1" customWidth="1"/>
    <col min="18" max="18" width="11.5703125" bestFit="1" customWidth="1"/>
  </cols>
  <sheetData>
    <row r="1" spans="1:28" x14ac:dyDescent="0.25">
      <c r="A1" t="s">
        <v>38</v>
      </c>
      <c r="B1" s="25">
        <v>0.51</v>
      </c>
      <c r="D1" s="37" t="s">
        <v>35</v>
      </c>
      <c r="E1" s="38">
        <f ca="1">COUNTIF(E12:E1011,"&gt;0")</f>
        <v>520</v>
      </c>
      <c r="F1" s="38"/>
      <c r="G1" s="38"/>
      <c r="I1" s="32" t="s">
        <v>24</v>
      </c>
      <c r="J1" s="33"/>
      <c r="K1" s="33"/>
      <c r="AA1" s="29">
        <v>0</v>
      </c>
      <c r="AB1">
        <v>0</v>
      </c>
    </row>
    <row r="2" spans="1:28" x14ac:dyDescent="0.25">
      <c r="A2" t="s">
        <v>39</v>
      </c>
      <c r="B2" s="25">
        <f>1-B1</f>
        <v>0.49</v>
      </c>
      <c r="D2" s="37" t="s">
        <v>36</v>
      </c>
      <c r="E2" s="38">
        <f ca="1">COUNTIF(E12:E1011,"&lt;0")</f>
        <v>480</v>
      </c>
      <c r="F2" s="38"/>
      <c r="G2" s="38"/>
      <c r="I2" s="31" t="s">
        <v>26</v>
      </c>
      <c r="K2" s="5">
        <f>AVERAGE(M10:M509)</f>
        <v>8.7995991983967944E-2</v>
      </c>
      <c r="O2" s="37" t="s">
        <v>53</v>
      </c>
      <c r="R2" s="3">
        <f>($E$5+$E$6)*$B$4-(1000-($E$5+$E$6))*$B$4-$B$3</f>
        <v>-74191.774293109338</v>
      </c>
      <c r="U2" t="s">
        <v>59</v>
      </c>
    </row>
    <row r="3" spans="1:28" x14ac:dyDescent="0.25">
      <c r="A3" t="s">
        <v>40</v>
      </c>
      <c r="B3" s="3">
        <v>100000</v>
      </c>
      <c r="D3" s="37" t="s">
        <v>48</v>
      </c>
      <c r="E3" s="38">
        <f>B3/B4</f>
        <v>200</v>
      </c>
      <c r="F3" s="38"/>
      <c r="G3" s="38"/>
      <c r="I3" s="31" t="s">
        <v>25</v>
      </c>
      <c r="K3" s="5">
        <f>MIN(M11:M510)</f>
        <v>-0.33999999999999997</v>
      </c>
      <c r="O3" s="37" t="s">
        <v>54</v>
      </c>
      <c r="R3" s="3">
        <f>($E$5-$E$6)*$B$4-(1000-($E$5-$E$6))*$B$4-$B$3</f>
        <v>-105808.22570689069</v>
      </c>
    </row>
    <row r="4" spans="1:28" x14ac:dyDescent="0.25">
      <c r="A4" t="s">
        <v>41</v>
      </c>
      <c r="B4" s="3">
        <v>500</v>
      </c>
      <c r="D4" s="37" t="s">
        <v>47</v>
      </c>
      <c r="E4" s="38">
        <f>MAX(A1011/2-E3/2,0)</f>
        <v>400</v>
      </c>
      <c r="F4" s="43"/>
      <c r="G4" s="38"/>
      <c r="I4" s="31" t="s">
        <v>27</v>
      </c>
      <c r="K4" s="5">
        <f>MAX(M11:M510)</f>
        <v>0.54</v>
      </c>
      <c r="O4" s="37" t="s">
        <v>55</v>
      </c>
      <c r="R4" s="3">
        <f>($E$5+2*$E$6)*$B$4-(1000-($E$5+2*$E$6))*$B$4-$B$3</f>
        <v>-58383.548586218589</v>
      </c>
    </row>
    <row r="5" spans="1:28" x14ac:dyDescent="0.25">
      <c r="A5" t="s">
        <v>18</v>
      </c>
      <c r="B5" s="3">
        <f ca="1">B1011</f>
        <v>120000</v>
      </c>
      <c r="D5" s="37" t="s">
        <v>51</v>
      </c>
      <c r="E5" s="38">
        <f>$A$1011*$B$1</f>
        <v>510</v>
      </c>
      <c r="I5" s="31" t="s">
        <v>28</v>
      </c>
      <c r="K5" s="5">
        <f>STDEV(M11:M510)</f>
        <v>0.15362912946065163</v>
      </c>
      <c r="O5" s="37" t="s">
        <v>56</v>
      </c>
      <c r="R5" s="3">
        <f>($E$5-2*$E$6)*$B$4-(1000-($E$5-2*$E$6))*$B$4-$B$3</f>
        <v>-121616.45141378144</v>
      </c>
    </row>
    <row r="6" spans="1:28" x14ac:dyDescent="0.25">
      <c r="A6" t="s">
        <v>42</v>
      </c>
      <c r="B6" s="3">
        <f ca="1">MIN(B11:B1011)</f>
        <v>99000</v>
      </c>
      <c r="D6" s="37" t="s">
        <v>52</v>
      </c>
      <c r="E6" s="43">
        <f>SQRT($A$1011*$B$1*$B$2)</f>
        <v>15.808225706890701</v>
      </c>
      <c r="K6" s="2"/>
      <c r="O6" s="37" t="s">
        <v>55</v>
      </c>
      <c r="R6" s="3">
        <f>($E$5+2*$E$6)*$B$4-(1000-($E$5+2*$E$6))*$B$4-$B$3</f>
        <v>-58383.548586218589</v>
      </c>
    </row>
    <row r="7" spans="1:28" x14ac:dyDescent="0.25">
      <c r="A7" t="s">
        <v>43</v>
      </c>
      <c r="B7" s="3">
        <f ca="1">MAX(B11:B1011)</f>
        <v>130500</v>
      </c>
      <c r="D7" s="37" t="s">
        <v>57</v>
      </c>
      <c r="E7" s="3">
        <f>E5*B4-($A$1011-E5)*B4</f>
        <v>10000</v>
      </c>
      <c r="I7" s="31" t="s">
        <v>20</v>
      </c>
      <c r="K7" s="7">
        <f>SUM(N10:N509)/500</f>
        <v>0</v>
      </c>
      <c r="O7" s="37" t="s">
        <v>56</v>
      </c>
      <c r="R7" s="3">
        <f>($E$5-2*$E$6)*$B$4-(1000-($E$5-2*$E$6))*$B$4-$B$3</f>
        <v>-121616.45141378144</v>
      </c>
    </row>
    <row r="8" spans="1:28" x14ac:dyDescent="0.25">
      <c r="A8" t="s">
        <v>37</v>
      </c>
      <c r="B8" s="3">
        <f ca="1">B5-B3</f>
        <v>20000</v>
      </c>
      <c r="D8" s="37" t="s">
        <v>58</v>
      </c>
      <c r="E8" s="3">
        <f>E6*2*B4</f>
        <v>15808.2257068907</v>
      </c>
      <c r="I8" s="31" t="s">
        <v>21</v>
      </c>
      <c r="K8" s="7">
        <f>SUM(O11:O510)/500</f>
        <v>0</v>
      </c>
    </row>
    <row r="9" spans="1:28" x14ac:dyDescent="0.25">
      <c r="D9" s="43"/>
      <c r="I9" s="31"/>
      <c r="K9" s="7"/>
    </row>
    <row r="10" spans="1:28" ht="30" x14ac:dyDescent="0.25">
      <c r="A10" s="8" t="s">
        <v>3</v>
      </c>
      <c r="B10" s="11" t="s">
        <v>44</v>
      </c>
      <c r="C10" s="8" t="s">
        <v>8</v>
      </c>
      <c r="D10" s="10" t="s">
        <v>45</v>
      </c>
      <c r="E10" s="9" t="s">
        <v>17</v>
      </c>
      <c r="F10" s="39" t="s">
        <v>49</v>
      </c>
      <c r="G10" s="40" t="s">
        <v>50</v>
      </c>
      <c r="I10" s="8" t="s">
        <v>19</v>
      </c>
      <c r="J10" s="11" t="s">
        <v>18</v>
      </c>
      <c r="K10" s="11" t="s">
        <v>42</v>
      </c>
      <c r="L10" s="11" t="s">
        <v>46</v>
      </c>
      <c r="M10" s="11" t="s">
        <v>24</v>
      </c>
      <c r="N10" s="10" t="s">
        <v>22</v>
      </c>
      <c r="O10" s="10" t="s">
        <v>23</v>
      </c>
    </row>
    <row r="11" spans="1:28" x14ac:dyDescent="0.25">
      <c r="A11" s="1">
        <v>0</v>
      </c>
      <c r="B11" s="3">
        <f>B3</f>
        <v>100000</v>
      </c>
      <c r="C11" s="28"/>
      <c r="D11" s="28"/>
      <c r="E11" s="27"/>
      <c r="F11" s="42">
        <f>_xlfn.BINOM.DIST(A11,$A$1011,$B$1,FALSE)</f>
        <v>0</v>
      </c>
      <c r="G11" s="41">
        <f>SUM(F$11:F11)</f>
        <v>0</v>
      </c>
      <c r="I11" s="1">
        <v>1</v>
      </c>
      <c r="J11" s="3">
        <v>109000</v>
      </c>
      <c r="K11" s="3">
        <v>99000</v>
      </c>
      <c r="L11" s="3">
        <v>117500</v>
      </c>
      <c r="M11" s="30">
        <f>J11/$B$3-1</f>
        <v>9.000000000000008E-2</v>
      </c>
      <c r="N11" s="1" t="str">
        <f>IF(K11&lt;=0,1,"")</f>
        <v/>
      </c>
      <c r="O11" s="1" t="str">
        <f>IF(J11&lt;=0,1,"")</f>
        <v/>
      </c>
    </row>
    <row r="12" spans="1:28" x14ac:dyDescent="0.25">
      <c r="A12" s="1">
        <f>A11+1</f>
        <v>1</v>
      </c>
      <c r="B12" s="3">
        <f ca="1">B11+E12</f>
        <v>99500</v>
      </c>
      <c r="C12" s="26">
        <f ca="1">RAND()</f>
        <v>9.7648528519585165E-2</v>
      </c>
      <c r="D12" s="26" t="str">
        <f ca="1">IF(C12&gt;$B$2,"Win","Lose")</f>
        <v>Lose</v>
      </c>
      <c r="E12" s="3">
        <f ca="1">IF(D12="Win",$B$4,-$B$4)</f>
        <v>-500</v>
      </c>
      <c r="F12" s="42">
        <f t="shared" ref="F12:F75" si="0">_xlfn.BINOM.DIST(A12,$A$1011,$B$1,FALSE)</f>
        <v>1.6347604589088504E-307</v>
      </c>
      <c r="G12" s="41">
        <f>SUM(F$11:F12)</f>
        <v>1.6363311111144684E-307</v>
      </c>
      <c r="I12" s="1">
        <f>I11+1</f>
        <v>2</v>
      </c>
      <c r="J12" s="3">
        <v>124000</v>
      </c>
      <c r="K12" s="3">
        <v>92500</v>
      </c>
      <c r="L12" s="3">
        <v>125000</v>
      </c>
      <c r="M12" s="30">
        <f t="shared" ref="M12:M75" si="1">J12/$B$3-1</f>
        <v>0.24</v>
      </c>
      <c r="N12" s="1" t="str">
        <f t="shared" ref="N12:N75" si="2">IF(K12&lt;=0,1,"")</f>
        <v/>
      </c>
      <c r="O12" s="1" t="str">
        <f t="shared" ref="O12:O75" si="3">IF(J12&lt;=0,1,"")</f>
        <v/>
      </c>
    </row>
    <row r="13" spans="1:28" x14ac:dyDescent="0.25">
      <c r="A13" s="1">
        <f>A12+1</f>
        <v>2</v>
      </c>
      <c r="B13" s="3">
        <f ca="1">B12+E13</f>
        <v>99000</v>
      </c>
      <c r="C13" s="26">
        <f ca="1">RAND()</f>
        <v>4.8321172062184226E-2</v>
      </c>
      <c r="D13" s="26" t="str">
        <f t="shared" ref="D13:D76" ca="1" si="4">IF(C13&gt;$B$2,"Win","Lose")</f>
        <v>Lose</v>
      </c>
      <c r="E13" s="3">
        <f ca="1">IF(D13="Win",$B$4,-$B$4)</f>
        <v>-500</v>
      </c>
      <c r="F13" s="42">
        <f t="shared" si="0"/>
        <v>8.4989194511168354E-305</v>
      </c>
      <c r="G13" s="41">
        <f>SUM(F$11:F13)</f>
        <v>8.5152827622279803E-305</v>
      </c>
      <c r="I13" s="1">
        <f>I12+1</f>
        <v>3</v>
      </c>
      <c r="J13" s="3">
        <v>107000</v>
      </c>
      <c r="K13" s="3">
        <v>94000</v>
      </c>
      <c r="L13" s="3">
        <v>109500</v>
      </c>
      <c r="M13" s="30">
        <f t="shared" si="1"/>
        <v>7.0000000000000062E-2</v>
      </c>
      <c r="N13" s="1" t="str">
        <f t="shared" si="2"/>
        <v/>
      </c>
      <c r="O13" s="1" t="str">
        <f t="shared" si="3"/>
        <v/>
      </c>
    </row>
    <row r="14" spans="1:28" x14ac:dyDescent="0.25">
      <c r="A14" s="1">
        <f t="shared" ref="A14:A77" si="5">A13+1</f>
        <v>3</v>
      </c>
      <c r="B14" s="3">
        <f t="shared" ref="B14:B77" ca="1" si="6">B13+E14</f>
        <v>99500</v>
      </c>
      <c r="C14" s="26">
        <f t="shared" ref="C14:C77" ca="1" si="7">RAND()</f>
        <v>0.5718759655786434</v>
      </c>
      <c r="D14" s="26" t="str">
        <f t="shared" ca="1" si="4"/>
        <v>Win</v>
      </c>
      <c r="E14" s="3">
        <f t="shared" ref="E14:E77" ca="1" si="8">IF(D14="Win",$B$4,-$B$4)</f>
        <v>500</v>
      </c>
      <c r="F14" s="42">
        <f t="shared" si="0"/>
        <v>2.942707498115061E-302</v>
      </c>
      <c r="G14" s="41">
        <f>SUM(F$11:F14)</f>
        <v>2.9512227808772891E-302</v>
      </c>
      <c r="I14" s="1">
        <f t="shared" ref="I14:I77" si="9">I13+1</f>
        <v>4</v>
      </c>
      <c r="J14" s="3">
        <v>102000</v>
      </c>
      <c r="K14" s="3">
        <v>88500</v>
      </c>
      <c r="L14" s="3">
        <v>108000</v>
      </c>
      <c r="M14" s="30">
        <f t="shared" si="1"/>
        <v>2.0000000000000018E-2</v>
      </c>
      <c r="N14" s="1" t="str">
        <f t="shared" si="2"/>
        <v/>
      </c>
      <c r="O14" s="1" t="str">
        <f t="shared" si="3"/>
        <v/>
      </c>
    </row>
    <row r="15" spans="1:28" x14ac:dyDescent="0.25">
      <c r="A15" s="1">
        <f t="shared" si="5"/>
        <v>4</v>
      </c>
      <c r="B15" s="3">
        <f t="shared" ca="1" si="6"/>
        <v>99000</v>
      </c>
      <c r="C15" s="26">
        <f t="shared" ca="1" si="7"/>
        <v>0.15657287505442286</v>
      </c>
      <c r="D15" s="26" t="str">
        <f t="shared" ca="1" si="4"/>
        <v>Lose</v>
      </c>
      <c r="E15" s="3">
        <f t="shared" ca="1" si="8"/>
        <v>-500</v>
      </c>
      <c r="F15" s="42">
        <f t="shared" si="0"/>
        <v>7.6340738855432798E-300</v>
      </c>
      <c r="G15" s="41">
        <f>SUM(F$11:F15)</f>
        <v>7.6635861133520531E-300</v>
      </c>
      <c r="I15" s="1">
        <f t="shared" si="9"/>
        <v>5</v>
      </c>
      <c r="J15" s="3">
        <v>121000</v>
      </c>
      <c r="K15" s="3">
        <v>99500</v>
      </c>
      <c r="L15" s="3">
        <v>127500</v>
      </c>
      <c r="M15" s="30">
        <f t="shared" si="1"/>
        <v>0.20999999999999996</v>
      </c>
      <c r="N15" s="1" t="str">
        <f t="shared" si="2"/>
        <v/>
      </c>
      <c r="O15" s="1" t="str">
        <f t="shared" si="3"/>
        <v/>
      </c>
    </row>
    <row r="16" spans="1:28" x14ac:dyDescent="0.25">
      <c r="A16" s="1">
        <f t="shared" si="5"/>
        <v>5</v>
      </c>
      <c r="B16" s="3">
        <f t="shared" ca="1" si="6"/>
        <v>99500</v>
      </c>
      <c r="C16" s="26">
        <f t="shared" ca="1" si="7"/>
        <v>0.98908467938196531</v>
      </c>
      <c r="D16" s="26" t="str">
        <f t="shared" ca="1" si="4"/>
        <v>Win</v>
      </c>
      <c r="E16" s="3">
        <f t="shared" ca="1" si="8"/>
        <v>500</v>
      </c>
      <c r="F16" s="42">
        <f t="shared" si="0"/>
        <v>1.5827772126125752E-297</v>
      </c>
      <c r="G16" s="41">
        <f>SUM(F$11:F16)</f>
        <v>1.5904407987259274E-297</v>
      </c>
      <c r="I16" s="1">
        <f t="shared" si="9"/>
        <v>6</v>
      </c>
      <c r="J16" s="3">
        <v>130000</v>
      </c>
      <c r="K16" s="3">
        <v>99500</v>
      </c>
      <c r="L16" s="3">
        <v>136500</v>
      </c>
      <c r="M16" s="30">
        <f t="shared" si="1"/>
        <v>0.30000000000000004</v>
      </c>
      <c r="N16" s="1" t="str">
        <f t="shared" si="2"/>
        <v/>
      </c>
      <c r="O16" s="1" t="str">
        <f t="shared" si="3"/>
        <v/>
      </c>
    </row>
    <row r="17" spans="1:15" x14ac:dyDescent="0.25">
      <c r="A17" s="1">
        <f t="shared" si="5"/>
        <v>6</v>
      </c>
      <c r="B17" s="3">
        <f t="shared" ca="1" si="6"/>
        <v>100000</v>
      </c>
      <c r="C17" s="26">
        <f t="shared" ca="1" si="7"/>
        <v>0.91905409026021678</v>
      </c>
      <c r="D17" s="26" t="str">
        <f t="shared" ca="1" si="4"/>
        <v>Win</v>
      </c>
      <c r="E17" s="3">
        <f t="shared" ca="1" si="8"/>
        <v>500</v>
      </c>
      <c r="F17" s="42">
        <f t="shared" si="0"/>
        <v>2.7319057705451367E-295</v>
      </c>
      <c r="G17" s="41">
        <f>SUM(F$11:F17)</f>
        <v>2.7478101785323959E-295</v>
      </c>
      <c r="I17" s="1">
        <f t="shared" si="9"/>
        <v>7</v>
      </c>
      <c r="J17" s="3">
        <v>134000</v>
      </c>
      <c r="K17" s="3">
        <v>100000</v>
      </c>
      <c r="L17" s="3">
        <v>134500</v>
      </c>
      <c r="M17" s="30">
        <f t="shared" si="1"/>
        <v>0.34000000000000008</v>
      </c>
      <c r="N17" s="1" t="str">
        <f t="shared" si="2"/>
        <v/>
      </c>
      <c r="O17" s="1" t="str">
        <f t="shared" si="3"/>
        <v/>
      </c>
    </row>
    <row r="18" spans="1:15" x14ac:dyDescent="0.25">
      <c r="A18" s="1">
        <f t="shared" si="5"/>
        <v>7</v>
      </c>
      <c r="B18" s="3">
        <f t="shared" ca="1" si="6"/>
        <v>100500</v>
      </c>
      <c r="C18" s="26">
        <f t="shared" ca="1" si="7"/>
        <v>0.62594337528376331</v>
      </c>
      <c r="D18" s="26" t="str">
        <f t="shared" ca="1" si="4"/>
        <v>Win</v>
      </c>
      <c r="E18" s="3">
        <f t="shared" ca="1" si="8"/>
        <v>500</v>
      </c>
      <c r="F18" s="42">
        <f t="shared" si="0"/>
        <v>4.0376452225077588E-293</v>
      </c>
      <c r="G18" s="41">
        <f>SUM(F$11:F18)</f>
        <v>4.0651233242930829E-293</v>
      </c>
      <c r="I18" s="1">
        <f t="shared" si="9"/>
        <v>8</v>
      </c>
      <c r="J18" s="3">
        <v>110000</v>
      </c>
      <c r="K18" s="3">
        <v>98000</v>
      </c>
      <c r="L18" s="3">
        <v>125500</v>
      </c>
      <c r="M18" s="30">
        <f t="shared" si="1"/>
        <v>0.10000000000000009</v>
      </c>
      <c r="N18" s="1" t="str">
        <f t="shared" si="2"/>
        <v/>
      </c>
      <c r="O18" s="1" t="str">
        <f t="shared" si="3"/>
        <v/>
      </c>
    </row>
    <row r="19" spans="1:15" x14ac:dyDescent="0.25">
      <c r="A19" s="1">
        <f t="shared" si="5"/>
        <v>8</v>
      </c>
      <c r="B19" s="3">
        <f t="shared" ca="1" si="6"/>
        <v>101000</v>
      </c>
      <c r="C19" s="26">
        <f t="shared" ca="1" si="7"/>
        <v>0.53514842277034491</v>
      </c>
      <c r="D19" s="26" t="str">
        <f t="shared" ca="1" si="4"/>
        <v>Win</v>
      </c>
      <c r="E19" s="3">
        <f t="shared" ca="1" si="8"/>
        <v>500</v>
      </c>
      <c r="F19" s="42">
        <f t="shared" si="0"/>
        <v>5.216287423557375E-291</v>
      </c>
      <c r="G19" s="41">
        <f>SUM(F$11:F19)</f>
        <v>5.2569386568003056E-291</v>
      </c>
      <c r="I19" s="1">
        <f t="shared" si="9"/>
        <v>9</v>
      </c>
      <c r="J19" s="3">
        <v>103000</v>
      </c>
      <c r="K19" s="3">
        <v>100000</v>
      </c>
      <c r="L19" s="3">
        <v>112000</v>
      </c>
      <c r="M19" s="30">
        <f t="shared" si="1"/>
        <v>3.0000000000000027E-2</v>
      </c>
      <c r="N19" s="1" t="str">
        <f t="shared" si="2"/>
        <v/>
      </c>
      <c r="O19" s="1" t="str">
        <f t="shared" si="3"/>
        <v/>
      </c>
    </row>
    <row r="20" spans="1:15" x14ac:dyDescent="0.25">
      <c r="A20" s="1">
        <f t="shared" si="5"/>
        <v>9</v>
      </c>
      <c r="B20" s="3">
        <f t="shared" ca="1" si="6"/>
        <v>101500</v>
      </c>
      <c r="C20" s="26">
        <f t="shared" ca="1" si="7"/>
        <v>0.83202435159130039</v>
      </c>
      <c r="D20" s="26" t="str">
        <f t="shared" ca="1" si="4"/>
        <v>Win</v>
      </c>
      <c r="E20" s="3">
        <f t="shared" ca="1" si="8"/>
        <v>500</v>
      </c>
      <c r="F20" s="42">
        <f t="shared" si="0"/>
        <v>5.9841817082227209E-289</v>
      </c>
      <c r="G20" s="41">
        <f>SUM(F$11:F20)</f>
        <v>6.0367510947907237E-289</v>
      </c>
      <c r="I20" s="1">
        <f t="shared" si="9"/>
        <v>10</v>
      </c>
      <c r="J20" s="3">
        <v>91000</v>
      </c>
      <c r="K20" s="3">
        <v>90000</v>
      </c>
      <c r="L20" s="3">
        <v>105500</v>
      </c>
      <c r="M20" s="30">
        <f t="shared" si="1"/>
        <v>-8.9999999999999969E-2</v>
      </c>
      <c r="N20" s="1" t="str">
        <f t="shared" si="2"/>
        <v/>
      </c>
      <c r="O20" s="1" t="str">
        <f t="shared" si="3"/>
        <v/>
      </c>
    </row>
    <row r="21" spans="1:15" x14ac:dyDescent="0.25">
      <c r="A21" s="1">
        <f t="shared" si="5"/>
        <v>10</v>
      </c>
      <c r="B21" s="3">
        <f t="shared" ca="1" si="6"/>
        <v>101000</v>
      </c>
      <c r="C21" s="26">
        <f t="shared" ca="1" si="7"/>
        <v>6.2139041942283257E-2</v>
      </c>
      <c r="D21" s="26" t="str">
        <f t="shared" ca="1" si="4"/>
        <v>Lose</v>
      </c>
      <c r="E21" s="3">
        <f t="shared" ca="1" si="8"/>
        <v>-500</v>
      </c>
      <c r="F21" s="42">
        <f t="shared" si="0"/>
        <v>6.1723781166393294E-287</v>
      </c>
      <c r="G21" s="41">
        <f>SUM(F$11:F21)</f>
        <v>6.2327456275872366E-287</v>
      </c>
      <c r="I21" s="1">
        <f t="shared" si="9"/>
        <v>11</v>
      </c>
      <c r="J21" s="3">
        <v>101000</v>
      </c>
      <c r="K21" s="3">
        <v>97000</v>
      </c>
      <c r="L21" s="3">
        <v>118000</v>
      </c>
      <c r="M21" s="30">
        <f t="shared" si="1"/>
        <v>1.0000000000000009E-2</v>
      </c>
      <c r="N21" s="1" t="str">
        <f t="shared" si="2"/>
        <v/>
      </c>
      <c r="O21" s="1" t="str">
        <f t="shared" si="3"/>
        <v/>
      </c>
    </row>
    <row r="22" spans="1:15" x14ac:dyDescent="0.25">
      <c r="A22" s="1">
        <f t="shared" si="5"/>
        <v>11</v>
      </c>
      <c r="B22" s="3">
        <f t="shared" ca="1" si="6"/>
        <v>100500</v>
      </c>
      <c r="C22" s="26">
        <f t="shared" ca="1" si="7"/>
        <v>0.21701563108369004</v>
      </c>
      <c r="D22" s="26" t="str">
        <f t="shared" ca="1" si="4"/>
        <v>Lose</v>
      </c>
      <c r="E22" s="3">
        <f t="shared" ca="1" si="8"/>
        <v>-500</v>
      </c>
      <c r="F22" s="42">
        <f t="shared" si="0"/>
        <v>5.7818807255852045E-285</v>
      </c>
      <c r="G22" s="41">
        <f>SUM(F$11:F22)</f>
        <v>5.8442081818610771E-285</v>
      </c>
      <c r="I22" s="1">
        <f t="shared" si="9"/>
        <v>12</v>
      </c>
      <c r="J22" s="3">
        <v>108000</v>
      </c>
      <c r="K22" s="3">
        <v>93500</v>
      </c>
      <c r="L22" s="3">
        <v>117500</v>
      </c>
      <c r="M22" s="30">
        <f t="shared" si="1"/>
        <v>8.0000000000000071E-2</v>
      </c>
      <c r="N22" s="1" t="str">
        <f t="shared" si="2"/>
        <v/>
      </c>
      <c r="O22" s="1" t="str">
        <f t="shared" si="3"/>
        <v/>
      </c>
    </row>
    <row r="23" spans="1:15" x14ac:dyDescent="0.25">
      <c r="A23" s="1">
        <f t="shared" si="5"/>
        <v>12</v>
      </c>
      <c r="B23" s="3">
        <f t="shared" ca="1" si="6"/>
        <v>101000</v>
      </c>
      <c r="C23" s="26">
        <f t="shared" ca="1" si="7"/>
        <v>0.5150116695154594</v>
      </c>
      <c r="D23" s="26" t="str">
        <f t="shared" ca="1" si="4"/>
        <v>Win</v>
      </c>
      <c r="E23" s="3">
        <f t="shared" ca="1" si="8"/>
        <v>500</v>
      </c>
      <c r="F23" s="42">
        <f t="shared" si="0"/>
        <v>4.9597326856767392E-283</v>
      </c>
      <c r="G23" s="41">
        <f>SUM(F$11:F23)</f>
        <v>5.0181747674953502E-283</v>
      </c>
      <c r="I23" s="1">
        <f t="shared" si="9"/>
        <v>13</v>
      </c>
      <c r="J23" s="3">
        <v>125000</v>
      </c>
      <c r="K23" s="3">
        <v>97000</v>
      </c>
      <c r="L23" s="3">
        <v>136000</v>
      </c>
      <c r="M23" s="30">
        <f t="shared" si="1"/>
        <v>0.25</v>
      </c>
      <c r="N23" s="1" t="str">
        <f t="shared" si="2"/>
        <v/>
      </c>
      <c r="O23" s="1" t="str">
        <f t="shared" si="3"/>
        <v/>
      </c>
    </row>
    <row r="24" spans="1:15" x14ac:dyDescent="0.25">
      <c r="A24" s="1">
        <f t="shared" si="5"/>
        <v>13</v>
      </c>
      <c r="B24" s="3">
        <f t="shared" ca="1" si="6"/>
        <v>100500</v>
      </c>
      <c r="C24" s="26">
        <f t="shared" ca="1" si="7"/>
        <v>0.10381430589244423</v>
      </c>
      <c r="D24" s="26" t="str">
        <f t="shared" ca="1" si="4"/>
        <v>Lose</v>
      </c>
      <c r="E24" s="3">
        <f t="shared" ca="1" si="8"/>
        <v>-500</v>
      </c>
      <c r="F24" s="42">
        <f t="shared" si="0"/>
        <v>3.9232497734050667E-281</v>
      </c>
      <c r="G24" s="41">
        <f>SUM(F$11:F24)</f>
        <v>3.97343152108002E-281</v>
      </c>
      <c r="I24" s="1">
        <f t="shared" si="9"/>
        <v>14</v>
      </c>
      <c r="J24" s="3">
        <v>137000</v>
      </c>
      <c r="K24" s="3">
        <v>98500</v>
      </c>
      <c r="L24" s="3">
        <v>138500</v>
      </c>
      <c r="M24" s="30">
        <f t="shared" si="1"/>
        <v>0.37000000000000011</v>
      </c>
      <c r="N24" s="1" t="str">
        <f t="shared" si="2"/>
        <v/>
      </c>
      <c r="O24" s="1" t="str">
        <f t="shared" si="3"/>
        <v/>
      </c>
    </row>
    <row r="25" spans="1:15" x14ac:dyDescent="0.25">
      <c r="A25" s="1">
        <f t="shared" si="5"/>
        <v>14</v>
      </c>
      <c r="B25" s="3">
        <f t="shared" ca="1" si="6"/>
        <v>101000</v>
      </c>
      <c r="C25" s="26">
        <f t="shared" ca="1" si="7"/>
        <v>0.60246196248418737</v>
      </c>
      <c r="D25" s="26" t="str">
        <f t="shared" ca="1" si="4"/>
        <v>Win</v>
      </c>
      <c r="E25" s="3">
        <f t="shared" ca="1" si="8"/>
        <v>500</v>
      </c>
      <c r="F25" s="42">
        <f t="shared" si="0"/>
        <v>2.8787846041382169E-279</v>
      </c>
      <c r="G25" s="41">
        <f>SUM(F$11:F25)</f>
        <v>2.918518919349017E-279</v>
      </c>
      <c r="I25" s="1">
        <f t="shared" si="9"/>
        <v>15</v>
      </c>
      <c r="J25" s="3">
        <v>115000</v>
      </c>
      <c r="K25" s="3">
        <v>99500</v>
      </c>
      <c r="L25" s="3">
        <v>125000</v>
      </c>
      <c r="M25" s="30">
        <f t="shared" si="1"/>
        <v>0.14999999999999991</v>
      </c>
      <c r="N25" s="1" t="str">
        <f t="shared" si="2"/>
        <v/>
      </c>
      <c r="O25" s="1" t="str">
        <f t="shared" si="3"/>
        <v/>
      </c>
    </row>
    <row r="26" spans="1:15" x14ac:dyDescent="0.25">
      <c r="A26" s="1">
        <f t="shared" si="5"/>
        <v>15</v>
      </c>
      <c r="B26" s="3">
        <f t="shared" ca="1" si="6"/>
        <v>101500</v>
      </c>
      <c r="C26" s="26">
        <f t="shared" ca="1" si="7"/>
        <v>0.78912574665551949</v>
      </c>
      <c r="D26" s="26" t="str">
        <f t="shared" ca="1" si="4"/>
        <v>Win</v>
      </c>
      <c r="E26" s="3">
        <f t="shared" ca="1" si="8"/>
        <v>500</v>
      </c>
      <c r="F26" s="42">
        <f t="shared" si="0"/>
        <v>1.969558674880674E-277</v>
      </c>
      <c r="G26" s="41">
        <f>SUM(F$11:F26)</f>
        <v>1.9987438640741643E-277</v>
      </c>
      <c r="I26" s="1">
        <f t="shared" si="9"/>
        <v>16</v>
      </c>
      <c r="J26" s="3">
        <v>117000</v>
      </c>
      <c r="K26" s="3">
        <v>100000</v>
      </c>
      <c r="L26" s="3">
        <v>126000</v>
      </c>
      <c r="M26" s="30">
        <f t="shared" si="1"/>
        <v>0.16999999999999993</v>
      </c>
      <c r="N26" s="1" t="str">
        <f t="shared" si="2"/>
        <v/>
      </c>
      <c r="O26" s="1" t="str">
        <f t="shared" si="3"/>
        <v/>
      </c>
    </row>
    <row r="27" spans="1:15" x14ac:dyDescent="0.25">
      <c r="A27" s="1">
        <f t="shared" si="5"/>
        <v>16</v>
      </c>
      <c r="B27" s="3">
        <f t="shared" ca="1" si="6"/>
        <v>101000</v>
      </c>
      <c r="C27" s="26">
        <f t="shared" ca="1" si="7"/>
        <v>0.33234262888583455</v>
      </c>
      <c r="D27" s="26" t="str">
        <f t="shared" ca="1" si="4"/>
        <v>Lose</v>
      </c>
      <c r="E27" s="3">
        <f t="shared" ca="1" si="8"/>
        <v>-500</v>
      </c>
      <c r="F27" s="42">
        <f t="shared" si="0"/>
        <v>1.2619997453138341E-275</v>
      </c>
      <c r="G27" s="41">
        <f>SUM(F$11:F27)</f>
        <v>1.2819871839545757E-275</v>
      </c>
      <c r="I27" s="1">
        <f t="shared" si="9"/>
        <v>17</v>
      </c>
      <c r="J27" s="3">
        <v>104000</v>
      </c>
      <c r="K27" s="3">
        <v>97500</v>
      </c>
      <c r="L27" s="3">
        <v>111500</v>
      </c>
      <c r="M27" s="30">
        <f t="shared" si="1"/>
        <v>4.0000000000000036E-2</v>
      </c>
      <c r="N27" s="1" t="str">
        <f t="shared" si="2"/>
        <v/>
      </c>
      <c r="O27" s="1" t="str">
        <f t="shared" si="3"/>
        <v/>
      </c>
    </row>
    <row r="28" spans="1:15" x14ac:dyDescent="0.25">
      <c r="A28" s="1">
        <f t="shared" si="5"/>
        <v>17</v>
      </c>
      <c r="B28" s="3">
        <f t="shared" ca="1" si="6"/>
        <v>101500</v>
      </c>
      <c r="C28" s="26">
        <f t="shared" ca="1" si="7"/>
        <v>0.83870069976590134</v>
      </c>
      <c r="D28" s="26" t="str">
        <f t="shared" ca="1" si="4"/>
        <v>Win</v>
      </c>
      <c r="E28" s="3">
        <f t="shared" ca="1" si="8"/>
        <v>500</v>
      </c>
      <c r="F28" s="42">
        <f t="shared" si="0"/>
        <v>7.6029045880962958E-274</v>
      </c>
      <c r="G28" s="41">
        <f>SUM(F$11:F28)</f>
        <v>7.7311033064917538E-274</v>
      </c>
      <c r="I28" s="1">
        <f t="shared" si="9"/>
        <v>18</v>
      </c>
      <c r="J28" s="3">
        <v>130000</v>
      </c>
      <c r="K28" s="3">
        <v>93000</v>
      </c>
      <c r="L28" s="3">
        <v>132500</v>
      </c>
      <c r="M28" s="30">
        <f t="shared" si="1"/>
        <v>0.30000000000000004</v>
      </c>
      <c r="N28" s="1" t="str">
        <f t="shared" si="2"/>
        <v/>
      </c>
      <c r="O28" s="1" t="str">
        <f t="shared" si="3"/>
        <v/>
      </c>
    </row>
    <row r="29" spans="1:15" x14ac:dyDescent="0.25">
      <c r="A29" s="1">
        <f t="shared" si="5"/>
        <v>18</v>
      </c>
      <c r="B29" s="3">
        <f t="shared" ca="1" si="6"/>
        <v>101000</v>
      </c>
      <c r="C29" s="26">
        <f t="shared" ca="1" si="7"/>
        <v>0.12682836157505628</v>
      </c>
      <c r="D29" s="26" t="str">
        <f t="shared" ca="1" si="4"/>
        <v>Lose</v>
      </c>
      <c r="E29" s="3">
        <f t="shared" ca="1" si="8"/>
        <v>-500</v>
      </c>
      <c r="F29" s="42">
        <f t="shared" si="0"/>
        <v>4.321501311961021E-272</v>
      </c>
      <c r="G29" s="41">
        <f>SUM(F$11:F29)</f>
        <v>4.3988123450259383E-272</v>
      </c>
      <c r="I29" s="1">
        <f t="shared" si="9"/>
        <v>19</v>
      </c>
      <c r="J29" s="3">
        <v>123000</v>
      </c>
      <c r="K29" s="3">
        <v>86500</v>
      </c>
      <c r="L29" s="3">
        <v>128500</v>
      </c>
      <c r="M29" s="30">
        <f t="shared" si="1"/>
        <v>0.22999999999999998</v>
      </c>
      <c r="N29" s="1" t="str">
        <f t="shared" si="2"/>
        <v/>
      </c>
      <c r="O29" s="1" t="str">
        <f t="shared" si="3"/>
        <v/>
      </c>
    </row>
    <row r="30" spans="1:15" x14ac:dyDescent="0.25">
      <c r="A30" s="1">
        <f t="shared" si="5"/>
        <v>19</v>
      </c>
      <c r="B30" s="3">
        <f t="shared" ca="1" si="6"/>
        <v>101500</v>
      </c>
      <c r="C30" s="26">
        <f t="shared" ca="1" si="7"/>
        <v>0.80859459027776492</v>
      </c>
      <c r="D30" s="26" t="str">
        <f t="shared" ca="1" si="4"/>
        <v>Win</v>
      </c>
      <c r="E30" s="3">
        <f t="shared" ca="1" si="8"/>
        <v>500</v>
      </c>
      <c r="F30" s="42">
        <f t="shared" si="0"/>
        <v>2.3246984823382337E-270</v>
      </c>
      <c r="G30" s="41">
        <f>SUM(F$11:F30)</f>
        <v>2.368686605788493E-270</v>
      </c>
      <c r="I30" s="1">
        <f t="shared" si="9"/>
        <v>20</v>
      </c>
      <c r="J30" s="3">
        <v>113000</v>
      </c>
      <c r="K30" s="3">
        <v>84500</v>
      </c>
      <c r="L30" s="3">
        <v>115000</v>
      </c>
      <c r="M30" s="30">
        <f t="shared" si="1"/>
        <v>0.12999999999999989</v>
      </c>
      <c r="N30" s="1" t="str">
        <f t="shared" si="2"/>
        <v/>
      </c>
      <c r="O30" s="1" t="str">
        <f t="shared" si="3"/>
        <v/>
      </c>
    </row>
    <row r="31" spans="1:15" x14ac:dyDescent="0.25">
      <c r="A31" s="1">
        <f t="shared" si="5"/>
        <v>20</v>
      </c>
      <c r="B31" s="3">
        <f t="shared" ca="1" si="6"/>
        <v>101000</v>
      </c>
      <c r="C31" s="26">
        <f t="shared" ca="1" si="7"/>
        <v>5.640938148342356E-2</v>
      </c>
      <c r="D31" s="26" t="str">
        <f t="shared" ca="1" si="4"/>
        <v>Lose</v>
      </c>
      <c r="E31" s="3">
        <f t="shared" ca="1" si="8"/>
        <v>-500</v>
      </c>
      <c r="F31" s="42">
        <f t="shared" si="0"/>
        <v>1.1868060180594631E-268</v>
      </c>
      <c r="G31" s="41">
        <f>SUM(F$11:F31)</f>
        <v>1.210492884117348E-268</v>
      </c>
      <c r="I31" s="1">
        <f t="shared" si="9"/>
        <v>21</v>
      </c>
      <c r="J31" s="3">
        <v>134000</v>
      </c>
      <c r="K31" s="3">
        <v>99500</v>
      </c>
      <c r="L31" s="3">
        <v>135500</v>
      </c>
      <c r="M31" s="30">
        <f t="shared" si="1"/>
        <v>0.34000000000000008</v>
      </c>
      <c r="N31" s="1" t="str">
        <f t="shared" si="2"/>
        <v/>
      </c>
      <c r="O31" s="1" t="str">
        <f t="shared" si="3"/>
        <v/>
      </c>
    </row>
    <row r="32" spans="1:15" x14ac:dyDescent="0.25">
      <c r="A32" s="1">
        <f t="shared" si="5"/>
        <v>21</v>
      </c>
      <c r="B32" s="3">
        <f t="shared" ca="1" si="6"/>
        <v>100500</v>
      </c>
      <c r="C32" s="26">
        <f t="shared" ca="1" si="7"/>
        <v>0.25055469186646662</v>
      </c>
      <c r="D32" s="26" t="str">
        <f t="shared" ca="1" si="4"/>
        <v>Lose</v>
      </c>
      <c r="E32" s="3">
        <f t="shared" ca="1" si="8"/>
        <v>-500</v>
      </c>
      <c r="F32" s="42">
        <f t="shared" si="0"/>
        <v>5.7644863734322731E-267</v>
      </c>
      <c r="G32" s="41">
        <f>SUM(F$11:F32)</f>
        <v>5.8855356618440079E-267</v>
      </c>
      <c r="I32" s="1">
        <f t="shared" si="9"/>
        <v>22</v>
      </c>
      <c r="J32" s="3">
        <v>120000</v>
      </c>
      <c r="K32" s="3">
        <v>98500</v>
      </c>
      <c r="L32" s="3">
        <v>122000</v>
      </c>
      <c r="M32" s="30">
        <f t="shared" si="1"/>
        <v>0.19999999999999996</v>
      </c>
      <c r="N32" s="1" t="str">
        <f t="shared" si="2"/>
        <v/>
      </c>
      <c r="O32" s="1" t="str">
        <f t="shared" si="3"/>
        <v/>
      </c>
    </row>
    <row r="33" spans="1:15" x14ac:dyDescent="0.25">
      <c r="A33" s="1">
        <f t="shared" si="5"/>
        <v>22</v>
      </c>
      <c r="B33" s="3">
        <f t="shared" ca="1" si="6"/>
        <v>101000</v>
      </c>
      <c r="C33" s="26">
        <f t="shared" ca="1" si="7"/>
        <v>0.58006773212723539</v>
      </c>
      <c r="D33" s="26" t="str">
        <f t="shared" ca="1" si="4"/>
        <v>Win</v>
      </c>
      <c r="E33" s="3">
        <f t="shared" ca="1" si="8"/>
        <v>500</v>
      </c>
      <c r="F33" s="42">
        <f t="shared" si="0"/>
        <v>2.6698983315316869E-265</v>
      </c>
      <c r="G33" s="41">
        <f>SUM(F$11:F33)</f>
        <v>2.728753688150127E-265</v>
      </c>
      <c r="I33" s="1">
        <f t="shared" si="9"/>
        <v>23</v>
      </c>
      <c r="J33" s="3">
        <v>121000</v>
      </c>
      <c r="K33" s="3">
        <v>89500</v>
      </c>
      <c r="L33" s="3">
        <v>121000</v>
      </c>
      <c r="M33" s="30">
        <f t="shared" si="1"/>
        <v>0.20999999999999996</v>
      </c>
      <c r="N33" s="1" t="str">
        <f t="shared" si="2"/>
        <v/>
      </c>
      <c r="O33" s="1" t="str">
        <f t="shared" si="3"/>
        <v/>
      </c>
    </row>
    <row r="34" spans="1:15" x14ac:dyDescent="0.25">
      <c r="A34" s="1">
        <f t="shared" si="5"/>
        <v>23</v>
      </c>
      <c r="B34" s="3">
        <f t="shared" ca="1" si="6"/>
        <v>100500</v>
      </c>
      <c r="C34" s="26">
        <f t="shared" ca="1" si="7"/>
        <v>0.48405984986069561</v>
      </c>
      <c r="D34" s="26" t="str">
        <f t="shared" ca="1" si="4"/>
        <v>Lose</v>
      </c>
      <c r="E34" s="3">
        <f t="shared" ca="1" si="8"/>
        <v>-500</v>
      </c>
      <c r="F34" s="42">
        <f t="shared" si="0"/>
        <v>1.1816254567892744E-263</v>
      </c>
      <c r="G34" s="41">
        <f>SUM(F$11:F34)</f>
        <v>1.2089129936707757E-263</v>
      </c>
      <c r="I34" s="1">
        <f t="shared" si="9"/>
        <v>24</v>
      </c>
      <c r="J34" s="3">
        <v>105000</v>
      </c>
      <c r="K34" s="3">
        <v>86000</v>
      </c>
      <c r="L34" s="3">
        <v>111500</v>
      </c>
      <c r="M34" s="30">
        <f t="shared" si="1"/>
        <v>5.0000000000000044E-2</v>
      </c>
      <c r="N34" s="1" t="str">
        <f t="shared" si="2"/>
        <v/>
      </c>
      <c r="O34" s="1" t="str">
        <f t="shared" si="3"/>
        <v/>
      </c>
    </row>
    <row r="35" spans="1:15" x14ac:dyDescent="0.25">
      <c r="A35" s="1">
        <f t="shared" si="5"/>
        <v>24</v>
      </c>
      <c r="B35" s="3">
        <f t="shared" ca="1" si="6"/>
        <v>100000</v>
      </c>
      <c r="C35" s="26">
        <f t="shared" ca="1" si="7"/>
        <v>0.37574147498149202</v>
      </c>
      <c r="D35" s="26" t="str">
        <f t="shared" ca="1" si="4"/>
        <v>Lose</v>
      </c>
      <c r="E35" s="3">
        <f t="shared" ca="1" si="8"/>
        <v>-500</v>
      </c>
      <c r="F35" s="42">
        <f t="shared" si="0"/>
        <v>5.0065350030123748E-262</v>
      </c>
      <c r="G35" s="41">
        <f>SUM(F$11:F35)</f>
        <v>5.1274263023794521E-262</v>
      </c>
      <c r="I35" s="1">
        <f t="shared" si="9"/>
        <v>25</v>
      </c>
      <c r="J35" s="3">
        <v>90000</v>
      </c>
      <c r="K35" s="3">
        <v>83500</v>
      </c>
      <c r="L35" s="3">
        <v>102000</v>
      </c>
      <c r="M35" s="30">
        <f t="shared" si="1"/>
        <v>-9.9999999999999978E-2</v>
      </c>
      <c r="N35" s="1" t="str">
        <f t="shared" si="2"/>
        <v/>
      </c>
      <c r="O35" s="1" t="str">
        <f t="shared" si="3"/>
        <v/>
      </c>
    </row>
    <row r="36" spans="1:15" x14ac:dyDescent="0.25">
      <c r="A36" s="1">
        <f t="shared" si="5"/>
        <v>25</v>
      </c>
      <c r="B36" s="3">
        <f t="shared" ca="1" si="6"/>
        <v>100500</v>
      </c>
      <c r="C36" s="26">
        <f t="shared" ca="1" si="7"/>
        <v>0.63874681869638406</v>
      </c>
      <c r="D36" s="26" t="str">
        <f t="shared" ca="1" si="4"/>
        <v>Win</v>
      </c>
      <c r="E36" s="3">
        <f t="shared" ca="1" si="8"/>
        <v>500</v>
      </c>
      <c r="F36" s="42">
        <f t="shared" si="0"/>
        <v>2.0343288678362522E-260</v>
      </c>
      <c r="G36" s="41">
        <f>SUM(F$11:F36)</f>
        <v>2.0856031308600469E-260</v>
      </c>
      <c r="I36" s="1">
        <f t="shared" si="9"/>
        <v>26</v>
      </c>
      <c r="J36" s="3">
        <v>114000</v>
      </c>
      <c r="K36" s="3">
        <v>96000</v>
      </c>
      <c r="L36" s="3">
        <v>117500</v>
      </c>
      <c r="M36" s="30">
        <f t="shared" si="1"/>
        <v>0.1399999999999999</v>
      </c>
      <c r="N36" s="1" t="str">
        <f t="shared" si="2"/>
        <v/>
      </c>
      <c r="O36" s="1" t="str">
        <f t="shared" si="3"/>
        <v/>
      </c>
    </row>
    <row r="37" spans="1:15" x14ac:dyDescent="0.25">
      <c r="A37" s="1">
        <f t="shared" si="5"/>
        <v>26</v>
      </c>
      <c r="B37" s="3">
        <f t="shared" ca="1" si="6"/>
        <v>101000</v>
      </c>
      <c r="C37" s="26">
        <f t="shared" ca="1" si="7"/>
        <v>0.64633489060632721</v>
      </c>
      <c r="D37" s="26" t="str">
        <f t="shared" ca="1" si="4"/>
        <v>Win</v>
      </c>
      <c r="E37" s="3">
        <f t="shared" ca="1" si="8"/>
        <v>500</v>
      </c>
      <c r="F37" s="42">
        <f t="shared" si="0"/>
        <v>7.9401101219129392E-259</v>
      </c>
      <c r="G37" s="41">
        <f>SUM(F$11:F37)</f>
        <v>8.1486704349989437E-259</v>
      </c>
      <c r="I37" s="1">
        <f t="shared" si="9"/>
        <v>27</v>
      </c>
      <c r="J37" s="3">
        <v>119000</v>
      </c>
      <c r="K37" s="3">
        <v>94500</v>
      </c>
      <c r="L37" s="3">
        <v>123500</v>
      </c>
      <c r="M37" s="30">
        <f t="shared" si="1"/>
        <v>0.18999999999999995</v>
      </c>
      <c r="N37" s="1" t="str">
        <f t="shared" si="2"/>
        <v/>
      </c>
      <c r="O37" s="1" t="str">
        <f t="shared" si="3"/>
        <v/>
      </c>
    </row>
    <row r="38" spans="1:15" x14ac:dyDescent="0.25">
      <c r="A38" s="1">
        <f t="shared" si="5"/>
        <v>27</v>
      </c>
      <c r="B38" s="3">
        <f t="shared" ca="1" si="6"/>
        <v>100500</v>
      </c>
      <c r="C38" s="26">
        <f t="shared" ca="1" si="7"/>
        <v>0.33875592907198782</v>
      </c>
      <c r="D38" s="26" t="str">
        <f t="shared" ca="1" si="4"/>
        <v>Lose</v>
      </c>
      <c r="E38" s="3">
        <f t="shared" ca="1" si="8"/>
        <v>-500</v>
      </c>
      <c r="F38" s="42">
        <f t="shared" si="0"/>
        <v>2.9812322766125823E-257</v>
      </c>
      <c r="G38" s="41">
        <f>SUM(F$11:F38)</f>
        <v>3.0627189809625716E-257</v>
      </c>
      <c r="I38" s="1">
        <f t="shared" si="9"/>
        <v>28</v>
      </c>
      <c r="J38" s="3">
        <v>107000</v>
      </c>
      <c r="K38" s="3">
        <v>93500</v>
      </c>
      <c r="L38" s="3">
        <v>116500</v>
      </c>
      <c r="M38" s="30">
        <f t="shared" si="1"/>
        <v>7.0000000000000062E-2</v>
      </c>
      <c r="N38" s="1" t="str">
        <f t="shared" si="2"/>
        <v/>
      </c>
      <c r="O38" s="1" t="str">
        <f t="shared" si="3"/>
        <v/>
      </c>
    </row>
    <row r="39" spans="1:15" x14ac:dyDescent="0.25">
      <c r="A39" s="1">
        <f t="shared" si="5"/>
        <v>28</v>
      </c>
      <c r="B39" s="3">
        <f t="shared" ca="1" si="6"/>
        <v>100000</v>
      </c>
      <c r="C39" s="26">
        <f t="shared" ca="1" si="7"/>
        <v>5.7759663036255349E-3</v>
      </c>
      <c r="D39" s="26" t="str">
        <f t="shared" ca="1" si="4"/>
        <v>Lose</v>
      </c>
      <c r="E39" s="3">
        <f t="shared" ca="1" si="8"/>
        <v>-500</v>
      </c>
      <c r="F39" s="42">
        <f t="shared" si="0"/>
        <v>1.0782630412708367E-255</v>
      </c>
      <c r="G39" s="41">
        <f>SUM(F$11:F39)</f>
        <v>1.1088902310804624E-255</v>
      </c>
      <c r="I39" s="1">
        <f t="shared" si="9"/>
        <v>29</v>
      </c>
      <c r="J39" s="3">
        <v>129000</v>
      </c>
      <c r="K39" s="3">
        <v>99500</v>
      </c>
      <c r="L39" s="3">
        <v>129500</v>
      </c>
      <c r="M39" s="30">
        <f t="shared" si="1"/>
        <v>0.29000000000000004</v>
      </c>
      <c r="N39" s="1" t="str">
        <f t="shared" si="2"/>
        <v/>
      </c>
      <c r="O39" s="1" t="str">
        <f t="shared" si="3"/>
        <v/>
      </c>
    </row>
    <row r="40" spans="1:15" x14ac:dyDescent="0.25">
      <c r="A40" s="1">
        <f t="shared" si="5"/>
        <v>29</v>
      </c>
      <c r="B40" s="3">
        <f t="shared" ca="1" si="6"/>
        <v>100500</v>
      </c>
      <c r="C40" s="26">
        <f t="shared" ca="1" si="7"/>
        <v>0.75128580616211971</v>
      </c>
      <c r="D40" s="26" t="str">
        <f t="shared" ca="1" si="4"/>
        <v>Win</v>
      </c>
      <c r="E40" s="3">
        <f t="shared" ca="1" si="8"/>
        <v>500</v>
      </c>
      <c r="F40" s="42">
        <f t="shared" si="0"/>
        <v>3.7615521099140958E-254</v>
      </c>
      <c r="G40" s="41">
        <f>SUM(F$11:F40)</f>
        <v>3.872441133022142E-254</v>
      </c>
      <c r="I40" s="1">
        <f t="shared" si="9"/>
        <v>30</v>
      </c>
      <c r="J40" s="3">
        <v>94000</v>
      </c>
      <c r="K40" s="3">
        <v>91500</v>
      </c>
      <c r="L40" s="3">
        <v>111000</v>
      </c>
      <c r="M40" s="30">
        <f t="shared" si="1"/>
        <v>-6.0000000000000053E-2</v>
      </c>
      <c r="N40" s="1" t="str">
        <f t="shared" si="2"/>
        <v/>
      </c>
      <c r="O40" s="1" t="str">
        <f t="shared" si="3"/>
        <v/>
      </c>
    </row>
    <row r="41" spans="1:15" x14ac:dyDescent="0.25">
      <c r="A41" s="1">
        <f t="shared" si="5"/>
        <v>30</v>
      </c>
      <c r="B41" s="3">
        <f t="shared" ca="1" si="6"/>
        <v>101000</v>
      </c>
      <c r="C41" s="26">
        <f t="shared" ca="1" si="7"/>
        <v>0.81247386106107999</v>
      </c>
      <c r="D41" s="26" t="str">
        <f t="shared" ca="1" si="4"/>
        <v>Win</v>
      </c>
      <c r="E41" s="3">
        <f t="shared" ca="1" si="8"/>
        <v>500</v>
      </c>
      <c r="F41" s="42">
        <f t="shared" si="0"/>
        <v>1.2671824628233995E-252</v>
      </c>
      <c r="G41" s="41">
        <f>SUM(F$11:F41)</f>
        <v>1.3059068741536209E-252</v>
      </c>
      <c r="I41" s="1">
        <f t="shared" si="9"/>
        <v>31</v>
      </c>
      <c r="J41" s="3">
        <v>116000</v>
      </c>
      <c r="K41" s="3">
        <v>99000</v>
      </c>
      <c r="L41" s="3">
        <v>127000</v>
      </c>
      <c r="M41" s="30">
        <f t="shared" si="1"/>
        <v>0.15999999999999992</v>
      </c>
      <c r="N41" s="1" t="str">
        <f t="shared" si="2"/>
        <v/>
      </c>
      <c r="O41" s="1" t="str">
        <f t="shared" si="3"/>
        <v/>
      </c>
    </row>
    <row r="42" spans="1:15" x14ac:dyDescent="0.25">
      <c r="A42" s="1">
        <f t="shared" si="5"/>
        <v>31</v>
      </c>
      <c r="B42" s="3">
        <f t="shared" ca="1" si="6"/>
        <v>101500</v>
      </c>
      <c r="C42" s="26">
        <f t="shared" ca="1" si="7"/>
        <v>0.72298957094554861</v>
      </c>
      <c r="D42" s="26" t="str">
        <f t="shared" ca="1" si="4"/>
        <v>Win</v>
      </c>
      <c r="E42" s="3">
        <f t="shared" ca="1" si="8"/>
        <v>500</v>
      </c>
      <c r="F42" s="42">
        <f t="shared" si="0"/>
        <v>4.1268937745805638E-251</v>
      </c>
      <c r="G42" s="41">
        <f>SUM(F$11:F42)</f>
        <v>4.2574844619959258E-251</v>
      </c>
      <c r="I42" s="1">
        <f t="shared" si="9"/>
        <v>32</v>
      </c>
      <c r="J42" s="3">
        <v>135000</v>
      </c>
      <c r="K42" s="3">
        <v>96500</v>
      </c>
      <c r="L42" s="3">
        <v>136000</v>
      </c>
      <c r="M42" s="30">
        <f t="shared" si="1"/>
        <v>0.35000000000000009</v>
      </c>
      <c r="N42" s="1" t="str">
        <f t="shared" si="2"/>
        <v/>
      </c>
      <c r="O42" s="1" t="str">
        <f t="shared" si="3"/>
        <v/>
      </c>
    </row>
    <row r="43" spans="1:15" x14ac:dyDescent="0.25">
      <c r="A43" s="1">
        <f t="shared" si="5"/>
        <v>32</v>
      </c>
      <c r="B43" s="3">
        <f t="shared" ca="1" si="6"/>
        <v>101000</v>
      </c>
      <c r="C43" s="26">
        <f t="shared" ca="1" si="7"/>
        <v>4.4413678938942325E-2</v>
      </c>
      <c r="D43" s="26" t="str">
        <f t="shared" ca="1" si="4"/>
        <v>Lose</v>
      </c>
      <c r="E43" s="3">
        <f t="shared" ca="1" si="8"/>
        <v>-500</v>
      </c>
      <c r="F43" s="42">
        <f t="shared" si="0"/>
        <v>1.3006821648341826E-249</v>
      </c>
      <c r="G43" s="41">
        <f>SUM(F$11:F43)</f>
        <v>1.3432570094541419E-249</v>
      </c>
      <c r="I43" s="1">
        <f t="shared" si="9"/>
        <v>33</v>
      </c>
      <c r="J43" s="3">
        <v>100000</v>
      </c>
      <c r="K43" s="3">
        <v>91500</v>
      </c>
      <c r="L43" s="3">
        <v>116500</v>
      </c>
      <c r="M43" s="30">
        <f t="shared" si="1"/>
        <v>0</v>
      </c>
      <c r="N43" s="1" t="str">
        <f t="shared" si="2"/>
        <v/>
      </c>
      <c r="O43" s="1" t="str">
        <f t="shared" si="3"/>
        <v/>
      </c>
    </row>
    <row r="44" spans="1:15" x14ac:dyDescent="0.25">
      <c r="A44" s="1">
        <f t="shared" si="5"/>
        <v>33</v>
      </c>
      <c r="B44" s="3">
        <f t="shared" ca="1" si="6"/>
        <v>100500</v>
      </c>
      <c r="C44" s="26">
        <f t="shared" ca="1" si="7"/>
        <v>0.10643413185985851</v>
      </c>
      <c r="D44" s="26" t="str">
        <f t="shared" ca="1" si="4"/>
        <v>Lose</v>
      </c>
      <c r="E44" s="3">
        <f t="shared" ca="1" si="8"/>
        <v>-500</v>
      </c>
      <c r="F44" s="42">
        <f t="shared" si="0"/>
        <v>3.9710622828407838E-248</v>
      </c>
      <c r="G44" s="41">
        <f>SUM(F$11:F44)</f>
        <v>4.105387983786198E-248</v>
      </c>
      <c r="I44" s="1">
        <f t="shared" si="9"/>
        <v>34</v>
      </c>
      <c r="J44" s="3">
        <v>102000</v>
      </c>
      <c r="K44" s="3">
        <v>86000</v>
      </c>
      <c r="L44" s="3">
        <v>106000</v>
      </c>
      <c r="M44" s="30">
        <f t="shared" si="1"/>
        <v>2.0000000000000018E-2</v>
      </c>
      <c r="N44" s="1" t="str">
        <f t="shared" si="2"/>
        <v/>
      </c>
      <c r="O44" s="1" t="str">
        <f t="shared" si="3"/>
        <v/>
      </c>
    </row>
    <row r="45" spans="1:15" x14ac:dyDescent="0.25">
      <c r="A45" s="1">
        <f t="shared" si="5"/>
        <v>34</v>
      </c>
      <c r="B45" s="3">
        <f t="shared" ca="1" si="6"/>
        <v>100000</v>
      </c>
      <c r="C45" s="26">
        <f t="shared" ca="1" si="7"/>
        <v>0.23621398949929784</v>
      </c>
      <c r="D45" s="26" t="str">
        <f t="shared" ca="1" si="4"/>
        <v>Lose</v>
      </c>
      <c r="E45" s="3">
        <f t="shared" ca="1" si="8"/>
        <v>-500</v>
      </c>
      <c r="F45" s="42">
        <f t="shared" si="0"/>
        <v>1.1755154778082034E-246</v>
      </c>
      <c r="G45" s="41">
        <f>SUM(F$11:F45)</f>
        <v>1.2165693576460655E-246</v>
      </c>
      <c r="I45" s="1">
        <f t="shared" si="9"/>
        <v>35</v>
      </c>
      <c r="J45" s="3">
        <v>130000</v>
      </c>
      <c r="K45" s="3">
        <v>99000</v>
      </c>
      <c r="L45" s="3">
        <v>135000</v>
      </c>
      <c r="M45" s="30">
        <f t="shared" si="1"/>
        <v>0.30000000000000004</v>
      </c>
      <c r="N45" s="1" t="str">
        <f t="shared" si="2"/>
        <v/>
      </c>
      <c r="O45" s="1" t="str">
        <f t="shared" si="3"/>
        <v/>
      </c>
    </row>
    <row r="46" spans="1:15" x14ac:dyDescent="0.25">
      <c r="A46" s="1">
        <f t="shared" si="5"/>
        <v>35</v>
      </c>
      <c r="B46" s="3">
        <f t="shared" ca="1" si="6"/>
        <v>100500</v>
      </c>
      <c r="C46" s="26">
        <f t="shared" ca="1" si="7"/>
        <v>0.79158553104527363</v>
      </c>
      <c r="D46" s="26" t="str">
        <f t="shared" ca="1" si="4"/>
        <v>Win</v>
      </c>
      <c r="E46" s="3">
        <f t="shared" ca="1" si="8"/>
        <v>500</v>
      </c>
      <c r="F46" s="42">
        <f t="shared" si="0"/>
        <v>3.3768481358424919E-245</v>
      </c>
      <c r="G46" s="41">
        <f>SUM(F$11:F46)</f>
        <v>3.4985050716070987E-245</v>
      </c>
      <c r="I46" s="1">
        <f t="shared" si="9"/>
        <v>36</v>
      </c>
      <c r="J46" s="3">
        <v>113000</v>
      </c>
      <c r="K46" s="3">
        <v>92000</v>
      </c>
      <c r="L46" s="3">
        <v>119500</v>
      </c>
      <c r="M46" s="30">
        <f t="shared" si="1"/>
        <v>0.12999999999999989</v>
      </c>
      <c r="N46" s="1" t="str">
        <f t="shared" si="2"/>
        <v/>
      </c>
      <c r="O46" s="1" t="str">
        <f t="shared" si="3"/>
        <v/>
      </c>
    </row>
    <row r="47" spans="1:15" x14ac:dyDescent="0.25">
      <c r="A47" s="1">
        <f t="shared" si="5"/>
        <v>36</v>
      </c>
      <c r="B47" s="3">
        <f t="shared" ca="1" si="6"/>
        <v>100000</v>
      </c>
      <c r="C47" s="26">
        <f t="shared" ca="1" si="7"/>
        <v>0.32593573091490047</v>
      </c>
      <c r="D47" s="26" t="str">
        <f t="shared" ca="1" si="4"/>
        <v>Lose</v>
      </c>
      <c r="E47" s="3">
        <f t="shared" ca="1" si="8"/>
        <v>-500</v>
      </c>
      <c r="F47" s="42">
        <f t="shared" si="0"/>
        <v>9.4212914402210394E-244</v>
      </c>
      <c r="G47" s="41">
        <f>SUM(F$11:F47)</f>
        <v>9.7711419473817498E-244</v>
      </c>
      <c r="I47" s="1">
        <f t="shared" si="9"/>
        <v>37</v>
      </c>
      <c r="J47" s="3">
        <v>103000</v>
      </c>
      <c r="K47" s="3">
        <v>96000</v>
      </c>
      <c r="L47" s="3">
        <v>122000</v>
      </c>
      <c r="M47" s="30">
        <f t="shared" si="1"/>
        <v>3.0000000000000027E-2</v>
      </c>
      <c r="N47" s="1" t="str">
        <f t="shared" si="2"/>
        <v/>
      </c>
      <c r="O47" s="1" t="str">
        <f t="shared" si="3"/>
        <v/>
      </c>
    </row>
    <row r="48" spans="1:15" x14ac:dyDescent="0.25">
      <c r="A48" s="1">
        <f t="shared" si="5"/>
        <v>37</v>
      </c>
      <c r="B48" s="3">
        <f t="shared" ca="1" si="6"/>
        <v>100500</v>
      </c>
      <c r="C48" s="26">
        <f t="shared" ca="1" si="7"/>
        <v>0.75563118215119107</v>
      </c>
      <c r="D48" s="26" t="str">
        <f t="shared" ca="1" si="4"/>
        <v>Win</v>
      </c>
      <c r="E48" s="3">
        <f t="shared" ca="1" si="8"/>
        <v>500</v>
      </c>
      <c r="F48" s="42">
        <f t="shared" si="0"/>
        <v>2.5548172772586517E-242</v>
      </c>
      <c r="G48" s="41">
        <f>SUM(F$11:F48)</f>
        <v>2.6525286967324693E-242</v>
      </c>
      <c r="I48" s="1">
        <f t="shared" si="9"/>
        <v>38</v>
      </c>
      <c r="J48" s="3">
        <v>79000</v>
      </c>
      <c r="K48" s="3">
        <v>79000</v>
      </c>
      <c r="L48" s="3">
        <v>101500</v>
      </c>
      <c r="M48" s="30">
        <f t="shared" si="1"/>
        <v>-0.20999999999999996</v>
      </c>
      <c r="N48" s="1" t="str">
        <f t="shared" si="2"/>
        <v/>
      </c>
      <c r="O48" s="1" t="str">
        <f t="shared" si="3"/>
        <v/>
      </c>
    </row>
    <row r="49" spans="1:15" x14ac:dyDescent="0.25">
      <c r="A49" s="1">
        <f t="shared" si="5"/>
        <v>38</v>
      </c>
      <c r="B49" s="3">
        <f t="shared" ca="1" si="6"/>
        <v>101000</v>
      </c>
      <c r="C49" s="26">
        <f t="shared" ca="1" si="7"/>
        <v>0.97499744355535334</v>
      </c>
      <c r="D49" s="26" t="str">
        <f t="shared" ca="1" si="4"/>
        <v>Win</v>
      </c>
      <c r="E49" s="3">
        <f t="shared" ca="1" si="8"/>
        <v>500</v>
      </c>
      <c r="F49" s="42">
        <f t="shared" si="0"/>
        <v>6.7387078914072346E-241</v>
      </c>
      <c r="G49" s="41">
        <f>SUM(F$11:F49)</f>
        <v>7.0039607610804813E-241</v>
      </c>
      <c r="I49" s="1">
        <f t="shared" si="9"/>
        <v>39</v>
      </c>
      <c r="J49" s="3">
        <v>115000</v>
      </c>
      <c r="K49" s="3">
        <v>88500</v>
      </c>
      <c r="L49" s="3">
        <v>115500</v>
      </c>
      <c r="M49" s="30">
        <f t="shared" si="1"/>
        <v>0.14999999999999991</v>
      </c>
      <c r="N49" s="1" t="str">
        <f t="shared" si="2"/>
        <v/>
      </c>
      <c r="O49" s="1" t="str">
        <f t="shared" si="3"/>
        <v/>
      </c>
    </row>
    <row r="50" spans="1:15" x14ac:dyDescent="0.25">
      <c r="A50" s="1">
        <f t="shared" si="5"/>
        <v>39</v>
      </c>
      <c r="B50" s="3">
        <f t="shared" ca="1" si="6"/>
        <v>101500</v>
      </c>
      <c r="C50" s="26">
        <f t="shared" ca="1" si="7"/>
        <v>0.62841819588299686</v>
      </c>
      <c r="D50" s="26" t="str">
        <f t="shared" ca="1" si="4"/>
        <v>Win</v>
      </c>
      <c r="E50" s="3">
        <f t="shared" ca="1" si="8"/>
        <v>500</v>
      </c>
      <c r="F50" s="42">
        <f t="shared" si="0"/>
        <v>1.7300601076307662E-239</v>
      </c>
      <c r="G50" s="41">
        <f>SUM(F$11:F50)</f>
        <v>1.800099715241571E-239</v>
      </c>
      <c r="I50" s="1">
        <f t="shared" si="9"/>
        <v>40</v>
      </c>
      <c r="J50" s="3">
        <v>87000</v>
      </c>
      <c r="K50" s="3">
        <v>86000</v>
      </c>
      <c r="L50" s="3">
        <v>122500</v>
      </c>
      <c r="M50" s="30">
        <f t="shared" si="1"/>
        <v>-0.13</v>
      </c>
      <c r="N50" s="1" t="str">
        <f t="shared" si="2"/>
        <v/>
      </c>
      <c r="O50" s="1" t="str">
        <f t="shared" si="3"/>
        <v/>
      </c>
    </row>
    <row r="51" spans="1:15" x14ac:dyDescent="0.25">
      <c r="A51" s="1">
        <f t="shared" si="5"/>
        <v>40</v>
      </c>
      <c r="B51" s="3">
        <f t="shared" ca="1" si="6"/>
        <v>102000</v>
      </c>
      <c r="C51" s="26">
        <f t="shared" ca="1" si="7"/>
        <v>0.67471131316943056</v>
      </c>
      <c r="D51" s="26" t="str">
        <f t="shared" ca="1" si="4"/>
        <v>Win</v>
      </c>
      <c r="E51" s="3">
        <f t="shared" ca="1" si="8"/>
        <v>500</v>
      </c>
      <c r="F51" s="42">
        <f t="shared" si="0"/>
        <v>4.3261212211778539E-238</v>
      </c>
      <c r="G51" s="41">
        <f>SUM(F$11:F51)</f>
        <v>4.5061311927020112E-238</v>
      </c>
      <c r="I51" s="1">
        <f t="shared" si="9"/>
        <v>41</v>
      </c>
      <c r="J51" s="3">
        <v>126000</v>
      </c>
      <c r="K51" s="3">
        <v>95000</v>
      </c>
      <c r="L51" s="3">
        <v>126000</v>
      </c>
      <c r="M51" s="30">
        <f t="shared" si="1"/>
        <v>0.26</v>
      </c>
      <c r="N51" s="1" t="str">
        <f t="shared" si="2"/>
        <v/>
      </c>
      <c r="O51" s="1" t="str">
        <f t="shared" si="3"/>
        <v/>
      </c>
    </row>
    <row r="52" spans="1:15" x14ac:dyDescent="0.25">
      <c r="A52" s="1">
        <f t="shared" si="5"/>
        <v>41</v>
      </c>
      <c r="B52" s="3">
        <f t="shared" ca="1" si="6"/>
        <v>102500</v>
      </c>
      <c r="C52" s="26">
        <f t="shared" ca="1" si="7"/>
        <v>0.89816664410461722</v>
      </c>
      <c r="D52" s="26" t="str">
        <f t="shared" ca="1" si="4"/>
        <v>Win</v>
      </c>
      <c r="E52" s="3">
        <f t="shared" ca="1" si="8"/>
        <v>500</v>
      </c>
      <c r="F52" s="42">
        <f t="shared" si="0"/>
        <v>1.0542901691831122E-236</v>
      </c>
      <c r="G52" s="41">
        <f>SUM(F$11:F52)</f>
        <v>1.0993514811101322E-236</v>
      </c>
      <c r="I52" s="1">
        <f t="shared" si="9"/>
        <v>42</v>
      </c>
      <c r="J52" s="3">
        <v>120000</v>
      </c>
      <c r="K52" s="3">
        <v>99500</v>
      </c>
      <c r="L52" s="3">
        <v>122000</v>
      </c>
      <c r="M52" s="30">
        <f t="shared" si="1"/>
        <v>0.19999999999999996</v>
      </c>
      <c r="N52" s="1" t="str">
        <f t="shared" si="2"/>
        <v/>
      </c>
      <c r="O52" s="1" t="str">
        <f t="shared" si="3"/>
        <v/>
      </c>
    </row>
    <row r="53" spans="1:15" x14ac:dyDescent="0.25">
      <c r="A53" s="1">
        <f t="shared" si="5"/>
        <v>42</v>
      </c>
      <c r="B53" s="3">
        <f t="shared" ca="1" si="6"/>
        <v>102000</v>
      </c>
      <c r="C53" s="26">
        <f t="shared" ca="1" si="7"/>
        <v>6.7470614751960367E-2</v>
      </c>
      <c r="D53" s="26" t="str">
        <f t="shared" ca="1" si="4"/>
        <v>Lose</v>
      </c>
      <c r="E53" s="3">
        <f t="shared" ca="1" si="8"/>
        <v>-500</v>
      </c>
      <c r="F53" s="42">
        <f t="shared" si="0"/>
        <v>2.5055528612525467E-235</v>
      </c>
      <c r="G53" s="41">
        <f>SUM(F$11:F53)</f>
        <v>2.6154880093635598E-235</v>
      </c>
      <c r="I53" s="1">
        <f t="shared" si="9"/>
        <v>43</v>
      </c>
      <c r="J53" s="3">
        <v>113000</v>
      </c>
      <c r="K53" s="3">
        <v>91500</v>
      </c>
      <c r="L53" s="3">
        <v>115000</v>
      </c>
      <c r="M53" s="30">
        <f t="shared" si="1"/>
        <v>0.12999999999999989</v>
      </c>
      <c r="N53" s="1" t="str">
        <f t="shared" si="2"/>
        <v/>
      </c>
      <c r="O53" s="1" t="str">
        <f t="shared" si="3"/>
        <v/>
      </c>
    </row>
    <row r="54" spans="1:15" x14ac:dyDescent="0.25">
      <c r="A54" s="1">
        <f t="shared" si="5"/>
        <v>43</v>
      </c>
      <c r="B54" s="3">
        <f t="shared" ca="1" si="6"/>
        <v>102500</v>
      </c>
      <c r="C54" s="26">
        <f t="shared" ca="1" si="7"/>
        <v>0.81427206599302049</v>
      </c>
      <c r="D54" s="26" t="str">
        <f t="shared" ca="1" si="4"/>
        <v>Win</v>
      </c>
      <c r="E54" s="3">
        <f t="shared" ca="1" si="8"/>
        <v>500</v>
      </c>
      <c r="F54" s="42">
        <f t="shared" si="0"/>
        <v>5.8099810961110084E-234</v>
      </c>
      <c r="G54" s="41">
        <f>SUM(F$11:F54)</f>
        <v>6.0715298970473646E-234</v>
      </c>
      <c r="I54" s="1">
        <f t="shared" si="9"/>
        <v>44</v>
      </c>
      <c r="J54" s="3">
        <v>94000</v>
      </c>
      <c r="K54" s="3">
        <v>80500</v>
      </c>
      <c r="L54" s="3">
        <v>112000</v>
      </c>
      <c r="M54" s="30">
        <f t="shared" si="1"/>
        <v>-6.0000000000000053E-2</v>
      </c>
      <c r="N54" s="1" t="str">
        <f t="shared" si="2"/>
        <v/>
      </c>
      <c r="O54" s="1" t="str">
        <f t="shared" si="3"/>
        <v/>
      </c>
    </row>
    <row r="55" spans="1:15" x14ac:dyDescent="0.25">
      <c r="A55" s="1">
        <f t="shared" si="5"/>
        <v>44</v>
      </c>
      <c r="B55" s="3">
        <f t="shared" ca="1" si="6"/>
        <v>103000</v>
      </c>
      <c r="C55" s="26">
        <f t="shared" ca="1" si="7"/>
        <v>0.56700280448785267</v>
      </c>
      <c r="D55" s="26" t="str">
        <f t="shared" ca="1" si="4"/>
        <v>Win</v>
      </c>
      <c r="E55" s="3">
        <f t="shared" ca="1" si="8"/>
        <v>500</v>
      </c>
      <c r="F55" s="42">
        <f t="shared" si="0"/>
        <v>1.3152492920124708E-232</v>
      </c>
      <c r="G55" s="41">
        <f>SUM(F$11:F55)</f>
        <v>1.3759645909829445E-232</v>
      </c>
      <c r="I55" s="1">
        <f t="shared" si="9"/>
        <v>45</v>
      </c>
      <c r="J55" s="3">
        <v>105000</v>
      </c>
      <c r="K55" s="3">
        <v>94500</v>
      </c>
      <c r="L55" s="3">
        <v>114500</v>
      </c>
      <c r="M55" s="30">
        <f t="shared" si="1"/>
        <v>5.0000000000000044E-2</v>
      </c>
      <c r="N55" s="1" t="str">
        <f t="shared" si="2"/>
        <v/>
      </c>
      <c r="O55" s="1" t="str">
        <f t="shared" si="3"/>
        <v/>
      </c>
    </row>
    <row r="56" spans="1:15" x14ac:dyDescent="0.25">
      <c r="A56" s="1">
        <f t="shared" si="5"/>
        <v>45</v>
      </c>
      <c r="B56" s="3">
        <f t="shared" ca="1" si="6"/>
        <v>102500</v>
      </c>
      <c r="C56" s="26">
        <f t="shared" ca="1" si="7"/>
        <v>0.39126957540299623</v>
      </c>
      <c r="D56" s="26" t="str">
        <f t="shared" ca="1" si="4"/>
        <v>Lose</v>
      </c>
      <c r="E56" s="3">
        <f t="shared" ca="1" si="8"/>
        <v>-500</v>
      </c>
      <c r="F56" s="42">
        <f t="shared" si="0"/>
        <v>2.9082219719438267E-231</v>
      </c>
      <c r="G56" s="41">
        <f>SUM(F$11:F56)</f>
        <v>3.0458184310421214E-231</v>
      </c>
      <c r="I56" s="1">
        <f t="shared" si="9"/>
        <v>46</v>
      </c>
      <c r="J56" s="3">
        <v>128000</v>
      </c>
      <c r="K56" s="3">
        <v>97000</v>
      </c>
      <c r="L56" s="3">
        <v>136000</v>
      </c>
      <c r="M56" s="30">
        <f t="shared" si="1"/>
        <v>0.28000000000000003</v>
      </c>
      <c r="N56" s="1" t="str">
        <f t="shared" si="2"/>
        <v/>
      </c>
      <c r="O56" s="1" t="str">
        <f t="shared" si="3"/>
        <v/>
      </c>
    </row>
    <row r="57" spans="1:15" x14ac:dyDescent="0.25">
      <c r="A57" s="1">
        <f t="shared" si="5"/>
        <v>46</v>
      </c>
      <c r="B57" s="3">
        <f t="shared" ca="1" si="6"/>
        <v>103000</v>
      </c>
      <c r="C57" s="26">
        <f t="shared" ca="1" si="7"/>
        <v>0.59030788969719639</v>
      </c>
      <c r="D57" s="26" t="str">
        <f t="shared" ca="1" si="4"/>
        <v>Win</v>
      </c>
      <c r="E57" s="3">
        <f t="shared" ca="1" si="8"/>
        <v>500</v>
      </c>
      <c r="F57" s="42">
        <f t="shared" si="0"/>
        <v>6.2841593231386074E-230</v>
      </c>
      <c r="G57" s="41">
        <f>SUM(F$11:F57)</f>
        <v>6.5887411662428199E-230</v>
      </c>
      <c r="I57" s="1">
        <f t="shared" si="9"/>
        <v>47</v>
      </c>
      <c r="J57" s="3">
        <v>127000</v>
      </c>
      <c r="K57" s="3">
        <v>94500</v>
      </c>
      <c r="L57" s="3">
        <v>127000</v>
      </c>
      <c r="M57" s="30">
        <f t="shared" si="1"/>
        <v>0.27</v>
      </c>
      <c r="N57" s="1" t="str">
        <f t="shared" si="2"/>
        <v/>
      </c>
      <c r="O57" s="1" t="str">
        <f t="shared" si="3"/>
        <v/>
      </c>
    </row>
    <row r="58" spans="1:15" x14ac:dyDescent="0.25">
      <c r="A58" s="1">
        <f t="shared" si="5"/>
        <v>47</v>
      </c>
      <c r="B58" s="3">
        <f t="shared" ca="1" si="6"/>
        <v>103500</v>
      </c>
      <c r="C58" s="26">
        <f t="shared" ca="1" si="7"/>
        <v>0.5959897377133212</v>
      </c>
      <c r="D58" s="26" t="str">
        <f t="shared" ca="1" si="4"/>
        <v>Win</v>
      </c>
      <c r="E58" s="3">
        <f t="shared" ca="1" si="8"/>
        <v>500</v>
      </c>
      <c r="F58" s="42">
        <f t="shared" si="0"/>
        <v>1.3276139283887628E-228</v>
      </c>
      <c r="G58" s="41">
        <f>SUM(F$11:F58)</f>
        <v>1.3935013400511911E-228</v>
      </c>
      <c r="I58" s="1">
        <f t="shared" si="9"/>
        <v>48</v>
      </c>
      <c r="J58" s="3">
        <v>90000</v>
      </c>
      <c r="K58" s="3">
        <v>84000</v>
      </c>
      <c r="L58" s="3">
        <v>100000</v>
      </c>
      <c r="M58" s="30">
        <f t="shared" si="1"/>
        <v>-9.9999999999999978E-2</v>
      </c>
      <c r="N58" s="1" t="str">
        <f t="shared" si="2"/>
        <v/>
      </c>
      <c r="O58" s="1" t="str">
        <f t="shared" si="3"/>
        <v/>
      </c>
    </row>
    <row r="59" spans="1:15" x14ac:dyDescent="0.25">
      <c r="A59" s="1">
        <f t="shared" si="5"/>
        <v>48</v>
      </c>
      <c r="B59" s="3">
        <f t="shared" ca="1" si="6"/>
        <v>103000</v>
      </c>
      <c r="C59" s="26">
        <f t="shared" ca="1" si="7"/>
        <v>8.0574046273395705E-2</v>
      </c>
      <c r="D59" s="26" t="str">
        <f t="shared" ca="1" si="4"/>
        <v>Lose</v>
      </c>
      <c r="E59" s="3">
        <f t="shared" ca="1" si="8"/>
        <v>-500</v>
      </c>
      <c r="F59" s="42">
        <f t="shared" si="0"/>
        <v>2.7434532211516354E-227</v>
      </c>
      <c r="G59" s="41">
        <f>SUM(F$11:F59)</f>
        <v>2.8828033551567543E-227</v>
      </c>
      <c r="I59" s="1">
        <f t="shared" si="9"/>
        <v>49</v>
      </c>
      <c r="J59" s="3">
        <v>128000</v>
      </c>
      <c r="K59" s="3">
        <v>99500</v>
      </c>
      <c r="L59" s="3">
        <v>130000</v>
      </c>
      <c r="M59" s="30">
        <f t="shared" si="1"/>
        <v>0.28000000000000003</v>
      </c>
      <c r="N59" s="1" t="str">
        <f t="shared" si="2"/>
        <v/>
      </c>
      <c r="O59" s="1" t="str">
        <f t="shared" si="3"/>
        <v/>
      </c>
    </row>
    <row r="60" spans="1:15" x14ac:dyDescent="0.25">
      <c r="A60" s="1">
        <f t="shared" si="5"/>
        <v>49</v>
      </c>
      <c r="B60" s="3">
        <f t="shared" ca="1" si="6"/>
        <v>103500</v>
      </c>
      <c r="C60" s="26">
        <f t="shared" ca="1" si="7"/>
        <v>0.6434488700504144</v>
      </c>
      <c r="D60" s="26" t="str">
        <f t="shared" ca="1" si="4"/>
        <v>Win</v>
      </c>
      <c r="E60" s="3">
        <f t="shared" ca="1" si="8"/>
        <v>500</v>
      </c>
      <c r="F60" s="42">
        <f t="shared" si="0"/>
        <v>5.5476943270873259E-226</v>
      </c>
      <c r="G60" s="41">
        <f>SUM(F$11:F60)</f>
        <v>5.8359746626030012E-226</v>
      </c>
      <c r="I60" s="1">
        <f t="shared" si="9"/>
        <v>50</v>
      </c>
      <c r="J60" s="3">
        <v>108000</v>
      </c>
      <c r="K60" s="3">
        <v>86500</v>
      </c>
      <c r="L60" s="3">
        <v>111000</v>
      </c>
      <c r="M60" s="30">
        <f t="shared" si="1"/>
        <v>8.0000000000000071E-2</v>
      </c>
      <c r="N60" s="1" t="str">
        <f t="shared" si="2"/>
        <v/>
      </c>
      <c r="O60" s="1" t="str">
        <f t="shared" si="3"/>
        <v/>
      </c>
    </row>
    <row r="61" spans="1:15" x14ac:dyDescent="0.25">
      <c r="A61" s="1">
        <f t="shared" si="5"/>
        <v>50</v>
      </c>
      <c r="B61" s="3">
        <f t="shared" ca="1" si="6"/>
        <v>104000</v>
      </c>
      <c r="C61" s="26">
        <f t="shared" ca="1" si="7"/>
        <v>0.56085261350199167</v>
      </c>
      <c r="D61" s="26" t="str">
        <f t="shared" ca="1" si="4"/>
        <v>Win</v>
      </c>
      <c r="E61" s="3">
        <f t="shared" ca="1" si="8"/>
        <v>500</v>
      </c>
      <c r="F61" s="42">
        <f t="shared" si="0"/>
        <v>1.0982396839105282E-224</v>
      </c>
      <c r="G61" s="41">
        <f>SUM(F$11:F61)</f>
        <v>1.1565994305365582E-224</v>
      </c>
      <c r="I61" s="1">
        <f t="shared" si="9"/>
        <v>51</v>
      </c>
      <c r="J61" s="3">
        <v>123000</v>
      </c>
      <c r="K61" s="3">
        <v>97000</v>
      </c>
      <c r="L61" s="3">
        <v>131500</v>
      </c>
      <c r="M61" s="30">
        <f t="shared" si="1"/>
        <v>0.22999999999999998</v>
      </c>
      <c r="N61" s="1" t="str">
        <f t="shared" si="2"/>
        <v/>
      </c>
      <c r="O61" s="1" t="str">
        <f t="shared" si="3"/>
        <v/>
      </c>
    </row>
    <row r="62" spans="1:15" x14ac:dyDescent="0.25">
      <c r="A62" s="1">
        <f t="shared" si="5"/>
        <v>51</v>
      </c>
      <c r="B62" s="3">
        <f t="shared" ca="1" si="6"/>
        <v>103500</v>
      </c>
      <c r="C62" s="26">
        <f t="shared" ca="1" si="7"/>
        <v>9.5982138705825282E-2</v>
      </c>
      <c r="D62" s="26" t="str">
        <f t="shared" ca="1" si="4"/>
        <v>Lose</v>
      </c>
      <c r="E62" s="3">
        <f t="shared" ca="1" si="8"/>
        <v>-500</v>
      </c>
      <c r="F62" s="42">
        <f t="shared" si="0"/>
        <v>2.1292402034996888E-223</v>
      </c>
      <c r="G62" s="41">
        <f>SUM(F$11:F62)</f>
        <v>2.2449001465533448E-223</v>
      </c>
      <c r="I62" s="1">
        <f t="shared" si="9"/>
        <v>52</v>
      </c>
      <c r="J62" s="3">
        <v>105000</v>
      </c>
      <c r="K62" s="3">
        <v>99000</v>
      </c>
      <c r="L62" s="3">
        <v>117000</v>
      </c>
      <c r="M62" s="30">
        <f t="shared" si="1"/>
        <v>5.0000000000000044E-2</v>
      </c>
      <c r="N62" s="1" t="str">
        <f t="shared" si="2"/>
        <v/>
      </c>
      <c r="O62" s="1" t="str">
        <f t="shared" si="3"/>
        <v/>
      </c>
    </row>
    <row r="63" spans="1:15" x14ac:dyDescent="0.25">
      <c r="A63" s="1">
        <f t="shared" si="5"/>
        <v>52</v>
      </c>
      <c r="B63" s="3">
        <f t="shared" ca="1" si="6"/>
        <v>104000</v>
      </c>
      <c r="C63" s="26">
        <f t="shared" ca="1" si="7"/>
        <v>0.65712351195001439</v>
      </c>
      <c r="D63" s="26" t="str">
        <f t="shared" ca="1" si="4"/>
        <v>Win</v>
      </c>
      <c r="E63" s="3">
        <f t="shared" ca="1" si="8"/>
        <v>500</v>
      </c>
      <c r="F63" s="42">
        <f t="shared" si="0"/>
        <v>4.0444700396064548E-222</v>
      </c>
      <c r="G63" s="41">
        <f>SUM(F$11:F63)</f>
        <v>4.2689600542617891E-222</v>
      </c>
      <c r="I63" s="1">
        <f t="shared" si="9"/>
        <v>53</v>
      </c>
      <c r="J63" s="3">
        <v>105000</v>
      </c>
      <c r="K63" s="3">
        <v>97000</v>
      </c>
      <c r="L63" s="3">
        <v>119000</v>
      </c>
      <c r="M63" s="30">
        <f t="shared" si="1"/>
        <v>5.0000000000000044E-2</v>
      </c>
      <c r="N63" s="1" t="str">
        <f t="shared" si="2"/>
        <v/>
      </c>
      <c r="O63" s="1" t="str">
        <f t="shared" si="3"/>
        <v/>
      </c>
    </row>
    <row r="64" spans="1:15" x14ac:dyDescent="0.25">
      <c r="A64" s="1">
        <f t="shared" si="5"/>
        <v>53</v>
      </c>
      <c r="B64" s="3">
        <f t="shared" ca="1" si="6"/>
        <v>103500</v>
      </c>
      <c r="C64" s="26">
        <f t="shared" ca="1" si="7"/>
        <v>0.30550486076192995</v>
      </c>
      <c r="D64" s="26" t="str">
        <f t="shared" ca="1" si="4"/>
        <v>Lose</v>
      </c>
      <c r="E64" s="3">
        <f t="shared" ca="1" si="8"/>
        <v>-500</v>
      </c>
      <c r="F64" s="42">
        <f t="shared" si="0"/>
        <v>7.5295355207898576E-221</v>
      </c>
      <c r="G64" s="41">
        <f>SUM(F$11:F64)</f>
        <v>7.9564315262160367E-221</v>
      </c>
      <c r="I64" s="1">
        <f t="shared" si="9"/>
        <v>54</v>
      </c>
      <c r="J64" s="3">
        <v>123000</v>
      </c>
      <c r="K64" s="3">
        <v>98500</v>
      </c>
      <c r="L64" s="3">
        <v>127500</v>
      </c>
      <c r="M64" s="30">
        <f t="shared" si="1"/>
        <v>0.22999999999999998</v>
      </c>
      <c r="N64" s="1" t="str">
        <f t="shared" si="2"/>
        <v/>
      </c>
      <c r="O64" s="1" t="str">
        <f t="shared" si="3"/>
        <v/>
      </c>
    </row>
    <row r="65" spans="1:15" x14ac:dyDescent="0.25">
      <c r="A65" s="1">
        <f t="shared" si="5"/>
        <v>54</v>
      </c>
      <c r="B65" s="3">
        <f t="shared" ca="1" si="6"/>
        <v>104000</v>
      </c>
      <c r="C65" s="26">
        <f t="shared" ca="1" si="7"/>
        <v>0.91517800468425314</v>
      </c>
      <c r="D65" s="26" t="str">
        <f t="shared" ca="1" si="4"/>
        <v>Win</v>
      </c>
      <c r="E65" s="3">
        <f t="shared" ca="1" si="8"/>
        <v>500</v>
      </c>
      <c r="F65" s="42">
        <f t="shared" si="0"/>
        <v>1.3743536547527947E-219</v>
      </c>
      <c r="G65" s="41">
        <f>SUM(F$11:F65)</f>
        <v>1.4539179700149551E-219</v>
      </c>
      <c r="I65" s="1">
        <f t="shared" si="9"/>
        <v>55</v>
      </c>
      <c r="J65" s="3">
        <v>100000</v>
      </c>
      <c r="K65" s="3">
        <v>81000</v>
      </c>
      <c r="L65" s="3">
        <v>104000</v>
      </c>
      <c r="M65" s="30">
        <f t="shared" si="1"/>
        <v>0</v>
      </c>
      <c r="N65" s="1" t="str">
        <f t="shared" si="2"/>
        <v/>
      </c>
      <c r="O65" s="1" t="str">
        <f t="shared" si="3"/>
        <v/>
      </c>
    </row>
    <row r="66" spans="1:15" x14ac:dyDescent="0.25">
      <c r="A66" s="1">
        <f t="shared" si="5"/>
        <v>55</v>
      </c>
      <c r="B66" s="3">
        <f t="shared" ca="1" si="6"/>
        <v>104500</v>
      </c>
      <c r="C66" s="26">
        <f t="shared" ca="1" si="7"/>
        <v>0.67040233227071933</v>
      </c>
      <c r="D66" s="26" t="str">
        <f t="shared" ca="1" si="4"/>
        <v>Win</v>
      </c>
      <c r="E66" s="3">
        <f t="shared" ca="1" si="8"/>
        <v>500</v>
      </c>
      <c r="F66" s="42">
        <f t="shared" si="0"/>
        <v>2.4603735223451294E-218</v>
      </c>
      <c r="G66" s="41">
        <f>SUM(F$11:F66)</f>
        <v>2.6057653193466248E-218</v>
      </c>
      <c r="I66" s="1">
        <f t="shared" si="9"/>
        <v>56</v>
      </c>
      <c r="J66" s="3">
        <v>117000</v>
      </c>
      <c r="K66" s="3">
        <v>93500</v>
      </c>
      <c r="L66" s="3">
        <v>125000</v>
      </c>
      <c r="M66" s="30">
        <f t="shared" si="1"/>
        <v>0.16999999999999993</v>
      </c>
      <c r="N66" s="1" t="str">
        <f t="shared" si="2"/>
        <v/>
      </c>
      <c r="O66" s="1" t="str">
        <f t="shared" si="3"/>
        <v/>
      </c>
    </row>
    <row r="67" spans="1:15" x14ac:dyDescent="0.25">
      <c r="A67" s="1">
        <f t="shared" si="5"/>
        <v>56</v>
      </c>
      <c r="B67" s="3">
        <f t="shared" ca="1" si="6"/>
        <v>105000</v>
      </c>
      <c r="C67" s="26">
        <f t="shared" ca="1" si="7"/>
        <v>0.61366949006821503</v>
      </c>
      <c r="D67" s="26" t="str">
        <f t="shared" ca="1" si="4"/>
        <v>Win</v>
      </c>
      <c r="E67" s="3">
        <f t="shared" ca="1" si="8"/>
        <v>500</v>
      </c>
      <c r="F67" s="42">
        <f t="shared" si="0"/>
        <v>4.3213448217722399E-217</v>
      </c>
      <c r="G67" s="41">
        <f>SUM(F$11:F67)</f>
        <v>4.5819213537069028E-217</v>
      </c>
      <c r="I67" s="1">
        <f t="shared" si="9"/>
        <v>57</v>
      </c>
      <c r="J67" s="3">
        <v>101000</v>
      </c>
      <c r="K67" s="3">
        <v>94500</v>
      </c>
      <c r="L67" s="3">
        <v>110500</v>
      </c>
      <c r="M67" s="30">
        <f t="shared" si="1"/>
        <v>1.0000000000000009E-2</v>
      </c>
      <c r="N67" s="1" t="str">
        <f t="shared" si="2"/>
        <v/>
      </c>
      <c r="O67" s="1" t="str">
        <f t="shared" si="3"/>
        <v/>
      </c>
    </row>
    <row r="68" spans="1:15" x14ac:dyDescent="0.25">
      <c r="A68" s="1">
        <f t="shared" si="5"/>
        <v>57</v>
      </c>
      <c r="B68" s="3">
        <f t="shared" ca="1" si="6"/>
        <v>105500</v>
      </c>
      <c r="C68" s="26">
        <f t="shared" ca="1" si="7"/>
        <v>0.83834980553201022</v>
      </c>
      <c r="D68" s="26" t="str">
        <f t="shared" ca="1" si="4"/>
        <v>Win</v>
      </c>
      <c r="E68" s="3">
        <f t="shared" ca="1" si="8"/>
        <v>500</v>
      </c>
      <c r="F68" s="42">
        <f t="shared" si="0"/>
        <v>7.4488659183459135E-216</v>
      </c>
      <c r="G68" s="41">
        <f>SUM(F$11:F68)</f>
        <v>7.9070580537166036E-216</v>
      </c>
      <c r="I68" s="1">
        <f t="shared" si="9"/>
        <v>58</v>
      </c>
      <c r="J68" s="3">
        <v>103000</v>
      </c>
      <c r="K68" s="3">
        <v>99500</v>
      </c>
      <c r="L68" s="3">
        <v>122500</v>
      </c>
      <c r="M68" s="30">
        <f t="shared" si="1"/>
        <v>3.0000000000000027E-2</v>
      </c>
      <c r="N68" s="1" t="str">
        <f t="shared" si="2"/>
        <v/>
      </c>
      <c r="O68" s="1" t="str">
        <f t="shared" si="3"/>
        <v/>
      </c>
    </row>
    <row r="69" spans="1:15" x14ac:dyDescent="0.25">
      <c r="A69" s="1">
        <f t="shared" si="5"/>
        <v>58</v>
      </c>
      <c r="B69" s="3">
        <f t="shared" ca="1" si="6"/>
        <v>106000</v>
      </c>
      <c r="C69" s="26">
        <f t="shared" ca="1" si="7"/>
        <v>0.84712834264305259</v>
      </c>
      <c r="D69" s="26" t="str">
        <f t="shared" ca="1" si="4"/>
        <v>Win</v>
      </c>
      <c r="E69" s="3">
        <f t="shared" ca="1" si="8"/>
        <v>500</v>
      </c>
      <c r="F69" s="42">
        <f t="shared" si="0"/>
        <v>1.2605148086242451E-214</v>
      </c>
      <c r="G69" s="41">
        <f>SUM(F$11:F69)</f>
        <v>1.3395853891614112E-214</v>
      </c>
      <c r="I69" s="1">
        <f t="shared" si="9"/>
        <v>59</v>
      </c>
      <c r="J69" s="3">
        <v>111000</v>
      </c>
      <c r="K69" s="3">
        <v>98000</v>
      </c>
      <c r="L69" s="3">
        <v>114000</v>
      </c>
      <c r="M69" s="30">
        <f t="shared" si="1"/>
        <v>0.1100000000000001</v>
      </c>
      <c r="N69" s="1" t="str">
        <f t="shared" si="2"/>
        <v/>
      </c>
      <c r="O69" s="1" t="str">
        <f t="shared" si="3"/>
        <v/>
      </c>
    </row>
    <row r="70" spans="1:15" x14ac:dyDescent="0.25">
      <c r="A70" s="1">
        <f t="shared" si="5"/>
        <v>59</v>
      </c>
      <c r="B70" s="3">
        <f t="shared" ca="1" si="6"/>
        <v>106500</v>
      </c>
      <c r="C70" s="26">
        <f t="shared" ca="1" si="7"/>
        <v>0.97800904788185961</v>
      </c>
      <c r="D70" s="26" t="str">
        <f t="shared" ca="1" si="4"/>
        <v>Win</v>
      </c>
      <c r="E70" s="3">
        <f t="shared" ca="1" si="8"/>
        <v>500</v>
      </c>
      <c r="F70" s="42">
        <f t="shared" si="0"/>
        <v>2.0946956913151585E-213</v>
      </c>
      <c r="G70" s="41">
        <f>SUM(F$11:F70)</f>
        <v>2.2286542302312997E-213</v>
      </c>
      <c r="I70" s="1">
        <f t="shared" si="9"/>
        <v>60</v>
      </c>
      <c r="J70" s="3">
        <v>115000</v>
      </c>
      <c r="K70" s="3">
        <v>90500</v>
      </c>
      <c r="L70" s="3">
        <v>121000</v>
      </c>
      <c r="M70" s="30">
        <f t="shared" si="1"/>
        <v>0.14999999999999991</v>
      </c>
      <c r="N70" s="1" t="str">
        <f t="shared" si="2"/>
        <v/>
      </c>
      <c r="O70" s="1" t="str">
        <f t="shared" si="3"/>
        <v/>
      </c>
    </row>
    <row r="71" spans="1:15" x14ac:dyDescent="0.25">
      <c r="A71" s="1">
        <f t="shared" si="5"/>
        <v>60</v>
      </c>
      <c r="B71" s="3">
        <f t="shared" ca="1" si="6"/>
        <v>107000</v>
      </c>
      <c r="C71" s="26">
        <f t="shared" ca="1" si="7"/>
        <v>0.62122638833859445</v>
      </c>
      <c r="D71" s="26" t="str">
        <f t="shared" ca="1" si="4"/>
        <v>Win</v>
      </c>
      <c r="E71" s="3">
        <f t="shared" ca="1" si="8"/>
        <v>500</v>
      </c>
      <c r="F71" s="42">
        <f t="shared" si="0"/>
        <v>3.4192700993846558E-212</v>
      </c>
      <c r="G71" s="41">
        <f>SUM(F$11:F71)</f>
        <v>3.6421355224077858E-212</v>
      </c>
      <c r="I71" s="1">
        <f t="shared" si="9"/>
        <v>61</v>
      </c>
      <c r="J71" s="3">
        <v>106000</v>
      </c>
      <c r="K71" s="3">
        <v>87500</v>
      </c>
      <c r="L71" s="3">
        <v>108500</v>
      </c>
      <c r="M71" s="30">
        <f t="shared" si="1"/>
        <v>6.0000000000000053E-2</v>
      </c>
      <c r="N71" s="1" t="str">
        <f t="shared" si="2"/>
        <v/>
      </c>
      <c r="O71" s="1" t="str">
        <f t="shared" si="3"/>
        <v/>
      </c>
    </row>
    <row r="72" spans="1:15" x14ac:dyDescent="0.25">
      <c r="A72" s="1">
        <f t="shared" si="5"/>
        <v>61</v>
      </c>
      <c r="B72" s="3">
        <f t="shared" ca="1" si="6"/>
        <v>106500</v>
      </c>
      <c r="C72" s="26">
        <f t="shared" ca="1" si="7"/>
        <v>0.19722702574524242</v>
      </c>
      <c r="D72" s="26" t="str">
        <f t="shared" ca="1" si="4"/>
        <v>Lose</v>
      </c>
      <c r="E72" s="3">
        <f t="shared" ca="1" si="8"/>
        <v>-500</v>
      </c>
      <c r="F72" s="42">
        <f t="shared" si="0"/>
        <v>5.484101992789772E-211</v>
      </c>
      <c r="G72" s="41">
        <f>SUM(F$11:F72)</f>
        <v>5.8483155450305506E-211</v>
      </c>
      <c r="I72" s="1">
        <f t="shared" si="9"/>
        <v>62</v>
      </c>
      <c r="J72" s="3">
        <v>89000</v>
      </c>
      <c r="K72" s="3">
        <v>76500</v>
      </c>
      <c r="L72" s="3">
        <v>106000</v>
      </c>
      <c r="M72" s="30">
        <f t="shared" si="1"/>
        <v>-0.10999999999999999</v>
      </c>
      <c r="N72" s="1" t="str">
        <f t="shared" si="2"/>
        <v/>
      </c>
      <c r="O72" s="1" t="str">
        <f t="shared" si="3"/>
        <v/>
      </c>
    </row>
    <row r="73" spans="1:15" x14ac:dyDescent="0.25">
      <c r="A73" s="1">
        <f t="shared" si="5"/>
        <v>62</v>
      </c>
      <c r="B73" s="3">
        <f t="shared" ca="1" si="6"/>
        <v>106000</v>
      </c>
      <c r="C73" s="26">
        <f t="shared" ca="1" si="7"/>
        <v>0.15885370737195825</v>
      </c>
      <c r="D73" s="26" t="str">
        <f t="shared" ca="1" si="4"/>
        <v>Lose</v>
      </c>
      <c r="E73" s="3">
        <f t="shared" ca="1" si="8"/>
        <v>-500</v>
      </c>
      <c r="F73" s="42">
        <f t="shared" si="0"/>
        <v>8.6447715711883507E-210</v>
      </c>
      <c r="G73" s="41">
        <f>SUM(F$11:F73)</f>
        <v>9.2296031256914055E-210</v>
      </c>
      <c r="I73" s="1">
        <f t="shared" si="9"/>
        <v>63</v>
      </c>
      <c r="J73" s="3">
        <v>80000</v>
      </c>
      <c r="K73" s="3">
        <v>77000</v>
      </c>
      <c r="L73" s="3">
        <v>109000</v>
      </c>
      <c r="M73" s="30">
        <f t="shared" si="1"/>
        <v>-0.19999999999999996</v>
      </c>
      <c r="N73" s="1" t="str">
        <f t="shared" si="2"/>
        <v/>
      </c>
      <c r="O73" s="1" t="str">
        <f t="shared" si="3"/>
        <v/>
      </c>
    </row>
    <row r="74" spans="1:15" x14ac:dyDescent="0.25">
      <c r="A74" s="1">
        <f t="shared" si="5"/>
        <v>63</v>
      </c>
      <c r="B74" s="3">
        <f t="shared" ca="1" si="6"/>
        <v>106500</v>
      </c>
      <c r="C74" s="26">
        <f t="shared" ca="1" si="7"/>
        <v>0.53717379657403452</v>
      </c>
      <c r="D74" s="26" t="str">
        <f t="shared" ca="1" si="4"/>
        <v>Win</v>
      </c>
      <c r="E74" s="3">
        <f t="shared" ca="1" si="8"/>
        <v>500</v>
      </c>
      <c r="F74" s="42">
        <f t="shared" si="0"/>
        <v>1.3396455536850631E-208</v>
      </c>
      <c r="G74" s="41">
        <f>SUM(F$11:F74)</f>
        <v>1.4319415849419773E-208</v>
      </c>
      <c r="I74" s="1">
        <f t="shared" si="9"/>
        <v>64</v>
      </c>
      <c r="J74" s="3">
        <v>99000</v>
      </c>
      <c r="K74" s="3">
        <v>90000</v>
      </c>
      <c r="L74" s="3">
        <v>108000</v>
      </c>
      <c r="M74" s="30">
        <f t="shared" si="1"/>
        <v>-1.0000000000000009E-2</v>
      </c>
      <c r="N74" s="1" t="str">
        <f t="shared" si="2"/>
        <v/>
      </c>
      <c r="O74" s="1" t="str">
        <f t="shared" si="3"/>
        <v/>
      </c>
    </row>
    <row r="75" spans="1:15" x14ac:dyDescent="0.25">
      <c r="A75" s="1">
        <f t="shared" si="5"/>
        <v>64</v>
      </c>
      <c r="B75" s="3">
        <f t="shared" ca="1" si="6"/>
        <v>106000</v>
      </c>
      <c r="C75" s="26">
        <f t="shared" ca="1" si="7"/>
        <v>0.42424191527414101</v>
      </c>
      <c r="D75" s="26" t="str">
        <f t="shared" ca="1" si="4"/>
        <v>Lose</v>
      </c>
      <c r="E75" s="3">
        <f t="shared" ca="1" si="8"/>
        <v>-500</v>
      </c>
      <c r="F75" s="42">
        <f t="shared" si="0"/>
        <v>2.0413788926640785E-207</v>
      </c>
      <c r="G75" s="41">
        <f>SUM(F$11:F75)</f>
        <v>2.184573051158276E-207</v>
      </c>
      <c r="I75" s="1">
        <f t="shared" si="9"/>
        <v>65</v>
      </c>
      <c r="J75" s="3">
        <v>112000</v>
      </c>
      <c r="K75" s="3">
        <v>96000</v>
      </c>
      <c r="L75" s="3">
        <v>124500</v>
      </c>
      <c r="M75" s="30">
        <f t="shared" si="1"/>
        <v>0.12000000000000011</v>
      </c>
      <c r="N75" s="1" t="str">
        <f t="shared" si="2"/>
        <v/>
      </c>
      <c r="O75" s="1" t="str">
        <f t="shared" si="3"/>
        <v/>
      </c>
    </row>
    <row r="76" spans="1:15" x14ac:dyDescent="0.25">
      <c r="A76" s="1">
        <f t="shared" si="5"/>
        <v>65</v>
      </c>
      <c r="B76" s="3">
        <f t="shared" ca="1" si="6"/>
        <v>105500</v>
      </c>
      <c r="C76" s="26">
        <f t="shared" ca="1" si="7"/>
        <v>0.40755801320649476</v>
      </c>
      <c r="D76" s="26" t="str">
        <f t="shared" ca="1" si="4"/>
        <v>Lose</v>
      </c>
      <c r="E76" s="3">
        <f t="shared" ca="1" si="8"/>
        <v>-500</v>
      </c>
      <c r="F76" s="42">
        <f t="shared" ref="F76:F139" si="10">_xlfn.BINOM.DIST(A76,$A$1011,$B$1,FALSE)</f>
        <v>3.0595686913723287E-206</v>
      </c>
      <c r="G76" s="41">
        <f>SUM(F$11:F76)</f>
        <v>3.2780259964881561E-206</v>
      </c>
      <c r="I76" s="1">
        <f t="shared" si="9"/>
        <v>66</v>
      </c>
      <c r="J76" s="3">
        <v>118000</v>
      </c>
      <c r="K76" s="3">
        <v>89000</v>
      </c>
      <c r="L76" s="3">
        <v>118000</v>
      </c>
      <c r="M76" s="30">
        <f t="shared" ref="M76:M139" si="11">J76/$B$3-1</f>
        <v>0.17999999999999994</v>
      </c>
      <c r="N76" s="1" t="str">
        <f t="shared" ref="N76:N139" si="12">IF(K76&lt;=0,1,"")</f>
        <v/>
      </c>
      <c r="O76" s="1" t="str">
        <f t="shared" ref="O76:O139" si="13">IF(J76&lt;=0,1,"")</f>
        <v/>
      </c>
    </row>
    <row r="77" spans="1:15" x14ac:dyDescent="0.25">
      <c r="A77" s="1">
        <f t="shared" si="5"/>
        <v>66</v>
      </c>
      <c r="B77" s="3">
        <f t="shared" ca="1" si="6"/>
        <v>106000</v>
      </c>
      <c r="C77" s="26">
        <f t="shared" ca="1" si="7"/>
        <v>0.7058324469584828</v>
      </c>
      <c r="D77" s="26" t="str">
        <f t="shared" ref="D77:D140" ca="1" si="14">IF(C77&gt;$B$2,"Win","Lose")</f>
        <v>Win</v>
      </c>
      <c r="E77" s="3">
        <f t="shared" ca="1" si="8"/>
        <v>500</v>
      </c>
      <c r="F77" s="42">
        <f t="shared" si="10"/>
        <v>4.5113028153400124E-205</v>
      </c>
      <c r="G77" s="41">
        <f>SUM(F$11:F77)</f>
        <v>4.8391054149888282E-205</v>
      </c>
      <c r="I77" s="1">
        <f t="shared" si="9"/>
        <v>67</v>
      </c>
      <c r="J77" s="3">
        <v>92000</v>
      </c>
      <c r="K77" s="3">
        <v>83500</v>
      </c>
      <c r="L77" s="3">
        <v>105000</v>
      </c>
      <c r="M77" s="30">
        <f t="shared" si="11"/>
        <v>-7.999999999999996E-2</v>
      </c>
      <c r="N77" s="1" t="str">
        <f t="shared" si="12"/>
        <v/>
      </c>
      <c r="O77" s="1" t="str">
        <f t="shared" si="13"/>
        <v/>
      </c>
    </row>
    <row r="78" spans="1:15" x14ac:dyDescent="0.25">
      <c r="A78" s="1">
        <f t="shared" ref="A78:A141" si="15">A77+1</f>
        <v>67</v>
      </c>
      <c r="B78" s="3">
        <f t="shared" ref="B78:B141" ca="1" si="16">B77+E78</f>
        <v>105500</v>
      </c>
      <c r="C78" s="26">
        <f t="shared" ref="C78:C141" ca="1" si="17">RAND()</f>
        <v>0.16563299590738367</v>
      </c>
      <c r="D78" s="26" t="str">
        <f t="shared" ca="1" si="14"/>
        <v>Lose</v>
      </c>
      <c r="E78" s="3">
        <f t="shared" ref="E78:E141" ca="1" si="18">IF(D78="Win",$B$4,-$B$4)</f>
        <v>-500</v>
      </c>
      <c r="F78" s="42">
        <f t="shared" si="10"/>
        <v>6.5455802103540373E-204</v>
      </c>
      <c r="G78" s="41">
        <f>SUM(F$11:F78)</f>
        <v>7.0294907518529197E-204</v>
      </c>
      <c r="I78" s="1">
        <f t="shared" ref="I78:I141" si="19">I77+1</f>
        <v>68</v>
      </c>
      <c r="J78" s="3">
        <v>99000</v>
      </c>
      <c r="K78" s="3">
        <v>93000</v>
      </c>
      <c r="L78" s="3">
        <v>111500</v>
      </c>
      <c r="M78" s="30">
        <f t="shared" si="11"/>
        <v>-1.0000000000000009E-2</v>
      </c>
      <c r="N78" s="1" t="str">
        <f t="shared" si="12"/>
        <v/>
      </c>
      <c r="O78" s="1" t="str">
        <f t="shared" si="13"/>
        <v/>
      </c>
    </row>
    <row r="79" spans="1:15" x14ac:dyDescent="0.25">
      <c r="A79" s="1">
        <f t="shared" si="15"/>
        <v>68</v>
      </c>
      <c r="B79" s="3">
        <f t="shared" ca="1" si="16"/>
        <v>106000</v>
      </c>
      <c r="C79" s="26">
        <f t="shared" ca="1" si="17"/>
        <v>0.72312706984605746</v>
      </c>
      <c r="D79" s="26" t="str">
        <f t="shared" ca="1" si="14"/>
        <v>Win</v>
      </c>
      <c r="E79" s="3">
        <f t="shared" ca="1" si="18"/>
        <v>500</v>
      </c>
      <c r="F79" s="42">
        <f t="shared" si="10"/>
        <v>9.3474892901930618E-203</v>
      </c>
      <c r="G79" s="41">
        <f>SUM(F$11:F79)</f>
        <v>1.0050438365378354E-202</v>
      </c>
      <c r="I79" s="1">
        <f t="shared" si="19"/>
        <v>69</v>
      </c>
      <c r="J79" s="3">
        <v>115000</v>
      </c>
      <c r="K79" s="3">
        <v>92000</v>
      </c>
      <c r="L79" s="3">
        <v>118000</v>
      </c>
      <c r="M79" s="30">
        <f t="shared" si="11"/>
        <v>0.14999999999999991</v>
      </c>
      <c r="N79" s="1" t="str">
        <f t="shared" si="12"/>
        <v/>
      </c>
      <c r="O79" s="1" t="str">
        <f t="shared" si="13"/>
        <v/>
      </c>
    </row>
    <row r="80" spans="1:15" x14ac:dyDescent="0.25">
      <c r="A80" s="1">
        <f t="shared" si="15"/>
        <v>69</v>
      </c>
      <c r="B80" s="3">
        <f t="shared" ca="1" si="16"/>
        <v>105500</v>
      </c>
      <c r="C80" s="26">
        <f t="shared" ca="1" si="17"/>
        <v>0.1891854975710654</v>
      </c>
      <c r="D80" s="26" t="str">
        <f t="shared" ca="1" si="14"/>
        <v>Lose</v>
      </c>
      <c r="E80" s="3">
        <f t="shared" ca="1" si="18"/>
        <v>-500</v>
      </c>
      <c r="F80" s="42">
        <f t="shared" si="10"/>
        <v>1.3141226292265335E-201</v>
      </c>
      <c r="G80" s="41">
        <f>SUM(F$11:F80)</f>
        <v>1.4146270128803171E-201</v>
      </c>
      <c r="I80" s="1">
        <f t="shared" si="19"/>
        <v>70</v>
      </c>
      <c r="J80" s="3">
        <v>113000</v>
      </c>
      <c r="K80" s="3">
        <v>95000</v>
      </c>
      <c r="L80" s="3">
        <v>119000</v>
      </c>
      <c r="M80" s="30">
        <f t="shared" si="11"/>
        <v>0.12999999999999989</v>
      </c>
      <c r="N80" s="1" t="str">
        <f t="shared" si="12"/>
        <v/>
      </c>
      <c r="O80" s="1" t="str">
        <f t="shared" si="13"/>
        <v/>
      </c>
    </row>
    <row r="81" spans="1:15" x14ac:dyDescent="0.25">
      <c r="A81" s="1">
        <f t="shared" si="15"/>
        <v>70</v>
      </c>
      <c r="B81" s="3">
        <f t="shared" ca="1" si="16"/>
        <v>106000</v>
      </c>
      <c r="C81" s="26">
        <f t="shared" ca="1" si="17"/>
        <v>0.49541892701212309</v>
      </c>
      <c r="D81" s="26" t="str">
        <f t="shared" ca="1" si="14"/>
        <v>Win</v>
      </c>
      <c r="E81" s="3">
        <f t="shared" ca="1" si="18"/>
        <v>500</v>
      </c>
      <c r="F81" s="42">
        <f t="shared" si="10"/>
        <v>1.8191211824577626E-200</v>
      </c>
      <c r="G81" s="41">
        <f>SUM(F$11:F81)</f>
        <v>1.9605838837457944E-200</v>
      </c>
      <c r="I81" s="1">
        <f t="shared" si="19"/>
        <v>71</v>
      </c>
      <c r="J81" s="3">
        <v>117000</v>
      </c>
      <c r="K81" s="3">
        <v>99000</v>
      </c>
      <c r="L81" s="3">
        <v>127500</v>
      </c>
      <c r="M81" s="30">
        <f t="shared" si="11"/>
        <v>0.16999999999999993</v>
      </c>
      <c r="N81" s="1" t="str">
        <f t="shared" si="12"/>
        <v/>
      </c>
      <c r="O81" s="1" t="str">
        <f t="shared" si="13"/>
        <v/>
      </c>
    </row>
    <row r="82" spans="1:15" x14ac:dyDescent="0.25">
      <c r="A82" s="1">
        <f t="shared" si="15"/>
        <v>71</v>
      </c>
      <c r="B82" s="3">
        <f t="shared" ca="1" si="16"/>
        <v>105500</v>
      </c>
      <c r="C82" s="26">
        <f t="shared" ca="1" si="17"/>
        <v>0.13346319635461346</v>
      </c>
      <c r="D82" s="26" t="str">
        <f t="shared" ca="1" si="14"/>
        <v>Lose</v>
      </c>
      <c r="E82" s="3">
        <f t="shared" ca="1" si="18"/>
        <v>-500</v>
      </c>
      <c r="F82" s="42">
        <f t="shared" si="10"/>
        <v>2.4800493729223612E-199</v>
      </c>
      <c r="G82" s="41">
        <f>SUM(F$11:F82)</f>
        <v>2.6761077612969408E-199</v>
      </c>
      <c r="I82" s="1">
        <f t="shared" si="19"/>
        <v>72</v>
      </c>
      <c r="J82" s="3">
        <v>93000</v>
      </c>
      <c r="K82" s="3">
        <v>84500</v>
      </c>
      <c r="L82" s="3">
        <v>102000</v>
      </c>
      <c r="M82" s="30">
        <f t="shared" si="11"/>
        <v>-6.9999999999999951E-2</v>
      </c>
      <c r="N82" s="1" t="str">
        <f t="shared" si="12"/>
        <v/>
      </c>
      <c r="O82" s="1" t="str">
        <f t="shared" si="13"/>
        <v/>
      </c>
    </row>
    <row r="83" spans="1:15" x14ac:dyDescent="0.25">
      <c r="A83" s="1">
        <f t="shared" si="15"/>
        <v>72</v>
      </c>
      <c r="B83" s="3">
        <f t="shared" ca="1" si="16"/>
        <v>105000</v>
      </c>
      <c r="C83" s="26">
        <f t="shared" ca="1" si="17"/>
        <v>0.24139634795216747</v>
      </c>
      <c r="D83" s="26" t="str">
        <f t="shared" ca="1" si="14"/>
        <v>Lose</v>
      </c>
      <c r="E83" s="3">
        <f t="shared" ca="1" si="18"/>
        <v>-500</v>
      </c>
      <c r="F83" s="42">
        <f t="shared" si="10"/>
        <v>3.3305629036191171E-198</v>
      </c>
      <c r="G83" s="41">
        <f>SUM(F$11:F83)</f>
        <v>3.598173679748811E-198</v>
      </c>
      <c r="I83" s="1">
        <f t="shared" si="19"/>
        <v>73</v>
      </c>
      <c r="J83" s="3">
        <v>94000</v>
      </c>
      <c r="K83" s="3">
        <v>92500</v>
      </c>
      <c r="L83" s="3">
        <v>108000</v>
      </c>
      <c r="M83" s="30">
        <f t="shared" si="11"/>
        <v>-6.0000000000000053E-2</v>
      </c>
      <c r="N83" s="1" t="str">
        <f t="shared" si="12"/>
        <v/>
      </c>
      <c r="O83" s="1" t="str">
        <f t="shared" si="13"/>
        <v/>
      </c>
    </row>
    <row r="84" spans="1:15" x14ac:dyDescent="0.25">
      <c r="A84" s="1">
        <f t="shared" si="15"/>
        <v>73</v>
      </c>
      <c r="B84" s="3">
        <f t="shared" ca="1" si="16"/>
        <v>105500</v>
      </c>
      <c r="C84" s="26">
        <f t="shared" ca="1" si="17"/>
        <v>0.87896180973367621</v>
      </c>
      <c r="D84" s="26" t="str">
        <f t="shared" ca="1" si="14"/>
        <v>Win</v>
      </c>
      <c r="E84" s="3">
        <f t="shared" ca="1" si="18"/>
        <v>500</v>
      </c>
      <c r="F84" s="42">
        <f t="shared" si="10"/>
        <v>4.4067341655724477E-197</v>
      </c>
      <c r="G84" s="41">
        <f>SUM(F$11:F84)</f>
        <v>4.7665515335473291E-197</v>
      </c>
      <c r="I84" s="1">
        <f t="shared" si="19"/>
        <v>74</v>
      </c>
      <c r="J84" s="3">
        <v>128000</v>
      </c>
      <c r="K84" s="3">
        <v>93500</v>
      </c>
      <c r="L84" s="3">
        <v>135500</v>
      </c>
      <c r="M84" s="30">
        <f t="shared" si="11"/>
        <v>0.28000000000000003</v>
      </c>
      <c r="N84" s="1" t="str">
        <f t="shared" si="12"/>
        <v/>
      </c>
      <c r="O84" s="1" t="str">
        <f t="shared" si="13"/>
        <v/>
      </c>
    </row>
    <row r="85" spans="1:15" x14ac:dyDescent="0.25">
      <c r="A85" s="1">
        <f t="shared" si="15"/>
        <v>74</v>
      </c>
      <c r="B85" s="3">
        <f t="shared" ca="1" si="16"/>
        <v>105000</v>
      </c>
      <c r="C85" s="26">
        <f t="shared" ca="1" si="17"/>
        <v>0.11202081318489765</v>
      </c>
      <c r="D85" s="26" t="str">
        <f t="shared" ca="1" si="14"/>
        <v>Lose</v>
      </c>
      <c r="E85" s="3">
        <f t="shared" ca="1" si="18"/>
        <v>-500</v>
      </c>
      <c r="F85" s="42">
        <f t="shared" si="10"/>
        <v>5.7456473013161327E-196</v>
      </c>
      <c r="G85" s="41">
        <f>SUM(F$11:F85)</f>
        <v>6.2223024546708654E-196</v>
      </c>
      <c r="I85" s="1">
        <f t="shared" si="19"/>
        <v>75</v>
      </c>
      <c r="J85" s="3">
        <v>110000</v>
      </c>
      <c r="K85" s="3">
        <v>94000</v>
      </c>
      <c r="L85" s="3">
        <v>124000</v>
      </c>
      <c r="M85" s="30">
        <f t="shared" si="11"/>
        <v>0.10000000000000009</v>
      </c>
      <c r="N85" s="1" t="str">
        <f t="shared" si="12"/>
        <v/>
      </c>
      <c r="O85" s="1" t="str">
        <f t="shared" si="13"/>
        <v/>
      </c>
    </row>
    <row r="86" spans="1:15" x14ac:dyDescent="0.25">
      <c r="A86" s="1">
        <f t="shared" si="15"/>
        <v>75</v>
      </c>
      <c r="B86" s="3">
        <f t="shared" ca="1" si="16"/>
        <v>105500</v>
      </c>
      <c r="C86" s="26">
        <f t="shared" ca="1" si="17"/>
        <v>0.62784251897591759</v>
      </c>
      <c r="D86" s="26" t="str">
        <f t="shared" ca="1" si="14"/>
        <v>Win</v>
      </c>
      <c r="E86" s="3">
        <f t="shared" ca="1" si="18"/>
        <v>500</v>
      </c>
      <c r="F86" s="42">
        <f t="shared" si="10"/>
        <v>7.3835085565166548E-195</v>
      </c>
      <c r="G86" s="41">
        <f>SUM(F$11:F86)</f>
        <v>8.0057388019837415E-195</v>
      </c>
      <c r="I86" s="1">
        <f t="shared" si="19"/>
        <v>76</v>
      </c>
      <c r="J86" s="3">
        <v>117000</v>
      </c>
      <c r="K86" s="3">
        <v>99500</v>
      </c>
      <c r="L86" s="3">
        <v>120000</v>
      </c>
      <c r="M86" s="30">
        <f t="shared" si="11"/>
        <v>0.16999999999999993</v>
      </c>
      <c r="N86" s="1" t="str">
        <f t="shared" si="12"/>
        <v/>
      </c>
      <c r="O86" s="1" t="str">
        <f t="shared" si="13"/>
        <v/>
      </c>
    </row>
    <row r="87" spans="1:15" x14ac:dyDescent="0.25">
      <c r="A87" s="1">
        <f t="shared" si="15"/>
        <v>76</v>
      </c>
      <c r="B87" s="3">
        <f t="shared" ca="1" si="16"/>
        <v>106000</v>
      </c>
      <c r="C87" s="26">
        <f t="shared" ca="1" si="17"/>
        <v>0.78293980310662625</v>
      </c>
      <c r="D87" s="26" t="str">
        <f t="shared" ca="1" si="14"/>
        <v>Win</v>
      </c>
      <c r="E87" s="3">
        <f t="shared" ca="1" si="18"/>
        <v>500</v>
      </c>
      <c r="F87" s="42">
        <f t="shared" si="10"/>
        <v>9.3533033338787998E-194</v>
      </c>
      <c r="G87" s="41">
        <f>SUM(F$11:F87)</f>
        <v>1.0153877214077174E-193</v>
      </c>
      <c r="I87" s="1">
        <f t="shared" si="19"/>
        <v>77</v>
      </c>
      <c r="J87" s="3">
        <v>114000</v>
      </c>
      <c r="K87" s="3">
        <v>97500</v>
      </c>
      <c r="L87" s="3">
        <v>123500</v>
      </c>
      <c r="M87" s="30">
        <f t="shared" si="11"/>
        <v>0.1399999999999999</v>
      </c>
      <c r="N87" s="1" t="str">
        <f t="shared" si="12"/>
        <v/>
      </c>
      <c r="O87" s="1" t="str">
        <f t="shared" si="13"/>
        <v/>
      </c>
    </row>
    <row r="88" spans="1:15" x14ac:dyDescent="0.25">
      <c r="A88" s="1">
        <f t="shared" si="15"/>
        <v>77</v>
      </c>
      <c r="B88" s="3">
        <f t="shared" ca="1" si="16"/>
        <v>105500</v>
      </c>
      <c r="C88" s="26">
        <f t="shared" ca="1" si="17"/>
        <v>6.5444295044474243E-2</v>
      </c>
      <c r="D88" s="26" t="str">
        <f t="shared" ca="1" si="14"/>
        <v>Lose</v>
      </c>
      <c r="E88" s="3">
        <f t="shared" ca="1" si="18"/>
        <v>-500</v>
      </c>
      <c r="F88" s="42">
        <f t="shared" si="10"/>
        <v>1.1682084980274081E-192</v>
      </c>
      <c r="G88" s="41">
        <f>SUM(F$11:F88)</f>
        <v>1.2697472701681798E-192</v>
      </c>
      <c r="I88" s="1">
        <f t="shared" si="19"/>
        <v>78</v>
      </c>
      <c r="J88" s="3">
        <v>122000</v>
      </c>
      <c r="K88" s="3">
        <v>98500</v>
      </c>
      <c r="L88" s="3">
        <v>129000</v>
      </c>
      <c r="M88" s="30">
        <f t="shared" si="11"/>
        <v>0.21999999999999997</v>
      </c>
      <c r="N88" s="1" t="str">
        <f t="shared" si="12"/>
        <v/>
      </c>
      <c r="O88" s="1" t="str">
        <f t="shared" si="13"/>
        <v/>
      </c>
    </row>
    <row r="89" spans="1:15" x14ac:dyDescent="0.25">
      <c r="A89" s="1">
        <f t="shared" si="15"/>
        <v>78</v>
      </c>
      <c r="B89" s="3">
        <f t="shared" ca="1" si="16"/>
        <v>106000</v>
      </c>
      <c r="C89" s="26">
        <f t="shared" ca="1" si="17"/>
        <v>0.96123888826913417</v>
      </c>
      <c r="D89" s="26" t="str">
        <f t="shared" ca="1" si="14"/>
        <v>Win</v>
      </c>
      <c r="E89" s="3">
        <f t="shared" ca="1" si="18"/>
        <v>500</v>
      </c>
      <c r="F89" s="42">
        <f t="shared" si="10"/>
        <v>1.4388037317540079E-191</v>
      </c>
      <c r="G89" s="41">
        <f>SUM(F$11:F89)</f>
        <v>1.565778458770826E-191</v>
      </c>
      <c r="I89" s="1">
        <f t="shared" si="19"/>
        <v>79</v>
      </c>
      <c r="J89" s="3">
        <v>101000</v>
      </c>
      <c r="K89" s="3">
        <v>78000</v>
      </c>
      <c r="L89" s="3">
        <v>104500</v>
      </c>
      <c r="M89" s="30">
        <f t="shared" si="11"/>
        <v>1.0000000000000009E-2</v>
      </c>
      <c r="N89" s="1" t="str">
        <f t="shared" si="12"/>
        <v/>
      </c>
      <c r="O89" s="1" t="str">
        <f t="shared" si="13"/>
        <v/>
      </c>
    </row>
    <row r="90" spans="1:15" x14ac:dyDescent="0.25">
      <c r="A90" s="1">
        <f t="shared" si="15"/>
        <v>79</v>
      </c>
      <c r="B90" s="3">
        <f t="shared" ca="1" si="16"/>
        <v>105500</v>
      </c>
      <c r="C90" s="26">
        <f t="shared" ca="1" si="17"/>
        <v>0.3804708499752677</v>
      </c>
      <c r="D90" s="26" t="str">
        <f t="shared" ca="1" si="14"/>
        <v>Lose</v>
      </c>
      <c r="E90" s="3">
        <f t="shared" ca="1" si="18"/>
        <v>-500</v>
      </c>
      <c r="F90" s="42">
        <f t="shared" si="10"/>
        <v>1.747750686503204E-190</v>
      </c>
      <c r="G90" s="41">
        <f>SUM(F$11:F90)</f>
        <v>1.9043285323802867E-190</v>
      </c>
      <c r="I90" s="1">
        <f t="shared" si="19"/>
        <v>80</v>
      </c>
      <c r="J90" s="3">
        <v>104000</v>
      </c>
      <c r="K90" s="3">
        <v>88500</v>
      </c>
      <c r="L90" s="3">
        <v>112500</v>
      </c>
      <c r="M90" s="30">
        <f t="shared" si="11"/>
        <v>4.0000000000000036E-2</v>
      </c>
      <c r="N90" s="1" t="str">
        <f t="shared" si="12"/>
        <v/>
      </c>
      <c r="O90" s="1" t="str">
        <f t="shared" si="13"/>
        <v/>
      </c>
    </row>
    <row r="91" spans="1:15" x14ac:dyDescent="0.25">
      <c r="A91" s="1">
        <f t="shared" si="15"/>
        <v>80</v>
      </c>
      <c r="B91" s="3">
        <f t="shared" ca="1" si="16"/>
        <v>105000</v>
      </c>
      <c r="C91" s="26">
        <f t="shared" ca="1" si="17"/>
        <v>0.4330590125328696</v>
      </c>
      <c r="D91" s="26" t="str">
        <f t="shared" ca="1" si="14"/>
        <v>Lose</v>
      </c>
      <c r="E91" s="3">
        <f t="shared" ca="1" si="18"/>
        <v>-500</v>
      </c>
      <c r="F91" s="42">
        <f t="shared" si="10"/>
        <v>2.094224425911698E-189</v>
      </c>
      <c r="G91" s="41">
        <f>SUM(F$11:F91)</f>
        <v>2.2846572791497269E-189</v>
      </c>
      <c r="I91" s="1">
        <f t="shared" si="19"/>
        <v>81</v>
      </c>
      <c r="J91" s="3">
        <v>118000</v>
      </c>
      <c r="K91" s="3">
        <v>95500</v>
      </c>
      <c r="L91" s="3">
        <v>125000</v>
      </c>
      <c r="M91" s="30">
        <f t="shared" si="11"/>
        <v>0.17999999999999994</v>
      </c>
      <c r="N91" s="1" t="str">
        <f t="shared" si="12"/>
        <v/>
      </c>
      <c r="O91" s="1" t="str">
        <f t="shared" si="13"/>
        <v/>
      </c>
    </row>
    <row r="92" spans="1:15" x14ac:dyDescent="0.25">
      <c r="A92" s="1">
        <f t="shared" si="15"/>
        <v>81</v>
      </c>
      <c r="B92" s="3">
        <f t="shared" ca="1" si="16"/>
        <v>105500</v>
      </c>
      <c r="C92" s="26">
        <f t="shared" ca="1" si="17"/>
        <v>0.82274596711100889</v>
      </c>
      <c r="D92" s="26" t="str">
        <f t="shared" ca="1" si="14"/>
        <v>Win</v>
      </c>
      <c r="E92" s="3">
        <f t="shared" ca="1" si="18"/>
        <v>500</v>
      </c>
      <c r="F92" s="42">
        <f t="shared" si="10"/>
        <v>2.4757120197477148E-188</v>
      </c>
      <c r="G92" s="41">
        <f>SUM(F$11:F92)</f>
        <v>2.7041777476626874E-188</v>
      </c>
      <c r="I92" s="1">
        <f t="shared" si="19"/>
        <v>82</v>
      </c>
      <c r="J92" s="3">
        <v>100000</v>
      </c>
      <c r="K92" s="3">
        <v>87000</v>
      </c>
      <c r="L92" s="3">
        <v>105000</v>
      </c>
      <c r="M92" s="30">
        <f t="shared" si="11"/>
        <v>0</v>
      </c>
      <c r="N92" s="1" t="str">
        <f t="shared" si="12"/>
        <v/>
      </c>
      <c r="O92" s="1" t="str">
        <f t="shared" si="13"/>
        <v/>
      </c>
    </row>
    <row r="93" spans="1:15" x14ac:dyDescent="0.25">
      <c r="A93" s="1">
        <f t="shared" si="15"/>
        <v>82</v>
      </c>
      <c r="B93" s="3">
        <f t="shared" ca="1" si="16"/>
        <v>105000</v>
      </c>
      <c r="C93" s="26">
        <f t="shared" ca="1" si="17"/>
        <v>0.11746110813125765</v>
      </c>
      <c r="D93" s="26" t="str">
        <f t="shared" ca="1" si="14"/>
        <v>Lose</v>
      </c>
      <c r="E93" s="3">
        <f t="shared" ca="1" si="18"/>
        <v>-500</v>
      </c>
      <c r="F93" s="42">
        <f t="shared" si="10"/>
        <v>2.8878583039707738E-187</v>
      </c>
      <c r="G93" s="41">
        <f>SUM(F$11:F93)</f>
        <v>3.1582760787370425E-187</v>
      </c>
      <c r="I93" s="1">
        <f t="shared" si="19"/>
        <v>83</v>
      </c>
      <c r="J93" s="3">
        <v>114000</v>
      </c>
      <c r="K93" s="3">
        <v>92500</v>
      </c>
      <c r="L93" s="3">
        <v>115500</v>
      </c>
      <c r="M93" s="30">
        <f t="shared" si="11"/>
        <v>0.1399999999999999</v>
      </c>
      <c r="N93" s="1" t="str">
        <f t="shared" si="12"/>
        <v/>
      </c>
      <c r="O93" s="1" t="str">
        <f t="shared" si="13"/>
        <v/>
      </c>
    </row>
    <row r="94" spans="1:15" x14ac:dyDescent="0.25">
      <c r="A94" s="1">
        <f t="shared" si="15"/>
        <v>83</v>
      </c>
      <c r="B94" s="3">
        <f t="shared" ca="1" si="16"/>
        <v>105500</v>
      </c>
      <c r="C94" s="26">
        <f t="shared" ca="1" si="17"/>
        <v>0.98558309877190975</v>
      </c>
      <c r="D94" s="26" t="str">
        <f t="shared" ca="1" si="14"/>
        <v>Win</v>
      </c>
      <c r="E94" s="3">
        <f t="shared" ca="1" si="18"/>
        <v>500</v>
      </c>
      <c r="F94" s="42">
        <f t="shared" si="10"/>
        <v>3.3244098862872862E-186</v>
      </c>
      <c r="G94" s="41">
        <f>SUM(F$11:F94)</f>
        <v>3.6402374941609906E-186</v>
      </c>
      <c r="I94" s="1">
        <f t="shared" si="19"/>
        <v>84</v>
      </c>
      <c r="J94" s="3">
        <v>121000</v>
      </c>
      <c r="K94" s="3">
        <v>89000</v>
      </c>
      <c r="L94" s="3">
        <v>125500</v>
      </c>
      <c r="M94" s="30">
        <f t="shared" si="11"/>
        <v>0.20999999999999996</v>
      </c>
      <c r="N94" s="1" t="str">
        <f t="shared" si="12"/>
        <v/>
      </c>
      <c r="O94" s="1" t="str">
        <f t="shared" si="13"/>
        <v/>
      </c>
    </row>
    <row r="95" spans="1:15" x14ac:dyDescent="0.25">
      <c r="A95" s="1">
        <f t="shared" si="15"/>
        <v>84</v>
      </c>
      <c r="B95" s="3">
        <f t="shared" ca="1" si="16"/>
        <v>106000</v>
      </c>
      <c r="C95" s="26">
        <f t="shared" ca="1" si="17"/>
        <v>0.55942500183289456</v>
      </c>
      <c r="D95" s="26" t="str">
        <f t="shared" ca="1" si="14"/>
        <v>Win</v>
      </c>
      <c r="E95" s="3">
        <f t="shared" ca="1" si="18"/>
        <v>500</v>
      </c>
      <c r="F95" s="42">
        <f t="shared" si="10"/>
        <v>3.7772759269196955E-185</v>
      </c>
      <c r="G95" s="41">
        <f>SUM(F$11:F95)</f>
        <v>4.1412996763357943E-185</v>
      </c>
      <c r="I95" s="1">
        <f t="shared" si="19"/>
        <v>85</v>
      </c>
      <c r="J95" s="3">
        <v>115000</v>
      </c>
      <c r="K95" s="3">
        <v>96500</v>
      </c>
      <c r="L95" s="3">
        <v>116500</v>
      </c>
      <c r="M95" s="30">
        <f t="shared" si="11"/>
        <v>0.14999999999999991</v>
      </c>
      <c r="N95" s="1" t="str">
        <f t="shared" si="12"/>
        <v/>
      </c>
      <c r="O95" s="1" t="str">
        <f t="shared" si="13"/>
        <v/>
      </c>
    </row>
    <row r="96" spans="1:15" x14ac:dyDescent="0.25">
      <c r="A96" s="1">
        <f t="shared" si="15"/>
        <v>85</v>
      </c>
      <c r="B96" s="3">
        <f t="shared" ca="1" si="16"/>
        <v>105500</v>
      </c>
      <c r="C96" s="26">
        <f t="shared" ca="1" si="17"/>
        <v>0.11403873907710038</v>
      </c>
      <c r="D96" s="26" t="str">
        <f t="shared" ca="1" si="14"/>
        <v>Lose</v>
      </c>
      <c r="E96" s="3">
        <f t="shared" ca="1" si="18"/>
        <v>-500</v>
      </c>
      <c r="F96" s="42">
        <f t="shared" si="10"/>
        <v>4.2367160192549226E-184</v>
      </c>
      <c r="G96" s="41">
        <f>SUM(F$11:F96)</f>
        <v>4.6508459868885021E-184</v>
      </c>
      <c r="I96" s="1">
        <f t="shared" si="19"/>
        <v>86</v>
      </c>
      <c r="J96" s="3">
        <v>133000</v>
      </c>
      <c r="K96" s="3">
        <v>96000</v>
      </c>
      <c r="L96" s="3">
        <v>134000</v>
      </c>
      <c r="M96" s="30">
        <f t="shared" si="11"/>
        <v>0.33000000000000007</v>
      </c>
      <c r="N96" s="1" t="str">
        <f t="shared" si="12"/>
        <v/>
      </c>
      <c r="O96" s="1" t="str">
        <f t="shared" si="13"/>
        <v/>
      </c>
    </row>
    <row r="97" spans="1:15" x14ac:dyDescent="0.25">
      <c r="A97" s="1">
        <f t="shared" si="15"/>
        <v>86</v>
      </c>
      <c r="B97" s="3">
        <f t="shared" ca="1" si="16"/>
        <v>106000</v>
      </c>
      <c r="C97" s="26">
        <f t="shared" ca="1" si="17"/>
        <v>0.88792858616268489</v>
      </c>
      <c r="D97" s="26" t="str">
        <f t="shared" ca="1" si="14"/>
        <v>Win</v>
      </c>
      <c r="E97" s="3">
        <f t="shared" ca="1" si="18"/>
        <v>500</v>
      </c>
      <c r="F97" s="42">
        <f t="shared" si="10"/>
        <v>4.6916552690686286E-183</v>
      </c>
      <c r="G97" s="41">
        <f>SUM(F$11:F97)</f>
        <v>5.1567398677574791E-183</v>
      </c>
      <c r="I97" s="1">
        <f t="shared" si="19"/>
        <v>87</v>
      </c>
      <c r="J97" s="3">
        <v>87000</v>
      </c>
      <c r="K97" s="3">
        <v>84500</v>
      </c>
      <c r="L97" s="3">
        <v>107000</v>
      </c>
      <c r="M97" s="30">
        <f t="shared" si="11"/>
        <v>-0.13</v>
      </c>
      <c r="N97" s="1" t="str">
        <f t="shared" si="12"/>
        <v/>
      </c>
      <c r="O97" s="1" t="str">
        <f t="shared" si="13"/>
        <v/>
      </c>
    </row>
    <row r="98" spans="1:15" x14ac:dyDescent="0.25">
      <c r="A98" s="1">
        <f t="shared" si="15"/>
        <v>87</v>
      </c>
      <c r="B98" s="3">
        <f t="shared" ca="1" si="16"/>
        <v>105500</v>
      </c>
      <c r="C98" s="26">
        <f t="shared" ca="1" si="17"/>
        <v>0.30264955245827641</v>
      </c>
      <c r="D98" s="26" t="str">
        <f t="shared" ca="1" si="14"/>
        <v>Lose</v>
      </c>
      <c r="E98" s="3">
        <f t="shared" ca="1" si="18"/>
        <v>-500</v>
      </c>
      <c r="F98" s="42">
        <f t="shared" si="10"/>
        <v>5.1301153814765284E-182</v>
      </c>
      <c r="G98" s="41">
        <f>SUM(F$11:F98)</f>
        <v>5.6457893682522762E-182</v>
      </c>
      <c r="I98" s="1">
        <f t="shared" si="19"/>
        <v>88</v>
      </c>
      <c r="J98" s="3">
        <v>105000</v>
      </c>
      <c r="K98" s="3">
        <v>94000</v>
      </c>
      <c r="L98" s="3">
        <v>115500</v>
      </c>
      <c r="M98" s="30">
        <f t="shared" si="11"/>
        <v>5.0000000000000044E-2</v>
      </c>
      <c r="N98" s="1" t="str">
        <f t="shared" si="12"/>
        <v/>
      </c>
      <c r="O98" s="1" t="str">
        <f t="shared" si="13"/>
        <v/>
      </c>
    </row>
    <row r="99" spans="1:15" x14ac:dyDescent="0.25">
      <c r="A99" s="1">
        <f t="shared" si="15"/>
        <v>88</v>
      </c>
      <c r="B99" s="3">
        <f t="shared" ca="1" si="16"/>
        <v>106000</v>
      </c>
      <c r="C99" s="26">
        <f t="shared" ca="1" si="17"/>
        <v>0.67890912946688708</v>
      </c>
      <c r="D99" s="26" t="str">
        <f t="shared" ca="1" si="14"/>
        <v>Win</v>
      </c>
      <c r="E99" s="3">
        <f t="shared" ca="1" si="18"/>
        <v>500</v>
      </c>
      <c r="F99" s="42">
        <f t="shared" si="10"/>
        <v>5.5397393902529452E-181</v>
      </c>
      <c r="G99" s="41">
        <f>SUM(F$11:F99)</f>
        <v>6.1043183270781733E-181</v>
      </c>
      <c r="I99" s="1">
        <f t="shared" si="19"/>
        <v>89</v>
      </c>
      <c r="J99" s="3">
        <v>73000</v>
      </c>
      <c r="K99" s="3">
        <v>73000</v>
      </c>
      <c r="L99" s="3">
        <v>101000</v>
      </c>
      <c r="M99" s="30">
        <f t="shared" si="11"/>
        <v>-0.27</v>
      </c>
      <c r="N99" s="1" t="str">
        <f t="shared" si="12"/>
        <v/>
      </c>
      <c r="O99" s="1" t="str">
        <f t="shared" si="13"/>
        <v/>
      </c>
    </row>
    <row r="100" spans="1:15" x14ac:dyDescent="0.25">
      <c r="A100" s="1">
        <f t="shared" si="15"/>
        <v>89</v>
      </c>
      <c r="B100" s="3">
        <f t="shared" ca="1" si="16"/>
        <v>105500</v>
      </c>
      <c r="C100" s="26">
        <f t="shared" ca="1" si="17"/>
        <v>0.20048583449181023</v>
      </c>
      <c r="D100" s="26" t="str">
        <f t="shared" ca="1" si="14"/>
        <v>Lose</v>
      </c>
      <c r="E100" s="3">
        <f t="shared" ca="1" si="18"/>
        <v>-500</v>
      </c>
      <c r="F100" s="42">
        <f t="shared" si="10"/>
        <v>5.9083778610277572E-180</v>
      </c>
      <c r="G100" s="41">
        <f>SUM(F$11:F100)</f>
        <v>6.5188096937355746E-180</v>
      </c>
      <c r="I100" s="1">
        <f t="shared" si="19"/>
        <v>90</v>
      </c>
      <c r="J100" s="3">
        <v>117000</v>
      </c>
      <c r="K100" s="3">
        <v>98000</v>
      </c>
      <c r="L100" s="3">
        <v>124000</v>
      </c>
      <c r="M100" s="30">
        <f t="shared" si="11"/>
        <v>0.16999999999999993</v>
      </c>
      <c r="N100" s="1" t="str">
        <f t="shared" si="12"/>
        <v/>
      </c>
      <c r="O100" s="1" t="str">
        <f t="shared" si="13"/>
        <v/>
      </c>
    </row>
    <row r="101" spans="1:15" x14ac:dyDescent="0.25">
      <c r="A101" s="1">
        <f t="shared" si="15"/>
        <v>90</v>
      </c>
      <c r="B101" s="3">
        <f t="shared" ca="1" si="16"/>
        <v>106000</v>
      </c>
      <c r="C101" s="26">
        <f t="shared" ca="1" si="17"/>
        <v>0.66327110048360249</v>
      </c>
      <c r="D101" s="26" t="str">
        <f t="shared" ca="1" si="14"/>
        <v>Win</v>
      </c>
      <c r="E101" s="3">
        <f t="shared" ca="1" si="18"/>
        <v>500</v>
      </c>
      <c r="F101" s="42">
        <f t="shared" si="10"/>
        <v>6.2246971383493608E-179</v>
      </c>
      <c r="G101" s="41">
        <f>SUM(F$11:F101)</f>
        <v>6.8765781077229185E-179</v>
      </c>
      <c r="I101" s="1">
        <f t="shared" si="19"/>
        <v>91</v>
      </c>
      <c r="J101" s="3">
        <v>80000</v>
      </c>
      <c r="K101" s="3">
        <v>78000</v>
      </c>
      <c r="L101" s="3">
        <v>102000</v>
      </c>
      <c r="M101" s="30">
        <f t="shared" si="11"/>
        <v>-0.19999999999999996</v>
      </c>
      <c r="N101" s="1" t="str">
        <f t="shared" si="12"/>
        <v/>
      </c>
      <c r="O101" s="1" t="str">
        <f t="shared" si="13"/>
        <v/>
      </c>
    </row>
    <row r="102" spans="1:15" x14ac:dyDescent="0.25">
      <c r="A102" s="1">
        <f t="shared" si="15"/>
        <v>91</v>
      </c>
      <c r="B102" s="3">
        <f t="shared" ca="1" si="16"/>
        <v>105500</v>
      </c>
      <c r="C102" s="26">
        <f t="shared" ca="1" si="17"/>
        <v>0.16380154726695295</v>
      </c>
      <c r="D102" s="26" t="str">
        <f t="shared" ca="1" si="14"/>
        <v>Lose</v>
      </c>
      <c r="E102" s="3">
        <f t="shared" ca="1" si="18"/>
        <v>-500</v>
      </c>
      <c r="F102" s="42">
        <f t="shared" si="10"/>
        <v>6.4787664093028792E-178</v>
      </c>
      <c r="G102" s="41">
        <f>SUM(F$11:F102)</f>
        <v>7.1664242200751706E-178</v>
      </c>
      <c r="I102" s="1">
        <f t="shared" si="19"/>
        <v>92</v>
      </c>
      <c r="J102" s="3">
        <v>104000</v>
      </c>
      <c r="K102" s="3">
        <v>86000</v>
      </c>
      <c r="L102" s="3">
        <v>121500</v>
      </c>
      <c r="M102" s="30">
        <f t="shared" si="11"/>
        <v>4.0000000000000036E-2</v>
      </c>
      <c r="N102" s="1" t="str">
        <f t="shared" si="12"/>
        <v/>
      </c>
      <c r="O102" s="1" t="str">
        <f t="shared" si="13"/>
        <v/>
      </c>
    </row>
    <row r="103" spans="1:15" x14ac:dyDescent="0.25">
      <c r="A103" s="1">
        <f t="shared" si="15"/>
        <v>92</v>
      </c>
      <c r="B103" s="3">
        <f t="shared" ca="1" si="16"/>
        <v>105000</v>
      </c>
      <c r="C103" s="26">
        <f t="shared" ca="1" si="17"/>
        <v>1.0478689644117467E-2</v>
      </c>
      <c r="D103" s="26" t="str">
        <f t="shared" ca="1" si="14"/>
        <v>Lose</v>
      </c>
      <c r="E103" s="3">
        <f t="shared" ca="1" si="18"/>
        <v>-500</v>
      </c>
      <c r="F103" s="42">
        <f t="shared" si="10"/>
        <v>6.6625805671885772E-177</v>
      </c>
      <c r="G103" s="41">
        <f>SUM(F$11:F103)</f>
        <v>7.3792229891960938E-177</v>
      </c>
      <c r="I103" s="1">
        <f t="shared" si="19"/>
        <v>93</v>
      </c>
      <c r="J103" s="3">
        <v>119000</v>
      </c>
      <c r="K103" s="3">
        <v>100000</v>
      </c>
      <c r="L103" s="3">
        <v>121500</v>
      </c>
      <c r="M103" s="30">
        <f t="shared" si="11"/>
        <v>0.18999999999999995</v>
      </c>
      <c r="N103" s="1" t="str">
        <f t="shared" si="12"/>
        <v/>
      </c>
      <c r="O103" s="1" t="str">
        <f t="shared" si="13"/>
        <v/>
      </c>
    </row>
    <row r="104" spans="1:15" x14ac:dyDescent="0.25">
      <c r="A104" s="1">
        <f t="shared" si="15"/>
        <v>93</v>
      </c>
      <c r="B104" s="3">
        <f t="shared" ca="1" si="16"/>
        <v>105500</v>
      </c>
      <c r="C104" s="26">
        <f t="shared" ca="1" si="17"/>
        <v>0.55295088471842835</v>
      </c>
      <c r="D104" s="26" t="str">
        <f t="shared" ca="1" si="14"/>
        <v>Win</v>
      </c>
      <c r="E104" s="3">
        <f t="shared" ca="1" si="18"/>
        <v>500</v>
      </c>
      <c r="F104" s="42">
        <f t="shared" si="10"/>
        <v>6.7704801603112755E-176</v>
      </c>
      <c r="G104" s="41">
        <f>SUM(F$11:F104)</f>
        <v>7.5084024592308853E-176</v>
      </c>
      <c r="I104" s="1">
        <f t="shared" si="19"/>
        <v>94</v>
      </c>
      <c r="J104" s="3">
        <v>87000</v>
      </c>
      <c r="K104" s="3">
        <v>83500</v>
      </c>
      <c r="L104" s="3">
        <v>111500</v>
      </c>
      <c r="M104" s="30">
        <f t="shared" si="11"/>
        <v>-0.13</v>
      </c>
      <c r="N104" s="1" t="str">
        <f t="shared" si="12"/>
        <v/>
      </c>
      <c r="O104" s="1" t="str">
        <f t="shared" si="13"/>
        <v/>
      </c>
    </row>
    <row r="105" spans="1:15" x14ac:dyDescent="0.25">
      <c r="A105" s="1">
        <f t="shared" si="15"/>
        <v>94</v>
      </c>
      <c r="B105" s="3">
        <f t="shared" ca="1" si="16"/>
        <v>106000</v>
      </c>
      <c r="C105" s="26">
        <f t="shared" ca="1" si="17"/>
        <v>0.83630243097537094</v>
      </c>
      <c r="D105" s="26" t="str">
        <f t="shared" ca="1" si="14"/>
        <v>Win</v>
      </c>
      <c r="E105" s="3">
        <f t="shared" ca="1" si="18"/>
        <v>500</v>
      </c>
      <c r="F105" s="42">
        <f t="shared" si="10"/>
        <v>6.7994377068066908E-175</v>
      </c>
      <c r="G105" s="41">
        <f>SUM(F$11:F105)</f>
        <v>7.5502779527297793E-175</v>
      </c>
      <c r="I105" s="1">
        <f t="shared" si="19"/>
        <v>95</v>
      </c>
      <c r="J105" s="3">
        <v>120000</v>
      </c>
      <c r="K105" s="3">
        <v>99000</v>
      </c>
      <c r="L105" s="3">
        <v>125500</v>
      </c>
      <c r="M105" s="30">
        <f t="shared" si="11"/>
        <v>0.19999999999999996</v>
      </c>
      <c r="N105" s="1" t="str">
        <f t="shared" si="12"/>
        <v/>
      </c>
      <c r="O105" s="1" t="str">
        <f t="shared" si="13"/>
        <v/>
      </c>
    </row>
    <row r="106" spans="1:15" x14ac:dyDescent="0.25">
      <c r="A106" s="1">
        <f t="shared" si="15"/>
        <v>95</v>
      </c>
      <c r="B106" s="3">
        <f t="shared" ca="1" si="16"/>
        <v>105500</v>
      </c>
      <c r="C106" s="26">
        <f t="shared" ca="1" si="17"/>
        <v>0.15779274526601728</v>
      </c>
      <c r="D106" s="26" t="str">
        <f t="shared" ca="1" si="14"/>
        <v>Lose</v>
      </c>
      <c r="E106" s="3">
        <f t="shared" ca="1" si="18"/>
        <v>-500</v>
      </c>
      <c r="F106" s="42">
        <f t="shared" si="10"/>
        <v>6.749190519456742E-174</v>
      </c>
      <c r="G106" s="41">
        <f>SUM(F$11:F106)</f>
        <v>7.5042183147297199E-174</v>
      </c>
      <c r="I106" s="1">
        <f t="shared" si="19"/>
        <v>96</v>
      </c>
      <c r="J106" s="3">
        <v>97000</v>
      </c>
      <c r="K106" s="3">
        <v>86000</v>
      </c>
      <c r="L106" s="3">
        <v>106500</v>
      </c>
      <c r="M106" s="30">
        <f t="shared" si="11"/>
        <v>-3.0000000000000027E-2</v>
      </c>
      <c r="N106" s="1" t="str">
        <f t="shared" si="12"/>
        <v/>
      </c>
      <c r="O106" s="1" t="str">
        <f t="shared" si="13"/>
        <v/>
      </c>
    </row>
    <row r="107" spans="1:15" x14ac:dyDescent="0.25">
      <c r="A107" s="1">
        <f t="shared" si="15"/>
        <v>96</v>
      </c>
      <c r="B107" s="3">
        <f t="shared" ca="1" si="16"/>
        <v>106000</v>
      </c>
      <c r="C107" s="26">
        <f t="shared" ca="1" si="17"/>
        <v>0.72323314715293219</v>
      </c>
      <c r="D107" s="26" t="str">
        <f t="shared" ca="1" si="14"/>
        <v>Win</v>
      </c>
      <c r="E107" s="3">
        <f t="shared" ca="1" si="18"/>
        <v>500</v>
      </c>
      <c r="F107" s="42">
        <f t="shared" si="10"/>
        <v>6.6222127641478217E-173</v>
      </c>
      <c r="G107" s="41">
        <f>SUM(F$11:F107)</f>
        <v>7.3726345956207941E-173</v>
      </c>
      <c r="I107" s="1">
        <f t="shared" si="19"/>
        <v>97</v>
      </c>
      <c r="J107" s="3">
        <v>102000</v>
      </c>
      <c r="K107" s="3">
        <v>86000</v>
      </c>
      <c r="L107" s="3">
        <v>102500</v>
      </c>
      <c r="M107" s="30">
        <f t="shared" si="11"/>
        <v>2.0000000000000018E-2</v>
      </c>
      <c r="N107" s="1" t="str">
        <f t="shared" si="12"/>
        <v/>
      </c>
      <c r="O107" s="1" t="str">
        <f t="shared" si="13"/>
        <v/>
      </c>
    </row>
    <row r="108" spans="1:15" x14ac:dyDescent="0.25">
      <c r="A108" s="1">
        <f t="shared" si="15"/>
        <v>97</v>
      </c>
      <c r="B108" s="3">
        <f t="shared" ca="1" si="16"/>
        <v>105500</v>
      </c>
      <c r="C108" s="26">
        <f t="shared" ca="1" si="17"/>
        <v>9.5516831498841603E-2</v>
      </c>
      <c r="D108" s="26" t="str">
        <f t="shared" ca="1" si="14"/>
        <v>Lose</v>
      </c>
      <c r="E108" s="3">
        <f t="shared" ca="1" si="18"/>
        <v>-500</v>
      </c>
      <c r="F108" s="42">
        <f t="shared" si="10"/>
        <v>6.4235324485230305E-172</v>
      </c>
      <c r="G108" s="41">
        <f>SUM(F$11:F108)</f>
        <v>7.1607959080851095E-172</v>
      </c>
      <c r="I108" s="1">
        <f t="shared" si="19"/>
        <v>98</v>
      </c>
      <c r="J108" s="3">
        <v>80000</v>
      </c>
      <c r="K108" s="3">
        <v>77000</v>
      </c>
      <c r="L108" s="3">
        <v>103500</v>
      </c>
      <c r="M108" s="30">
        <f t="shared" si="11"/>
        <v>-0.19999999999999996</v>
      </c>
      <c r="N108" s="1" t="str">
        <f t="shared" si="12"/>
        <v/>
      </c>
      <c r="O108" s="1" t="str">
        <f t="shared" si="13"/>
        <v/>
      </c>
    </row>
    <row r="109" spans="1:15" x14ac:dyDescent="0.25">
      <c r="A109" s="1">
        <f t="shared" si="15"/>
        <v>98</v>
      </c>
      <c r="B109" s="3">
        <f t="shared" ca="1" si="16"/>
        <v>106000</v>
      </c>
      <c r="C109" s="26">
        <f t="shared" ca="1" si="17"/>
        <v>0.99300724636853932</v>
      </c>
      <c r="D109" s="26" t="str">
        <f t="shared" ca="1" si="14"/>
        <v>Win</v>
      </c>
      <c r="E109" s="3">
        <f t="shared" ca="1" si="18"/>
        <v>500</v>
      </c>
      <c r="F109" s="42">
        <f t="shared" si="10"/>
        <v>6.1604110756304448E-171</v>
      </c>
      <c r="G109" s="41">
        <f>SUM(F$11:F109)</f>
        <v>6.8764906664389558E-171</v>
      </c>
      <c r="I109" s="1">
        <f t="shared" si="19"/>
        <v>99</v>
      </c>
      <c r="J109" s="3">
        <v>145000</v>
      </c>
      <c r="K109" s="3">
        <v>99000</v>
      </c>
      <c r="L109" s="3">
        <v>145000</v>
      </c>
      <c r="M109" s="30">
        <f t="shared" si="11"/>
        <v>0.44999999999999996</v>
      </c>
      <c r="N109" s="1" t="str">
        <f t="shared" si="12"/>
        <v/>
      </c>
      <c r="O109" s="1" t="str">
        <f t="shared" si="13"/>
        <v/>
      </c>
    </row>
    <row r="110" spans="1:15" x14ac:dyDescent="0.25">
      <c r="A110" s="1">
        <f t="shared" si="15"/>
        <v>99</v>
      </c>
      <c r="B110" s="3">
        <f t="shared" ca="1" si="16"/>
        <v>105500</v>
      </c>
      <c r="C110" s="26">
        <f t="shared" ca="1" si="17"/>
        <v>0.30814233588872852</v>
      </c>
      <c r="D110" s="26" t="str">
        <f t="shared" ca="1" si="14"/>
        <v>Lose</v>
      </c>
      <c r="E110" s="3">
        <f t="shared" ca="1" si="18"/>
        <v>-500</v>
      </c>
      <c r="F110" s="42">
        <f t="shared" si="10"/>
        <v>5.8419136322650597E-170</v>
      </c>
      <c r="G110" s="41">
        <f>SUM(F$11:F110)</f>
        <v>6.5295626989089554E-170</v>
      </c>
      <c r="I110" s="1">
        <f t="shared" si="19"/>
        <v>100</v>
      </c>
      <c r="J110" s="3">
        <v>144000</v>
      </c>
      <c r="K110" s="3">
        <v>98500</v>
      </c>
      <c r="L110" s="3">
        <v>146000</v>
      </c>
      <c r="M110" s="30">
        <f t="shared" si="11"/>
        <v>0.43999999999999995</v>
      </c>
      <c r="N110" s="1" t="str">
        <f t="shared" si="12"/>
        <v/>
      </c>
      <c r="O110" s="1" t="str">
        <f t="shared" si="13"/>
        <v/>
      </c>
    </row>
    <row r="111" spans="1:15" x14ac:dyDescent="0.25">
      <c r="A111" s="1">
        <f t="shared" si="15"/>
        <v>100</v>
      </c>
      <c r="B111" s="3">
        <f t="shared" ca="1" si="16"/>
        <v>105000</v>
      </c>
      <c r="C111" s="26">
        <f t="shared" ca="1" si="17"/>
        <v>0.10399062654567315</v>
      </c>
      <c r="D111" s="26" t="str">
        <f t="shared" ca="1" si="14"/>
        <v>Lose</v>
      </c>
      <c r="E111" s="3">
        <f t="shared" ca="1" si="18"/>
        <v>-500</v>
      </c>
      <c r="F111" s="42">
        <f t="shared" si="10"/>
        <v>5.4784035370654939E-169</v>
      </c>
      <c r="G111" s="41">
        <f>SUM(F$11:F111)</f>
        <v>6.1313598069563899E-169</v>
      </c>
      <c r="I111" s="1">
        <f t="shared" si="19"/>
        <v>101</v>
      </c>
      <c r="J111" s="3">
        <v>111000</v>
      </c>
      <c r="K111" s="3">
        <v>97000</v>
      </c>
      <c r="L111" s="3">
        <v>115500</v>
      </c>
      <c r="M111" s="30">
        <f t="shared" si="11"/>
        <v>0.1100000000000001</v>
      </c>
      <c r="N111" s="1" t="str">
        <f t="shared" si="12"/>
        <v/>
      </c>
      <c r="O111" s="1" t="str">
        <f t="shared" si="13"/>
        <v/>
      </c>
    </row>
    <row r="112" spans="1:15" x14ac:dyDescent="0.25">
      <c r="A112" s="1">
        <f t="shared" si="15"/>
        <v>101</v>
      </c>
      <c r="B112" s="3">
        <f t="shared" ca="1" si="16"/>
        <v>105500</v>
      </c>
      <c r="C112" s="26">
        <f t="shared" ca="1" si="17"/>
        <v>0.91316708038264538</v>
      </c>
      <c r="D112" s="26" t="str">
        <f t="shared" ca="1" si="14"/>
        <v>Win</v>
      </c>
      <c r="E112" s="3">
        <f t="shared" ca="1" si="18"/>
        <v>500</v>
      </c>
      <c r="F112" s="42">
        <f t="shared" si="10"/>
        <v>5.0810006536939638E-168</v>
      </c>
      <c r="G112" s="41">
        <f>SUM(F$11:F112)</f>
        <v>5.6941366343896024E-168</v>
      </c>
      <c r="I112" s="1">
        <f t="shared" si="19"/>
        <v>102</v>
      </c>
      <c r="J112" s="3">
        <v>107000</v>
      </c>
      <c r="K112" s="3">
        <v>88500</v>
      </c>
      <c r="L112" s="3">
        <v>111000</v>
      </c>
      <c r="M112" s="30">
        <f t="shared" si="11"/>
        <v>7.0000000000000062E-2</v>
      </c>
      <c r="N112" s="1" t="str">
        <f t="shared" si="12"/>
        <v/>
      </c>
      <c r="O112" s="1" t="str">
        <f t="shared" si="13"/>
        <v/>
      </c>
    </row>
    <row r="113" spans="1:15" x14ac:dyDescent="0.25">
      <c r="A113" s="1">
        <f t="shared" si="15"/>
        <v>102</v>
      </c>
      <c r="B113" s="3">
        <f t="shared" ca="1" si="16"/>
        <v>105000</v>
      </c>
      <c r="C113" s="26">
        <f t="shared" ca="1" si="17"/>
        <v>0.28594641903029261</v>
      </c>
      <c r="D113" s="26" t="str">
        <f t="shared" ca="1" si="14"/>
        <v>Lose</v>
      </c>
      <c r="E113" s="3">
        <f t="shared" ca="1" si="18"/>
        <v>-500</v>
      </c>
      <c r="F113" s="42">
        <f t="shared" si="10"/>
        <v>4.6610403955823653E-167</v>
      </c>
      <c r="G113" s="41">
        <f>SUM(F$11:F113)</f>
        <v>5.2304540590213257E-167</v>
      </c>
      <c r="I113" s="1">
        <f t="shared" si="19"/>
        <v>103</v>
      </c>
      <c r="J113" s="3">
        <v>84000</v>
      </c>
      <c r="K113" s="3">
        <v>81500</v>
      </c>
      <c r="L113" s="3">
        <v>103500</v>
      </c>
      <c r="M113" s="30">
        <f t="shared" si="11"/>
        <v>-0.16000000000000003</v>
      </c>
      <c r="N113" s="1" t="str">
        <f t="shared" si="12"/>
        <v/>
      </c>
      <c r="O113" s="1" t="str">
        <f t="shared" si="13"/>
        <v/>
      </c>
    </row>
    <row r="114" spans="1:15" x14ac:dyDescent="0.25">
      <c r="A114" s="1">
        <f t="shared" si="15"/>
        <v>103</v>
      </c>
      <c r="B114" s="3">
        <f t="shared" ca="1" si="16"/>
        <v>104500</v>
      </c>
      <c r="C114" s="26">
        <f t="shared" ca="1" si="17"/>
        <v>0.48106083409822675</v>
      </c>
      <c r="D114" s="26" t="str">
        <f t="shared" ca="1" si="14"/>
        <v>Lose</v>
      </c>
      <c r="E114" s="3">
        <f t="shared" ca="1" si="18"/>
        <v>-500</v>
      </c>
      <c r="F114" s="42">
        <f t="shared" si="10"/>
        <v>4.2295686157494722E-166</v>
      </c>
      <c r="G114" s="41">
        <f>SUM(F$11:F114)</f>
        <v>4.7526140216516048E-166</v>
      </c>
      <c r="I114" s="1">
        <f t="shared" si="19"/>
        <v>104</v>
      </c>
      <c r="J114" s="3">
        <v>97000</v>
      </c>
      <c r="K114" s="3">
        <v>83000</v>
      </c>
      <c r="L114" s="3">
        <v>106500</v>
      </c>
      <c r="M114" s="30">
        <f t="shared" si="11"/>
        <v>-3.0000000000000027E-2</v>
      </c>
      <c r="N114" s="1" t="str">
        <f t="shared" si="12"/>
        <v/>
      </c>
      <c r="O114" s="1" t="str">
        <f t="shared" si="13"/>
        <v/>
      </c>
    </row>
    <row r="115" spans="1:15" x14ac:dyDescent="0.25">
      <c r="A115" s="1">
        <f t="shared" si="15"/>
        <v>104</v>
      </c>
      <c r="B115" s="3">
        <f t="shared" ca="1" si="16"/>
        <v>105000</v>
      </c>
      <c r="C115" s="26">
        <f t="shared" ca="1" si="17"/>
        <v>0.84455891429182783</v>
      </c>
      <c r="D115" s="26" t="str">
        <f t="shared" ca="1" si="14"/>
        <v>Win</v>
      </c>
      <c r="E115" s="3">
        <f t="shared" ca="1" si="18"/>
        <v>500</v>
      </c>
      <c r="F115" s="42">
        <f t="shared" si="10"/>
        <v>3.796901009904313E-165</v>
      </c>
      <c r="G115" s="41">
        <f>SUM(F$11:F115)</f>
        <v>4.2721624120694734E-165</v>
      </c>
      <c r="I115" s="1">
        <f t="shared" si="19"/>
        <v>105</v>
      </c>
      <c r="J115" s="3">
        <v>104000</v>
      </c>
      <c r="K115" s="3">
        <v>96500</v>
      </c>
      <c r="L115" s="3">
        <v>113000</v>
      </c>
      <c r="M115" s="30">
        <f t="shared" si="11"/>
        <v>4.0000000000000036E-2</v>
      </c>
      <c r="N115" s="1" t="str">
        <f t="shared" si="12"/>
        <v/>
      </c>
      <c r="O115" s="1" t="str">
        <f t="shared" si="13"/>
        <v/>
      </c>
    </row>
    <row r="116" spans="1:15" x14ac:dyDescent="0.25">
      <c r="A116" s="1">
        <f t="shared" si="15"/>
        <v>105</v>
      </c>
      <c r="B116" s="3">
        <f t="shared" ca="1" si="16"/>
        <v>105500</v>
      </c>
      <c r="C116" s="26">
        <f t="shared" ca="1" si="17"/>
        <v>0.51732103902188731</v>
      </c>
      <c r="D116" s="26" t="str">
        <f t="shared" ca="1" si="14"/>
        <v>Win</v>
      </c>
      <c r="E116" s="3">
        <f t="shared" ca="1" si="18"/>
        <v>500</v>
      </c>
      <c r="F116" s="42">
        <f t="shared" si="10"/>
        <v>3.3722679990003262E-164</v>
      </c>
      <c r="G116" s="41">
        <f>SUM(F$11:F116)</f>
        <v>3.7994842402072734E-164</v>
      </c>
      <c r="I116" s="1">
        <f t="shared" si="19"/>
        <v>106</v>
      </c>
      <c r="J116" s="3">
        <v>119000</v>
      </c>
      <c r="K116" s="3">
        <v>99500</v>
      </c>
      <c r="L116" s="3">
        <v>130000</v>
      </c>
      <c r="M116" s="30">
        <f t="shared" si="11"/>
        <v>0.18999999999999995</v>
      </c>
      <c r="N116" s="1" t="str">
        <f t="shared" si="12"/>
        <v/>
      </c>
      <c r="O116" s="1" t="str">
        <f t="shared" si="13"/>
        <v/>
      </c>
    </row>
    <row r="117" spans="1:15" x14ac:dyDescent="0.25">
      <c r="A117" s="1">
        <f t="shared" si="15"/>
        <v>106</v>
      </c>
      <c r="B117" s="3">
        <f t="shared" ca="1" si="16"/>
        <v>106000</v>
      </c>
      <c r="C117" s="26">
        <f t="shared" ca="1" si="17"/>
        <v>0.59963369740728034</v>
      </c>
      <c r="D117" s="26" t="str">
        <f t="shared" ca="1" si="14"/>
        <v>Win</v>
      </c>
      <c r="E117" s="3">
        <f t="shared" ca="1" si="18"/>
        <v>500</v>
      </c>
      <c r="F117" s="42">
        <f t="shared" si="10"/>
        <v>2.9635574280782235E-163</v>
      </c>
      <c r="G117" s="41">
        <f>SUM(F$11:F117)</f>
        <v>3.3435058520989511E-163</v>
      </c>
      <c r="I117" s="1">
        <f t="shared" si="19"/>
        <v>107</v>
      </c>
      <c r="J117" s="3">
        <v>114000</v>
      </c>
      <c r="K117" s="3">
        <v>97000</v>
      </c>
      <c r="L117" s="3">
        <v>117000</v>
      </c>
      <c r="M117" s="30">
        <f t="shared" si="11"/>
        <v>0.1399999999999999</v>
      </c>
      <c r="N117" s="1" t="str">
        <f t="shared" si="12"/>
        <v/>
      </c>
      <c r="O117" s="1" t="str">
        <f t="shared" si="13"/>
        <v/>
      </c>
    </row>
    <row r="118" spans="1:15" x14ac:dyDescent="0.25">
      <c r="A118" s="1">
        <f t="shared" si="15"/>
        <v>107</v>
      </c>
      <c r="B118" s="3">
        <f t="shared" ca="1" si="16"/>
        <v>105500</v>
      </c>
      <c r="C118" s="26">
        <f t="shared" ca="1" si="17"/>
        <v>0.18169761147270236</v>
      </c>
      <c r="D118" s="26" t="str">
        <f t="shared" ca="1" si="14"/>
        <v>Lose</v>
      </c>
      <c r="E118" s="3">
        <f t="shared" ca="1" si="18"/>
        <v>-500</v>
      </c>
      <c r="F118" s="42">
        <f t="shared" si="10"/>
        <v>2.5771588284526075E-162</v>
      </c>
      <c r="G118" s="41">
        <f>SUM(F$11:F118)</f>
        <v>2.9115094136625028E-162</v>
      </c>
      <c r="I118" s="1">
        <f t="shared" si="19"/>
        <v>108</v>
      </c>
      <c r="J118" s="3">
        <v>125000</v>
      </c>
      <c r="K118" s="3">
        <v>98500</v>
      </c>
      <c r="L118" s="3">
        <v>131500</v>
      </c>
      <c r="M118" s="30">
        <f t="shared" si="11"/>
        <v>0.25</v>
      </c>
      <c r="N118" s="1" t="str">
        <f t="shared" si="12"/>
        <v/>
      </c>
      <c r="O118" s="1" t="str">
        <f t="shared" si="13"/>
        <v/>
      </c>
    </row>
    <row r="119" spans="1:15" x14ac:dyDescent="0.25">
      <c r="A119" s="1">
        <f t="shared" si="15"/>
        <v>108</v>
      </c>
      <c r="B119" s="3">
        <f t="shared" ca="1" si="16"/>
        <v>105000</v>
      </c>
      <c r="C119" s="26">
        <f t="shared" ca="1" si="17"/>
        <v>8.8298328228356038E-2</v>
      </c>
      <c r="D119" s="26" t="str">
        <f t="shared" ca="1" si="14"/>
        <v>Lose</v>
      </c>
      <c r="E119" s="3">
        <f t="shared" ca="1" si="18"/>
        <v>-500</v>
      </c>
      <c r="F119" s="42">
        <f t="shared" si="10"/>
        <v>2.2179052253252977E-161</v>
      </c>
      <c r="G119" s="41">
        <f>SUM(F$11:F119)</f>
        <v>2.509056166691548E-161</v>
      </c>
      <c r="I119" s="1">
        <f t="shared" si="19"/>
        <v>109</v>
      </c>
      <c r="J119" s="3">
        <v>137000</v>
      </c>
      <c r="K119" s="3">
        <v>100000</v>
      </c>
      <c r="L119" s="3">
        <v>144500</v>
      </c>
      <c r="M119" s="30">
        <f t="shared" si="11"/>
        <v>0.37000000000000011</v>
      </c>
      <c r="N119" s="1" t="str">
        <f t="shared" si="12"/>
        <v/>
      </c>
      <c r="O119" s="1" t="str">
        <f t="shared" si="13"/>
        <v/>
      </c>
    </row>
    <row r="120" spans="1:15" x14ac:dyDescent="0.25">
      <c r="A120" s="1">
        <f t="shared" si="15"/>
        <v>109</v>
      </c>
      <c r="B120" s="3">
        <f t="shared" ca="1" si="16"/>
        <v>105500</v>
      </c>
      <c r="C120" s="26">
        <f t="shared" ca="1" si="17"/>
        <v>0.59048690552780014</v>
      </c>
      <c r="D120" s="26" t="str">
        <f t="shared" ca="1" si="14"/>
        <v>Win</v>
      </c>
      <c r="E120" s="3">
        <f t="shared" ca="1" si="18"/>
        <v>500</v>
      </c>
      <c r="F120" s="42">
        <f t="shared" si="10"/>
        <v>1.8891021252671516E-160</v>
      </c>
      <c r="G120" s="41">
        <f>SUM(F$11:F120)</f>
        <v>2.1400077419363063E-160</v>
      </c>
      <c r="I120" s="1">
        <f t="shared" si="19"/>
        <v>110</v>
      </c>
      <c r="J120" s="3">
        <v>109000</v>
      </c>
      <c r="K120" s="3">
        <v>91000</v>
      </c>
      <c r="L120" s="3">
        <v>110500</v>
      </c>
      <c r="M120" s="30">
        <f t="shared" si="11"/>
        <v>9.000000000000008E-2</v>
      </c>
      <c r="N120" s="1" t="str">
        <f t="shared" si="12"/>
        <v/>
      </c>
      <c r="O120" s="1" t="str">
        <f t="shared" si="13"/>
        <v/>
      </c>
    </row>
    <row r="121" spans="1:15" x14ac:dyDescent="0.25">
      <c r="A121" s="1">
        <f t="shared" si="15"/>
        <v>110</v>
      </c>
      <c r="B121" s="3">
        <f t="shared" ca="1" si="16"/>
        <v>105000</v>
      </c>
      <c r="C121" s="26">
        <f t="shared" ca="1" si="17"/>
        <v>0.15558986339190806</v>
      </c>
      <c r="D121" s="26" t="str">
        <f t="shared" ca="1" si="14"/>
        <v>Lose</v>
      </c>
      <c r="E121" s="3">
        <f t="shared" ca="1" si="18"/>
        <v>-500</v>
      </c>
      <c r="F121" s="42">
        <f t="shared" si="10"/>
        <v>1.5926287509137948E-159</v>
      </c>
      <c r="G121" s="41">
        <f>SUM(F$11:F121)</f>
        <v>1.8066295251074256E-159</v>
      </c>
      <c r="I121" s="1">
        <f t="shared" si="19"/>
        <v>111</v>
      </c>
      <c r="J121" s="3">
        <v>108000</v>
      </c>
      <c r="K121" s="3">
        <v>90500</v>
      </c>
      <c r="L121" s="3">
        <v>114500</v>
      </c>
      <c r="M121" s="30">
        <f t="shared" si="11"/>
        <v>8.0000000000000071E-2</v>
      </c>
      <c r="N121" s="1" t="str">
        <f t="shared" si="12"/>
        <v/>
      </c>
      <c r="O121" s="1" t="str">
        <f t="shared" si="13"/>
        <v/>
      </c>
    </row>
    <row r="122" spans="1:15" x14ac:dyDescent="0.25">
      <c r="A122" s="1">
        <f t="shared" si="15"/>
        <v>111</v>
      </c>
      <c r="B122" s="3">
        <f t="shared" ca="1" si="16"/>
        <v>105500</v>
      </c>
      <c r="C122" s="26">
        <f t="shared" ca="1" si="17"/>
        <v>0.93826748382654446</v>
      </c>
      <c r="D122" s="26" t="str">
        <f t="shared" ca="1" si="14"/>
        <v>Win</v>
      </c>
      <c r="E122" s="3">
        <f t="shared" ca="1" si="18"/>
        <v>500</v>
      </c>
      <c r="F122" s="42">
        <f t="shared" si="10"/>
        <v>1.3290939327813894E-158</v>
      </c>
      <c r="G122" s="41">
        <f>SUM(F$11:F122)</f>
        <v>1.5097568852921318E-158</v>
      </c>
      <c r="I122" s="1">
        <f t="shared" si="19"/>
        <v>112</v>
      </c>
      <c r="J122" s="3">
        <v>83000</v>
      </c>
      <c r="K122" s="3">
        <v>78000</v>
      </c>
      <c r="L122" s="3">
        <v>107000</v>
      </c>
      <c r="M122" s="30">
        <f t="shared" si="11"/>
        <v>-0.17000000000000004</v>
      </c>
      <c r="N122" s="1" t="str">
        <f t="shared" si="12"/>
        <v/>
      </c>
      <c r="O122" s="1" t="str">
        <f t="shared" si="13"/>
        <v/>
      </c>
    </row>
    <row r="123" spans="1:15" x14ac:dyDescent="0.25">
      <c r="A123" s="1">
        <f t="shared" si="15"/>
        <v>112</v>
      </c>
      <c r="B123" s="3">
        <f t="shared" ca="1" si="16"/>
        <v>106000</v>
      </c>
      <c r="C123" s="26">
        <f t="shared" ca="1" si="17"/>
        <v>0.69458024753877878</v>
      </c>
      <c r="D123" s="26" t="str">
        <f t="shared" ca="1" si="14"/>
        <v>Win</v>
      </c>
      <c r="E123" s="3">
        <f t="shared" ca="1" si="18"/>
        <v>500</v>
      </c>
      <c r="F123" s="42">
        <f t="shared" si="10"/>
        <v>1.0980282401309132E-157</v>
      </c>
      <c r="G123" s="41">
        <f>SUM(F$11:F123)</f>
        <v>1.2490039286601264E-157</v>
      </c>
      <c r="I123" s="1">
        <f t="shared" si="19"/>
        <v>113</v>
      </c>
      <c r="J123" s="3">
        <v>123000</v>
      </c>
      <c r="K123" s="3">
        <v>92000</v>
      </c>
      <c r="L123" s="3">
        <v>123500</v>
      </c>
      <c r="M123" s="30">
        <f t="shared" si="11"/>
        <v>0.22999999999999998</v>
      </c>
      <c r="N123" s="1" t="str">
        <f t="shared" si="12"/>
        <v/>
      </c>
      <c r="O123" s="1" t="str">
        <f t="shared" si="13"/>
        <v/>
      </c>
    </row>
    <row r="124" spans="1:15" x14ac:dyDescent="0.25">
      <c r="A124" s="1">
        <f t="shared" si="15"/>
        <v>113</v>
      </c>
      <c r="B124" s="3">
        <f t="shared" ca="1" si="16"/>
        <v>106500</v>
      </c>
      <c r="C124" s="26">
        <f t="shared" ca="1" si="17"/>
        <v>0.6021882365781297</v>
      </c>
      <c r="D124" s="26" t="str">
        <f t="shared" ca="1" si="14"/>
        <v>Win</v>
      </c>
      <c r="E124" s="3">
        <f t="shared" ca="1" si="18"/>
        <v>500</v>
      </c>
      <c r="F124" s="42">
        <f t="shared" si="10"/>
        <v>8.9809468916458231E-157</v>
      </c>
      <c r="G124" s="41">
        <f>SUM(F$11:F124)</f>
        <v>1.022995082030595E-156</v>
      </c>
      <c r="I124" s="1">
        <f t="shared" si="19"/>
        <v>114</v>
      </c>
      <c r="J124" s="3">
        <v>109000</v>
      </c>
      <c r="K124" s="3">
        <v>93000</v>
      </c>
      <c r="L124" s="3">
        <v>117500</v>
      </c>
      <c r="M124" s="30">
        <f t="shared" si="11"/>
        <v>9.000000000000008E-2</v>
      </c>
      <c r="N124" s="1" t="str">
        <f t="shared" si="12"/>
        <v/>
      </c>
      <c r="O124" s="1" t="str">
        <f t="shared" si="13"/>
        <v/>
      </c>
    </row>
    <row r="125" spans="1:15" x14ac:dyDescent="0.25">
      <c r="A125" s="1">
        <f t="shared" si="15"/>
        <v>114</v>
      </c>
      <c r="B125" s="3">
        <f t="shared" ca="1" si="16"/>
        <v>107000</v>
      </c>
      <c r="C125" s="26">
        <f t="shared" ca="1" si="17"/>
        <v>0.58098330890861083</v>
      </c>
      <c r="D125" s="26" t="str">
        <f t="shared" ca="1" si="14"/>
        <v>Win</v>
      </c>
      <c r="E125" s="3">
        <f t="shared" ca="1" si="18"/>
        <v>500</v>
      </c>
      <c r="F125" s="42">
        <f t="shared" si="10"/>
        <v>7.2730235327138521E-156</v>
      </c>
      <c r="G125" s="41">
        <f>SUM(F$11:F125)</f>
        <v>8.296018614744447E-156</v>
      </c>
      <c r="I125" s="1">
        <f t="shared" si="19"/>
        <v>115</v>
      </c>
      <c r="J125" s="3">
        <v>89000</v>
      </c>
      <c r="K125" s="3">
        <v>83000</v>
      </c>
      <c r="L125" s="3">
        <v>111000</v>
      </c>
      <c r="M125" s="30">
        <f t="shared" si="11"/>
        <v>-0.10999999999999999</v>
      </c>
      <c r="N125" s="1" t="str">
        <f t="shared" si="12"/>
        <v/>
      </c>
      <c r="O125" s="1" t="str">
        <f t="shared" si="13"/>
        <v/>
      </c>
    </row>
    <row r="126" spans="1:15" x14ac:dyDescent="0.25">
      <c r="A126" s="1">
        <f t="shared" si="15"/>
        <v>115</v>
      </c>
      <c r="B126" s="3">
        <f t="shared" ca="1" si="16"/>
        <v>107500</v>
      </c>
      <c r="C126" s="26">
        <f t="shared" ca="1" si="17"/>
        <v>0.76500651692549471</v>
      </c>
      <c r="D126" s="26" t="str">
        <f t="shared" ca="1" si="14"/>
        <v>Win</v>
      </c>
      <c r="E126" s="3">
        <f t="shared" ca="1" si="18"/>
        <v>500</v>
      </c>
      <c r="F126" s="42">
        <f t="shared" si="10"/>
        <v>5.8321001126749116E-155</v>
      </c>
      <c r="G126" s="41">
        <f>SUM(F$11:F126)</f>
        <v>6.6617019741493562E-155</v>
      </c>
      <c r="I126" s="1">
        <f t="shared" si="19"/>
        <v>116</v>
      </c>
      <c r="J126" s="3">
        <v>117000</v>
      </c>
      <c r="K126" s="3">
        <v>95500</v>
      </c>
      <c r="L126" s="3">
        <v>122500</v>
      </c>
      <c r="M126" s="30">
        <f t="shared" si="11"/>
        <v>0.16999999999999993</v>
      </c>
      <c r="N126" s="1" t="str">
        <f t="shared" si="12"/>
        <v/>
      </c>
      <c r="O126" s="1" t="str">
        <f t="shared" si="13"/>
        <v/>
      </c>
    </row>
    <row r="127" spans="1:15" x14ac:dyDescent="0.25">
      <c r="A127" s="1">
        <f t="shared" si="15"/>
        <v>116</v>
      </c>
      <c r="B127" s="3">
        <f t="shared" ca="1" si="16"/>
        <v>107000</v>
      </c>
      <c r="C127" s="26">
        <f t="shared" ca="1" si="17"/>
        <v>0.18883502605001712</v>
      </c>
      <c r="D127" s="26" t="str">
        <f t="shared" ca="1" si="14"/>
        <v>Lose</v>
      </c>
      <c r="E127" s="3">
        <f t="shared" ca="1" si="18"/>
        <v>-500</v>
      </c>
      <c r="F127" s="42">
        <f t="shared" si="10"/>
        <v>4.6311020159312046E-154</v>
      </c>
      <c r="G127" s="41">
        <f>SUM(F$11:F127)</f>
        <v>5.2972722133461402E-154</v>
      </c>
      <c r="I127" s="1">
        <f t="shared" si="19"/>
        <v>117</v>
      </c>
      <c r="J127" s="3">
        <v>86000</v>
      </c>
      <c r="K127" s="3">
        <v>79000</v>
      </c>
      <c r="L127" s="3">
        <v>100500</v>
      </c>
      <c r="M127" s="30">
        <f t="shared" si="11"/>
        <v>-0.14000000000000001</v>
      </c>
      <c r="N127" s="1" t="str">
        <f t="shared" si="12"/>
        <v/>
      </c>
      <c r="O127" s="1" t="str">
        <f t="shared" si="13"/>
        <v/>
      </c>
    </row>
    <row r="128" spans="1:15" x14ac:dyDescent="0.25">
      <c r="A128" s="1">
        <f t="shared" si="15"/>
        <v>117</v>
      </c>
      <c r="B128" s="3">
        <f t="shared" ca="1" si="16"/>
        <v>106500</v>
      </c>
      <c r="C128" s="26">
        <f t="shared" ca="1" si="17"/>
        <v>0.11011139335123388</v>
      </c>
      <c r="D128" s="26" t="str">
        <f t="shared" ca="1" si="14"/>
        <v>Lose</v>
      </c>
      <c r="E128" s="3">
        <f t="shared" ca="1" si="18"/>
        <v>-500</v>
      </c>
      <c r="F128" s="42">
        <f t="shared" si="10"/>
        <v>3.6418734220520629E-153</v>
      </c>
      <c r="G128" s="41">
        <f>SUM(F$11:F128)</f>
        <v>4.1716006433866771E-153</v>
      </c>
      <c r="I128" s="1">
        <f t="shared" si="19"/>
        <v>118</v>
      </c>
      <c r="J128" s="3">
        <v>88000</v>
      </c>
      <c r="K128" s="3">
        <v>87500</v>
      </c>
      <c r="L128" s="3">
        <v>105000</v>
      </c>
      <c r="M128" s="30">
        <f t="shared" si="11"/>
        <v>-0.12</v>
      </c>
      <c r="N128" s="1" t="str">
        <f t="shared" si="12"/>
        <v/>
      </c>
      <c r="O128" s="1" t="str">
        <f t="shared" si="13"/>
        <v/>
      </c>
    </row>
    <row r="129" spans="1:15" x14ac:dyDescent="0.25">
      <c r="A129" s="1">
        <f t="shared" si="15"/>
        <v>118</v>
      </c>
      <c r="B129" s="3">
        <f t="shared" ca="1" si="16"/>
        <v>106000</v>
      </c>
      <c r="C129" s="26">
        <f t="shared" ca="1" si="17"/>
        <v>3.6486849846622205E-2</v>
      </c>
      <c r="D129" s="26" t="str">
        <f t="shared" ca="1" si="14"/>
        <v>Lose</v>
      </c>
      <c r="E129" s="3">
        <f t="shared" ca="1" si="18"/>
        <v>-500</v>
      </c>
      <c r="F129" s="42">
        <f t="shared" si="10"/>
        <v>2.8364663752210974E-152</v>
      </c>
      <c r="G129" s="41">
        <f>SUM(F$11:F129)</f>
        <v>3.2536264395597652E-152</v>
      </c>
      <c r="I129" s="1">
        <f t="shared" si="19"/>
        <v>119</v>
      </c>
      <c r="J129" s="3">
        <v>105000</v>
      </c>
      <c r="K129" s="3">
        <v>91000</v>
      </c>
      <c r="L129" s="3">
        <v>114000</v>
      </c>
      <c r="M129" s="30">
        <f t="shared" si="11"/>
        <v>5.0000000000000044E-2</v>
      </c>
      <c r="N129" s="1" t="str">
        <f t="shared" si="12"/>
        <v/>
      </c>
      <c r="O129" s="1" t="str">
        <f t="shared" si="13"/>
        <v/>
      </c>
    </row>
    <row r="130" spans="1:15" x14ac:dyDescent="0.25">
      <c r="A130" s="1">
        <f t="shared" si="15"/>
        <v>119</v>
      </c>
      <c r="B130" s="3">
        <f t="shared" ca="1" si="16"/>
        <v>106500</v>
      </c>
      <c r="C130" s="26">
        <f t="shared" ca="1" si="17"/>
        <v>0.73589269157602644</v>
      </c>
      <c r="D130" s="26" t="str">
        <f t="shared" ca="1" si="14"/>
        <v>Win</v>
      </c>
      <c r="E130" s="3">
        <f t="shared" ca="1" si="18"/>
        <v>500</v>
      </c>
      <c r="F130" s="42">
        <f t="shared" si="10"/>
        <v>2.1881312037419051E-151</v>
      </c>
      <c r="G130" s="41">
        <f>SUM(F$11:F130)</f>
        <v>2.5134938476978816E-151</v>
      </c>
      <c r="I130" s="1">
        <f t="shared" si="19"/>
        <v>120</v>
      </c>
      <c r="J130" s="3">
        <v>119000</v>
      </c>
      <c r="K130" s="3">
        <v>96000</v>
      </c>
      <c r="L130" s="3">
        <v>120000</v>
      </c>
      <c r="M130" s="30">
        <f t="shared" si="11"/>
        <v>0.18999999999999995</v>
      </c>
      <c r="N130" s="1" t="str">
        <f t="shared" si="12"/>
        <v/>
      </c>
      <c r="O130" s="1" t="str">
        <f t="shared" si="13"/>
        <v/>
      </c>
    </row>
    <row r="131" spans="1:15" x14ac:dyDescent="0.25">
      <c r="A131" s="1">
        <f t="shared" si="15"/>
        <v>120</v>
      </c>
      <c r="B131" s="3">
        <f t="shared" ca="1" si="16"/>
        <v>107000</v>
      </c>
      <c r="C131" s="26">
        <f t="shared" ca="1" si="17"/>
        <v>0.9193291440138448</v>
      </c>
      <c r="D131" s="26" t="str">
        <f t="shared" ca="1" si="14"/>
        <v>Win</v>
      </c>
      <c r="E131" s="3">
        <f t="shared" ca="1" si="18"/>
        <v>500</v>
      </c>
      <c r="F131" s="42">
        <f t="shared" si="10"/>
        <v>1.6720225019613062E-150</v>
      </c>
      <c r="G131" s="41">
        <f>SUM(F$11:F131)</f>
        <v>1.9233718867310944E-150</v>
      </c>
      <c r="I131" s="1">
        <f t="shared" si="19"/>
        <v>121</v>
      </c>
      <c r="J131" s="3">
        <v>112000</v>
      </c>
      <c r="K131" s="3">
        <v>90000</v>
      </c>
      <c r="L131" s="3">
        <v>116500</v>
      </c>
      <c r="M131" s="30">
        <f t="shared" si="11"/>
        <v>0.12000000000000011</v>
      </c>
      <c r="N131" s="1" t="str">
        <f t="shared" si="12"/>
        <v/>
      </c>
      <c r="O131" s="1" t="str">
        <f t="shared" si="13"/>
        <v/>
      </c>
    </row>
    <row r="132" spans="1:15" x14ac:dyDescent="0.25">
      <c r="A132" s="1">
        <f t="shared" si="15"/>
        <v>121</v>
      </c>
      <c r="B132" s="3">
        <f t="shared" ca="1" si="16"/>
        <v>107500</v>
      </c>
      <c r="C132" s="26">
        <f t="shared" ca="1" si="17"/>
        <v>0.63602570935779668</v>
      </c>
      <c r="D132" s="26" t="str">
        <f t="shared" ca="1" si="14"/>
        <v>Win</v>
      </c>
      <c r="E132" s="3">
        <f t="shared" ca="1" si="18"/>
        <v>500</v>
      </c>
      <c r="F132" s="42">
        <f t="shared" si="10"/>
        <v>1.2656496860859155E-149</v>
      </c>
      <c r="G132" s="41">
        <f>SUM(F$11:F132)</f>
        <v>1.4579868747590249E-149</v>
      </c>
      <c r="I132" s="1">
        <f t="shared" si="19"/>
        <v>122</v>
      </c>
      <c r="J132" s="3">
        <v>112000</v>
      </c>
      <c r="K132" s="3">
        <v>80000</v>
      </c>
      <c r="L132" s="3">
        <v>113500</v>
      </c>
      <c r="M132" s="30">
        <f t="shared" si="11"/>
        <v>0.12000000000000011</v>
      </c>
      <c r="N132" s="1" t="str">
        <f t="shared" si="12"/>
        <v/>
      </c>
      <c r="O132" s="1" t="str">
        <f t="shared" si="13"/>
        <v/>
      </c>
    </row>
    <row r="133" spans="1:15" x14ac:dyDescent="0.25">
      <c r="A133" s="1">
        <f t="shared" si="15"/>
        <v>122</v>
      </c>
      <c r="B133" s="3">
        <f t="shared" ca="1" si="16"/>
        <v>108000</v>
      </c>
      <c r="C133" s="26">
        <f t="shared" ca="1" si="17"/>
        <v>0.77377372526099841</v>
      </c>
      <c r="D133" s="26" t="str">
        <f t="shared" ca="1" si="14"/>
        <v>Win</v>
      </c>
      <c r="E133" s="3">
        <f t="shared" ca="1" si="18"/>
        <v>500</v>
      </c>
      <c r="F133" s="42">
        <f t="shared" si="10"/>
        <v>9.4911023381639892E-149</v>
      </c>
      <c r="G133" s="41">
        <f>SUM(F$11:F133)</f>
        <v>1.0949089212923013E-148</v>
      </c>
      <c r="I133" s="1">
        <f t="shared" si="19"/>
        <v>123</v>
      </c>
      <c r="J133" s="3">
        <v>105000</v>
      </c>
      <c r="K133" s="3">
        <v>100000</v>
      </c>
      <c r="L133" s="3">
        <v>113500</v>
      </c>
      <c r="M133" s="30">
        <f t="shared" si="11"/>
        <v>5.0000000000000044E-2</v>
      </c>
      <c r="N133" s="1" t="str">
        <f t="shared" si="12"/>
        <v/>
      </c>
      <c r="O133" s="1" t="str">
        <f t="shared" si="13"/>
        <v/>
      </c>
    </row>
    <row r="134" spans="1:15" x14ac:dyDescent="0.25">
      <c r="A134" s="1">
        <f t="shared" si="15"/>
        <v>123</v>
      </c>
      <c r="B134" s="3">
        <f t="shared" ca="1" si="16"/>
        <v>108500</v>
      </c>
      <c r="C134" s="26">
        <f t="shared" ca="1" si="17"/>
        <v>0.90936716035134613</v>
      </c>
      <c r="D134" s="26" t="str">
        <f t="shared" ca="1" si="14"/>
        <v>Win</v>
      </c>
      <c r="E134" s="3">
        <f t="shared" ca="1" si="18"/>
        <v>500</v>
      </c>
      <c r="F134" s="42">
        <f t="shared" si="10"/>
        <v>7.0514780238646978E-148</v>
      </c>
      <c r="G134" s="41">
        <f>SUM(F$11:F134)</f>
        <v>8.1463869451569988E-148</v>
      </c>
      <c r="I134" s="1">
        <f t="shared" si="19"/>
        <v>124</v>
      </c>
      <c r="J134" s="3">
        <v>109000</v>
      </c>
      <c r="K134" s="3">
        <v>91000</v>
      </c>
      <c r="L134" s="3">
        <v>110500</v>
      </c>
      <c r="M134" s="30">
        <f t="shared" si="11"/>
        <v>9.000000000000008E-2</v>
      </c>
      <c r="N134" s="1" t="str">
        <f t="shared" si="12"/>
        <v/>
      </c>
      <c r="O134" s="1" t="str">
        <f t="shared" si="13"/>
        <v/>
      </c>
    </row>
    <row r="135" spans="1:15" x14ac:dyDescent="0.25">
      <c r="A135" s="1">
        <f t="shared" si="15"/>
        <v>124</v>
      </c>
      <c r="B135" s="3">
        <f t="shared" ca="1" si="16"/>
        <v>109000</v>
      </c>
      <c r="C135" s="26">
        <f t="shared" ca="1" si="17"/>
        <v>0.57654728137123579</v>
      </c>
      <c r="D135" s="26" t="str">
        <f t="shared" ca="1" si="14"/>
        <v>Win</v>
      </c>
      <c r="E135" s="3">
        <f t="shared" ca="1" si="18"/>
        <v>500</v>
      </c>
      <c r="F135" s="42">
        <f t="shared" si="10"/>
        <v>5.1907744827747493E-147</v>
      </c>
      <c r="G135" s="41">
        <f>SUM(F$11:F135)</f>
        <v>6.0054131772904496E-147</v>
      </c>
      <c r="I135" s="1">
        <f t="shared" si="19"/>
        <v>125</v>
      </c>
      <c r="J135" s="3">
        <v>107000</v>
      </c>
      <c r="K135" s="3">
        <v>84500</v>
      </c>
      <c r="L135" s="3">
        <v>110500</v>
      </c>
      <c r="M135" s="30">
        <f t="shared" si="11"/>
        <v>7.0000000000000062E-2</v>
      </c>
      <c r="N135" s="1" t="str">
        <f t="shared" si="12"/>
        <v/>
      </c>
      <c r="O135" s="1" t="str">
        <f t="shared" si="13"/>
        <v/>
      </c>
    </row>
    <row r="136" spans="1:15" x14ac:dyDescent="0.25">
      <c r="A136" s="1">
        <f t="shared" si="15"/>
        <v>125</v>
      </c>
      <c r="B136" s="3">
        <f t="shared" ca="1" si="16"/>
        <v>108500</v>
      </c>
      <c r="C136" s="26">
        <f t="shared" ca="1" si="17"/>
        <v>0.11143744036093406</v>
      </c>
      <c r="D136" s="26" t="str">
        <f t="shared" ca="1" si="14"/>
        <v>Lose</v>
      </c>
      <c r="E136" s="3">
        <f t="shared" ca="1" si="18"/>
        <v>-500</v>
      </c>
      <c r="F136" s="42">
        <f t="shared" si="10"/>
        <v>3.7861720945702155E-146</v>
      </c>
      <c r="G136" s="41">
        <f>SUM(F$11:F136)</f>
        <v>4.3867134122992607E-146</v>
      </c>
      <c r="I136" s="1">
        <f t="shared" si="19"/>
        <v>126</v>
      </c>
      <c r="J136" s="3">
        <v>105000</v>
      </c>
      <c r="K136" s="3">
        <v>92500</v>
      </c>
      <c r="L136" s="3">
        <v>115000</v>
      </c>
      <c r="M136" s="30">
        <f t="shared" si="11"/>
        <v>5.0000000000000044E-2</v>
      </c>
      <c r="N136" s="1" t="str">
        <f t="shared" si="12"/>
        <v/>
      </c>
      <c r="O136" s="1" t="str">
        <f t="shared" si="13"/>
        <v/>
      </c>
    </row>
    <row r="137" spans="1:15" x14ac:dyDescent="0.25">
      <c r="A137" s="1">
        <f t="shared" si="15"/>
        <v>126</v>
      </c>
      <c r="B137" s="3">
        <f t="shared" ca="1" si="16"/>
        <v>109000</v>
      </c>
      <c r="C137" s="26">
        <f t="shared" ca="1" si="17"/>
        <v>0.97291648245552242</v>
      </c>
      <c r="D137" s="26" t="str">
        <f t="shared" ca="1" si="14"/>
        <v>Win</v>
      </c>
      <c r="E137" s="3">
        <f t="shared" ca="1" si="18"/>
        <v>500</v>
      </c>
      <c r="F137" s="42">
        <f t="shared" si="10"/>
        <v>2.7366039799188891E-145</v>
      </c>
      <c r="G137" s="41">
        <f>SUM(F$11:F137)</f>
        <v>3.1752753211488151E-145</v>
      </c>
      <c r="I137" s="1">
        <f t="shared" si="19"/>
        <v>127</v>
      </c>
      <c r="J137" s="3">
        <v>128000</v>
      </c>
      <c r="K137" s="3">
        <v>99500</v>
      </c>
      <c r="L137" s="3">
        <v>128000</v>
      </c>
      <c r="M137" s="30">
        <f t="shared" si="11"/>
        <v>0.28000000000000003</v>
      </c>
      <c r="N137" s="1" t="str">
        <f t="shared" si="12"/>
        <v/>
      </c>
      <c r="O137" s="1" t="str">
        <f t="shared" si="13"/>
        <v/>
      </c>
    </row>
    <row r="138" spans="1:15" x14ac:dyDescent="0.25">
      <c r="A138" s="1">
        <f t="shared" si="15"/>
        <v>127</v>
      </c>
      <c r="B138" s="3">
        <f t="shared" ca="1" si="16"/>
        <v>108500</v>
      </c>
      <c r="C138" s="26">
        <f t="shared" ca="1" si="17"/>
        <v>0.42664831717371032</v>
      </c>
      <c r="D138" s="26" t="str">
        <f t="shared" ca="1" si="14"/>
        <v>Lose</v>
      </c>
      <c r="E138" s="3">
        <f t="shared" ca="1" si="18"/>
        <v>-500</v>
      </c>
      <c r="F138" s="42">
        <f t="shared" si="10"/>
        <v>1.9601701076796856E-144</v>
      </c>
      <c r="G138" s="41">
        <f>SUM(F$11:F138)</f>
        <v>2.277697639794567E-144</v>
      </c>
      <c r="I138" s="1">
        <f t="shared" si="19"/>
        <v>128</v>
      </c>
      <c r="J138" s="3">
        <v>109000</v>
      </c>
      <c r="K138" s="3">
        <v>91500</v>
      </c>
      <c r="L138" s="3">
        <v>113000</v>
      </c>
      <c r="M138" s="30">
        <f t="shared" si="11"/>
        <v>9.000000000000008E-2</v>
      </c>
      <c r="N138" s="1" t="str">
        <f t="shared" si="12"/>
        <v/>
      </c>
      <c r="O138" s="1" t="str">
        <f t="shared" si="13"/>
        <v/>
      </c>
    </row>
    <row r="139" spans="1:15" x14ac:dyDescent="0.25">
      <c r="A139" s="1">
        <f t="shared" si="15"/>
        <v>128</v>
      </c>
      <c r="B139" s="3">
        <f t="shared" ca="1" si="16"/>
        <v>109000</v>
      </c>
      <c r="C139" s="26">
        <f t="shared" ca="1" si="17"/>
        <v>0.67963031914598226</v>
      </c>
      <c r="D139" s="26" t="str">
        <f t="shared" ca="1" si="14"/>
        <v>Win</v>
      </c>
      <c r="E139" s="3">
        <f t="shared" ca="1" si="18"/>
        <v>500</v>
      </c>
      <c r="F139" s="42">
        <f t="shared" si="10"/>
        <v>1.3914645042126632E-143</v>
      </c>
      <c r="G139" s="41">
        <f>SUM(F$11:F139)</f>
        <v>1.6192342681921198E-143</v>
      </c>
      <c r="I139" s="1">
        <f t="shared" si="19"/>
        <v>129</v>
      </c>
      <c r="J139" s="3">
        <v>134000</v>
      </c>
      <c r="K139" s="3">
        <v>100000</v>
      </c>
      <c r="L139" s="3">
        <v>137000</v>
      </c>
      <c r="M139" s="30">
        <f t="shared" si="11"/>
        <v>0.34000000000000008</v>
      </c>
      <c r="N139" s="1" t="str">
        <f t="shared" si="12"/>
        <v/>
      </c>
      <c r="O139" s="1" t="str">
        <f t="shared" si="13"/>
        <v/>
      </c>
    </row>
    <row r="140" spans="1:15" x14ac:dyDescent="0.25">
      <c r="A140" s="1">
        <f t="shared" si="15"/>
        <v>129</v>
      </c>
      <c r="B140" s="3">
        <f t="shared" ca="1" si="16"/>
        <v>108500</v>
      </c>
      <c r="C140" s="26">
        <f t="shared" ca="1" si="17"/>
        <v>0.3634109247989703</v>
      </c>
      <c r="D140" s="26" t="str">
        <f t="shared" ca="1" si="14"/>
        <v>Lose</v>
      </c>
      <c r="E140" s="3">
        <f t="shared" ca="1" si="18"/>
        <v>-500</v>
      </c>
      <c r="F140" s="42">
        <f t="shared" ref="F140:F203" si="20">_xlfn.BINOM.DIST(A140,$A$1011,$B$1,FALSE)</f>
        <v>9.7897815901514455E-143</v>
      </c>
      <c r="G140" s="41">
        <f>SUM(F$11:F140)</f>
        <v>1.1409015858343565E-142</v>
      </c>
      <c r="I140" s="1">
        <f t="shared" si="19"/>
        <v>130</v>
      </c>
      <c r="J140" s="3">
        <v>106000</v>
      </c>
      <c r="K140" s="3">
        <v>88000</v>
      </c>
      <c r="L140" s="3">
        <v>110000</v>
      </c>
      <c r="M140" s="30">
        <f t="shared" ref="M140:M203" si="21">J140/$B$3-1</f>
        <v>6.0000000000000053E-2</v>
      </c>
      <c r="N140" s="1" t="str">
        <f t="shared" ref="N140:N203" si="22">IF(K140&lt;=0,1,"")</f>
        <v/>
      </c>
      <c r="O140" s="1" t="str">
        <f t="shared" ref="O140:O203" si="23">IF(J140&lt;=0,1,"")</f>
        <v/>
      </c>
    </row>
    <row r="141" spans="1:15" x14ac:dyDescent="0.25">
      <c r="A141" s="1">
        <f t="shared" si="15"/>
        <v>130</v>
      </c>
      <c r="B141" s="3">
        <f t="shared" ca="1" si="16"/>
        <v>108000</v>
      </c>
      <c r="C141" s="26">
        <f t="shared" ca="1" si="17"/>
        <v>0.15065650406796693</v>
      </c>
      <c r="D141" s="26" t="str">
        <f t="shared" ref="D141:D204" ca="1" si="24">IF(C141&gt;$B$2,"Win","Lose")</f>
        <v>Lose</v>
      </c>
      <c r="E141" s="3">
        <f t="shared" ca="1" si="18"/>
        <v>-500</v>
      </c>
      <c r="F141" s="42">
        <f t="shared" si="20"/>
        <v>6.826874223172676E-142</v>
      </c>
      <c r="G141" s="41">
        <f>SUM(F$11:F141)</f>
        <v>7.9677758090070321E-142</v>
      </c>
      <c r="I141" s="1">
        <f t="shared" si="19"/>
        <v>131</v>
      </c>
      <c r="J141" s="3">
        <v>112000</v>
      </c>
      <c r="K141" s="3">
        <v>99000</v>
      </c>
      <c r="L141" s="3">
        <v>119500</v>
      </c>
      <c r="M141" s="30">
        <f t="shared" si="21"/>
        <v>0.12000000000000011</v>
      </c>
      <c r="N141" s="1" t="str">
        <f t="shared" si="22"/>
        <v/>
      </c>
      <c r="O141" s="1" t="str">
        <f t="shared" si="23"/>
        <v/>
      </c>
    </row>
    <row r="142" spans="1:15" x14ac:dyDescent="0.25">
      <c r="A142" s="1">
        <f t="shared" ref="A142:A205" si="25">A141+1</f>
        <v>131</v>
      </c>
      <c r="B142" s="3">
        <f t="shared" ref="B142:B205" ca="1" si="26">B141+E142</f>
        <v>108500</v>
      </c>
      <c r="C142" s="26">
        <f t="shared" ref="C142:C205" ca="1" si="27">RAND()</f>
        <v>0.90145246656707412</v>
      </c>
      <c r="D142" s="26" t="str">
        <f t="shared" ca="1" si="24"/>
        <v>Win</v>
      </c>
      <c r="E142" s="3">
        <f t="shared" ref="E142:E205" ca="1" si="28">IF(D142="Win",$B$4,-$B$4)</f>
        <v>500</v>
      </c>
      <c r="F142" s="42">
        <f t="shared" si="20"/>
        <v>4.718934558065198E-141</v>
      </c>
      <c r="G142" s="41">
        <f>SUM(F$11:F142)</f>
        <v>5.5157121389659014E-141</v>
      </c>
      <c r="I142" s="1">
        <f t="shared" ref="I142:I205" si="29">I141+1</f>
        <v>132</v>
      </c>
      <c r="J142" s="3">
        <v>131000</v>
      </c>
      <c r="K142" s="3">
        <v>100000</v>
      </c>
      <c r="L142" s="3">
        <v>139000</v>
      </c>
      <c r="M142" s="30">
        <f t="shared" si="21"/>
        <v>0.31000000000000005</v>
      </c>
      <c r="N142" s="1" t="str">
        <f t="shared" si="22"/>
        <v/>
      </c>
      <c r="O142" s="1" t="str">
        <f t="shared" si="23"/>
        <v/>
      </c>
    </row>
    <row r="143" spans="1:15" x14ac:dyDescent="0.25">
      <c r="A143" s="1">
        <f t="shared" si="25"/>
        <v>132</v>
      </c>
      <c r="B143" s="3">
        <f t="shared" ca="1" si="26"/>
        <v>109000</v>
      </c>
      <c r="C143" s="26">
        <f t="shared" ca="1" si="27"/>
        <v>0.71225923608454889</v>
      </c>
      <c r="D143" s="26" t="str">
        <f t="shared" ca="1" si="24"/>
        <v>Win</v>
      </c>
      <c r="E143" s="3">
        <f t="shared" ca="1" si="28"/>
        <v>500</v>
      </c>
      <c r="F143" s="42">
        <f t="shared" si="20"/>
        <v>3.233433220143572E-140</v>
      </c>
      <c r="G143" s="41">
        <f>SUM(F$11:F143)</f>
        <v>3.7850044340401619E-140</v>
      </c>
      <c r="I143" s="1">
        <f t="shared" si="29"/>
        <v>133</v>
      </c>
      <c r="J143" s="3">
        <v>117000</v>
      </c>
      <c r="K143" s="3">
        <v>94500</v>
      </c>
      <c r="L143" s="3">
        <v>117500</v>
      </c>
      <c r="M143" s="30">
        <f t="shared" si="21"/>
        <v>0.16999999999999993</v>
      </c>
      <c r="N143" s="1" t="str">
        <f t="shared" si="22"/>
        <v/>
      </c>
      <c r="O143" s="1" t="str">
        <f t="shared" si="23"/>
        <v/>
      </c>
    </row>
    <row r="144" spans="1:15" x14ac:dyDescent="0.25">
      <c r="A144" s="1">
        <f t="shared" si="25"/>
        <v>133</v>
      </c>
      <c r="B144" s="3">
        <f t="shared" ca="1" si="26"/>
        <v>108500</v>
      </c>
      <c r="C144" s="26">
        <f t="shared" ca="1" si="27"/>
        <v>3.8241359108142525E-2</v>
      </c>
      <c r="D144" s="26" t="str">
        <f t="shared" ca="1" si="24"/>
        <v>Lose</v>
      </c>
      <c r="E144" s="3">
        <f t="shared" ca="1" si="28"/>
        <v>-500</v>
      </c>
      <c r="F144" s="42">
        <f t="shared" si="20"/>
        <v>2.1963728984091244E-139</v>
      </c>
      <c r="G144" s="41">
        <f>SUM(F$11:F144)</f>
        <v>2.5748733418131405E-139</v>
      </c>
      <c r="I144" s="1">
        <f t="shared" si="29"/>
        <v>134</v>
      </c>
      <c r="J144" s="3">
        <v>100000</v>
      </c>
      <c r="K144" s="3">
        <v>90000</v>
      </c>
      <c r="L144" s="3">
        <v>115500</v>
      </c>
      <c r="M144" s="30">
        <f t="shared" si="21"/>
        <v>0</v>
      </c>
      <c r="N144" s="1" t="str">
        <f t="shared" si="22"/>
        <v/>
      </c>
      <c r="O144" s="1" t="str">
        <f t="shared" si="23"/>
        <v/>
      </c>
    </row>
    <row r="145" spans="1:15" x14ac:dyDescent="0.25">
      <c r="A145" s="1">
        <f t="shared" si="25"/>
        <v>134</v>
      </c>
      <c r="B145" s="3">
        <f t="shared" ca="1" si="26"/>
        <v>108000</v>
      </c>
      <c r="C145" s="26">
        <f t="shared" ca="1" si="27"/>
        <v>0.14650130115060633</v>
      </c>
      <c r="D145" s="26" t="str">
        <f t="shared" ca="1" si="24"/>
        <v>Lose</v>
      </c>
      <c r="E145" s="3">
        <f t="shared" ca="1" si="28"/>
        <v>-500</v>
      </c>
      <c r="F145" s="42">
        <f t="shared" si="20"/>
        <v>1.4790895590761763E-138</v>
      </c>
      <c r="G145" s="41">
        <f>SUM(F$11:F145)</f>
        <v>1.7365768932574902E-138</v>
      </c>
      <c r="I145" s="1">
        <f t="shared" si="29"/>
        <v>135</v>
      </c>
      <c r="J145" s="3">
        <v>92000</v>
      </c>
      <c r="K145" s="3">
        <v>83000</v>
      </c>
      <c r="L145" s="3">
        <v>104500</v>
      </c>
      <c r="M145" s="30">
        <f t="shared" si="21"/>
        <v>-7.999999999999996E-2</v>
      </c>
      <c r="N145" s="1" t="str">
        <f t="shared" si="22"/>
        <v/>
      </c>
      <c r="O145" s="1" t="str">
        <f t="shared" si="23"/>
        <v/>
      </c>
    </row>
    <row r="146" spans="1:15" x14ac:dyDescent="0.25">
      <c r="A146" s="1">
        <f t="shared" si="25"/>
        <v>135</v>
      </c>
      <c r="B146" s="3">
        <f t="shared" ca="1" si="26"/>
        <v>108500</v>
      </c>
      <c r="C146" s="26">
        <f t="shared" ca="1" si="27"/>
        <v>0.93859319135690489</v>
      </c>
      <c r="D146" s="26" t="str">
        <f t="shared" ca="1" si="24"/>
        <v>Win</v>
      </c>
      <c r="E146" s="3">
        <f t="shared" ca="1" si="28"/>
        <v>500</v>
      </c>
      <c r="F146" s="42">
        <f t="shared" si="20"/>
        <v>9.8753544166528222E-138</v>
      </c>
      <c r="G146" s="41">
        <f>SUM(F$11:F146)</f>
        <v>1.1611931309910313E-137</v>
      </c>
      <c r="I146" s="1">
        <f t="shared" si="29"/>
        <v>136</v>
      </c>
      <c r="J146" s="3">
        <v>127000</v>
      </c>
      <c r="K146" s="3">
        <v>95000</v>
      </c>
      <c r="L146" s="3">
        <v>127500</v>
      </c>
      <c r="M146" s="30">
        <f t="shared" si="21"/>
        <v>0.27</v>
      </c>
      <c r="N146" s="1" t="str">
        <f t="shared" si="22"/>
        <v/>
      </c>
      <c r="O146" s="1" t="str">
        <f t="shared" si="23"/>
        <v/>
      </c>
    </row>
    <row r="147" spans="1:15" x14ac:dyDescent="0.25">
      <c r="A147" s="1">
        <f t="shared" si="25"/>
        <v>136</v>
      </c>
      <c r="B147" s="3">
        <f t="shared" ca="1" si="26"/>
        <v>108000</v>
      </c>
      <c r="C147" s="26">
        <f t="shared" ca="1" si="27"/>
        <v>8.371451563816934E-2</v>
      </c>
      <c r="D147" s="26" t="str">
        <f t="shared" ca="1" si="24"/>
        <v>Lose</v>
      </c>
      <c r="E147" s="3">
        <f t="shared" ca="1" si="28"/>
        <v>-500</v>
      </c>
      <c r="F147" s="42">
        <f t="shared" si="20"/>
        <v>6.537383854902717E-137</v>
      </c>
      <c r="G147" s="41">
        <f>SUM(F$11:F147)</f>
        <v>7.6985769858937483E-137</v>
      </c>
      <c r="I147" s="1">
        <f t="shared" si="29"/>
        <v>137</v>
      </c>
      <c r="J147" s="3">
        <v>115000</v>
      </c>
      <c r="K147" s="3">
        <v>96000</v>
      </c>
      <c r="L147" s="3">
        <v>128500</v>
      </c>
      <c r="M147" s="30">
        <f t="shared" si="21"/>
        <v>0.14999999999999991</v>
      </c>
      <c r="N147" s="1" t="str">
        <f t="shared" si="22"/>
        <v/>
      </c>
      <c r="O147" s="1" t="str">
        <f t="shared" si="23"/>
        <v/>
      </c>
    </row>
    <row r="148" spans="1:15" x14ac:dyDescent="0.25">
      <c r="A148" s="1">
        <f t="shared" si="25"/>
        <v>137</v>
      </c>
      <c r="B148" s="3">
        <f t="shared" ca="1" si="26"/>
        <v>107500</v>
      </c>
      <c r="C148" s="26">
        <f t="shared" ca="1" si="27"/>
        <v>4.7058474919319915E-2</v>
      </c>
      <c r="D148" s="26" t="str">
        <f t="shared" ca="1" si="24"/>
        <v>Lose</v>
      </c>
      <c r="E148" s="3">
        <f t="shared" ca="1" si="28"/>
        <v>-500</v>
      </c>
      <c r="F148" s="42">
        <f t="shared" si="20"/>
        <v>4.2911259076777634E-136</v>
      </c>
      <c r="G148" s="41">
        <f>SUM(F$11:F148)</f>
        <v>5.0609836062671379E-136</v>
      </c>
      <c r="I148" s="1">
        <f t="shared" si="29"/>
        <v>138</v>
      </c>
      <c r="J148" s="3">
        <v>103000</v>
      </c>
      <c r="K148" s="3">
        <v>97000</v>
      </c>
      <c r="L148" s="3">
        <v>122500</v>
      </c>
      <c r="M148" s="30">
        <f t="shared" si="21"/>
        <v>3.0000000000000027E-2</v>
      </c>
      <c r="N148" s="1" t="str">
        <f t="shared" si="22"/>
        <v/>
      </c>
      <c r="O148" s="1" t="str">
        <f t="shared" si="23"/>
        <v/>
      </c>
    </row>
    <row r="149" spans="1:15" x14ac:dyDescent="0.25">
      <c r="A149" s="1">
        <f t="shared" si="25"/>
        <v>138</v>
      </c>
      <c r="B149" s="3">
        <f t="shared" ca="1" si="26"/>
        <v>107000</v>
      </c>
      <c r="C149" s="26">
        <f t="shared" ca="1" si="27"/>
        <v>0.18220938567696199</v>
      </c>
      <c r="D149" s="26" t="str">
        <f t="shared" ca="1" si="24"/>
        <v>Lose</v>
      </c>
      <c r="E149" s="3">
        <f t="shared" ca="1" si="28"/>
        <v>-500</v>
      </c>
      <c r="F149" s="42">
        <f t="shared" si="20"/>
        <v>2.7930394051261633E-135</v>
      </c>
      <c r="G149" s="41">
        <f>SUM(F$11:F149)</f>
        <v>3.2991377657528772E-135</v>
      </c>
      <c r="I149" s="1">
        <f t="shared" si="29"/>
        <v>139</v>
      </c>
      <c r="J149" s="3">
        <v>107000</v>
      </c>
      <c r="K149" s="3">
        <v>82500</v>
      </c>
      <c r="L149" s="3">
        <v>110000</v>
      </c>
      <c r="M149" s="30">
        <f t="shared" si="21"/>
        <v>7.0000000000000062E-2</v>
      </c>
      <c r="N149" s="1" t="str">
        <f t="shared" si="22"/>
        <v/>
      </c>
      <c r="O149" s="1" t="str">
        <f t="shared" si="23"/>
        <v/>
      </c>
    </row>
    <row r="150" spans="1:15" x14ac:dyDescent="0.25">
      <c r="A150" s="1">
        <f t="shared" si="25"/>
        <v>139</v>
      </c>
      <c r="B150" s="3">
        <f t="shared" ca="1" si="26"/>
        <v>107500</v>
      </c>
      <c r="C150" s="26">
        <f t="shared" ca="1" si="27"/>
        <v>0.80926662903159363</v>
      </c>
      <c r="D150" s="26" t="str">
        <f t="shared" ca="1" si="24"/>
        <v>Win</v>
      </c>
      <c r="E150" s="3">
        <f t="shared" ca="1" si="28"/>
        <v>500</v>
      </c>
      <c r="F150" s="42">
        <f t="shared" si="20"/>
        <v>1.8027837076516073E-134</v>
      </c>
      <c r="G150" s="41">
        <f>SUM(F$11:F150)</f>
        <v>2.1326974842268949E-134</v>
      </c>
      <c r="I150" s="1">
        <f t="shared" si="29"/>
        <v>140</v>
      </c>
      <c r="J150" s="3">
        <v>93000</v>
      </c>
      <c r="K150" s="3">
        <v>75500</v>
      </c>
      <c r="L150" s="3">
        <v>105500</v>
      </c>
      <c r="M150" s="30">
        <f t="shared" si="21"/>
        <v>-6.9999999999999951E-2</v>
      </c>
      <c r="N150" s="1" t="str">
        <f t="shared" si="22"/>
        <v/>
      </c>
      <c r="O150" s="1" t="str">
        <f t="shared" si="23"/>
        <v/>
      </c>
    </row>
    <row r="151" spans="1:15" x14ac:dyDescent="0.25">
      <c r="A151" s="1">
        <f t="shared" si="25"/>
        <v>140</v>
      </c>
      <c r="B151" s="3">
        <f t="shared" ca="1" si="26"/>
        <v>107000</v>
      </c>
      <c r="C151" s="26">
        <f t="shared" ca="1" si="27"/>
        <v>0.38426671650498634</v>
      </c>
      <c r="D151" s="26" t="str">
        <f t="shared" ca="1" si="24"/>
        <v>Lose</v>
      </c>
      <c r="E151" s="3">
        <f t="shared" ca="1" si="28"/>
        <v>-500</v>
      </c>
      <c r="F151" s="42">
        <f t="shared" si="20"/>
        <v>1.1539655304182139E-133</v>
      </c>
      <c r="G151" s="41">
        <f>SUM(F$11:F151)</f>
        <v>1.3672352788409035E-133</v>
      </c>
      <c r="I151" s="1">
        <f t="shared" si="29"/>
        <v>141</v>
      </c>
      <c r="J151" s="3">
        <v>114000</v>
      </c>
      <c r="K151" s="3">
        <v>96500</v>
      </c>
      <c r="L151" s="3">
        <v>124500</v>
      </c>
      <c r="M151" s="30">
        <f t="shared" si="21"/>
        <v>0.1399999999999999</v>
      </c>
      <c r="N151" s="1" t="str">
        <f t="shared" si="22"/>
        <v/>
      </c>
      <c r="O151" s="1" t="str">
        <f t="shared" si="23"/>
        <v/>
      </c>
    </row>
    <row r="152" spans="1:15" x14ac:dyDescent="0.25">
      <c r="A152" s="1">
        <f t="shared" si="25"/>
        <v>141</v>
      </c>
      <c r="B152" s="3">
        <f t="shared" ca="1" si="26"/>
        <v>106500</v>
      </c>
      <c r="C152" s="26">
        <f t="shared" ca="1" si="27"/>
        <v>0.23064114802765023</v>
      </c>
      <c r="D152" s="26" t="str">
        <f t="shared" ca="1" si="24"/>
        <v>Lose</v>
      </c>
      <c r="E152" s="3">
        <f t="shared" ca="1" si="28"/>
        <v>-500</v>
      </c>
      <c r="F152" s="42">
        <f t="shared" si="20"/>
        <v>7.3256517823338728E-133</v>
      </c>
      <c r="G152" s="41">
        <f>SUM(F$11:F152)</f>
        <v>8.692887061174776E-133</v>
      </c>
      <c r="I152" s="1">
        <f t="shared" si="29"/>
        <v>142</v>
      </c>
      <c r="J152" s="3">
        <v>93000</v>
      </c>
      <c r="K152" s="3">
        <v>91500</v>
      </c>
      <c r="L152" s="3">
        <v>109500</v>
      </c>
      <c r="M152" s="30">
        <f t="shared" si="21"/>
        <v>-6.9999999999999951E-2</v>
      </c>
      <c r="N152" s="1" t="str">
        <f t="shared" si="22"/>
        <v/>
      </c>
      <c r="O152" s="1" t="str">
        <f t="shared" si="23"/>
        <v/>
      </c>
    </row>
    <row r="153" spans="1:15" x14ac:dyDescent="0.25">
      <c r="A153" s="1">
        <f t="shared" si="25"/>
        <v>142</v>
      </c>
      <c r="B153" s="3">
        <f t="shared" ca="1" si="26"/>
        <v>107000</v>
      </c>
      <c r="C153" s="26">
        <f t="shared" ca="1" si="27"/>
        <v>0.57528706935112484</v>
      </c>
      <c r="D153" s="26" t="str">
        <f t="shared" ca="1" si="24"/>
        <v>Win</v>
      </c>
      <c r="E153" s="3">
        <f t="shared" ca="1" si="28"/>
        <v>500</v>
      </c>
      <c r="F153" s="42">
        <f t="shared" si="20"/>
        <v>4.6123811286614604E-132</v>
      </c>
      <c r="G153" s="41">
        <f>SUM(F$11:F153)</f>
        <v>5.4816698347789381E-132</v>
      </c>
      <c r="I153" s="1">
        <f t="shared" si="29"/>
        <v>143</v>
      </c>
      <c r="J153" s="3">
        <v>66000</v>
      </c>
      <c r="K153" s="3">
        <v>53000</v>
      </c>
      <c r="L153" s="3">
        <v>100000</v>
      </c>
      <c r="M153" s="30">
        <f t="shared" si="21"/>
        <v>-0.33999999999999997</v>
      </c>
      <c r="N153" s="1" t="str">
        <f t="shared" si="22"/>
        <v/>
      </c>
      <c r="O153" s="1" t="str">
        <f t="shared" si="23"/>
        <v/>
      </c>
    </row>
    <row r="154" spans="1:15" x14ac:dyDescent="0.25">
      <c r="A154" s="1">
        <f t="shared" si="25"/>
        <v>143</v>
      </c>
      <c r="B154" s="3">
        <f t="shared" ca="1" si="26"/>
        <v>107500</v>
      </c>
      <c r="C154" s="26">
        <f t="shared" ca="1" si="27"/>
        <v>0.93949499331955633</v>
      </c>
      <c r="D154" s="26" t="str">
        <f t="shared" ca="1" si="24"/>
        <v>Win</v>
      </c>
      <c r="E154" s="3">
        <f t="shared" ca="1" si="28"/>
        <v>500</v>
      </c>
      <c r="F154" s="42">
        <f t="shared" si="20"/>
        <v>2.8803849497353431E-131</v>
      </c>
      <c r="G154" s="41">
        <f>SUM(F$11:F154)</f>
        <v>3.4285519332132371E-131</v>
      </c>
      <c r="I154" s="1">
        <f t="shared" si="29"/>
        <v>144</v>
      </c>
      <c r="J154" s="3">
        <v>103000</v>
      </c>
      <c r="K154" s="3">
        <v>96000</v>
      </c>
      <c r="L154" s="3">
        <v>110500</v>
      </c>
      <c r="M154" s="30">
        <f t="shared" si="21"/>
        <v>3.0000000000000027E-2</v>
      </c>
      <c r="N154" s="1" t="str">
        <f t="shared" si="22"/>
        <v/>
      </c>
      <c r="O154" s="1" t="str">
        <f t="shared" si="23"/>
        <v/>
      </c>
    </row>
    <row r="155" spans="1:15" x14ac:dyDescent="0.25">
      <c r="A155" s="1">
        <f t="shared" si="25"/>
        <v>144</v>
      </c>
      <c r="B155" s="3">
        <f t="shared" ca="1" si="26"/>
        <v>108000</v>
      </c>
      <c r="C155" s="26">
        <f t="shared" ca="1" si="27"/>
        <v>0.76053820606255462</v>
      </c>
      <c r="D155" s="26" t="str">
        <f t="shared" ca="1" si="24"/>
        <v>Win</v>
      </c>
      <c r="E155" s="3">
        <f t="shared" ca="1" si="28"/>
        <v>500</v>
      </c>
      <c r="F155" s="42">
        <f t="shared" si="20"/>
        <v>1.7841976331928073E-130</v>
      </c>
      <c r="G155" s="41">
        <f>SUM(F$11:F155)</f>
        <v>2.1270528265141311E-130</v>
      </c>
      <c r="I155" s="1">
        <f t="shared" si="29"/>
        <v>145</v>
      </c>
      <c r="J155" s="3">
        <v>122000</v>
      </c>
      <c r="K155" s="3">
        <v>99500</v>
      </c>
      <c r="L155" s="3">
        <v>125000</v>
      </c>
      <c r="M155" s="30">
        <f t="shared" si="21"/>
        <v>0.21999999999999997</v>
      </c>
      <c r="N155" s="1" t="str">
        <f t="shared" si="22"/>
        <v/>
      </c>
      <c r="O155" s="1" t="str">
        <f t="shared" si="23"/>
        <v/>
      </c>
    </row>
    <row r="156" spans="1:15" x14ac:dyDescent="0.25">
      <c r="A156" s="1">
        <f t="shared" si="25"/>
        <v>145</v>
      </c>
      <c r="B156" s="3">
        <f t="shared" ca="1" si="26"/>
        <v>107500</v>
      </c>
      <c r="C156" s="26">
        <f t="shared" ca="1" si="27"/>
        <v>0.15072137451653445</v>
      </c>
      <c r="D156" s="26" t="str">
        <f t="shared" ca="1" si="24"/>
        <v>Lose</v>
      </c>
      <c r="E156" s="3">
        <f t="shared" ca="1" si="28"/>
        <v>-500</v>
      </c>
      <c r="F156" s="42">
        <f t="shared" si="20"/>
        <v>1.0962833479896212E-129</v>
      </c>
      <c r="G156" s="41">
        <f>SUM(F$11:F156)</f>
        <v>1.3089886306410344E-129</v>
      </c>
      <c r="I156" s="1">
        <f t="shared" si="29"/>
        <v>146</v>
      </c>
      <c r="J156" s="3">
        <v>83000</v>
      </c>
      <c r="K156" s="3">
        <v>81000</v>
      </c>
      <c r="L156" s="3">
        <v>108000</v>
      </c>
      <c r="M156" s="30">
        <f t="shared" si="21"/>
        <v>-0.17000000000000004</v>
      </c>
      <c r="N156" s="1" t="str">
        <f t="shared" si="22"/>
        <v/>
      </c>
      <c r="O156" s="1" t="str">
        <f t="shared" si="23"/>
        <v/>
      </c>
    </row>
    <row r="157" spans="1:15" x14ac:dyDescent="0.25">
      <c r="A157" s="1">
        <f t="shared" si="25"/>
        <v>146</v>
      </c>
      <c r="B157" s="3">
        <f t="shared" ca="1" si="26"/>
        <v>107000</v>
      </c>
      <c r="C157" s="26">
        <f t="shared" ca="1" si="27"/>
        <v>9.5772053460154383E-2</v>
      </c>
      <c r="D157" s="26" t="str">
        <f t="shared" ca="1" si="24"/>
        <v>Lose</v>
      </c>
      <c r="E157" s="3">
        <f t="shared" ca="1" si="28"/>
        <v>-500</v>
      </c>
      <c r="F157" s="42">
        <f t="shared" si="20"/>
        <v>6.6820569456370898E-129</v>
      </c>
      <c r="G157" s="41">
        <f>SUM(F$11:F157)</f>
        <v>7.9910455762781239E-129</v>
      </c>
      <c r="I157" s="1">
        <f t="shared" si="29"/>
        <v>147</v>
      </c>
      <c r="J157" s="3">
        <v>84000</v>
      </c>
      <c r="K157" s="3">
        <v>77000</v>
      </c>
      <c r="L157" s="3">
        <v>105500</v>
      </c>
      <c r="M157" s="30">
        <f t="shared" si="21"/>
        <v>-0.16000000000000003</v>
      </c>
      <c r="N157" s="1" t="str">
        <f t="shared" si="22"/>
        <v/>
      </c>
      <c r="O157" s="1" t="str">
        <f t="shared" si="23"/>
        <v/>
      </c>
    </row>
    <row r="158" spans="1:15" x14ac:dyDescent="0.25">
      <c r="A158" s="1">
        <f t="shared" si="25"/>
        <v>147</v>
      </c>
      <c r="B158" s="3">
        <f t="shared" ca="1" si="26"/>
        <v>106500</v>
      </c>
      <c r="C158" s="26">
        <f t="shared" ca="1" si="27"/>
        <v>9.5036863136749528E-2</v>
      </c>
      <c r="D158" s="26" t="str">
        <f t="shared" ca="1" si="24"/>
        <v>Lose</v>
      </c>
      <c r="E158" s="3">
        <f t="shared" ca="1" si="28"/>
        <v>-500</v>
      </c>
      <c r="F158" s="42">
        <f t="shared" si="20"/>
        <v>4.0404041123186078E-128</v>
      </c>
      <c r="G158" s="41">
        <f>SUM(F$11:F158)</f>
        <v>4.8395086699464199E-128</v>
      </c>
      <c r="I158" s="1">
        <f t="shared" si="29"/>
        <v>148</v>
      </c>
      <c r="J158" s="3">
        <v>92000</v>
      </c>
      <c r="K158" s="3">
        <v>82000</v>
      </c>
      <c r="L158" s="3">
        <v>107000</v>
      </c>
      <c r="M158" s="30">
        <f t="shared" si="21"/>
        <v>-7.999999999999996E-2</v>
      </c>
      <c r="N158" s="1" t="str">
        <f t="shared" si="22"/>
        <v/>
      </c>
      <c r="O158" s="1" t="str">
        <f t="shared" si="23"/>
        <v/>
      </c>
    </row>
    <row r="159" spans="1:15" x14ac:dyDescent="0.25">
      <c r="A159" s="1">
        <f t="shared" si="25"/>
        <v>148</v>
      </c>
      <c r="B159" s="3">
        <f t="shared" ca="1" si="26"/>
        <v>107000</v>
      </c>
      <c r="C159" s="26">
        <f t="shared" ca="1" si="27"/>
        <v>0.54765420298480261</v>
      </c>
      <c r="D159" s="26" t="str">
        <f t="shared" ca="1" si="24"/>
        <v>Win</v>
      </c>
      <c r="E159" s="3">
        <f t="shared" ca="1" si="28"/>
        <v>500</v>
      </c>
      <c r="F159" s="42">
        <f t="shared" si="20"/>
        <v>2.4237410383091103E-127</v>
      </c>
      <c r="G159" s="41">
        <f>SUM(F$11:F159)</f>
        <v>2.9076919053037523E-127</v>
      </c>
      <c r="I159" s="1">
        <f t="shared" si="29"/>
        <v>149</v>
      </c>
      <c r="J159" s="3">
        <v>113000</v>
      </c>
      <c r="K159" s="3">
        <v>98500</v>
      </c>
      <c r="L159" s="3">
        <v>119000</v>
      </c>
      <c r="M159" s="30">
        <f t="shared" si="21"/>
        <v>0.12999999999999989</v>
      </c>
      <c r="N159" s="1" t="str">
        <f t="shared" si="22"/>
        <v/>
      </c>
      <c r="O159" s="1" t="str">
        <f t="shared" si="23"/>
        <v/>
      </c>
    </row>
    <row r="160" spans="1:15" x14ac:dyDescent="0.25">
      <c r="A160" s="1">
        <f t="shared" si="25"/>
        <v>149</v>
      </c>
      <c r="B160" s="3">
        <f t="shared" ca="1" si="26"/>
        <v>106500</v>
      </c>
      <c r="C160" s="26">
        <f t="shared" ca="1" si="27"/>
        <v>0.40422759091431382</v>
      </c>
      <c r="D160" s="26" t="str">
        <f t="shared" ca="1" si="24"/>
        <v>Lose</v>
      </c>
      <c r="E160" s="3">
        <f t="shared" ca="1" si="28"/>
        <v>-500</v>
      </c>
      <c r="F160" s="42">
        <f t="shared" si="20"/>
        <v>1.4424927488921169E-126</v>
      </c>
      <c r="G160" s="41">
        <f>SUM(F$11:F160)</f>
        <v>1.7332619394224921E-126</v>
      </c>
      <c r="I160" s="1">
        <f t="shared" si="29"/>
        <v>150</v>
      </c>
      <c r="J160" s="3">
        <v>95000</v>
      </c>
      <c r="K160" s="3">
        <v>90500</v>
      </c>
      <c r="L160" s="3">
        <v>111000</v>
      </c>
      <c r="M160" s="30">
        <f t="shared" si="21"/>
        <v>-5.0000000000000044E-2</v>
      </c>
      <c r="N160" s="1" t="str">
        <f t="shared" si="22"/>
        <v/>
      </c>
      <c r="O160" s="1" t="str">
        <f t="shared" si="23"/>
        <v/>
      </c>
    </row>
    <row r="161" spans="1:15" x14ac:dyDescent="0.25">
      <c r="A161" s="1">
        <f t="shared" si="25"/>
        <v>150</v>
      </c>
      <c r="B161" s="3">
        <f t="shared" ca="1" si="26"/>
        <v>106000</v>
      </c>
      <c r="C161" s="26">
        <f t="shared" ca="1" si="27"/>
        <v>3.0674559122133016E-2</v>
      </c>
      <c r="D161" s="26" t="str">
        <f t="shared" ca="1" si="24"/>
        <v>Lose</v>
      </c>
      <c r="E161" s="3">
        <f t="shared" ca="1" si="28"/>
        <v>-500</v>
      </c>
      <c r="F161" s="42">
        <f t="shared" si="20"/>
        <v>8.5177724890705059E-126</v>
      </c>
      <c r="G161" s="41">
        <f>SUM(F$11:F161)</f>
        <v>1.0251034428492998E-125</v>
      </c>
      <c r="I161" s="1">
        <f t="shared" si="29"/>
        <v>151</v>
      </c>
      <c r="J161" s="3">
        <v>126000</v>
      </c>
      <c r="K161" s="3">
        <v>92500</v>
      </c>
      <c r="L161" s="3">
        <v>126000</v>
      </c>
      <c r="M161" s="30">
        <f t="shared" si="21"/>
        <v>0.26</v>
      </c>
      <c r="N161" s="1" t="str">
        <f t="shared" si="22"/>
        <v/>
      </c>
      <c r="O161" s="1" t="str">
        <f t="shared" si="23"/>
        <v/>
      </c>
    </row>
    <row r="162" spans="1:15" x14ac:dyDescent="0.25">
      <c r="A162" s="1">
        <f t="shared" si="25"/>
        <v>151</v>
      </c>
      <c r="B162" s="3">
        <f t="shared" ca="1" si="26"/>
        <v>106500</v>
      </c>
      <c r="C162" s="26">
        <f t="shared" ca="1" si="27"/>
        <v>0.7406654099433706</v>
      </c>
      <c r="D162" s="26" t="str">
        <f t="shared" ca="1" si="24"/>
        <v>Win</v>
      </c>
      <c r="E162" s="3">
        <f t="shared" ca="1" si="28"/>
        <v>500</v>
      </c>
      <c r="F162" s="42">
        <f t="shared" si="20"/>
        <v>4.9904775969886935E-125</v>
      </c>
      <c r="G162" s="41">
        <f>SUM(F$11:F162)</f>
        <v>6.015581039837993E-125</v>
      </c>
      <c r="I162" s="1">
        <f t="shared" si="29"/>
        <v>152</v>
      </c>
      <c r="J162" s="3">
        <v>121000</v>
      </c>
      <c r="K162" s="3">
        <v>95000</v>
      </c>
      <c r="L162" s="3">
        <v>121000</v>
      </c>
      <c r="M162" s="30">
        <f t="shared" si="21"/>
        <v>0.20999999999999996</v>
      </c>
      <c r="N162" s="1" t="str">
        <f t="shared" si="22"/>
        <v/>
      </c>
      <c r="O162" s="1" t="str">
        <f t="shared" si="23"/>
        <v/>
      </c>
    </row>
    <row r="163" spans="1:15" x14ac:dyDescent="0.25">
      <c r="A163" s="1">
        <f t="shared" si="25"/>
        <v>152</v>
      </c>
      <c r="B163" s="3">
        <f t="shared" ca="1" si="26"/>
        <v>106000</v>
      </c>
      <c r="C163" s="26">
        <f t="shared" ca="1" si="27"/>
        <v>0.42422315972235236</v>
      </c>
      <c r="D163" s="26" t="str">
        <f t="shared" ca="1" si="24"/>
        <v>Lose</v>
      </c>
      <c r="E163" s="3">
        <f t="shared" ca="1" si="28"/>
        <v>-500</v>
      </c>
      <c r="F163" s="42">
        <f t="shared" si="20"/>
        <v>2.9012176352308445E-124</v>
      </c>
      <c r="G163" s="41">
        <f>SUM(F$11:F163)</f>
        <v>3.5027757392146439E-124</v>
      </c>
      <c r="I163" s="1">
        <f t="shared" si="29"/>
        <v>153</v>
      </c>
      <c r="J163" s="3">
        <v>87000</v>
      </c>
      <c r="K163" s="3">
        <v>83500</v>
      </c>
      <c r="L163" s="3">
        <v>118500</v>
      </c>
      <c r="M163" s="30">
        <f t="shared" si="21"/>
        <v>-0.13</v>
      </c>
      <c r="N163" s="1" t="str">
        <f t="shared" si="22"/>
        <v/>
      </c>
      <c r="O163" s="1" t="str">
        <f t="shared" si="23"/>
        <v/>
      </c>
    </row>
    <row r="164" spans="1:15" x14ac:dyDescent="0.25">
      <c r="A164" s="1">
        <f t="shared" si="25"/>
        <v>153</v>
      </c>
      <c r="B164" s="3">
        <f t="shared" ca="1" si="26"/>
        <v>105500</v>
      </c>
      <c r="C164" s="26">
        <f t="shared" ca="1" si="27"/>
        <v>0.2898598716007541</v>
      </c>
      <c r="D164" s="26" t="str">
        <f t="shared" ca="1" si="24"/>
        <v>Lose</v>
      </c>
      <c r="E164" s="3">
        <f t="shared" ca="1" si="28"/>
        <v>-500</v>
      </c>
      <c r="F164" s="42">
        <f t="shared" si="20"/>
        <v>1.6736275882149397E-123</v>
      </c>
      <c r="G164" s="41">
        <f>SUM(F$11:F164)</f>
        <v>2.023905162136404E-123</v>
      </c>
      <c r="I164" s="1">
        <f t="shared" si="29"/>
        <v>154</v>
      </c>
      <c r="J164" s="3">
        <v>121000</v>
      </c>
      <c r="K164" s="3">
        <v>93500</v>
      </c>
      <c r="L164" s="3">
        <v>125000</v>
      </c>
      <c r="M164" s="30">
        <f t="shared" si="21"/>
        <v>0.20999999999999996</v>
      </c>
      <c r="N164" s="1" t="str">
        <f t="shared" si="22"/>
        <v/>
      </c>
      <c r="O164" s="1" t="str">
        <f t="shared" si="23"/>
        <v/>
      </c>
    </row>
    <row r="165" spans="1:15" x14ac:dyDescent="0.25">
      <c r="A165" s="1">
        <f t="shared" si="25"/>
        <v>154</v>
      </c>
      <c r="B165" s="3">
        <f t="shared" ca="1" si="26"/>
        <v>106000</v>
      </c>
      <c r="C165" s="26">
        <f t="shared" ca="1" si="27"/>
        <v>0.59802506952175027</v>
      </c>
      <c r="D165" s="26" t="str">
        <f t="shared" ca="1" si="24"/>
        <v>Win</v>
      </c>
      <c r="E165" s="3">
        <f t="shared" ca="1" si="28"/>
        <v>500</v>
      </c>
      <c r="F165" s="42">
        <f t="shared" si="20"/>
        <v>9.580664050903429E-123</v>
      </c>
      <c r="G165" s="41">
        <f>SUM(F$11:F165)</f>
        <v>1.1604569213039833E-122</v>
      </c>
      <c r="I165" s="1">
        <f t="shared" si="29"/>
        <v>155</v>
      </c>
      <c r="J165" s="3">
        <v>139000</v>
      </c>
      <c r="K165" s="3">
        <v>95000</v>
      </c>
      <c r="L165" s="3">
        <v>140500</v>
      </c>
      <c r="M165" s="30">
        <f t="shared" si="21"/>
        <v>0.3899999999999999</v>
      </c>
      <c r="N165" s="1" t="str">
        <f t="shared" si="22"/>
        <v/>
      </c>
      <c r="O165" s="1" t="str">
        <f t="shared" si="23"/>
        <v/>
      </c>
    </row>
    <row r="166" spans="1:15" x14ac:dyDescent="0.25">
      <c r="A166" s="1">
        <f t="shared" si="25"/>
        <v>155</v>
      </c>
      <c r="B166" s="3">
        <f t="shared" ca="1" si="26"/>
        <v>105500</v>
      </c>
      <c r="C166" s="26">
        <f t="shared" ca="1" si="27"/>
        <v>0.23436673250647655</v>
      </c>
      <c r="D166" s="26" t="str">
        <f t="shared" ca="1" si="24"/>
        <v>Lose</v>
      </c>
      <c r="E166" s="3">
        <f t="shared" ca="1" si="28"/>
        <v>-500</v>
      </c>
      <c r="F166" s="42">
        <f t="shared" si="20"/>
        <v>5.4426245048095074E-122</v>
      </c>
      <c r="G166" s="41">
        <f>SUM(F$11:F166)</f>
        <v>6.6030814261134905E-122</v>
      </c>
      <c r="I166" s="1">
        <f t="shared" si="29"/>
        <v>156</v>
      </c>
      <c r="J166" s="3">
        <v>81000</v>
      </c>
      <c r="K166" s="3">
        <v>80000</v>
      </c>
      <c r="L166" s="3">
        <v>119500</v>
      </c>
      <c r="M166" s="30">
        <f t="shared" si="21"/>
        <v>-0.18999999999999995</v>
      </c>
      <c r="N166" s="1" t="str">
        <f t="shared" si="22"/>
        <v/>
      </c>
      <c r="O166" s="1" t="str">
        <f t="shared" si="23"/>
        <v/>
      </c>
    </row>
    <row r="167" spans="1:15" x14ac:dyDescent="0.25">
      <c r="A167" s="1">
        <f t="shared" si="25"/>
        <v>156</v>
      </c>
      <c r="B167" s="3">
        <f t="shared" ca="1" si="26"/>
        <v>105000</v>
      </c>
      <c r="C167" s="26">
        <f t="shared" ca="1" si="27"/>
        <v>0.23503324643903489</v>
      </c>
      <c r="D167" s="26" t="str">
        <f t="shared" ca="1" si="24"/>
        <v>Lose</v>
      </c>
      <c r="E167" s="3">
        <f t="shared" ca="1" si="28"/>
        <v>-500</v>
      </c>
      <c r="F167" s="42">
        <f t="shared" si="20"/>
        <v>3.0684184070482679E-121</v>
      </c>
      <c r="G167" s="41">
        <f>SUM(F$11:F167)</f>
        <v>3.728726549659617E-121</v>
      </c>
      <c r="I167" s="1">
        <f t="shared" si="29"/>
        <v>157</v>
      </c>
      <c r="J167" s="3">
        <v>84000</v>
      </c>
      <c r="K167" s="3">
        <v>82000</v>
      </c>
      <c r="L167" s="3">
        <v>107000</v>
      </c>
      <c r="M167" s="30">
        <f t="shared" si="21"/>
        <v>-0.16000000000000003</v>
      </c>
      <c r="N167" s="1" t="str">
        <f t="shared" si="22"/>
        <v/>
      </c>
      <c r="O167" s="1" t="str">
        <f t="shared" si="23"/>
        <v/>
      </c>
    </row>
    <row r="168" spans="1:15" x14ac:dyDescent="0.25">
      <c r="A168" s="1">
        <f t="shared" si="25"/>
        <v>157</v>
      </c>
      <c r="B168" s="3">
        <f t="shared" ca="1" si="26"/>
        <v>105500</v>
      </c>
      <c r="C168" s="26">
        <f t="shared" ca="1" si="27"/>
        <v>0.65766956532872067</v>
      </c>
      <c r="D168" s="26" t="str">
        <f t="shared" ca="1" si="24"/>
        <v>Win</v>
      </c>
      <c r="E168" s="3">
        <f t="shared" ca="1" si="28"/>
        <v>500</v>
      </c>
      <c r="F168" s="42">
        <f t="shared" si="20"/>
        <v>1.7168465086830629E-120</v>
      </c>
      <c r="G168" s="41">
        <f>SUM(F$11:F168)</f>
        <v>2.0897191636490245E-120</v>
      </c>
      <c r="I168" s="1">
        <f t="shared" si="29"/>
        <v>158</v>
      </c>
      <c r="J168" s="3">
        <v>117000</v>
      </c>
      <c r="K168" s="3">
        <v>94500</v>
      </c>
      <c r="L168" s="3">
        <v>120500</v>
      </c>
      <c r="M168" s="30">
        <f t="shared" si="21"/>
        <v>0.16999999999999993</v>
      </c>
      <c r="N168" s="1" t="str">
        <f t="shared" si="22"/>
        <v/>
      </c>
      <c r="O168" s="1" t="str">
        <f t="shared" si="23"/>
        <v/>
      </c>
    </row>
    <row r="169" spans="1:15" x14ac:dyDescent="0.25">
      <c r="A169" s="1">
        <f t="shared" si="25"/>
        <v>158</v>
      </c>
      <c r="B169" s="3">
        <f t="shared" ca="1" si="26"/>
        <v>106000</v>
      </c>
      <c r="C169" s="26">
        <f t="shared" ca="1" si="27"/>
        <v>0.71630855478669941</v>
      </c>
      <c r="D169" s="26" t="str">
        <f t="shared" ca="1" si="24"/>
        <v>Win</v>
      </c>
      <c r="E169" s="3">
        <f t="shared" ca="1" si="28"/>
        <v>500</v>
      </c>
      <c r="F169" s="42">
        <f t="shared" si="20"/>
        <v>9.5340198847602925E-120</v>
      </c>
      <c r="G169" s="41">
        <f>SUM(F$11:F169)</f>
        <v>1.1623739048409318E-119</v>
      </c>
      <c r="I169" s="1">
        <f t="shared" si="29"/>
        <v>159</v>
      </c>
      <c r="J169" s="3">
        <v>126000</v>
      </c>
      <c r="K169" s="3">
        <v>94500</v>
      </c>
      <c r="L169" s="3">
        <v>135500</v>
      </c>
      <c r="M169" s="30">
        <f t="shared" si="21"/>
        <v>0.26</v>
      </c>
      <c r="N169" s="1" t="str">
        <f t="shared" si="22"/>
        <v/>
      </c>
      <c r="O169" s="1" t="str">
        <f t="shared" si="23"/>
        <v/>
      </c>
    </row>
    <row r="170" spans="1:15" x14ac:dyDescent="0.25">
      <c r="A170" s="1">
        <f t="shared" si="25"/>
        <v>159</v>
      </c>
      <c r="B170" s="3">
        <f t="shared" ca="1" si="26"/>
        <v>106500</v>
      </c>
      <c r="C170" s="26">
        <f t="shared" ca="1" si="27"/>
        <v>0.90239089083600832</v>
      </c>
      <c r="D170" s="26" t="str">
        <f t="shared" ca="1" si="24"/>
        <v>Win</v>
      </c>
      <c r="E170" s="3">
        <f t="shared" ca="1" si="28"/>
        <v>500</v>
      </c>
      <c r="F170" s="42">
        <f t="shared" si="20"/>
        <v>5.2549079950118863E-119</v>
      </c>
      <c r="G170" s="41">
        <f>SUM(F$11:F170)</f>
        <v>6.4172818998528175E-119</v>
      </c>
      <c r="I170" s="1">
        <f t="shared" si="29"/>
        <v>160</v>
      </c>
      <c r="J170" s="3">
        <v>136000</v>
      </c>
      <c r="K170" s="3">
        <v>99000</v>
      </c>
      <c r="L170" s="3">
        <v>138000</v>
      </c>
      <c r="M170" s="30">
        <f t="shared" si="21"/>
        <v>0.3600000000000001</v>
      </c>
      <c r="N170" s="1" t="str">
        <f t="shared" si="22"/>
        <v/>
      </c>
      <c r="O170" s="1" t="str">
        <f t="shared" si="23"/>
        <v/>
      </c>
    </row>
    <row r="171" spans="1:15" x14ac:dyDescent="0.25">
      <c r="A171" s="1">
        <f t="shared" si="25"/>
        <v>160</v>
      </c>
      <c r="B171" s="3">
        <f t="shared" ca="1" si="26"/>
        <v>107000</v>
      </c>
      <c r="C171" s="26">
        <f t="shared" ca="1" si="27"/>
        <v>0.49914445747123559</v>
      </c>
      <c r="D171" s="26" t="str">
        <f t="shared" ca="1" si="24"/>
        <v>Win</v>
      </c>
      <c r="E171" s="3">
        <f t="shared" ca="1" si="28"/>
        <v>500</v>
      </c>
      <c r="F171" s="42">
        <f t="shared" si="20"/>
        <v>2.8748502399753392E-118</v>
      </c>
      <c r="G171" s="41">
        <f>SUM(F$11:F171)</f>
        <v>3.516578429960621E-118</v>
      </c>
      <c r="I171" s="1">
        <f t="shared" si="29"/>
        <v>161</v>
      </c>
      <c r="J171" s="3">
        <v>77000</v>
      </c>
      <c r="K171" s="3">
        <v>76500</v>
      </c>
      <c r="L171" s="3">
        <v>112000</v>
      </c>
      <c r="M171" s="30">
        <f t="shared" si="21"/>
        <v>-0.22999999999999998</v>
      </c>
      <c r="N171" s="1" t="str">
        <f t="shared" si="22"/>
        <v/>
      </c>
      <c r="O171" s="1" t="str">
        <f t="shared" si="23"/>
        <v/>
      </c>
    </row>
    <row r="172" spans="1:15" x14ac:dyDescent="0.25">
      <c r="A172" s="1">
        <f t="shared" si="25"/>
        <v>161</v>
      </c>
      <c r="B172" s="3">
        <f t="shared" ca="1" si="26"/>
        <v>107500</v>
      </c>
      <c r="C172" s="26">
        <f t="shared" ca="1" si="27"/>
        <v>0.5208228525048193</v>
      </c>
      <c r="D172" s="26" t="str">
        <f t="shared" ca="1" si="24"/>
        <v>Win</v>
      </c>
      <c r="E172" s="3">
        <f t="shared" ca="1" si="28"/>
        <v>500</v>
      </c>
      <c r="F172" s="42">
        <f t="shared" si="20"/>
        <v>1.5611431649197839E-117</v>
      </c>
      <c r="G172" s="41">
        <f>SUM(F$11:F172)</f>
        <v>1.9128010079158458E-117</v>
      </c>
      <c r="I172" s="1">
        <f t="shared" si="29"/>
        <v>162</v>
      </c>
      <c r="J172" s="3">
        <v>115000</v>
      </c>
      <c r="K172" s="3">
        <v>94500</v>
      </c>
      <c r="L172" s="3">
        <v>121500</v>
      </c>
      <c r="M172" s="30">
        <f t="shared" si="21"/>
        <v>0.14999999999999991</v>
      </c>
      <c r="N172" s="1" t="str">
        <f t="shared" si="22"/>
        <v/>
      </c>
      <c r="O172" s="1" t="str">
        <f t="shared" si="23"/>
        <v/>
      </c>
    </row>
    <row r="173" spans="1:15" x14ac:dyDescent="0.25">
      <c r="A173" s="1">
        <f t="shared" si="25"/>
        <v>162</v>
      </c>
      <c r="B173" s="3">
        <f t="shared" ca="1" si="26"/>
        <v>108000</v>
      </c>
      <c r="C173" s="26">
        <f t="shared" ca="1" si="27"/>
        <v>0.97756289883489</v>
      </c>
      <c r="D173" s="26" t="str">
        <f t="shared" ca="1" si="24"/>
        <v>Win</v>
      </c>
      <c r="E173" s="3">
        <f t="shared" ca="1" si="28"/>
        <v>500</v>
      </c>
      <c r="F173" s="42">
        <f t="shared" si="20"/>
        <v>8.4151870601859914E-117</v>
      </c>
      <c r="G173" s="41">
        <f>SUM(F$11:F173)</f>
        <v>1.0327988068101838E-116</v>
      </c>
      <c r="I173" s="1">
        <f t="shared" si="29"/>
        <v>163</v>
      </c>
      <c r="J173" s="3">
        <v>129000</v>
      </c>
      <c r="K173" s="3">
        <v>99000</v>
      </c>
      <c r="L173" s="3">
        <v>134000</v>
      </c>
      <c r="M173" s="30">
        <f t="shared" si="21"/>
        <v>0.29000000000000004</v>
      </c>
      <c r="N173" s="1" t="str">
        <f t="shared" si="22"/>
        <v/>
      </c>
      <c r="O173" s="1" t="str">
        <f t="shared" si="23"/>
        <v/>
      </c>
    </row>
    <row r="174" spans="1:15" x14ac:dyDescent="0.25">
      <c r="A174" s="1">
        <f t="shared" si="25"/>
        <v>163</v>
      </c>
      <c r="B174" s="3">
        <f t="shared" ca="1" si="26"/>
        <v>108500</v>
      </c>
      <c r="C174" s="26">
        <f t="shared" ca="1" si="27"/>
        <v>0.64295157030242622</v>
      </c>
      <c r="D174" s="26" t="str">
        <f t="shared" ca="1" si="24"/>
        <v>Win</v>
      </c>
      <c r="E174" s="3">
        <f t="shared" ca="1" si="28"/>
        <v>500</v>
      </c>
      <c r="F174" s="42">
        <f t="shared" si="20"/>
        <v>4.5029205531269732E-116</v>
      </c>
      <c r="G174" s="41">
        <f>SUM(F$11:F174)</f>
        <v>5.5357193599371574E-116</v>
      </c>
      <c r="I174" s="1">
        <f t="shared" si="29"/>
        <v>164</v>
      </c>
      <c r="J174" s="3">
        <v>84000</v>
      </c>
      <c r="K174" s="3">
        <v>83000</v>
      </c>
      <c r="L174" s="3">
        <v>111500</v>
      </c>
      <c r="M174" s="30">
        <f t="shared" si="21"/>
        <v>-0.16000000000000003</v>
      </c>
      <c r="N174" s="1" t="str">
        <f t="shared" si="22"/>
        <v/>
      </c>
      <c r="O174" s="1" t="str">
        <f t="shared" si="23"/>
        <v/>
      </c>
    </row>
    <row r="175" spans="1:15" x14ac:dyDescent="0.25">
      <c r="A175" s="1">
        <f t="shared" si="25"/>
        <v>164</v>
      </c>
      <c r="B175" s="3">
        <f t="shared" ca="1" si="26"/>
        <v>109000</v>
      </c>
      <c r="C175" s="26">
        <f t="shared" ca="1" si="27"/>
        <v>0.61738859918928213</v>
      </c>
      <c r="D175" s="26" t="str">
        <f t="shared" ca="1" si="24"/>
        <v>Win</v>
      </c>
      <c r="E175" s="3">
        <f t="shared" ca="1" si="28"/>
        <v>500</v>
      </c>
      <c r="F175" s="42">
        <f t="shared" si="20"/>
        <v>2.3919383978511126E-115</v>
      </c>
      <c r="G175" s="41">
        <f>SUM(F$11:F175)</f>
        <v>2.9455103338448285E-115</v>
      </c>
      <c r="I175" s="1">
        <f t="shared" si="29"/>
        <v>165</v>
      </c>
      <c r="J175" s="3">
        <v>95000</v>
      </c>
      <c r="K175" s="3">
        <v>94500</v>
      </c>
      <c r="L175" s="3">
        <v>116000</v>
      </c>
      <c r="M175" s="30">
        <f t="shared" si="21"/>
        <v>-5.0000000000000044E-2</v>
      </c>
      <c r="N175" s="1" t="str">
        <f t="shared" si="22"/>
        <v/>
      </c>
      <c r="O175" s="1" t="str">
        <f t="shared" si="23"/>
        <v/>
      </c>
    </row>
    <row r="176" spans="1:15" x14ac:dyDescent="0.25">
      <c r="A176" s="1">
        <f t="shared" si="25"/>
        <v>165</v>
      </c>
      <c r="B176" s="3">
        <f t="shared" ca="1" si="26"/>
        <v>108500</v>
      </c>
      <c r="C176" s="26">
        <f t="shared" ca="1" si="27"/>
        <v>0.27484600582428897</v>
      </c>
      <c r="D176" s="26" t="str">
        <f t="shared" ca="1" si="24"/>
        <v>Lose</v>
      </c>
      <c r="E176" s="3">
        <f t="shared" ca="1" si="28"/>
        <v>-500</v>
      </c>
      <c r="F176" s="42">
        <f t="shared" si="20"/>
        <v>1.2613813918464267E-114</v>
      </c>
      <c r="G176" s="41">
        <f>SUM(F$11:F176)</f>
        <v>1.5559324252309095E-114</v>
      </c>
      <c r="I176" s="1">
        <f t="shared" si="29"/>
        <v>166</v>
      </c>
      <c r="J176" s="3">
        <v>119000</v>
      </c>
      <c r="K176" s="3">
        <v>94500</v>
      </c>
      <c r="L176" s="3">
        <v>121000</v>
      </c>
      <c r="M176" s="30">
        <f t="shared" si="21"/>
        <v>0.18999999999999995</v>
      </c>
      <c r="N176" s="1" t="str">
        <f t="shared" si="22"/>
        <v/>
      </c>
      <c r="O176" s="1" t="str">
        <f t="shared" si="23"/>
        <v/>
      </c>
    </row>
    <row r="177" spans="1:15" x14ac:dyDescent="0.25">
      <c r="A177" s="1">
        <f t="shared" si="25"/>
        <v>166</v>
      </c>
      <c r="B177" s="3">
        <f t="shared" ca="1" si="26"/>
        <v>109000</v>
      </c>
      <c r="C177" s="26">
        <f t="shared" ca="1" si="27"/>
        <v>0.8776007468374849</v>
      </c>
      <c r="D177" s="26" t="str">
        <f t="shared" ca="1" si="24"/>
        <v>Win</v>
      </c>
      <c r="E177" s="3">
        <f t="shared" ca="1" si="28"/>
        <v>500</v>
      </c>
      <c r="F177" s="42">
        <f t="shared" si="20"/>
        <v>6.6038759001451176E-114</v>
      </c>
      <c r="G177" s="41">
        <f>SUM(F$11:F177)</f>
        <v>8.1598083253760272E-114</v>
      </c>
      <c r="I177" s="1">
        <f t="shared" si="29"/>
        <v>167</v>
      </c>
      <c r="J177" s="3">
        <v>117000</v>
      </c>
      <c r="K177" s="3">
        <v>96000</v>
      </c>
      <c r="L177" s="3">
        <v>119500</v>
      </c>
      <c r="M177" s="30">
        <f t="shared" si="21"/>
        <v>0.16999999999999993</v>
      </c>
      <c r="N177" s="1" t="str">
        <f t="shared" si="22"/>
        <v/>
      </c>
      <c r="O177" s="1" t="str">
        <f t="shared" si="23"/>
        <v/>
      </c>
    </row>
    <row r="178" spans="1:15" x14ac:dyDescent="0.25">
      <c r="A178" s="1">
        <f t="shared" si="25"/>
        <v>167</v>
      </c>
      <c r="B178" s="3">
        <f t="shared" ca="1" si="26"/>
        <v>109500</v>
      </c>
      <c r="C178" s="26">
        <f t="shared" ca="1" si="27"/>
        <v>0.72743596750091943</v>
      </c>
      <c r="D178" s="26" t="str">
        <f t="shared" ca="1" si="24"/>
        <v>Win</v>
      </c>
      <c r="E178" s="3">
        <f t="shared" ca="1" si="28"/>
        <v>500</v>
      </c>
      <c r="F178" s="42">
        <f t="shared" si="20"/>
        <v>3.4325951061564198E-113</v>
      </c>
      <c r="G178" s="41">
        <f>SUM(F$11:F178)</f>
        <v>4.2485759386940226E-113</v>
      </c>
      <c r="I178" s="1">
        <f t="shared" si="29"/>
        <v>168</v>
      </c>
      <c r="J178" s="3">
        <v>110000</v>
      </c>
      <c r="K178" s="3">
        <v>99000</v>
      </c>
      <c r="L178" s="3">
        <v>115500</v>
      </c>
      <c r="M178" s="30">
        <f t="shared" si="21"/>
        <v>0.10000000000000009</v>
      </c>
      <c r="N178" s="1" t="str">
        <f t="shared" si="22"/>
        <v/>
      </c>
      <c r="O178" s="1" t="str">
        <f t="shared" si="23"/>
        <v/>
      </c>
    </row>
    <row r="179" spans="1:15" x14ac:dyDescent="0.25">
      <c r="A179" s="1">
        <f t="shared" si="25"/>
        <v>168</v>
      </c>
      <c r="B179" s="3">
        <f t="shared" ca="1" si="26"/>
        <v>109000</v>
      </c>
      <c r="C179" s="26">
        <f t="shared" ca="1" si="27"/>
        <v>0.1962281171520559</v>
      </c>
      <c r="D179" s="26" t="str">
        <f t="shared" ca="1" si="24"/>
        <v>Lose</v>
      </c>
      <c r="E179" s="3">
        <f t="shared" ca="1" si="28"/>
        <v>-500</v>
      </c>
      <c r="F179" s="42">
        <f t="shared" si="20"/>
        <v>1.7714642601413414E-112</v>
      </c>
      <c r="G179" s="41">
        <f>SUM(F$11:F179)</f>
        <v>2.1963218540107438E-112</v>
      </c>
      <c r="I179" s="1">
        <f t="shared" si="29"/>
        <v>169</v>
      </c>
      <c r="J179" s="3">
        <v>100000</v>
      </c>
      <c r="K179" s="3">
        <v>92500</v>
      </c>
      <c r="L179" s="3">
        <v>106500</v>
      </c>
      <c r="M179" s="30">
        <f t="shared" si="21"/>
        <v>0</v>
      </c>
      <c r="N179" s="1" t="str">
        <f t="shared" si="22"/>
        <v/>
      </c>
      <c r="O179" s="1" t="str">
        <f t="shared" si="23"/>
        <v/>
      </c>
    </row>
    <row r="180" spans="1:15" x14ac:dyDescent="0.25">
      <c r="A180" s="1">
        <f t="shared" si="25"/>
        <v>169</v>
      </c>
      <c r="B180" s="3">
        <f t="shared" ca="1" si="26"/>
        <v>109500</v>
      </c>
      <c r="C180" s="26">
        <f t="shared" ca="1" si="27"/>
        <v>0.83500612920400041</v>
      </c>
      <c r="D180" s="26" t="str">
        <f t="shared" ca="1" si="24"/>
        <v>Win</v>
      </c>
      <c r="E180" s="3">
        <f t="shared" ca="1" si="28"/>
        <v>500</v>
      </c>
      <c r="F180" s="42">
        <f t="shared" si="20"/>
        <v>9.0770162403480561E-112</v>
      </c>
      <c r="G180" s="41">
        <f>SUM(F$11:F180)</f>
        <v>1.1273338094358801E-111</v>
      </c>
      <c r="I180" s="1">
        <f t="shared" si="29"/>
        <v>170</v>
      </c>
      <c r="J180" s="3">
        <v>86000</v>
      </c>
      <c r="K180" s="3">
        <v>82000</v>
      </c>
      <c r="L180" s="3">
        <v>109000</v>
      </c>
      <c r="M180" s="30">
        <f t="shared" si="21"/>
        <v>-0.14000000000000001</v>
      </c>
      <c r="N180" s="1" t="str">
        <f t="shared" si="22"/>
        <v/>
      </c>
      <c r="O180" s="1" t="str">
        <f t="shared" si="23"/>
        <v/>
      </c>
    </row>
    <row r="181" spans="1:15" x14ac:dyDescent="0.25">
      <c r="A181" s="1">
        <f t="shared" si="25"/>
        <v>170</v>
      </c>
      <c r="B181" s="3">
        <f t="shared" ca="1" si="26"/>
        <v>109000</v>
      </c>
      <c r="C181" s="26">
        <f t="shared" ca="1" si="27"/>
        <v>0.22640325269566663</v>
      </c>
      <c r="D181" s="26" t="str">
        <f t="shared" ca="1" si="24"/>
        <v>Lose</v>
      </c>
      <c r="E181" s="3">
        <f t="shared" ca="1" si="28"/>
        <v>-500</v>
      </c>
      <c r="F181" s="42">
        <f t="shared" si="20"/>
        <v>4.618163568813603E-111</v>
      </c>
      <c r="G181" s="41">
        <f>SUM(F$11:F181)</f>
        <v>5.745497378249483E-111</v>
      </c>
      <c r="I181" s="1">
        <f t="shared" si="29"/>
        <v>171</v>
      </c>
      <c r="J181" s="3">
        <v>101000</v>
      </c>
      <c r="K181" s="3">
        <v>96500</v>
      </c>
      <c r="L181" s="3">
        <v>118000</v>
      </c>
      <c r="M181" s="30">
        <f t="shared" si="21"/>
        <v>1.0000000000000009E-2</v>
      </c>
      <c r="N181" s="1" t="str">
        <f t="shared" si="22"/>
        <v/>
      </c>
      <c r="O181" s="1" t="str">
        <f t="shared" si="23"/>
        <v/>
      </c>
    </row>
    <row r="182" spans="1:15" x14ac:dyDescent="0.25">
      <c r="A182" s="1">
        <f t="shared" si="25"/>
        <v>171</v>
      </c>
      <c r="B182" s="3">
        <f t="shared" ca="1" si="26"/>
        <v>108500</v>
      </c>
      <c r="C182" s="26">
        <f t="shared" ca="1" si="27"/>
        <v>0.16482482301747081</v>
      </c>
      <c r="D182" s="26" t="str">
        <f t="shared" ca="1" si="24"/>
        <v>Lose</v>
      </c>
      <c r="E182" s="3">
        <f t="shared" ca="1" si="28"/>
        <v>-500</v>
      </c>
      <c r="F182" s="42">
        <f t="shared" si="20"/>
        <v>2.3330572128877636E-110</v>
      </c>
      <c r="G182" s="41">
        <f>SUM(F$11:F182)</f>
        <v>2.9076069507127119E-110</v>
      </c>
      <c r="I182" s="1">
        <f t="shared" si="29"/>
        <v>172</v>
      </c>
      <c r="J182" s="3">
        <v>121000</v>
      </c>
      <c r="K182" s="3">
        <v>92500</v>
      </c>
      <c r="L182" s="3">
        <v>129000</v>
      </c>
      <c r="M182" s="30">
        <f t="shared" si="21"/>
        <v>0.20999999999999996</v>
      </c>
      <c r="N182" s="1" t="str">
        <f t="shared" si="22"/>
        <v/>
      </c>
      <c r="O182" s="1" t="str">
        <f t="shared" si="23"/>
        <v/>
      </c>
    </row>
    <row r="183" spans="1:15" x14ac:dyDescent="0.25">
      <c r="A183" s="1">
        <f t="shared" si="25"/>
        <v>172</v>
      </c>
      <c r="B183" s="3">
        <f t="shared" ca="1" si="26"/>
        <v>109000</v>
      </c>
      <c r="C183" s="26">
        <f t="shared" ca="1" si="27"/>
        <v>0.8567338671129402</v>
      </c>
      <c r="D183" s="26" t="str">
        <f t="shared" ca="1" si="24"/>
        <v>Win</v>
      </c>
      <c r="E183" s="3">
        <f t="shared" ca="1" si="28"/>
        <v>500</v>
      </c>
      <c r="F183" s="42">
        <f t="shared" si="20"/>
        <v>1.1703764345477434E-109</v>
      </c>
      <c r="G183" s="41">
        <f>SUM(F$11:F183)</f>
        <v>1.4611371296190144E-109</v>
      </c>
      <c r="I183" s="1">
        <f t="shared" si="29"/>
        <v>173</v>
      </c>
      <c r="J183" s="3">
        <v>94000</v>
      </c>
      <c r="K183" s="3">
        <v>83500</v>
      </c>
      <c r="L183" s="3">
        <v>106500</v>
      </c>
      <c r="M183" s="30">
        <f t="shared" si="21"/>
        <v>-6.0000000000000053E-2</v>
      </c>
      <c r="N183" s="1" t="str">
        <f t="shared" si="22"/>
        <v/>
      </c>
      <c r="O183" s="1" t="str">
        <f t="shared" si="23"/>
        <v/>
      </c>
    </row>
    <row r="184" spans="1:15" x14ac:dyDescent="0.25">
      <c r="A184" s="1">
        <f t="shared" si="25"/>
        <v>173</v>
      </c>
      <c r="B184" s="3">
        <f t="shared" ca="1" si="26"/>
        <v>109500</v>
      </c>
      <c r="C184" s="26">
        <f t="shared" ca="1" si="27"/>
        <v>0.93945288086929823</v>
      </c>
      <c r="D184" s="26" t="str">
        <f t="shared" ca="1" si="24"/>
        <v>Win</v>
      </c>
      <c r="E184" s="3">
        <f t="shared" ca="1" si="28"/>
        <v>500</v>
      </c>
      <c r="F184" s="42">
        <f t="shared" si="20"/>
        <v>5.8302059783041563E-109</v>
      </c>
      <c r="G184" s="41">
        <f>SUM(F$11:F184)</f>
        <v>7.2913431079231707E-109</v>
      </c>
      <c r="I184" s="1">
        <f t="shared" si="29"/>
        <v>174</v>
      </c>
      <c r="J184" s="3">
        <v>104000</v>
      </c>
      <c r="K184" s="3">
        <v>90000</v>
      </c>
      <c r="L184" s="3">
        <v>110000</v>
      </c>
      <c r="M184" s="30">
        <f t="shared" si="21"/>
        <v>4.0000000000000036E-2</v>
      </c>
      <c r="N184" s="1" t="str">
        <f t="shared" si="22"/>
        <v/>
      </c>
      <c r="O184" s="1" t="str">
        <f t="shared" si="23"/>
        <v/>
      </c>
    </row>
    <row r="185" spans="1:15" x14ac:dyDescent="0.25">
      <c r="A185" s="1">
        <f t="shared" si="25"/>
        <v>174</v>
      </c>
      <c r="B185" s="3">
        <f t="shared" ca="1" si="26"/>
        <v>110000</v>
      </c>
      <c r="C185" s="26">
        <f t="shared" ca="1" si="27"/>
        <v>0.72727575629372043</v>
      </c>
      <c r="D185" s="26" t="str">
        <f t="shared" ca="1" si="24"/>
        <v>Win</v>
      </c>
      <c r="E185" s="3">
        <f t="shared" ca="1" si="28"/>
        <v>500</v>
      </c>
      <c r="F185" s="42">
        <f t="shared" si="20"/>
        <v>2.884126173433471E-108</v>
      </c>
      <c r="G185" s="41">
        <f>SUM(F$11:F185)</f>
        <v>3.6132604842257879E-108</v>
      </c>
      <c r="I185" s="1">
        <f t="shared" si="29"/>
        <v>175</v>
      </c>
      <c r="J185" s="3">
        <v>110000</v>
      </c>
      <c r="K185" s="3">
        <v>93500</v>
      </c>
      <c r="L185" s="3">
        <v>121500</v>
      </c>
      <c r="M185" s="30">
        <f t="shared" si="21"/>
        <v>0.10000000000000009</v>
      </c>
      <c r="N185" s="1" t="str">
        <f t="shared" si="22"/>
        <v/>
      </c>
      <c r="O185" s="1" t="str">
        <f t="shared" si="23"/>
        <v/>
      </c>
    </row>
    <row r="186" spans="1:15" x14ac:dyDescent="0.25">
      <c r="A186" s="1">
        <f t="shared" si="25"/>
        <v>175</v>
      </c>
      <c r="B186" s="3">
        <f t="shared" ca="1" si="26"/>
        <v>110500</v>
      </c>
      <c r="C186" s="26">
        <f t="shared" ca="1" si="27"/>
        <v>0.72322503161011231</v>
      </c>
      <c r="D186" s="26" t="str">
        <f t="shared" ca="1" si="24"/>
        <v>Win</v>
      </c>
      <c r="E186" s="3">
        <f t="shared" ca="1" si="28"/>
        <v>500</v>
      </c>
      <c r="F186" s="42">
        <f t="shared" si="20"/>
        <v>1.4168711274876072E-107</v>
      </c>
      <c r="G186" s="41">
        <f>SUM(F$11:F186)</f>
        <v>1.7781971759101858E-107</v>
      </c>
      <c r="I186" s="1">
        <f t="shared" si="29"/>
        <v>176</v>
      </c>
      <c r="J186" s="3">
        <v>84000</v>
      </c>
      <c r="K186" s="3">
        <v>82500</v>
      </c>
      <c r="L186" s="3">
        <v>117500</v>
      </c>
      <c r="M186" s="30">
        <f t="shared" si="21"/>
        <v>-0.16000000000000003</v>
      </c>
      <c r="N186" s="1" t="str">
        <f t="shared" si="22"/>
        <v/>
      </c>
      <c r="O186" s="1" t="str">
        <f t="shared" si="23"/>
        <v/>
      </c>
    </row>
    <row r="187" spans="1:15" x14ac:dyDescent="0.25">
      <c r="A187" s="1">
        <f t="shared" si="25"/>
        <v>176</v>
      </c>
      <c r="B187" s="3">
        <f t="shared" ca="1" si="26"/>
        <v>111000</v>
      </c>
      <c r="C187" s="26">
        <f t="shared" ca="1" si="27"/>
        <v>0.63076745023178171</v>
      </c>
      <c r="D187" s="26" t="str">
        <f t="shared" ca="1" si="24"/>
        <v>Win</v>
      </c>
      <c r="E187" s="3">
        <f t="shared" ca="1" si="28"/>
        <v>500</v>
      </c>
      <c r="F187" s="42">
        <f t="shared" si="20"/>
        <v>6.91266844724482E-107</v>
      </c>
      <c r="G187" s="41">
        <f>SUM(F$11:F187)</f>
        <v>8.6908656231550059E-107</v>
      </c>
      <c r="I187" s="1">
        <f t="shared" si="29"/>
        <v>177</v>
      </c>
      <c r="J187" s="3">
        <v>82000</v>
      </c>
      <c r="K187" s="3">
        <v>81000</v>
      </c>
      <c r="L187" s="3">
        <v>100000</v>
      </c>
      <c r="M187" s="30">
        <f t="shared" si="21"/>
        <v>-0.18000000000000005</v>
      </c>
      <c r="N187" s="1" t="str">
        <f t="shared" si="22"/>
        <v/>
      </c>
      <c r="O187" s="1" t="str">
        <f t="shared" si="23"/>
        <v/>
      </c>
    </row>
    <row r="188" spans="1:15" x14ac:dyDescent="0.25">
      <c r="A188" s="1">
        <f t="shared" si="25"/>
        <v>177</v>
      </c>
      <c r="B188" s="3">
        <f t="shared" ca="1" si="26"/>
        <v>110500</v>
      </c>
      <c r="C188" s="26">
        <f t="shared" ca="1" si="27"/>
        <v>0.3566450146329877</v>
      </c>
      <c r="D188" s="26" t="str">
        <f t="shared" ca="1" si="24"/>
        <v>Lose</v>
      </c>
      <c r="E188" s="3">
        <f t="shared" ca="1" si="28"/>
        <v>-500</v>
      </c>
      <c r="F188" s="42">
        <f t="shared" si="20"/>
        <v>3.3494520791769605E-106</v>
      </c>
      <c r="G188" s="41">
        <f>SUM(F$11:F188)</f>
        <v>4.2185386414924608E-106</v>
      </c>
      <c r="I188" s="1">
        <f t="shared" si="29"/>
        <v>178</v>
      </c>
      <c r="J188" s="3">
        <v>83000</v>
      </c>
      <c r="K188" s="3">
        <v>80500</v>
      </c>
      <c r="L188" s="3">
        <v>101500</v>
      </c>
      <c r="M188" s="30">
        <f t="shared" si="21"/>
        <v>-0.17000000000000004</v>
      </c>
      <c r="N188" s="1" t="str">
        <f t="shared" si="22"/>
        <v/>
      </c>
      <c r="O188" s="1" t="str">
        <f t="shared" si="23"/>
        <v/>
      </c>
    </row>
    <row r="189" spans="1:15" x14ac:dyDescent="0.25">
      <c r="A189" s="1">
        <f t="shared" si="25"/>
        <v>178</v>
      </c>
      <c r="B189" s="3">
        <f t="shared" ca="1" si="26"/>
        <v>111000</v>
      </c>
      <c r="C189" s="26">
        <f t="shared" ca="1" si="27"/>
        <v>0.59637110654523073</v>
      </c>
      <c r="D189" s="26" t="str">
        <f t="shared" ca="1" si="24"/>
        <v>Win</v>
      </c>
      <c r="E189" s="3">
        <f t="shared" ca="1" si="28"/>
        <v>500</v>
      </c>
      <c r="F189" s="42">
        <f t="shared" si="20"/>
        <v>1.6118614093018255E-105</v>
      </c>
      <c r="G189" s="41">
        <f>SUM(F$11:F189)</f>
        <v>2.0337152734510718E-105</v>
      </c>
      <c r="I189" s="1">
        <f t="shared" si="29"/>
        <v>179</v>
      </c>
      <c r="J189" s="3">
        <v>107000</v>
      </c>
      <c r="K189" s="3">
        <v>89500</v>
      </c>
      <c r="L189" s="3">
        <v>108500</v>
      </c>
      <c r="M189" s="30">
        <f t="shared" si="21"/>
        <v>7.0000000000000062E-2</v>
      </c>
      <c r="N189" s="1" t="str">
        <f t="shared" si="22"/>
        <v/>
      </c>
      <c r="O189" s="1" t="str">
        <f t="shared" si="23"/>
        <v/>
      </c>
    </row>
    <row r="190" spans="1:15" x14ac:dyDescent="0.25">
      <c r="A190" s="1">
        <f t="shared" si="25"/>
        <v>179</v>
      </c>
      <c r="B190" s="3">
        <f t="shared" ca="1" si="26"/>
        <v>111500</v>
      </c>
      <c r="C190" s="26">
        <f t="shared" ca="1" si="27"/>
        <v>0.94337029621681268</v>
      </c>
      <c r="D190" s="26" t="str">
        <f t="shared" ca="1" si="24"/>
        <v>Win</v>
      </c>
      <c r="E190" s="3">
        <f t="shared" ca="1" si="28"/>
        <v>500</v>
      </c>
      <c r="F190" s="42">
        <f t="shared" si="20"/>
        <v>7.70407638818169E-105</v>
      </c>
      <c r="G190" s="41">
        <f>SUM(F$11:F190)</f>
        <v>9.737791661632761E-105</v>
      </c>
      <c r="I190" s="1">
        <f t="shared" si="29"/>
        <v>180</v>
      </c>
      <c r="J190" s="3">
        <v>94000</v>
      </c>
      <c r="K190" s="3">
        <v>90500</v>
      </c>
      <c r="L190" s="3">
        <v>103000</v>
      </c>
      <c r="M190" s="30">
        <f t="shared" si="21"/>
        <v>-6.0000000000000053E-2</v>
      </c>
      <c r="N190" s="1" t="str">
        <f t="shared" si="22"/>
        <v/>
      </c>
      <c r="O190" s="1" t="str">
        <f t="shared" si="23"/>
        <v/>
      </c>
    </row>
    <row r="191" spans="1:15" x14ac:dyDescent="0.25">
      <c r="A191" s="1">
        <f t="shared" si="25"/>
        <v>180</v>
      </c>
      <c r="B191" s="3">
        <f t="shared" ca="1" si="26"/>
        <v>111000</v>
      </c>
      <c r="C191" s="26">
        <f t="shared" ca="1" si="27"/>
        <v>0.22681111454340552</v>
      </c>
      <c r="D191" s="26" t="str">
        <f t="shared" ca="1" si="24"/>
        <v>Lose</v>
      </c>
      <c r="E191" s="3">
        <f t="shared" ca="1" si="28"/>
        <v>-500</v>
      </c>
      <c r="F191" s="42">
        <f t="shared" si="20"/>
        <v>3.6573399370698077E-104</v>
      </c>
      <c r="G191" s="41">
        <f>SUM(F$11:F191)</f>
        <v>4.6311191032330838E-104</v>
      </c>
      <c r="I191" s="1">
        <f t="shared" si="29"/>
        <v>181</v>
      </c>
      <c r="J191" s="3">
        <v>115000</v>
      </c>
      <c r="K191" s="3">
        <v>88500</v>
      </c>
      <c r="L191" s="3">
        <v>118500</v>
      </c>
      <c r="M191" s="30">
        <f t="shared" si="21"/>
        <v>0.14999999999999991</v>
      </c>
      <c r="N191" s="1" t="str">
        <f t="shared" si="22"/>
        <v/>
      </c>
      <c r="O191" s="1" t="str">
        <f t="shared" si="23"/>
        <v/>
      </c>
    </row>
    <row r="192" spans="1:15" x14ac:dyDescent="0.25">
      <c r="A192" s="1">
        <f t="shared" si="25"/>
        <v>181</v>
      </c>
      <c r="B192" s="3">
        <f t="shared" ca="1" si="26"/>
        <v>111500</v>
      </c>
      <c r="C192" s="26">
        <f t="shared" ca="1" si="27"/>
        <v>0.56186178153575872</v>
      </c>
      <c r="D192" s="26" t="str">
        <f t="shared" ca="1" si="24"/>
        <v>Win</v>
      </c>
      <c r="E192" s="3">
        <f t="shared" ca="1" si="28"/>
        <v>500</v>
      </c>
      <c r="F192" s="42">
        <f t="shared" si="20"/>
        <v>1.7245456778471222E-103</v>
      </c>
      <c r="G192" s="41">
        <f>SUM(F$11:F192)</f>
        <v>2.1876575881704305E-103</v>
      </c>
      <c r="I192" s="1">
        <f t="shared" si="29"/>
        <v>182</v>
      </c>
      <c r="J192" s="3">
        <v>92000</v>
      </c>
      <c r="K192" s="3">
        <v>85500</v>
      </c>
      <c r="L192" s="3">
        <v>104500</v>
      </c>
      <c r="M192" s="30">
        <f t="shared" si="21"/>
        <v>-7.999999999999996E-2</v>
      </c>
      <c r="N192" s="1" t="str">
        <f t="shared" si="22"/>
        <v/>
      </c>
      <c r="O192" s="1" t="str">
        <f t="shared" si="23"/>
        <v/>
      </c>
    </row>
    <row r="193" spans="1:15" x14ac:dyDescent="0.25">
      <c r="A193" s="1">
        <f t="shared" si="25"/>
        <v>182</v>
      </c>
      <c r="B193" s="3">
        <f t="shared" ca="1" si="26"/>
        <v>111000</v>
      </c>
      <c r="C193" s="26">
        <f t="shared" ca="1" si="27"/>
        <v>0.42446274436772624</v>
      </c>
      <c r="D193" s="26" t="str">
        <f t="shared" ca="1" si="24"/>
        <v>Lose</v>
      </c>
      <c r="E193" s="3">
        <f t="shared" ca="1" si="28"/>
        <v>-500</v>
      </c>
      <c r="F193" s="42">
        <f t="shared" si="20"/>
        <v>8.0772088380803058E-103</v>
      </c>
      <c r="G193" s="41">
        <f>SUM(F$11:F193)</f>
        <v>1.0264866426250735E-102</v>
      </c>
      <c r="I193" s="1">
        <f t="shared" si="29"/>
        <v>183</v>
      </c>
      <c r="J193" s="3">
        <v>86000</v>
      </c>
      <c r="K193" s="3">
        <v>82500</v>
      </c>
      <c r="L193" s="3">
        <v>106000</v>
      </c>
      <c r="M193" s="30">
        <f t="shared" si="21"/>
        <v>-0.14000000000000001</v>
      </c>
      <c r="N193" s="1" t="str">
        <f t="shared" si="22"/>
        <v/>
      </c>
      <c r="O193" s="1" t="str">
        <f t="shared" si="23"/>
        <v/>
      </c>
    </row>
    <row r="194" spans="1:15" x14ac:dyDescent="0.25">
      <c r="A194" s="1">
        <f t="shared" si="25"/>
        <v>183</v>
      </c>
      <c r="B194" s="3">
        <f t="shared" ca="1" si="26"/>
        <v>110500</v>
      </c>
      <c r="C194" s="26">
        <f t="shared" ca="1" si="27"/>
        <v>0.13380024967301518</v>
      </c>
      <c r="D194" s="26" t="str">
        <f t="shared" ca="1" si="24"/>
        <v>Lose</v>
      </c>
      <c r="E194" s="3">
        <f t="shared" ca="1" si="28"/>
        <v>-500</v>
      </c>
      <c r="F194" s="42">
        <f t="shared" si="20"/>
        <v>3.7578342623734128E-102</v>
      </c>
      <c r="G194" s="41">
        <f>SUM(F$11:F194)</f>
        <v>4.7843209049984863E-102</v>
      </c>
      <c r="I194" s="1">
        <f t="shared" si="29"/>
        <v>184</v>
      </c>
      <c r="J194" s="3">
        <v>101000</v>
      </c>
      <c r="K194" s="3">
        <v>84000</v>
      </c>
      <c r="L194" s="3">
        <v>110000</v>
      </c>
      <c r="M194" s="30">
        <f t="shared" si="21"/>
        <v>1.0000000000000009E-2</v>
      </c>
      <c r="N194" s="1" t="str">
        <f t="shared" si="22"/>
        <v/>
      </c>
      <c r="O194" s="1" t="str">
        <f t="shared" si="23"/>
        <v/>
      </c>
    </row>
    <row r="195" spans="1:15" x14ac:dyDescent="0.25">
      <c r="A195" s="1">
        <f t="shared" si="25"/>
        <v>184</v>
      </c>
      <c r="B195" s="3">
        <f t="shared" ca="1" si="26"/>
        <v>111000</v>
      </c>
      <c r="C195" s="26">
        <f t="shared" ca="1" si="27"/>
        <v>0.54561393944494874</v>
      </c>
      <c r="D195" s="26" t="str">
        <f t="shared" ca="1" si="24"/>
        <v>Win</v>
      </c>
      <c r="E195" s="3">
        <f t="shared" ca="1" si="28"/>
        <v>500</v>
      </c>
      <c r="F195" s="42">
        <f t="shared" si="20"/>
        <v>1.7366645986059101E-101</v>
      </c>
      <c r="G195" s="41">
        <f>SUM(F$11:F195)</f>
        <v>2.2150966891057587E-101</v>
      </c>
      <c r="I195" s="1">
        <f t="shared" si="29"/>
        <v>185</v>
      </c>
      <c r="J195" s="3">
        <v>118000</v>
      </c>
      <c r="K195" s="3">
        <v>97000</v>
      </c>
      <c r="L195" s="3">
        <v>120500</v>
      </c>
      <c r="M195" s="30">
        <f t="shared" si="21"/>
        <v>0.17999999999999994</v>
      </c>
      <c r="N195" s="1" t="str">
        <f t="shared" si="22"/>
        <v/>
      </c>
      <c r="O195" s="1" t="str">
        <f t="shared" si="23"/>
        <v/>
      </c>
    </row>
    <row r="196" spans="1:15" x14ac:dyDescent="0.25">
      <c r="A196" s="1">
        <f t="shared" si="25"/>
        <v>185</v>
      </c>
      <c r="B196" s="3">
        <f t="shared" ca="1" si="26"/>
        <v>110500</v>
      </c>
      <c r="C196" s="26">
        <f t="shared" ca="1" si="27"/>
        <v>0.16760824117677164</v>
      </c>
      <c r="D196" s="26" t="str">
        <f t="shared" ca="1" si="24"/>
        <v>Lose</v>
      </c>
      <c r="E196" s="3">
        <f t="shared" ca="1" si="28"/>
        <v>-500</v>
      </c>
      <c r="F196" s="42">
        <f t="shared" si="20"/>
        <v>7.9727560877651932E-101</v>
      </c>
      <c r="G196" s="41">
        <f>SUM(F$11:F196)</f>
        <v>1.0187852776870952E-100</v>
      </c>
      <c r="I196" s="1">
        <f t="shared" si="29"/>
        <v>186</v>
      </c>
      <c r="J196" s="3">
        <v>110000</v>
      </c>
      <c r="K196" s="3">
        <v>100000</v>
      </c>
      <c r="L196" s="3">
        <v>118000</v>
      </c>
      <c r="M196" s="30">
        <f t="shared" si="21"/>
        <v>0.10000000000000009</v>
      </c>
      <c r="N196" s="1" t="str">
        <f t="shared" si="22"/>
        <v/>
      </c>
      <c r="O196" s="1" t="str">
        <f t="shared" si="23"/>
        <v/>
      </c>
    </row>
    <row r="197" spans="1:15" x14ac:dyDescent="0.25">
      <c r="A197" s="1">
        <f t="shared" si="25"/>
        <v>186</v>
      </c>
      <c r="B197" s="3">
        <f t="shared" ca="1" si="26"/>
        <v>111000</v>
      </c>
      <c r="C197" s="26">
        <f t="shared" ca="1" si="27"/>
        <v>0.70240917422045945</v>
      </c>
      <c r="D197" s="26" t="str">
        <f t="shared" ca="1" si="24"/>
        <v>Win</v>
      </c>
      <c r="E197" s="3">
        <f t="shared" ca="1" si="28"/>
        <v>500</v>
      </c>
      <c r="F197" s="42">
        <f t="shared" si="20"/>
        <v>3.6360281631331634E-100</v>
      </c>
      <c r="G197" s="41">
        <f>SUM(F$11:F197)</f>
        <v>4.6548134408202582E-100</v>
      </c>
      <c r="I197" s="1">
        <f t="shared" si="29"/>
        <v>187</v>
      </c>
      <c r="J197" s="3">
        <v>99000</v>
      </c>
      <c r="K197" s="3">
        <v>94000</v>
      </c>
      <c r="L197" s="3">
        <v>106000</v>
      </c>
      <c r="M197" s="30">
        <f t="shared" si="21"/>
        <v>-1.0000000000000009E-2</v>
      </c>
      <c r="N197" s="1" t="str">
        <f t="shared" si="22"/>
        <v/>
      </c>
      <c r="O197" s="1" t="str">
        <f t="shared" si="23"/>
        <v/>
      </c>
    </row>
    <row r="198" spans="1:15" x14ac:dyDescent="0.25">
      <c r="A198" s="1">
        <f t="shared" si="25"/>
        <v>187</v>
      </c>
      <c r="B198" s="3">
        <f t="shared" ca="1" si="26"/>
        <v>110500</v>
      </c>
      <c r="C198" s="26">
        <f t="shared" ca="1" si="27"/>
        <v>0.35361876772505163</v>
      </c>
      <c r="D198" s="26" t="str">
        <f t="shared" ca="1" si="24"/>
        <v>Lose</v>
      </c>
      <c r="E198" s="3">
        <f t="shared" ca="1" si="28"/>
        <v>-500</v>
      </c>
      <c r="F198" s="42">
        <f t="shared" si="20"/>
        <v>1.6473433718684225E-99</v>
      </c>
      <c r="G198" s="41">
        <f>SUM(F$11:F198)</f>
        <v>2.1128247159504485E-99</v>
      </c>
      <c r="I198" s="1">
        <f t="shared" si="29"/>
        <v>188</v>
      </c>
      <c r="J198" s="3">
        <v>92000</v>
      </c>
      <c r="K198" s="3">
        <v>79500</v>
      </c>
      <c r="L198" s="3">
        <v>101000</v>
      </c>
      <c r="M198" s="30">
        <f t="shared" si="21"/>
        <v>-7.999999999999996E-2</v>
      </c>
      <c r="N198" s="1" t="str">
        <f t="shared" si="22"/>
        <v/>
      </c>
      <c r="O198" s="1" t="str">
        <f t="shared" si="23"/>
        <v/>
      </c>
    </row>
    <row r="199" spans="1:15" x14ac:dyDescent="0.25">
      <c r="A199" s="1">
        <f t="shared" si="25"/>
        <v>188</v>
      </c>
      <c r="B199" s="3">
        <f t="shared" ca="1" si="26"/>
        <v>110000</v>
      </c>
      <c r="C199" s="26">
        <f t="shared" ca="1" si="27"/>
        <v>0.11772857507586143</v>
      </c>
      <c r="D199" s="26" t="str">
        <f t="shared" ca="1" si="24"/>
        <v>Lose</v>
      </c>
      <c r="E199" s="3">
        <f t="shared" ca="1" si="28"/>
        <v>-500</v>
      </c>
      <c r="F199" s="42">
        <f t="shared" si="20"/>
        <v>7.4146546057073148E-99</v>
      </c>
      <c r="G199" s="41">
        <f>SUM(F$11:F199)</f>
        <v>9.5274793216577632E-99</v>
      </c>
      <c r="I199" s="1">
        <f t="shared" si="29"/>
        <v>189</v>
      </c>
      <c r="J199" s="3">
        <v>123000</v>
      </c>
      <c r="K199" s="3">
        <v>91500</v>
      </c>
      <c r="L199" s="3">
        <v>136500</v>
      </c>
      <c r="M199" s="30">
        <f t="shared" si="21"/>
        <v>0.22999999999999998</v>
      </c>
      <c r="N199" s="1" t="str">
        <f t="shared" si="22"/>
        <v/>
      </c>
      <c r="O199" s="1" t="str">
        <f t="shared" si="23"/>
        <v/>
      </c>
    </row>
    <row r="200" spans="1:15" x14ac:dyDescent="0.25">
      <c r="A200" s="1">
        <f t="shared" si="25"/>
        <v>189</v>
      </c>
      <c r="B200" s="3">
        <f t="shared" ca="1" si="26"/>
        <v>110500</v>
      </c>
      <c r="C200" s="26">
        <f t="shared" ca="1" si="27"/>
        <v>0.95690364346300416</v>
      </c>
      <c r="D200" s="26" t="str">
        <f t="shared" ca="1" si="24"/>
        <v>Win</v>
      </c>
      <c r="E200" s="3">
        <f t="shared" ca="1" si="28"/>
        <v>500</v>
      </c>
      <c r="F200" s="42">
        <f t="shared" si="20"/>
        <v>3.3155779778810066E-98</v>
      </c>
      <c r="G200" s="41">
        <f>SUM(F$11:F200)</f>
        <v>4.2683259100467831E-98</v>
      </c>
      <c r="I200" s="1">
        <f t="shared" si="29"/>
        <v>190</v>
      </c>
      <c r="J200" s="3">
        <v>105000</v>
      </c>
      <c r="K200" s="3">
        <v>94500</v>
      </c>
      <c r="L200" s="3">
        <v>117500</v>
      </c>
      <c r="M200" s="30">
        <f t="shared" si="21"/>
        <v>5.0000000000000044E-2</v>
      </c>
      <c r="N200" s="1" t="str">
        <f t="shared" si="22"/>
        <v/>
      </c>
      <c r="O200" s="1" t="str">
        <f t="shared" si="23"/>
        <v/>
      </c>
    </row>
    <row r="201" spans="1:15" x14ac:dyDescent="0.25">
      <c r="A201" s="1">
        <f t="shared" si="25"/>
        <v>190</v>
      </c>
      <c r="B201" s="3">
        <f t="shared" ca="1" si="26"/>
        <v>111000</v>
      </c>
      <c r="C201" s="26">
        <f t="shared" ca="1" si="27"/>
        <v>0.97937553760618379</v>
      </c>
      <c r="D201" s="26" t="str">
        <f t="shared" ca="1" si="24"/>
        <v>Win</v>
      </c>
      <c r="E201" s="3">
        <f t="shared" ca="1" si="28"/>
        <v>500</v>
      </c>
      <c r="F201" s="42">
        <f t="shared" si="20"/>
        <v>1.4729927040078823E-97</v>
      </c>
      <c r="G201" s="41">
        <f>SUM(F$11:F201)</f>
        <v>1.8998252950125607E-97</v>
      </c>
      <c r="I201" s="1">
        <f t="shared" si="29"/>
        <v>191</v>
      </c>
      <c r="J201" s="3">
        <v>68000</v>
      </c>
      <c r="K201" s="3">
        <v>65500</v>
      </c>
      <c r="L201" s="3">
        <v>101000</v>
      </c>
      <c r="M201" s="30">
        <f t="shared" si="21"/>
        <v>-0.31999999999999995</v>
      </c>
      <c r="N201" s="1" t="str">
        <f t="shared" si="22"/>
        <v/>
      </c>
      <c r="O201" s="1" t="str">
        <f t="shared" si="23"/>
        <v/>
      </c>
    </row>
    <row r="202" spans="1:15" x14ac:dyDescent="0.25">
      <c r="A202" s="1">
        <f t="shared" si="25"/>
        <v>191</v>
      </c>
      <c r="B202" s="3">
        <f t="shared" ca="1" si="26"/>
        <v>111500</v>
      </c>
      <c r="C202" s="26">
        <f t="shared" ca="1" si="27"/>
        <v>0.64121096652692944</v>
      </c>
      <c r="D202" s="26" t="str">
        <f t="shared" ca="1" si="24"/>
        <v>Win</v>
      </c>
      <c r="E202" s="3">
        <f t="shared" ca="1" si="28"/>
        <v>500</v>
      </c>
      <c r="F202" s="42">
        <f t="shared" si="20"/>
        <v>6.5016912707094349E-97</v>
      </c>
      <c r="G202" s="41">
        <f>SUM(F$11:F202)</f>
        <v>8.4015165657219956E-97</v>
      </c>
      <c r="I202" s="1">
        <f t="shared" si="29"/>
        <v>192</v>
      </c>
      <c r="J202" s="3">
        <v>115000</v>
      </c>
      <c r="K202" s="3">
        <v>96000</v>
      </c>
      <c r="L202" s="3">
        <v>123000</v>
      </c>
      <c r="M202" s="30">
        <f t="shared" si="21"/>
        <v>0.14999999999999991</v>
      </c>
      <c r="N202" s="1" t="str">
        <f t="shared" si="22"/>
        <v/>
      </c>
      <c r="O202" s="1" t="str">
        <f t="shared" si="23"/>
        <v/>
      </c>
    </row>
    <row r="203" spans="1:15" x14ac:dyDescent="0.25">
      <c r="A203" s="1">
        <f t="shared" si="25"/>
        <v>192</v>
      </c>
      <c r="B203" s="3">
        <f t="shared" ca="1" si="26"/>
        <v>112000</v>
      </c>
      <c r="C203" s="26">
        <f t="shared" ca="1" si="27"/>
        <v>0.50386907819760762</v>
      </c>
      <c r="D203" s="26" t="str">
        <f t="shared" ca="1" si="24"/>
        <v>Win</v>
      </c>
      <c r="E203" s="3">
        <f t="shared" ca="1" si="28"/>
        <v>500</v>
      </c>
      <c r="F203" s="42">
        <f t="shared" si="20"/>
        <v>2.8513316341221355E-96</v>
      </c>
      <c r="G203" s="41">
        <f>SUM(F$11:F203)</f>
        <v>3.6914832906943351E-96</v>
      </c>
      <c r="I203" s="1">
        <f t="shared" si="29"/>
        <v>193</v>
      </c>
      <c r="J203" s="3">
        <v>102000</v>
      </c>
      <c r="K203" s="3">
        <v>96000</v>
      </c>
      <c r="L203" s="3">
        <v>109500</v>
      </c>
      <c r="M203" s="30">
        <f t="shared" si="21"/>
        <v>2.0000000000000018E-2</v>
      </c>
      <c r="N203" s="1" t="str">
        <f t="shared" si="22"/>
        <v/>
      </c>
      <c r="O203" s="1" t="str">
        <f t="shared" si="23"/>
        <v/>
      </c>
    </row>
    <row r="204" spans="1:15" x14ac:dyDescent="0.25">
      <c r="A204" s="1">
        <f t="shared" si="25"/>
        <v>193</v>
      </c>
      <c r="B204" s="3">
        <f t="shared" ca="1" si="26"/>
        <v>111500</v>
      </c>
      <c r="C204" s="26">
        <f t="shared" ca="1" si="27"/>
        <v>0.42827423572075485</v>
      </c>
      <c r="D204" s="26" t="str">
        <f t="shared" ca="1" si="24"/>
        <v>Lose</v>
      </c>
      <c r="E204" s="3">
        <f t="shared" ca="1" si="28"/>
        <v>-500</v>
      </c>
      <c r="F204" s="42">
        <f t="shared" ref="F204:F267" si="30">_xlfn.BINOM.DIST(A204,$A$1011,$B$1,FALSE)</f>
        <v>1.2424413025156201E-95</v>
      </c>
      <c r="G204" s="41">
        <f>SUM(F$11:F204)</f>
        <v>1.6115896315850536E-95</v>
      </c>
      <c r="I204" s="1">
        <f t="shared" si="29"/>
        <v>194</v>
      </c>
      <c r="J204" s="3">
        <v>102000</v>
      </c>
      <c r="K204" s="3">
        <v>93500</v>
      </c>
      <c r="L204" s="3">
        <v>112000</v>
      </c>
      <c r="M204" s="30">
        <f t="shared" ref="M204:M267" si="31">J204/$B$3-1</f>
        <v>2.0000000000000018E-2</v>
      </c>
      <c r="N204" s="1" t="str">
        <f t="shared" ref="N204:N267" si="32">IF(K204&lt;=0,1,"")</f>
        <v/>
      </c>
      <c r="O204" s="1" t="str">
        <f t="shared" ref="O204:O267" si="33">IF(J204&lt;=0,1,"")</f>
        <v/>
      </c>
    </row>
    <row r="205" spans="1:15" x14ac:dyDescent="0.25">
      <c r="A205" s="1">
        <f t="shared" si="25"/>
        <v>194</v>
      </c>
      <c r="B205" s="3">
        <f t="shared" ca="1" si="26"/>
        <v>112000</v>
      </c>
      <c r="C205" s="26">
        <f t="shared" ca="1" si="27"/>
        <v>0.68995823720316762</v>
      </c>
      <c r="D205" s="26" t="str">
        <f t="shared" ref="D205:D268" ca="1" si="34">IF(C205&gt;$B$2,"Win","Lose")</f>
        <v>Win</v>
      </c>
      <c r="E205" s="3">
        <f t="shared" ca="1" si="28"/>
        <v>500</v>
      </c>
      <c r="F205" s="42">
        <f t="shared" si="30"/>
        <v>5.3792506509188654E-95</v>
      </c>
      <c r="G205" s="41">
        <f>SUM(F$11:F205)</f>
        <v>6.9908402825039183E-95</v>
      </c>
      <c r="I205" s="1">
        <f t="shared" si="29"/>
        <v>195</v>
      </c>
      <c r="J205" s="3">
        <v>89000</v>
      </c>
      <c r="K205" s="3">
        <v>88000</v>
      </c>
      <c r="L205" s="3">
        <v>105500</v>
      </c>
      <c r="M205" s="30">
        <f t="shared" si="31"/>
        <v>-0.10999999999999999</v>
      </c>
      <c r="N205" s="1" t="str">
        <f t="shared" si="32"/>
        <v/>
      </c>
      <c r="O205" s="1" t="str">
        <f t="shared" si="33"/>
        <v/>
      </c>
    </row>
    <row r="206" spans="1:15" x14ac:dyDescent="0.25">
      <c r="A206" s="1">
        <f t="shared" ref="A206:A269" si="35">A205+1</f>
        <v>195</v>
      </c>
      <c r="B206" s="3">
        <f t="shared" ref="B206:B269" ca="1" si="36">B205+E206</f>
        <v>112500</v>
      </c>
      <c r="C206" s="26">
        <f t="shared" ref="C206:C269" ca="1" si="37">RAND()</f>
        <v>0.62670097692927784</v>
      </c>
      <c r="D206" s="26" t="str">
        <f t="shared" ca="1" si="34"/>
        <v>Win</v>
      </c>
      <c r="E206" s="3">
        <f t="shared" ref="E206:E269" ca="1" si="38">IF(D206="Win",$B$4,-$B$4)</f>
        <v>500</v>
      </c>
      <c r="F206" s="42">
        <f t="shared" si="30"/>
        <v>2.3141755861504262E-94</v>
      </c>
      <c r="G206" s="41">
        <f>SUM(F$11:F206)</f>
        <v>3.0132596144008183E-94</v>
      </c>
      <c r="I206" s="1">
        <f t="shared" ref="I206:I260" si="39">I205+1</f>
        <v>196</v>
      </c>
      <c r="J206" s="3">
        <v>120000</v>
      </c>
      <c r="K206" s="3">
        <v>95500</v>
      </c>
      <c r="L206" s="3">
        <v>128500</v>
      </c>
      <c r="M206" s="30">
        <f t="shared" si="31"/>
        <v>0.19999999999999996</v>
      </c>
      <c r="N206" s="1" t="str">
        <f t="shared" si="32"/>
        <v/>
      </c>
      <c r="O206" s="1" t="str">
        <f t="shared" si="33"/>
        <v/>
      </c>
    </row>
    <row r="207" spans="1:15" x14ac:dyDescent="0.25">
      <c r="A207" s="1">
        <f t="shared" si="35"/>
        <v>196</v>
      </c>
      <c r="B207" s="3">
        <f t="shared" ca="1" si="36"/>
        <v>113000</v>
      </c>
      <c r="C207" s="26">
        <f t="shared" ca="1" si="37"/>
        <v>0.93976420238547043</v>
      </c>
      <c r="D207" s="26" t="str">
        <f t="shared" ca="1" si="34"/>
        <v>Win</v>
      </c>
      <c r="E207" s="3">
        <f t="shared" ca="1" si="38"/>
        <v>500</v>
      </c>
      <c r="F207" s="42">
        <f t="shared" si="30"/>
        <v>9.8925946157225888E-94</v>
      </c>
      <c r="G207" s="41">
        <f>SUM(F$11:F207)</f>
        <v>1.2905854230123408E-93</v>
      </c>
      <c r="I207" s="1">
        <f t="shared" si="39"/>
        <v>197</v>
      </c>
      <c r="J207" s="3">
        <v>114000</v>
      </c>
      <c r="K207" s="3">
        <v>97000</v>
      </c>
      <c r="L207" s="3">
        <v>124000</v>
      </c>
      <c r="M207" s="30">
        <f t="shared" si="31"/>
        <v>0.1399999999999999</v>
      </c>
      <c r="N207" s="1" t="str">
        <f t="shared" si="32"/>
        <v/>
      </c>
      <c r="O207" s="1" t="str">
        <f t="shared" si="33"/>
        <v/>
      </c>
    </row>
    <row r="208" spans="1:15" x14ac:dyDescent="0.25">
      <c r="A208" s="1">
        <f t="shared" si="35"/>
        <v>197</v>
      </c>
      <c r="B208" s="3">
        <f t="shared" ca="1" si="36"/>
        <v>112500</v>
      </c>
      <c r="C208" s="26">
        <f t="shared" ca="1" si="37"/>
        <v>4.8181049170357926E-2</v>
      </c>
      <c r="D208" s="26" t="str">
        <f t="shared" ca="1" si="34"/>
        <v>Lose</v>
      </c>
      <c r="E208" s="3">
        <f t="shared" ca="1" si="38"/>
        <v>-500</v>
      </c>
      <c r="F208" s="42">
        <f t="shared" si="30"/>
        <v>4.2021749676068626E-93</v>
      </c>
      <c r="G208" s="41">
        <f>SUM(F$11:F208)</f>
        <v>5.492760390619203E-93</v>
      </c>
      <c r="I208" s="1">
        <f t="shared" si="39"/>
        <v>198</v>
      </c>
      <c r="J208" s="3">
        <v>116000</v>
      </c>
      <c r="K208" s="3">
        <v>99000</v>
      </c>
      <c r="L208" s="3">
        <v>118500</v>
      </c>
      <c r="M208" s="30">
        <f t="shared" si="31"/>
        <v>0.15999999999999992</v>
      </c>
      <c r="N208" s="1" t="str">
        <f t="shared" si="32"/>
        <v/>
      </c>
      <c r="O208" s="1" t="str">
        <f t="shared" si="33"/>
        <v/>
      </c>
    </row>
    <row r="209" spans="1:15" x14ac:dyDescent="0.25">
      <c r="A209" s="1">
        <f t="shared" si="35"/>
        <v>198</v>
      </c>
      <c r="B209" s="3">
        <f t="shared" ca="1" si="36"/>
        <v>113000</v>
      </c>
      <c r="C209" s="26">
        <f t="shared" ca="1" si="37"/>
        <v>0.58189298226465302</v>
      </c>
      <c r="D209" s="26" t="str">
        <f t="shared" ca="1" si="34"/>
        <v>Win</v>
      </c>
      <c r="E209" s="3">
        <f t="shared" ca="1" si="38"/>
        <v>500</v>
      </c>
      <c r="F209" s="42">
        <f t="shared" si="30"/>
        <v>1.7737752159183792E-92</v>
      </c>
      <c r="G209" s="41">
        <f>SUM(F$11:F209)</f>
        <v>2.3230512549802995E-92</v>
      </c>
      <c r="I209" s="1">
        <f t="shared" si="39"/>
        <v>199</v>
      </c>
      <c r="J209" s="3">
        <v>110000</v>
      </c>
      <c r="K209" s="3">
        <v>96000</v>
      </c>
      <c r="L209" s="3">
        <v>113000</v>
      </c>
      <c r="M209" s="30">
        <f t="shared" si="31"/>
        <v>0.10000000000000009</v>
      </c>
      <c r="N209" s="1" t="str">
        <f t="shared" si="32"/>
        <v/>
      </c>
      <c r="O209" s="1" t="str">
        <f t="shared" si="33"/>
        <v/>
      </c>
    </row>
    <row r="210" spans="1:15" x14ac:dyDescent="0.25">
      <c r="A210" s="1">
        <f t="shared" si="35"/>
        <v>199</v>
      </c>
      <c r="B210" s="3">
        <f t="shared" ca="1" si="36"/>
        <v>112500</v>
      </c>
      <c r="C210" s="26">
        <f t="shared" ca="1" si="37"/>
        <v>6.0876269433994268E-2</v>
      </c>
      <c r="D210" s="26" t="str">
        <f t="shared" ca="1" si="34"/>
        <v>Lose</v>
      </c>
      <c r="E210" s="3">
        <f t="shared" ca="1" si="38"/>
        <v>-500</v>
      </c>
      <c r="F210" s="42">
        <f t="shared" si="30"/>
        <v>7.4403603611421621E-92</v>
      </c>
      <c r="G210" s="41">
        <f>SUM(F$11:F210)</f>
        <v>9.7634116161224616E-92</v>
      </c>
      <c r="I210" s="1">
        <f t="shared" si="39"/>
        <v>200</v>
      </c>
      <c r="J210" s="3">
        <v>140000</v>
      </c>
      <c r="K210" s="3">
        <v>99500</v>
      </c>
      <c r="L210" s="3">
        <v>140000</v>
      </c>
      <c r="M210" s="30">
        <f t="shared" si="31"/>
        <v>0.39999999999999991</v>
      </c>
      <c r="N210" s="1" t="str">
        <f t="shared" si="32"/>
        <v/>
      </c>
      <c r="O210" s="1" t="str">
        <f t="shared" si="33"/>
        <v/>
      </c>
    </row>
    <row r="211" spans="1:15" x14ac:dyDescent="0.25">
      <c r="A211" s="1">
        <f t="shared" si="35"/>
        <v>200</v>
      </c>
      <c r="B211" s="3">
        <f t="shared" ca="1" si="36"/>
        <v>113000</v>
      </c>
      <c r="C211" s="26">
        <f t="shared" ca="1" si="37"/>
        <v>0.57777156476652891</v>
      </c>
      <c r="D211" s="26" t="str">
        <f t="shared" ca="1" si="34"/>
        <v>Win</v>
      </c>
      <c r="E211" s="3">
        <f t="shared" ca="1" si="38"/>
        <v>500</v>
      </c>
      <c r="F211" s="42">
        <f t="shared" si="30"/>
        <v>3.1014914399287267E-91</v>
      </c>
      <c r="G211" s="41">
        <f>SUM(F$11:F211)</f>
        <v>4.0778326015409727E-91</v>
      </c>
      <c r="I211" s="1">
        <f t="shared" si="39"/>
        <v>201</v>
      </c>
      <c r="J211" s="3">
        <v>93000</v>
      </c>
      <c r="K211" s="3">
        <v>90000</v>
      </c>
      <c r="L211" s="3">
        <v>107500</v>
      </c>
      <c r="M211" s="30">
        <f t="shared" si="31"/>
        <v>-6.9999999999999951E-2</v>
      </c>
      <c r="N211" s="1" t="str">
        <f t="shared" si="32"/>
        <v/>
      </c>
      <c r="O211" s="1" t="str">
        <f t="shared" si="33"/>
        <v/>
      </c>
    </row>
    <row r="212" spans="1:15" x14ac:dyDescent="0.25">
      <c r="A212" s="1">
        <f t="shared" si="35"/>
        <v>201</v>
      </c>
      <c r="B212" s="3">
        <f t="shared" ca="1" si="36"/>
        <v>113500</v>
      </c>
      <c r="C212" s="26">
        <f t="shared" ca="1" si="37"/>
        <v>0.89118999558625278</v>
      </c>
      <c r="D212" s="26" t="str">
        <f t="shared" ca="1" si="34"/>
        <v>Win</v>
      </c>
      <c r="E212" s="3">
        <f t="shared" ca="1" si="38"/>
        <v>500</v>
      </c>
      <c r="F212" s="42">
        <f t="shared" si="30"/>
        <v>1.2848091252826458E-90</v>
      </c>
      <c r="G212" s="41">
        <f>SUM(F$11:F212)</f>
        <v>1.6925923854367431E-90</v>
      </c>
      <c r="I212" s="1">
        <f t="shared" si="39"/>
        <v>202</v>
      </c>
      <c r="J212" s="3">
        <v>103000</v>
      </c>
      <c r="K212" s="3">
        <v>94000</v>
      </c>
      <c r="L212" s="3">
        <v>115000</v>
      </c>
      <c r="M212" s="30">
        <f t="shared" si="31"/>
        <v>3.0000000000000027E-2</v>
      </c>
      <c r="N212" s="1" t="str">
        <f t="shared" si="32"/>
        <v/>
      </c>
      <c r="O212" s="1" t="str">
        <f t="shared" si="33"/>
        <v/>
      </c>
    </row>
    <row r="213" spans="1:15" x14ac:dyDescent="0.25">
      <c r="A213" s="1">
        <f t="shared" si="35"/>
        <v>202</v>
      </c>
      <c r="B213" s="3">
        <f t="shared" ca="1" si="36"/>
        <v>114000</v>
      </c>
      <c r="C213" s="26">
        <f t="shared" ca="1" si="37"/>
        <v>0.51160762507231861</v>
      </c>
      <c r="D213" s="26" t="str">
        <f t="shared" ca="1" si="34"/>
        <v>Win</v>
      </c>
      <c r="E213" s="3">
        <f t="shared" ca="1" si="38"/>
        <v>500</v>
      </c>
      <c r="F213" s="42">
        <f t="shared" si="30"/>
        <v>5.2894207967412769E-90</v>
      </c>
      <c r="G213" s="41">
        <f>SUM(F$11:F213)</f>
        <v>6.98201318217802E-90</v>
      </c>
      <c r="I213" s="1">
        <f t="shared" si="39"/>
        <v>203</v>
      </c>
      <c r="J213" s="3">
        <v>102000</v>
      </c>
      <c r="K213" s="3">
        <v>89500</v>
      </c>
      <c r="L213" s="3">
        <v>105500</v>
      </c>
      <c r="M213" s="30">
        <f t="shared" si="31"/>
        <v>2.0000000000000018E-2</v>
      </c>
      <c r="N213" s="1" t="str">
        <f t="shared" si="32"/>
        <v/>
      </c>
      <c r="O213" s="1" t="str">
        <f t="shared" si="33"/>
        <v/>
      </c>
    </row>
    <row r="214" spans="1:15" x14ac:dyDescent="0.25">
      <c r="A214" s="1">
        <f t="shared" si="35"/>
        <v>203</v>
      </c>
      <c r="B214" s="3">
        <f t="shared" ca="1" si="36"/>
        <v>113500</v>
      </c>
      <c r="C214" s="26">
        <f t="shared" ca="1" si="37"/>
        <v>0.26862117159874621</v>
      </c>
      <c r="D214" s="26" t="str">
        <f t="shared" ca="1" si="34"/>
        <v>Lose</v>
      </c>
      <c r="E214" s="3">
        <f t="shared" ca="1" si="38"/>
        <v>-500</v>
      </c>
      <c r="F214" s="42">
        <f t="shared" si="30"/>
        <v>2.1641585159925529E-89</v>
      </c>
      <c r="G214" s="41">
        <f>SUM(F$11:F214)</f>
        <v>2.8623598342103548E-89</v>
      </c>
      <c r="I214" s="1">
        <f t="shared" si="39"/>
        <v>204</v>
      </c>
      <c r="J214" s="3">
        <v>122000</v>
      </c>
      <c r="K214" s="3">
        <v>99500</v>
      </c>
      <c r="L214" s="3">
        <v>125000</v>
      </c>
      <c r="M214" s="30">
        <f t="shared" si="31"/>
        <v>0.21999999999999997</v>
      </c>
      <c r="N214" s="1" t="str">
        <f t="shared" si="32"/>
        <v/>
      </c>
      <c r="O214" s="1" t="str">
        <f t="shared" si="33"/>
        <v/>
      </c>
    </row>
    <row r="215" spans="1:15" x14ac:dyDescent="0.25">
      <c r="A215" s="1">
        <f t="shared" si="35"/>
        <v>204</v>
      </c>
      <c r="B215" s="3">
        <f t="shared" ca="1" si="36"/>
        <v>113000</v>
      </c>
      <c r="C215" s="26">
        <f t="shared" ca="1" si="37"/>
        <v>0.20675011126704523</v>
      </c>
      <c r="D215" s="26" t="str">
        <f t="shared" ca="1" si="34"/>
        <v>Lose</v>
      </c>
      <c r="E215" s="3">
        <f t="shared" ca="1" si="38"/>
        <v>-500</v>
      </c>
      <c r="F215" s="42">
        <f t="shared" si="30"/>
        <v>8.8001751900307667E-89</v>
      </c>
      <c r="G215" s="41">
        <f>SUM(F$11:F215)</f>
        <v>1.1662535024241122E-88</v>
      </c>
      <c r="I215" s="1">
        <f t="shared" si="39"/>
        <v>205</v>
      </c>
      <c r="J215" s="3">
        <v>112000</v>
      </c>
      <c r="K215" s="3">
        <v>97000</v>
      </c>
      <c r="L215" s="3">
        <v>114500</v>
      </c>
      <c r="M215" s="30">
        <f t="shared" si="31"/>
        <v>0.12000000000000011</v>
      </c>
      <c r="N215" s="1" t="str">
        <f t="shared" si="32"/>
        <v/>
      </c>
      <c r="O215" s="1" t="str">
        <f t="shared" si="33"/>
        <v/>
      </c>
    </row>
    <row r="216" spans="1:15" x14ac:dyDescent="0.25">
      <c r="A216" s="1">
        <f t="shared" si="35"/>
        <v>205</v>
      </c>
      <c r="B216" s="3">
        <f t="shared" ca="1" si="36"/>
        <v>112500</v>
      </c>
      <c r="C216" s="26">
        <f t="shared" ca="1" si="37"/>
        <v>8.7711899765915868E-2</v>
      </c>
      <c r="D216" s="26" t="str">
        <f t="shared" ca="1" si="34"/>
        <v>Lose</v>
      </c>
      <c r="E216" s="3">
        <f t="shared" ca="1" si="38"/>
        <v>-500</v>
      </c>
      <c r="F216" s="42">
        <f t="shared" si="30"/>
        <v>3.5565148035291611E-88</v>
      </c>
      <c r="G216" s="41">
        <f>SUM(F$11:F216)</f>
        <v>4.7227683059532736E-88</v>
      </c>
      <c r="I216" s="1">
        <f t="shared" si="39"/>
        <v>206</v>
      </c>
      <c r="J216" s="3">
        <v>122000</v>
      </c>
      <c r="K216" s="3">
        <v>98500</v>
      </c>
      <c r="L216" s="3">
        <v>123500</v>
      </c>
      <c r="M216" s="30">
        <f t="shared" si="31"/>
        <v>0.21999999999999997</v>
      </c>
      <c r="N216" s="1" t="str">
        <f t="shared" si="32"/>
        <v/>
      </c>
      <c r="O216" s="1" t="str">
        <f t="shared" si="33"/>
        <v/>
      </c>
    </row>
    <row r="217" spans="1:15" x14ac:dyDescent="0.25">
      <c r="A217" s="1">
        <f t="shared" si="35"/>
        <v>206</v>
      </c>
      <c r="B217" s="3">
        <f t="shared" ca="1" si="36"/>
        <v>113000</v>
      </c>
      <c r="C217" s="26">
        <f t="shared" ca="1" si="37"/>
        <v>0.84754092830912542</v>
      </c>
      <c r="D217" s="26" t="str">
        <f t="shared" ca="1" si="34"/>
        <v>Win</v>
      </c>
      <c r="E217" s="3">
        <f t="shared" ca="1" si="38"/>
        <v>500</v>
      </c>
      <c r="F217" s="42">
        <f t="shared" si="30"/>
        <v>1.4285604587784432E-87</v>
      </c>
      <c r="G217" s="41">
        <f>SUM(F$11:F217)</f>
        <v>1.9008372893737706E-87</v>
      </c>
      <c r="I217" s="1">
        <f t="shared" si="39"/>
        <v>207</v>
      </c>
      <c r="J217" s="3">
        <v>90000</v>
      </c>
      <c r="K217" s="3">
        <v>78500</v>
      </c>
      <c r="L217" s="3">
        <v>104000</v>
      </c>
      <c r="M217" s="30">
        <f t="shared" si="31"/>
        <v>-9.9999999999999978E-2</v>
      </c>
      <c r="N217" s="1" t="str">
        <f t="shared" si="32"/>
        <v/>
      </c>
      <c r="O217" s="1" t="str">
        <f t="shared" si="33"/>
        <v/>
      </c>
    </row>
    <row r="218" spans="1:15" x14ac:dyDescent="0.25">
      <c r="A218" s="1">
        <f t="shared" si="35"/>
        <v>207</v>
      </c>
      <c r="B218" s="3">
        <f t="shared" ca="1" si="36"/>
        <v>113500</v>
      </c>
      <c r="C218" s="26">
        <f t="shared" ca="1" si="37"/>
        <v>0.89815829496630684</v>
      </c>
      <c r="D218" s="26" t="str">
        <f t="shared" ca="1" si="34"/>
        <v>Win</v>
      </c>
      <c r="E218" s="3">
        <f t="shared" ca="1" si="38"/>
        <v>500</v>
      </c>
      <c r="F218" s="42">
        <f t="shared" si="30"/>
        <v>5.7032561587070019E-87</v>
      </c>
      <c r="G218" s="41">
        <f>SUM(F$11:F218)</f>
        <v>7.6040934480807725E-87</v>
      </c>
      <c r="I218" s="1">
        <f t="shared" si="39"/>
        <v>208</v>
      </c>
      <c r="J218" s="3">
        <v>94000</v>
      </c>
      <c r="K218" s="3">
        <v>90500</v>
      </c>
      <c r="L218" s="3">
        <v>106500</v>
      </c>
      <c r="M218" s="30">
        <f t="shared" si="31"/>
        <v>-6.0000000000000053E-2</v>
      </c>
      <c r="N218" s="1" t="str">
        <f t="shared" si="32"/>
        <v/>
      </c>
      <c r="O218" s="1" t="str">
        <f t="shared" si="33"/>
        <v/>
      </c>
    </row>
    <row r="219" spans="1:15" x14ac:dyDescent="0.25">
      <c r="A219" s="1">
        <f t="shared" si="35"/>
        <v>208</v>
      </c>
      <c r="B219" s="3">
        <f t="shared" ca="1" si="36"/>
        <v>113000</v>
      </c>
      <c r="C219" s="26">
        <f t="shared" ca="1" si="37"/>
        <v>0.19218469079962841</v>
      </c>
      <c r="D219" s="26" t="str">
        <f t="shared" ca="1" si="34"/>
        <v>Lose</v>
      </c>
      <c r="E219" s="3">
        <f t="shared" ca="1" si="38"/>
        <v>-500</v>
      </c>
      <c r="F219" s="42">
        <f t="shared" si="30"/>
        <v>2.2631160599156507E-86</v>
      </c>
      <c r="G219" s="41">
        <f>SUM(F$11:F219)</f>
        <v>3.023525404723728E-86</v>
      </c>
      <c r="I219" s="1">
        <f t="shared" si="39"/>
        <v>209</v>
      </c>
      <c r="J219" s="3">
        <v>110000</v>
      </c>
      <c r="K219" s="3">
        <v>90000</v>
      </c>
      <c r="L219" s="3">
        <v>112000</v>
      </c>
      <c r="M219" s="30">
        <f t="shared" si="31"/>
        <v>0.10000000000000009</v>
      </c>
      <c r="N219" s="1" t="str">
        <f t="shared" si="32"/>
        <v/>
      </c>
      <c r="O219" s="1" t="str">
        <f t="shared" si="33"/>
        <v/>
      </c>
    </row>
    <row r="220" spans="1:15" x14ac:dyDescent="0.25">
      <c r="A220" s="1">
        <f t="shared" si="35"/>
        <v>209</v>
      </c>
      <c r="B220" s="3">
        <f t="shared" ca="1" si="36"/>
        <v>112500</v>
      </c>
      <c r="C220" s="26">
        <f t="shared" ca="1" si="37"/>
        <v>4.5366089144045274E-2</v>
      </c>
      <c r="D220" s="26" t="str">
        <f t="shared" ca="1" si="34"/>
        <v>Lose</v>
      </c>
      <c r="E220" s="3">
        <f t="shared" ca="1" si="38"/>
        <v>-500</v>
      </c>
      <c r="F220" s="42">
        <f t="shared" si="30"/>
        <v>8.9260603351341636E-86</v>
      </c>
      <c r="G220" s="41">
        <f>SUM(F$11:F220)</f>
        <v>1.1949585739857892E-85</v>
      </c>
      <c r="I220" s="1">
        <f t="shared" si="39"/>
        <v>210</v>
      </c>
      <c r="J220" s="3">
        <v>84000</v>
      </c>
      <c r="K220" s="3">
        <v>79000</v>
      </c>
      <c r="L220" s="3">
        <v>103500</v>
      </c>
      <c r="M220" s="30">
        <f t="shared" si="31"/>
        <v>-0.16000000000000003</v>
      </c>
      <c r="N220" s="1" t="str">
        <f t="shared" si="32"/>
        <v/>
      </c>
      <c r="O220" s="1" t="str">
        <f t="shared" si="33"/>
        <v/>
      </c>
    </row>
    <row r="221" spans="1:15" x14ac:dyDescent="0.25">
      <c r="A221" s="1">
        <f t="shared" si="35"/>
        <v>210</v>
      </c>
      <c r="B221" s="3">
        <f t="shared" ca="1" si="36"/>
        <v>113000</v>
      </c>
      <c r="C221" s="26">
        <f t="shared" ca="1" si="37"/>
        <v>0.69916641520375411</v>
      </c>
      <c r="D221" s="26" t="str">
        <f t="shared" ca="1" si="34"/>
        <v>Win</v>
      </c>
      <c r="E221" s="3">
        <f t="shared" ca="1" si="38"/>
        <v>500</v>
      </c>
      <c r="F221" s="42">
        <f t="shared" si="30"/>
        <v>3.4993799803661752E-85</v>
      </c>
      <c r="G221" s="41">
        <f>SUM(F$11:F221)</f>
        <v>4.6943385543519641E-85</v>
      </c>
      <c r="I221" s="1">
        <f t="shared" si="39"/>
        <v>211</v>
      </c>
      <c r="J221" s="3">
        <v>112000</v>
      </c>
      <c r="K221" s="3">
        <v>96500</v>
      </c>
      <c r="L221" s="3">
        <v>118500</v>
      </c>
      <c r="M221" s="30">
        <f t="shared" si="31"/>
        <v>0.12000000000000011</v>
      </c>
      <c r="N221" s="1" t="str">
        <f t="shared" si="32"/>
        <v/>
      </c>
      <c r="O221" s="1" t="str">
        <f t="shared" si="33"/>
        <v/>
      </c>
    </row>
    <row r="222" spans="1:15" x14ac:dyDescent="0.25">
      <c r="A222" s="1">
        <f t="shared" si="35"/>
        <v>211</v>
      </c>
      <c r="B222" s="3">
        <f t="shared" ca="1" si="36"/>
        <v>112500</v>
      </c>
      <c r="C222" s="26">
        <f t="shared" ca="1" si="37"/>
        <v>0.25382044724326569</v>
      </c>
      <c r="D222" s="26" t="str">
        <f t="shared" ca="1" si="34"/>
        <v>Lose</v>
      </c>
      <c r="E222" s="3">
        <f t="shared" ca="1" si="38"/>
        <v>-500</v>
      </c>
      <c r="F222" s="42">
        <f t="shared" si="30"/>
        <v>1.363671722690323E-84</v>
      </c>
      <c r="G222" s="41">
        <f>SUM(F$11:F222)</f>
        <v>1.8331055781255194E-84</v>
      </c>
      <c r="I222" s="1">
        <f t="shared" si="39"/>
        <v>212</v>
      </c>
      <c r="J222" s="3">
        <v>93000</v>
      </c>
      <c r="K222" s="3">
        <v>91500</v>
      </c>
      <c r="L222" s="3">
        <v>117000</v>
      </c>
      <c r="M222" s="30">
        <f t="shared" si="31"/>
        <v>-6.9999999999999951E-2</v>
      </c>
      <c r="N222" s="1" t="str">
        <f t="shared" si="32"/>
        <v/>
      </c>
      <c r="O222" s="1" t="str">
        <f t="shared" si="33"/>
        <v/>
      </c>
    </row>
    <row r="223" spans="1:15" x14ac:dyDescent="0.25">
      <c r="A223" s="1">
        <f t="shared" si="35"/>
        <v>212</v>
      </c>
      <c r="B223" s="3">
        <f t="shared" ca="1" si="36"/>
        <v>113000</v>
      </c>
      <c r="C223" s="26">
        <f t="shared" ca="1" si="37"/>
        <v>0.6049304751100999</v>
      </c>
      <c r="D223" s="26" t="str">
        <f t="shared" ca="1" si="34"/>
        <v>Win</v>
      </c>
      <c r="E223" s="3">
        <f t="shared" ca="1" si="38"/>
        <v>500</v>
      </c>
      <c r="F223" s="42">
        <f t="shared" si="30"/>
        <v>5.2823244560392021E-84</v>
      </c>
      <c r="G223" s="41">
        <f>SUM(F$11:F223)</f>
        <v>7.1154300341647213E-84</v>
      </c>
      <c r="I223" s="1">
        <f t="shared" si="39"/>
        <v>213</v>
      </c>
      <c r="J223" s="3">
        <v>124000</v>
      </c>
      <c r="K223" s="3">
        <v>98000</v>
      </c>
      <c r="L223" s="3">
        <v>124500</v>
      </c>
      <c r="M223" s="30">
        <f t="shared" si="31"/>
        <v>0.24</v>
      </c>
      <c r="N223" s="1" t="str">
        <f t="shared" si="32"/>
        <v/>
      </c>
      <c r="O223" s="1" t="str">
        <f t="shared" si="33"/>
        <v/>
      </c>
    </row>
    <row r="224" spans="1:15" x14ac:dyDescent="0.25">
      <c r="A224" s="1">
        <f t="shared" si="35"/>
        <v>213</v>
      </c>
      <c r="B224" s="3">
        <f t="shared" ca="1" si="36"/>
        <v>112500</v>
      </c>
      <c r="C224" s="26">
        <f t="shared" ca="1" si="37"/>
        <v>8.2372401216638469E-2</v>
      </c>
      <c r="D224" s="26" t="str">
        <f t="shared" ca="1" si="34"/>
        <v>Lose</v>
      </c>
      <c r="E224" s="3">
        <f t="shared" ca="1" si="38"/>
        <v>-500</v>
      </c>
      <c r="F224" s="42">
        <f t="shared" si="30"/>
        <v>2.0339758095171172E-83</v>
      </c>
      <c r="G224" s="41">
        <f>SUM(F$11:F224)</f>
        <v>2.7455188129335894E-83</v>
      </c>
      <c r="I224" s="1">
        <f t="shared" si="39"/>
        <v>214</v>
      </c>
      <c r="J224" s="3">
        <v>113000</v>
      </c>
      <c r="K224" s="3">
        <v>91500</v>
      </c>
      <c r="L224" s="3">
        <v>117500</v>
      </c>
      <c r="M224" s="30">
        <f t="shared" si="31"/>
        <v>0.12999999999999989</v>
      </c>
      <c r="N224" s="1" t="str">
        <f t="shared" si="32"/>
        <v/>
      </c>
      <c r="O224" s="1" t="str">
        <f t="shared" si="33"/>
        <v/>
      </c>
    </row>
    <row r="225" spans="1:15" x14ac:dyDescent="0.25">
      <c r="A225" s="1">
        <f t="shared" si="35"/>
        <v>214</v>
      </c>
      <c r="B225" s="3">
        <f t="shared" ca="1" si="36"/>
        <v>112000</v>
      </c>
      <c r="C225" s="26">
        <f t="shared" ca="1" si="37"/>
        <v>0.41313000093879526</v>
      </c>
      <c r="D225" s="26" t="str">
        <f t="shared" ca="1" si="34"/>
        <v>Lose</v>
      </c>
      <c r="E225" s="3">
        <f t="shared" ca="1" si="38"/>
        <v>-500</v>
      </c>
      <c r="F225" s="42">
        <f t="shared" si="30"/>
        <v>7.7853983469949532E-83</v>
      </c>
      <c r="G225" s="41">
        <f>SUM(F$11:F225)</f>
        <v>1.0530917159928542E-82</v>
      </c>
      <c r="I225" s="1">
        <f t="shared" si="39"/>
        <v>215</v>
      </c>
      <c r="J225" s="3">
        <v>124000</v>
      </c>
      <c r="K225" s="3">
        <v>98000</v>
      </c>
      <c r="L225" s="3">
        <v>129500</v>
      </c>
      <c r="M225" s="30">
        <f t="shared" si="31"/>
        <v>0.24</v>
      </c>
      <c r="N225" s="1" t="str">
        <f t="shared" si="32"/>
        <v/>
      </c>
      <c r="O225" s="1" t="str">
        <f t="shared" si="33"/>
        <v/>
      </c>
    </row>
    <row r="226" spans="1:15" x14ac:dyDescent="0.25">
      <c r="A226" s="1">
        <f t="shared" si="35"/>
        <v>215</v>
      </c>
      <c r="B226" s="3">
        <f t="shared" ca="1" si="36"/>
        <v>112500</v>
      </c>
      <c r="C226" s="26">
        <f t="shared" ca="1" si="37"/>
        <v>0.56985006110908154</v>
      </c>
      <c r="D226" s="26" t="str">
        <f t="shared" ca="1" si="34"/>
        <v>Win</v>
      </c>
      <c r="E226" s="3">
        <f t="shared" ca="1" si="38"/>
        <v>500</v>
      </c>
      <c r="F226" s="42">
        <f t="shared" si="30"/>
        <v>2.9623680886346153E-82</v>
      </c>
      <c r="G226" s="41">
        <f>SUM(F$11:F226)</f>
        <v>4.0154598046274694E-82</v>
      </c>
      <c r="I226" s="1">
        <f t="shared" si="39"/>
        <v>216</v>
      </c>
      <c r="J226" s="3">
        <v>112000</v>
      </c>
      <c r="K226" s="3">
        <v>86500</v>
      </c>
      <c r="L226" s="3">
        <v>116000</v>
      </c>
      <c r="M226" s="30">
        <f t="shared" si="31"/>
        <v>0.12000000000000011</v>
      </c>
      <c r="N226" s="1" t="str">
        <f t="shared" si="32"/>
        <v/>
      </c>
      <c r="O226" s="1" t="str">
        <f t="shared" si="33"/>
        <v/>
      </c>
    </row>
    <row r="227" spans="1:15" x14ac:dyDescent="0.25">
      <c r="A227" s="1">
        <f t="shared" si="35"/>
        <v>216</v>
      </c>
      <c r="B227" s="3">
        <f t="shared" ca="1" si="36"/>
        <v>113000</v>
      </c>
      <c r="C227" s="26">
        <f t="shared" ca="1" si="37"/>
        <v>0.84450144928903403</v>
      </c>
      <c r="D227" s="26" t="str">
        <f t="shared" ca="1" si="34"/>
        <v>Win</v>
      </c>
      <c r="E227" s="3">
        <f t="shared" ca="1" si="38"/>
        <v>500</v>
      </c>
      <c r="F227" s="42">
        <f t="shared" si="30"/>
        <v>1.1205442784247143E-81</v>
      </c>
      <c r="G227" s="41">
        <f>SUM(F$11:F227)</f>
        <v>1.5220902588874612E-81</v>
      </c>
      <c r="I227" s="1">
        <f t="shared" si="39"/>
        <v>217</v>
      </c>
      <c r="J227" s="3">
        <v>111000</v>
      </c>
      <c r="K227" s="3">
        <v>93500</v>
      </c>
      <c r="L227" s="3">
        <v>119000</v>
      </c>
      <c r="M227" s="30">
        <f t="shared" si="31"/>
        <v>0.1100000000000001</v>
      </c>
      <c r="N227" s="1" t="str">
        <f t="shared" si="32"/>
        <v/>
      </c>
      <c r="O227" s="1" t="str">
        <f t="shared" si="33"/>
        <v/>
      </c>
    </row>
    <row r="228" spans="1:15" x14ac:dyDescent="0.25">
      <c r="A228" s="1">
        <f t="shared" si="35"/>
        <v>217</v>
      </c>
      <c r="B228" s="3">
        <f t="shared" ca="1" si="36"/>
        <v>112500</v>
      </c>
      <c r="C228" s="26">
        <f t="shared" ca="1" si="37"/>
        <v>5.9932261715090807E-2</v>
      </c>
      <c r="D228" s="26" t="str">
        <f t="shared" ca="1" si="34"/>
        <v>Lose</v>
      </c>
      <c r="E228" s="3">
        <f t="shared" ca="1" si="38"/>
        <v>-500</v>
      </c>
      <c r="F228" s="42">
        <f t="shared" si="30"/>
        <v>4.2136595907584366E-81</v>
      </c>
      <c r="G228" s="41">
        <f>SUM(F$11:F228)</f>
        <v>5.7357498496458983E-81</v>
      </c>
      <c r="I228" s="1">
        <f t="shared" si="39"/>
        <v>218</v>
      </c>
      <c r="J228" s="3">
        <v>108000</v>
      </c>
      <c r="K228" s="3">
        <v>98500</v>
      </c>
      <c r="L228" s="3">
        <v>116000</v>
      </c>
      <c r="M228" s="30">
        <f t="shared" si="31"/>
        <v>8.0000000000000071E-2</v>
      </c>
      <c r="N228" s="1" t="str">
        <f t="shared" si="32"/>
        <v/>
      </c>
      <c r="O228" s="1" t="str">
        <f t="shared" si="33"/>
        <v/>
      </c>
    </row>
    <row r="229" spans="1:15" x14ac:dyDescent="0.25">
      <c r="A229" s="1">
        <f t="shared" si="35"/>
        <v>218</v>
      </c>
      <c r="B229" s="3">
        <f t="shared" ca="1" si="36"/>
        <v>113000</v>
      </c>
      <c r="C229" s="26">
        <f t="shared" ca="1" si="37"/>
        <v>0.72245100124908745</v>
      </c>
      <c r="D229" s="26" t="str">
        <f t="shared" ca="1" si="34"/>
        <v>Win</v>
      </c>
      <c r="E229" s="3">
        <f t="shared" ca="1" si="38"/>
        <v>500</v>
      </c>
      <c r="F229" s="42">
        <f t="shared" si="30"/>
        <v>1.575211275395647E-80</v>
      </c>
      <c r="G229" s="41">
        <f>SUM(F$11:F229)</f>
        <v>2.1487862603602368E-80</v>
      </c>
      <c r="I229" s="1">
        <f t="shared" si="39"/>
        <v>219</v>
      </c>
      <c r="J229" s="3">
        <v>91000</v>
      </c>
      <c r="K229" s="3">
        <v>90000</v>
      </c>
      <c r="L229" s="3">
        <v>115000</v>
      </c>
      <c r="M229" s="30">
        <f t="shared" si="31"/>
        <v>-8.9999999999999969E-2</v>
      </c>
      <c r="N229" s="1" t="str">
        <f t="shared" si="32"/>
        <v/>
      </c>
      <c r="O229" s="1" t="str">
        <f t="shared" si="33"/>
        <v/>
      </c>
    </row>
    <row r="230" spans="1:15" x14ac:dyDescent="0.25">
      <c r="A230" s="1">
        <f t="shared" si="35"/>
        <v>219</v>
      </c>
      <c r="B230" s="3">
        <f t="shared" ca="1" si="36"/>
        <v>113500</v>
      </c>
      <c r="C230" s="26">
        <f t="shared" ca="1" si="37"/>
        <v>0.9270223191955278</v>
      </c>
      <c r="D230" s="26" t="str">
        <f t="shared" ca="1" si="34"/>
        <v>Win</v>
      </c>
      <c r="E230" s="3">
        <f t="shared" ca="1" si="38"/>
        <v>500</v>
      </c>
      <c r="F230" s="42">
        <f t="shared" si="30"/>
        <v>5.8543077145957138E-80</v>
      </c>
      <c r="G230" s="41">
        <f>SUM(F$11:F230)</f>
        <v>8.003093974955951E-80</v>
      </c>
      <c r="I230" s="1">
        <f t="shared" si="39"/>
        <v>220</v>
      </c>
      <c r="J230" s="3">
        <v>84000</v>
      </c>
      <c r="K230" s="3">
        <v>82000</v>
      </c>
      <c r="L230" s="3">
        <v>108500</v>
      </c>
      <c r="M230" s="30">
        <f t="shared" si="31"/>
        <v>-0.16000000000000003</v>
      </c>
      <c r="N230" s="1" t="str">
        <f t="shared" si="32"/>
        <v/>
      </c>
      <c r="O230" s="1" t="str">
        <f t="shared" si="33"/>
        <v/>
      </c>
    </row>
    <row r="231" spans="1:15" x14ac:dyDescent="0.25">
      <c r="A231" s="1">
        <f t="shared" si="35"/>
        <v>220</v>
      </c>
      <c r="B231" s="3">
        <f t="shared" ca="1" si="36"/>
        <v>114000</v>
      </c>
      <c r="C231" s="26">
        <f t="shared" ca="1" si="37"/>
        <v>0.70848613030243313</v>
      </c>
      <c r="D231" s="26" t="str">
        <f t="shared" ca="1" si="34"/>
        <v>Win</v>
      </c>
      <c r="E231" s="3">
        <f t="shared" ca="1" si="38"/>
        <v>500</v>
      </c>
      <c r="F231" s="42">
        <f t="shared" si="30"/>
        <v>2.1631069627094289E-79</v>
      </c>
      <c r="G231" s="41">
        <f>SUM(F$11:F231)</f>
        <v>2.963416360205024E-79</v>
      </c>
      <c r="I231" s="1">
        <f t="shared" si="39"/>
        <v>221</v>
      </c>
      <c r="J231" s="3">
        <v>102000</v>
      </c>
      <c r="K231" s="3">
        <v>96500</v>
      </c>
      <c r="L231" s="3">
        <v>110000</v>
      </c>
      <c r="M231" s="30">
        <f t="shared" si="31"/>
        <v>2.0000000000000018E-2</v>
      </c>
      <c r="N231" s="1" t="str">
        <f t="shared" si="32"/>
        <v/>
      </c>
      <c r="O231" s="1" t="str">
        <f t="shared" si="33"/>
        <v/>
      </c>
    </row>
    <row r="232" spans="1:15" x14ac:dyDescent="0.25">
      <c r="A232" s="1">
        <f t="shared" si="35"/>
        <v>221</v>
      </c>
      <c r="B232" s="3">
        <f t="shared" ca="1" si="36"/>
        <v>114500</v>
      </c>
      <c r="C232" s="26">
        <f t="shared" ca="1" si="37"/>
        <v>0.90997141259636949</v>
      </c>
      <c r="D232" s="26" t="str">
        <f t="shared" ca="1" si="34"/>
        <v>Win</v>
      </c>
      <c r="E232" s="3">
        <f t="shared" ca="1" si="38"/>
        <v>500</v>
      </c>
      <c r="F232" s="42">
        <f t="shared" si="30"/>
        <v>7.9461072099527657E-79</v>
      </c>
      <c r="G232" s="41">
        <f>SUM(F$11:F232)</f>
        <v>1.0909523570157788E-78</v>
      </c>
      <c r="I232" s="1">
        <f t="shared" si="39"/>
        <v>222</v>
      </c>
      <c r="J232" s="3">
        <v>93000</v>
      </c>
      <c r="K232" s="3">
        <v>84500</v>
      </c>
      <c r="L232" s="3">
        <v>101500</v>
      </c>
      <c r="M232" s="30">
        <f t="shared" si="31"/>
        <v>-6.9999999999999951E-2</v>
      </c>
      <c r="N232" s="1" t="str">
        <f t="shared" si="32"/>
        <v/>
      </c>
      <c r="O232" s="1" t="str">
        <f t="shared" si="33"/>
        <v/>
      </c>
    </row>
    <row r="233" spans="1:15" x14ac:dyDescent="0.25">
      <c r="A233" s="1">
        <f t="shared" si="35"/>
        <v>222</v>
      </c>
      <c r="B233" s="3">
        <f t="shared" ca="1" si="36"/>
        <v>115000</v>
      </c>
      <c r="C233" s="26">
        <f t="shared" ca="1" si="37"/>
        <v>0.68981629455829563</v>
      </c>
      <c r="D233" s="26" t="str">
        <f t="shared" ca="1" si="34"/>
        <v>Win</v>
      </c>
      <c r="E233" s="3">
        <f t="shared" ca="1" si="38"/>
        <v>500</v>
      </c>
      <c r="F233" s="42">
        <f t="shared" si="30"/>
        <v>2.9021041859186199E-78</v>
      </c>
      <c r="G233" s="41">
        <f>SUM(F$11:F233)</f>
        <v>3.9930565429343987E-78</v>
      </c>
      <c r="I233" s="1">
        <f t="shared" si="39"/>
        <v>223</v>
      </c>
      <c r="J233" s="3">
        <v>104000</v>
      </c>
      <c r="K233" s="3">
        <v>88500</v>
      </c>
      <c r="L233" s="3">
        <v>107000</v>
      </c>
      <c r="M233" s="30">
        <f t="shared" si="31"/>
        <v>4.0000000000000036E-2</v>
      </c>
      <c r="N233" s="1" t="str">
        <f t="shared" si="32"/>
        <v/>
      </c>
      <c r="O233" s="1" t="str">
        <f t="shared" si="33"/>
        <v/>
      </c>
    </row>
    <row r="234" spans="1:15" x14ac:dyDescent="0.25">
      <c r="A234" s="1">
        <f t="shared" si="35"/>
        <v>223</v>
      </c>
      <c r="B234" s="3">
        <f t="shared" ca="1" si="36"/>
        <v>114500</v>
      </c>
      <c r="C234" s="26">
        <f t="shared" ca="1" si="37"/>
        <v>0.44217774128681742</v>
      </c>
      <c r="D234" s="26" t="str">
        <f t="shared" ca="1" si="34"/>
        <v>Lose</v>
      </c>
      <c r="E234" s="3">
        <f t="shared" ca="1" si="38"/>
        <v>-500</v>
      </c>
      <c r="F234" s="42">
        <f t="shared" si="30"/>
        <v>1.0538088211666098E-77</v>
      </c>
      <c r="G234" s="41">
        <f>SUM(F$11:F234)</f>
        <v>1.4531144754600496E-77</v>
      </c>
      <c r="I234" s="1">
        <f t="shared" si="39"/>
        <v>224</v>
      </c>
      <c r="J234" s="3">
        <v>104000</v>
      </c>
      <c r="K234" s="3">
        <v>99500</v>
      </c>
      <c r="L234" s="3">
        <v>118000</v>
      </c>
      <c r="M234" s="30">
        <f t="shared" si="31"/>
        <v>4.0000000000000036E-2</v>
      </c>
      <c r="N234" s="1" t="str">
        <f t="shared" si="32"/>
        <v/>
      </c>
      <c r="O234" s="1" t="str">
        <f t="shared" si="33"/>
        <v/>
      </c>
    </row>
    <row r="235" spans="1:15" x14ac:dyDescent="0.25">
      <c r="A235" s="1">
        <f t="shared" si="35"/>
        <v>224</v>
      </c>
      <c r="B235" s="3">
        <f t="shared" ca="1" si="36"/>
        <v>114000</v>
      </c>
      <c r="C235" s="26">
        <f t="shared" ca="1" si="37"/>
        <v>0.13001978506906708</v>
      </c>
      <c r="D235" s="26" t="str">
        <f t="shared" ca="1" si="34"/>
        <v>Lose</v>
      </c>
      <c r="E235" s="3">
        <f t="shared" ca="1" si="38"/>
        <v>-500</v>
      </c>
      <c r="F235" s="42">
        <f t="shared" si="30"/>
        <v>3.8045993218268348E-77</v>
      </c>
      <c r="G235" s="41">
        <f>SUM(F$11:F235)</f>
        <v>5.2577137972868847E-77</v>
      </c>
      <c r="I235" s="1">
        <f t="shared" si="39"/>
        <v>225</v>
      </c>
      <c r="J235" s="3">
        <v>101000</v>
      </c>
      <c r="K235" s="3">
        <v>94500</v>
      </c>
      <c r="L235" s="3">
        <v>111000</v>
      </c>
      <c r="M235" s="30">
        <f t="shared" si="31"/>
        <v>1.0000000000000009E-2</v>
      </c>
      <c r="N235" s="1" t="str">
        <f t="shared" si="32"/>
        <v/>
      </c>
      <c r="O235" s="1" t="str">
        <f t="shared" si="33"/>
        <v/>
      </c>
    </row>
    <row r="236" spans="1:15" x14ac:dyDescent="0.25">
      <c r="A236" s="1">
        <f t="shared" si="35"/>
        <v>225</v>
      </c>
      <c r="B236" s="3">
        <f t="shared" ca="1" si="36"/>
        <v>114500</v>
      </c>
      <c r="C236" s="26">
        <f t="shared" ca="1" si="37"/>
        <v>0.89817432139196329</v>
      </c>
      <c r="D236" s="26" t="str">
        <f t="shared" ca="1" si="34"/>
        <v>Win</v>
      </c>
      <c r="E236" s="3">
        <f t="shared" ca="1" si="38"/>
        <v>500</v>
      </c>
      <c r="F236" s="42">
        <f t="shared" si="30"/>
        <v>1.3657217483954859E-76</v>
      </c>
      <c r="G236" s="41">
        <f>SUM(F$11:F236)</f>
        <v>1.8914931281241744E-76</v>
      </c>
      <c r="I236" s="1">
        <f t="shared" si="39"/>
        <v>226</v>
      </c>
      <c r="J236" s="3">
        <v>126000</v>
      </c>
      <c r="K236" s="3">
        <v>97500</v>
      </c>
      <c r="L236" s="3">
        <v>127500</v>
      </c>
      <c r="M236" s="30">
        <f t="shared" si="31"/>
        <v>0.26</v>
      </c>
      <c r="N236" s="1" t="str">
        <f t="shared" si="32"/>
        <v/>
      </c>
      <c r="O236" s="1" t="str">
        <f t="shared" si="33"/>
        <v/>
      </c>
    </row>
    <row r="237" spans="1:15" x14ac:dyDescent="0.25">
      <c r="A237" s="1">
        <f t="shared" si="35"/>
        <v>226</v>
      </c>
      <c r="B237" s="3">
        <f t="shared" ca="1" si="36"/>
        <v>115000</v>
      </c>
      <c r="C237" s="26">
        <f t="shared" ca="1" si="37"/>
        <v>0.66015975695050966</v>
      </c>
      <c r="D237" s="26" t="str">
        <f t="shared" ca="1" si="34"/>
        <v>Win</v>
      </c>
      <c r="E237" s="3">
        <f t="shared" ca="1" si="38"/>
        <v>500</v>
      </c>
      <c r="F237" s="42">
        <f t="shared" si="30"/>
        <v>4.8744945011134198E-76</v>
      </c>
      <c r="G237" s="41">
        <f>SUM(F$11:F237)</f>
        <v>6.7659876292375942E-76</v>
      </c>
      <c r="I237" s="1">
        <f t="shared" si="39"/>
        <v>227</v>
      </c>
      <c r="J237" s="3">
        <v>125000</v>
      </c>
      <c r="K237" s="3">
        <v>96500</v>
      </c>
      <c r="L237" s="3">
        <v>127000</v>
      </c>
      <c r="M237" s="30">
        <f t="shared" si="31"/>
        <v>0.25</v>
      </c>
      <c r="N237" s="1" t="str">
        <f t="shared" si="32"/>
        <v/>
      </c>
      <c r="O237" s="1" t="str">
        <f t="shared" si="33"/>
        <v/>
      </c>
    </row>
    <row r="238" spans="1:15" x14ac:dyDescent="0.25">
      <c r="A238" s="1">
        <f t="shared" si="35"/>
        <v>227</v>
      </c>
      <c r="B238" s="3">
        <f t="shared" ca="1" si="36"/>
        <v>114500</v>
      </c>
      <c r="C238" s="26">
        <f t="shared" ca="1" si="37"/>
        <v>0.25309905908299468</v>
      </c>
      <c r="D238" s="26" t="str">
        <f t="shared" ca="1" si="34"/>
        <v>Lose</v>
      </c>
      <c r="E238" s="3">
        <f t="shared" ca="1" si="38"/>
        <v>-500</v>
      </c>
      <c r="F238" s="42">
        <f t="shared" si="30"/>
        <v>1.729891179870173E-75</v>
      </c>
      <c r="G238" s="41">
        <f>SUM(F$11:F238)</f>
        <v>2.4064899427939326E-75</v>
      </c>
      <c r="I238" s="1">
        <f t="shared" si="39"/>
        <v>228</v>
      </c>
      <c r="J238" s="3">
        <v>100000</v>
      </c>
      <c r="K238" s="3">
        <v>86500</v>
      </c>
      <c r="L238" s="3">
        <v>108500</v>
      </c>
      <c r="M238" s="30">
        <f t="shared" si="31"/>
        <v>0</v>
      </c>
      <c r="N238" s="1" t="str">
        <f t="shared" si="32"/>
        <v/>
      </c>
      <c r="O238" s="1" t="str">
        <f t="shared" si="33"/>
        <v/>
      </c>
    </row>
    <row r="239" spans="1:15" x14ac:dyDescent="0.25">
      <c r="A239" s="1">
        <f t="shared" si="35"/>
        <v>228</v>
      </c>
      <c r="B239" s="3">
        <f t="shared" ca="1" si="36"/>
        <v>115000</v>
      </c>
      <c r="C239" s="26">
        <f t="shared" ca="1" si="37"/>
        <v>0.51384398476514126</v>
      </c>
      <c r="D239" s="26" t="str">
        <f t="shared" ca="1" si="34"/>
        <v>Win</v>
      </c>
      <c r="E239" s="3">
        <f t="shared" ca="1" si="38"/>
        <v>500</v>
      </c>
      <c r="F239" s="42">
        <f t="shared" si="30"/>
        <v>6.1043233068408502E-75</v>
      </c>
      <c r="G239" s="41">
        <f>SUM(F$11:F239)</f>
        <v>8.5108132496347828E-75</v>
      </c>
      <c r="I239" s="1">
        <f t="shared" si="39"/>
        <v>229</v>
      </c>
      <c r="J239" s="3">
        <v>116000</v>
      </c>
      <c r="K239" s="3">
        <v>96500</v>
      </c>
      <c r="L239" s="3">
        <v>125500</v>
      </c>
      <c r="M239" s="30">
        <f t="shared" si="31"/>
        <v>0.15999999999999992</v>
      </c>
      <c r="N239" s="1" t="str">
        <f t="shared" si="32"/>
        <v/>
      </c>
      <c r="O239" s="1" t="str">
        <f t="shared" si="33"/>
        <v/>
      </c>
    </row>
    <row r="240" spans="1:15" x14ac:dyDescent="0.25">
      <c r="A240" s="1">
        <f t="shared" si="35"/>
        <v>229</v>
      </c>
      <c r="B240" s="3">
        <f t="shared" ca="1" si="36"/>
        <v>115500</v>
      </c>
      <c r="C240" s="26">
        <f t="shared" ca="1" si="37"/>
        <v>0.72799448401900269</v>
      </c>
      <c r="D240" s="26" t="str">
        <f t="shared" ca="1" si="34"/>
        <v>Win</v>
      </c>
      <c r="E240" s="3">
        <f t="shared" ca="1" si="38"/>
        <v>500</v>
      </c>
      <c r="F240" s="42">
        <f t="shared" si="30"/>
        <v>2.1418716445676669E-74</v>
      </c>
      <c r="G240" s="41">
        <f>SUM(F$11:F240)</f>
        <v>2.9929529695311453E-74</v>
      </c>
      <c r="I240" s="1">
        <f t="shared" si="39"/>
        <v>230</v>
      </c>
      <c r="J240" s="3">
        <v>110000</v>
      </c>
      <c r="K240" s="3">
        <v>97000</v>
      </c>
      <c r="L240" s="3">
        <v>114000</v>
      </c>
      <c r="M240" s="30">
        <f t="shared" si="31"/>
        <v>0.10000000000000009</v>
      </c>
      <c r="N240" s="1" t="str">
        <f t="shared" si="32"/>
        <v/>
      </c>
      <c r="O240" s="1" t="str">
        <f t="shared" si="33"/>
        <v/>
      </c>
    </row>
    <row r="241" spans="1:15" x14ac:dyDescent="0.25">
      <c r="A241" s="1">
        <f t="shared" si="35"/>
        <v>230</v>
      </c>
      <c r="B241" s="3">
        <f t="shared" ca="1" si="36"/>
        <v>116000</v>
      </c>
      <c r="C241" s="26">
        <f t="shared" ca="1" si="37"/>
        <v>0.85746693335669066</v>
      </c>
      <c r="D241" s="26" t="str">
        <f t="shared" ca="1" si="34"/>
        <v>Win</v>
      </c>
      <c r="E241" s="3">
        <f t="shared" ca="1" si="38"/>
        <v>500</v>
      </c>
      <c r="F241" s="42">
        <f t="shared" si="30"/>
        <v>7.4729844663751366E-74</v>
      </c>
      <c r="G241" s="41">
        <f>SUM(F$11:F241)</f>
        <v>1.0465937435906282E-73</v>
      </c>
      <c r="I241" s="1">
        <f t="shared" si="39"/>
        <v>231</v>
      </c>
      <c r="J241" s="3">
        <v>95000</v>
      </c>
      <c r="K241" s="3">
        <v>94500</v>
      </c>
      <c r="L241" s="3">
        <v>111500</v>
      </c>
      <c r="M241" s="30">
        <f t="shared" si="31"/>
        <v>-5.0000000000000044E-2</v>
      </c>
      <c r="N241" s="1" t="str">
        <f t="shared" si="32"/>
        <v/>
      </c>
      <c r="O241" s="1" t="str">
        <f t="shared" si="33"/>
        <v/>
      </c>
    </row>
    <row r="242" spans="1:15" x14ac:dyDescent="0.25">
      <c r="A242" s="1">
        <f t="shared" si="35"/>
        <v>231</v>
      </c>
      <c r="B242" s="3">
        <f t="shared" ca="1" si="36"/>
        <v>116500</v>
      </c>
      <c r="C242" s="26">
        <f t="shared" ca="1" si="37"/>
        <v>0.92653528197507096</v>
      </c>
      <c r="D242" s="26" t="str">
        <f t="shared" ca="1" si="34"/>
        <v>Win</v>
      </c>
      <c r="E242" s="3">
        <f t="shared" ca="1" si="38"/>
        <v>500</v>
      </c>
      <c r="F242" s="42">
        <f t="shared" si="30"/>
        <v>2.5926680801709886E-73</v>
      </c>
      <c r="G242" s="41">
        <f>SUM(F$11:F242)</f>
        <v>3.6392618237616171E-73</v>
      </c>
      <c r="I242" s="1">
        <f t="shared" si="39"/>
        <v>232</v>
      </c>
      <c r="J242" s="3">
        <v>86000</v>
      </c>
      <c r="K242" s="3">
        <v>81500</v>
      </c>
      <c r="L242" s="3">
        <v>105500</v>
      </c>
      <c r="M242" s="30">
        <f t="shared" si="31"/>
        <v>-0.14000000000000001</v>
      </c>
      <c r="N242" s="1" t="str">
        <f t="shared" si="32"/>
        <v/>
      </c>
      <c r="O242" s="1" t="str">
        <f t="shared" si="33"/>
        <v/>
      </c>
    </row>
    <row r="243" spans="1:15" x14ac:dyDescent="0.25">
      <c r="A243" s="1">
        <f t="shared" si="35"/>
        <v>232</v>
      </c>
      <c r="B243" s="3">
        <f t="shared" ca="1" si="36"/>
        <v>116000</v>
      </c>
      <c r="C243" s="26">
        <f t="shared" ca="1" si="37"/>
        <v>8.3252748340568727E-3</v>
      </c>
      <c r="D243" s="26" t="str">
        <f t="shared" ca="1" si="34"/>
        <v>Lose</v>
      </c>
      <c r="E243" s="3">
        <f t="shared" ca="1" si="38"/>
        <v>-500</v>
      </c>
      <c r="F243" s="42">
        <f t="shared" si="30"/>
        <v>8.9445680362618966E-73</v>
      </c>
      <c r="G243" s="41">
        <f>SUM(F$11:F243)</f>
        <v>1.2583829860023514E-72</v>
      </c>
      <c r="I243" s="1">
        <f t="shared" si="39"/>
        <v>233</v>
      </c>
      <c r="J243" s="3">
        <v>91000</v>
      </c>
      <c r="K243" s="3">
        <v>83000</v>
      </c>
      <c r="L243" s="3">
        <v>110500</v>
      </c>
      <c r="M243" s="30">
        <f t="shared" si="31"/>
        <v>-8.9999999999999969E-2</v>
      </c>
      <c r="N243" s="1" t="str">
        <f t="shared" si="32"/>
        <v/>
      </c>
      <c r="O243" s="1" t="str">
        <f t="shared" si="33"/>
        <v/>
      </c>
    </row>
    <row r="244" spans="1:15" x14ac:dyDescent="0.25">
      <c r="A244" s="1">
        <f t="shared" si="35"/>
        <v>233</v>
      </c>
      <c r="B244" s="3">
        <f t="shared" ca="1" si="36"/>
        <v>115500</v>
      </c>
      <c r="C244" s="26">
        <f t="shared" ca="1" si="37"/>
        <v>0.232273175538804</v>
      </c>
      <c r="D244" s="26" t="str">
        <f t="shared" ca="1" si="34"/>
        <v>Lose</v>
      </c>
      <c r="E244" s="3">
        <f t="shared" ca="1" si="38"/>
        <v>-500</v>
      </c>
      <c r="F244" s="42">
        <f t="shared" si="30"/>
        <v>3.0685893040580118E-72</v>
      </c>
      <c r="G244" s="41">
        <f>SUM(F$11:F244)</f>
        <v>4.3269722900603634E-72</v>
      </c>
      <c r="I244" s="1">
        <f t="shared" si="39"/>
        <v>234</v>
      </c>
      <c r="J244" s="3">
        <v>96000</v>
      </c>
      <c r="K244" s="3">
        <v>95500</v>
      </c>
      <c r="L244" s="3">
        <v>113500</v>
      </c>
      <c r="M244" s="30">
        <f t="shared" si="31"/>
        <v>-4.0000000000000036E-2</v>
      </c>
      <c r="N244" s="1" t="str">
        <f t="shared" si="32"/>
        <v/>
      </c>
      <c r="O244" s="1" t="str">
        <f t="shared" si="33"/>
        <v/>
      </c>
    </row>
    <row r="245" spans="1:15" x14ac:dyDescent="0.25">
      <c r="A245" s="1">
        <f t="shared" si="35"/>
        <v>234</v>
      </c>
      <c r="B245" s="3">
        <f t="shared" ca="1" si="36"/>
        <v>115000</v>
      </c>
      <c r="C245" s="26">
        <f t="shared" ca="1" si="37"/>
        <v>0.26789808851308572</v>
      </c>
      <c r="D245" s="26" t="str">
        <f t="shared" ca="1" si="34"/>
        <v>Lose</v>
      </c>
      <c r="E245" s="3">
        <f t="shared" ca="1" si="38"/>
        <v>-500</v>
      </c>
      <c r="F245" s="42">
        <f t="shared" si="30"/>
        <v>1.0468690720986201E-71</v>
      </c>
      <c r="G245" s="41">
        <f>SUM(F$11:F245)</f>
        <v>1.4795663011046564E-71</v>
      </c>
      <c r="I245" s="1">
        <f t="shared" si="39"/>
        <v>235</v>
      </c>
      <c r="J245" s="3">
        <v>124000</v>
      </c>
      <c r="K245" s="3">
        <v>91000</v>
      </c>
      <c r="L245" s="3">
        <v>125500</v>
      </c>
      <c r="M245" s="30">
        <f t="shared" si="31"/>
        <v>0.24</v>
      </c>
      <c r="N245" s="1" t="str">
        <f t="shared" si="32"/>
        <v/>
      </c>
      <c r="O245" s="1" t="str">
        <f t="shared" si="33"/>
        <v/>
      </c>
    </row>
    <row r="246" spans="1:15" x14ac:dyDescent="0.25">
      <c r="A246" s="1">
        <f t="shared" si="35"/>
        <v>235</v>
      </c>
      <c r="B246" s="3">
        <f t="shared" ca="1" si="36"/>
        <v>115500</v>
      </c>
      <c r="C246" s="26">
        <f t="shared" ca="1" si="37"/>
        <v>0.69275367438406865</v>
      </c>
      <c r="D246" s="26" t="str">
        <f t="shared" ca="1" si="34"/>
        <v>Win</v>
      </c>
      <c r="E246" s="3">
        <f t="shared" ca="1" si="38"/>
        <v>500</v>
      </c>
      <c r="F246" s="42">
        <f t="shared" si="30"/>
        <v>3.5516271967524349E-71</v>
      </c>
      <c r="G246" s="41">
        <f>SUM(F$11:F246)</f>
        <v>5.0311934978570913E-71</v>
      </c>
      <c r="I246" s="1">
        <f t="shared" si="39"/>
        <v>236</v>
      </c>
      <c r="J246" s="3">
        <v>105000</v>
      </c>
      <c r="K246" s="3">
        <v>92500</v>
      </c>
      <c r="L246" s="3">
        <v>111000</v>
      </c>
      <c r="M246" s="30">
        <f t="shared" si="31"/>
        <v>5.0000000000000044E-2</v>
      </c>
      <c r="N246" s="1" t="str">
        <f t="shared" si="32"/>
        <v/>
      </c>
      <c r="O246" s="1" t="str">
        <f t="shared" si="33"/>
        <v/>
      </c>
    </row>
    <row r="247" spans="1:15" x14ac:dyDescent="0.25">
      <c r="A247" s="1">
        <f t="shared" si="35"/>
        <v>236</v>
      </c>
      <c r="B247" s="3">
        <f t="shared" ca="1" si="36"/>
        <v>115000</v>
      </c>
      <c r="C247" s="26">
        <f t="shared" ca="1" si="37"/>
        <v>0.45773173833650493</v>
      </c>
      <c r="D247" s="26" t="str">
        <f t="shared" ca="1" si="34"/>
        <v>Lose</v>
      </c>
      <c r="E247" s="3">
        <f t="shared" ca="1" si="38"/>
        <v>-500</v>
      </c>
      <c r="F247" s="42">
        <f t="shared" si="30"/>
        <v>1.1982595562201246E-70</v>
      </c>
      <c r="G247" s="41">
        <f>SUM(F$11:F247)</f>
        <v>1.7013789060058336E-70</v>
      </c>
      <c r="I247" s="1">
        <f t="shared" si="39"/>
        <v>237</v>
      </c>
      <c r="J247" s="3">
        <v>106000</v>
      </c>
      <c r="K247" s="3">
        <v>87500</v>
      </c>
      <c r="L247" s="3">
        <v>111000</v>
      </c>
      <c r="M247" s="30">
        <f t="shared" si="31"/>
        <v>6.0000000000000053E-2</v>
      </c>
      <c r="N247" s="1" t="str">
        <f t="shared" si="32"/>
        <v/>
      </c>
      <c r="O247" s="1" t="str">
        <f t="shared" si="33"/>
        <v/>
      </c>
    </row>
    <row r="248" spans="1:15" x14ac:dyDescent="0.25">
      <c r="A248" s="1">
        <f t="shared" si="35"/>
        <v>237</v>
      </c>
      <c r="B248" s="3">
        <f t="shared" ca="1" si="36"/>
        <v>115500</v>
      </c>
      <c r="C248" s="26">
        <f t="shared" ca="1" si="37"/>
        <v>0.62566229369117055</v>
      </c>
      <c r="D248" s="26" t="str">
        <f t="shared" ca="1" si="34"/>
        <v>Win</v>
      </c>
      <c r="E248" s="3">
        <f t="shared" ca="1" si="38"/>
        <v>500</v>
      </c>
      <c r="F248" s="42">
        <f t="shared" si="30"/>
        <v>4.0204069016243247E-70</v>
      </c>
      <c r="G248" s="41">
        <f>SUM(F$11:F248)</f>
        <v>5.721785807630158E-70</v>
      </c>
      <c r="I248" s="1">
        <f t="shared" si="39"/>
        <v>238</v>
      </c>
      <c r="J248" s="3">
        <v>123000</v>
      </c>
      <c r="K248" s="3">
        <v>92000</v>
      </c>
      <c r="L248" s="3">
        <v>127000</v>
      </c>
      <c r="M248" s="30">
        <f t="shared" si="31"/>
        <v>0.22999999999999998</v>
      </c>
      <c r="N248" s="1" t="str">
        <f t="shared" si="32"/>
        <v/>
      </c>
      <c r="O248" s="1" t="str">
        <f t="shared" si="33"/>
        <v/>
      </c>
    </row>
    <row r="249" spans="1:15" x14ac:dyDescent="0.25">
      <c r="A249" s="1">
        <f t="shared" si="35"/>
        <v>238</v>
      </c>
      <c r="B249" s="3">
        <f t="shared" ca="1" si="36"/>
        <v>115000</v>
      </c>
      <c r="C249" s="26">
        <f t="shared" ca="1" si="37"/>
        <v>0.38084426278595851</v>
      </c>
      <c r="D249" s="26" t="str">
        <f t="shared" ca="1" si="34"/>
        <v>Lose</v>
      </c>
      <c r="E249" s="3">
        <f t="shared" ca="1" si="38"/>
        <v>-500</v>
      </c>
      <c r="F249" s="42">
        <f t="shared" si="30"/>
        <v>1.341503119215501E-69</v>
      </c>
      <c r="G249" s="41">
        <f>SUM(F$11:F249)</f>
        <v>1.9136816999785167E-69</v>
      </c>
      <c r="I249" s="1">
        <f t="shared" si="39"/>
        <v>239</v>
      </c>
      <c r="J249" s="3">
        <v>113000</v>
      </c>
      <c r="K249" s="3">
        <v>90500</v>
      </c>
      <c r="L249" s="3">
        <v>113500</v>
      </c>
      <c r="M249" s="30">
        <f t="shared" si="31"/>
        <v>0.12999999999999989</v>
      </c>
      <c r="N249" s="1" t="str">
        <f t="shared" si="32"/>
        <v/>
      </c>
      <c r="O249" s="1" t="str">
        <f t="shared" si="33"/>
        <v/>
      </c>
    </row>
    <row r="250" spans="1:15" x14ac:dyDescent="0.25">
      <c r="A250" s="1">
        <f t="shared" si="35"/>
        <v>239</v>
      </c>
      <c r="B250" s="3">
        <f t="shared" ca="1" si="36"/>
        <v>115500</v>
      </c>
      <c r="C250" s="26">
        <f t="shared" ca="1" si="37"/>
        <v>0.93709717338523602</v>
      </c>
      <c r="D250" s="26" t="str">
        <f t="shared" ca="1" si="34"/>
        <v>Win</v>
      </c>
      <c r="E250" s="3">
        <f t="shared" ca="1" si="38"/>
        <v>500</v>
      </c>
      <c r="F250" s="42">
        <f t="shared" si="30"/>
        <v>4.4516688770346238E-69</v>
      </c>
      <c r="G250" s="41">
        <f>SUM(F$11:F250)</f>
        <v>6.365350577013141E-69</v>
      </c>
      <c r="I250" s="1">
        <f t="shared" si="39"/>
        <v>240</v>
      </c>
      <c r="J250" s="3">
        <v>112000</v>
      </c>
      <c r="K250" s="3">
        <v>93500</v>
      </c>
      <c r="L250" s="3">
        <v>115000</v>
      </c>
      <c r="M250" s="30">
        <f t="shared" si="31"/>
        <v>0.12000000000000011</v>
      </c>
      <c r="N250" s="1" t="str">
        <f t="shared" si="32"/>
        <v/>
      </c>
      <c r="O250" s="1" t="str">
        <f t="shared" si="33"/>
        <v/>
      </c>
    </row>
    <row r="251" spans="1:15" x14ac:dyDescent="0.25">
      <c r="A251" s="1">
        <f t="shared" si="35"/>
        <v>240</v>
      </c>
      <c r="B251" s="3">
        <f t="shared" ca="1" si="36"/>
        <v>116000</v>
      </c>
      <c r="C251" s="26">
        <f t="shared" ca="1" si="37"/>
        <v>0.90815702452396496</v>
      </c>
      <c r="D251" s="26" t="str">
        <f t="shared" ca="1" si="34"/>
        <v>Win</v>
      </c>
      <c r="E251" s="3">
        <f t="shared" ca="1" si="38"/>
        <v>500</v>
      </c>
      <c r="F251" s="42">
        <f t="shared" si="30"/>
        <v>1.4691642924029926E-68</v>
      </c>
      <c r="G251" s="41">
        <f>SUM(F$11:F251)</f>
        <v>2.1056993501043067E-68</v>
      </c>
      <c r="I251" s="1">
        <f t="shared" si="39"/>
        <v>241</v>
      </c>
      <c r="J251" s="3">
        <v>105000</v>
      </c>
      <c r="K251" s="3">
        <v>94500</v>
      </c>
      <c r="L251" s="3">
        <v>107500</v>
      </c>
      <c r="M251" s="30">
        <f t="shared" si="31"/>
        <v>5.0000000000000044E-2</v>
      </c>
      <c r="N251" s="1" t="str">
        <f t="shared" si="32"/>
        <v/>
      </c>
      <c r="O251" s="1" t="str">
        <f t="shared" si="33"/>
        <v/>
      </c>
    </row>
    <row r="252" spans="1:15" x14ac:dyDescent="0.25">
      <c r="A252" s="1">
        <f t="shared" si="35"/>
        <v>241</v>
      </c>
      <c r="B252" s="3">
        <f t="shared" ca="1" si="36"/>
        <v>115500</v>
      </c>
      <c r="C252" s="26">
        <f t="shared" ca="1" si="37"/>
        <v>0.37522793705094859</v>
      </c>
      <c r="D252" s="26" t="str">
        <f t="shared" ca="1" si="34"/>
        <v>Lose</v>
      </c>
      <c r="E252" s="3">
        <f t="shared" ca="1" si="38"/>
        <v>-500</v>
      </c>
      <c r="F252" s="42">
        <f t="shared" si="30"/>
        <v>4.8221532706866952E-68</v>
      </c>
      <c r="G252" s="41">
        <f>SUM(F$11:F252)</f>
        <v>6.9278526207910019E-68</v>
      </c>
      <c r="I252" s="1">
        <f t="shared" si="39"/>
        <v>242</v>
      </c>
      <c r="J252" s="3">
        <v>119000</v>
      </c>
      <c r="K252" s="3">
        <v>97500</v>
      </c>
      <c r="L252" s="3">
        <v>119500</v>
      </c>
      <c r="M252" s="30">
        <f t="shared" si="31"/>
        <v>0.18999999999999995</v>
      </c>
      <c r="N252" s="1" t="str">
        <f t="shared" si="32"/>
        <v/>
      </c>
      <c r="O252" s="1" t="str">
        <f t="shared" si="33"/>
        <v/>
      </c>
    </row>
    <row r="253" spans="1:15" x14ac:dyDescent="0.25">
      <c r="A253" s="1">
        <f t="shared" si="35"/>
        <v>242</v>
      </c>
      <c r="B253" s="3">
        <f t="shared" ca="1" si="36"/>
        <v>116000</v>
      </c>
      <c r="C253" s="26">
        <f t="shared" ca="1" si="37"/>
        <v>0.85848998087529205</v>
      </c>
      <c r="D253" s="26" t="str">
        <f t="shared" ca="1" si="34"/>
        <v>Win</v>
      </c>
      <c r="E253" s="3">
        <f t="shared" ca="1" si="38"/>
        <v>500</v>
      </c>
      <c r="F253" s="42">
        <f t="shared" si="30"/>
        <v>1.5741333357651243E-67</v>
      </c>
      <c r="G253" s="41">
        <f>SUM(F$11:F253)</f>
        <v>2.2669185978442244E-67</v>
      </c>
      <c r="I253" s="1">
        <f t="shared" si="39"/>
        <v>243</v>
      </c>
      <c r="J253" s="3">
        <v>123000</v>
      </c>
      <c r="K253" s="3">
        <v>99000</v>
      </c>
      <c r="L253" s="3">
        <v>129000</v>
      </c>
      <c r="M253" s="30">
        <f t="shared" si="31"/>
        <v>0.22999999999999998</v>
      </c>
      <c r="N253" s="1" t="str">
        <f t="shared" si="32"/>
        <v/>
      </c>
      <c r="O253" s="1" t="str">
        <f t="shared" si="33"/>
        <v/>
      </c>
    </row>
    <row r="254" spans="1:15" x14ac:dyDescent="0.25">
      <c r="A254" s="1">
        <f t="shared" si="35"/>
        <v>243</v>
      </c>
      <c r="B254" s="3">
        <f t="shared" ca="1" si="36"/>
        <v>115500</v>
      </c>
      <c r="C254" s="26">
        <f t="shared" ca="1" si="37"/>
        <v>0.20379542568055686</v>
      </c>
      <c r="D254" s="26" t="str">
        <f t="shared" ca="1" si="34"/>
        <v>Lose</v>
      </c>
      <c r="E254" s="3">
        <f t="shared" ca="1" si="38"/>
        <v>-500</v>
      </c>
      <c r="F254" s="42">
        <f t="shared" si="30"/>
        <v>5.1106782979760053E-67</v>
      </c>
      <c r="G254" s="41">
        <f>SUM(F$11:F254)</f>
        <v>7.3775968958202303E-67</v>
      </c>
      <c r="I254" s="1">
        <f t="shared" si="39"/>
        <v>244</v>
      </c>
      <c r="J254" s="3">
        <v>118000</v>
      </c>
      <c r="K254" s="3">
        <v>83000</v>
      </c>
      <c r="L254" s="3">
        <v>121000</v>
      </c>
      <c r="M254" s="30">
        <f t="shared" si="31"/>
        <v>0.17999999999999994</v>
      </c>
      <c r="N254" s="1" t="str">
        <f t="shared" si="32"/>
        <v/>
      </c>
      <c r="O254" s="1" t="str">
        <f t="shared" si="33"/>
        <v/>
      </c>
    </row>
    <row r="255" spans="1:15" x14ac:dyDescent="0.25">
      <c r="A255" s="1">
        <f t="shared" si="35"/>
        <v>244</v>
      </c>
      <c r="B255" s="3">
        <f t="shared" ca="1" si="36"/>
        <v>116000</v>
      </c>
      <c r="C255" s="26">
        <f t="shared" ca="1" si="37"/>
        <v>0.61428090451529027</v>
      </c>
      <c r="D255" s="26" t="str">
        <f t="shared" ca="1" si="34"/>
        <v>Win</v>
      </c>
      <c r="E255" s="3">
        <f t="shared" ca="1" si="38"/>
        <v>500</v>
      </c>
      <c r="F255" s="42">
        <f t="shared" si="30"/>
        <v>1.650284016811247E-66</v>
      </c>
      <c r="G255" s="41">
        <f>SUM(F$11:F255)</f>
        <v>2.3880437063932701E-66</v>
      </c>
      <c r="I255" s="1">
        <f t="shared" si="39"/>
        <v>245</v>
      </c>
      <c r="J255" s="3">
        <v>105000</v>
      </c>
      <c r="K255" s="3">
        <v>93000</v>
      </c>
      <c r="L255" s="3">
        <v>116000</v>
      </c>
      <c r="M255" s="30">
        <f t="shared" si="31"/>
        <v>5.0000000000000044E-2</v>
      </c>
      <c r="N255" s="1" t="str">
        <f t="shared" si="32"/>
        <v/>
      </c>
      <c r="O255" s="1" t="str">
        <f t="shared" si="33"/>
        <v/>
      </c>
    </row>
    <row r="256" spans="1:15" x14ac:dyDescent="0.25">
      <c r="A256" s="1">
        <f t="shared" si="35"/>
        <v>245</v>
      </c>
      <c r="B256" s="3">
        <f t="shared" ca="1" si="36"/>
        <v>115500</v>
      </c>
      <c r="C256" s="26">
        <f t="shared" ca="1" si="37"/>
        <v>0.19721234275348032</v>
      </c>
      <c r="D256" s="26" t="str">
        <f t="shared" ca="1" si="34"/>
        <v>Lose</v>
      </c>
      <c r="E256" s="3">
        <f t="shared" ca="1" si="38"/>
        <v>-500</v>
      </c>
      <c r="F256" s="42">
        <f t="shared" si="30"/>
        <v>5.3001541484527576E-66</v>
      </c>
      <c r="G256" s="41">
        <f>SUM(F$11:F256)</f>
        <v>7.6881978548460271E-66</v>
      </c>
      <c r="I256" s="1">
        <f t="shared" si="39"/>
        <v>246</v>
      </c>
      <c r="J256" s="3">
        <v>111000</v>
      </c>
      <c r="K256" s="3">
        <v>95000</v>
      </c>
      <c r="L256" s="3">
        <v>118000</v>
      </c>
      <c r="M256" s="30">
        <f t="shared" si="31"/>
        <v>0.1100000000000001</v>
      </c>
      <c r="N256" s="1" t="str">
        <f t="shared" si="32"/>
        <v/>
      </c>
      <c r="O256" s="1" t="str">
        <f t="shared" si="33"/>
        <v/>
      </c>
    </row>
    <row r="257" spans="1:15" x14ac:dyDescent="0.25">
      <c r="A257" s="1">
        <f t="shared" si="35"/>
        <v>246</v>
      </c>
      <c r="B257" s="3">
        <f t="shared" ca="1" si="36"/>
        <v>116000</v>
      </c>
      <c r="C257" s="26">
        <f t="shared" ca="1" si="37"/>
        <v>0.79454162891955082</v>
      </c>
      <c r="D257" s="26" t="str">
        <f t="shared" ca="1" si="34"/>
        <v>Win</v>
      </c>
      <c r="E257" s="3">
        <f t="shared" ca="1" si="38"/>
        <v>500</v>
      </c>
      <c r="F257" s="42">
        <f t="shared" si="30"/>
        <v>1.6930681556841779E-65</v>
      </c>
      <c r="G257" s="41">
        <f>SUM(F$11:F257)</f>
        <v>2.4618879411687806E-65</v>
      </c>
      <c r="I257" s="1">
        <f t="shared" si="39"/>
        <v>247</v>
      </c>
      <c r="J257" s="3">
        <v>114000</v>
      </c>
      <c r="K257" s="3">
        <v>99000</v>
      </c>
      <c r="L257" s="3">
        <v>123500</v>
      </c>
      <c r="M257" s="30">
        <f t="shared" si="31"/>
        <v>0.1399999999999999</v>
      </c>
      <c r="N257" s="1" t="str">
        <f t="shared" si="32"/>
        <v/>
      </c>
      <c r="O257" s="1" t="str">
        <f t="shared" si="33"/>
        <v/>
      </c>
    </row>
    <row r="258" spans="1:15" x14ac:dyDescent="0.25">
      <c r="A258" s="1">
        <f t="shared" si="35"/>
        <v>247</v>
      </c>
      <c r="B258" s="3">
        <f t="shared" ca="1" si="36"/>
        <v>116500</v>
      </c>
      <c r="C258" s="26">
        <f t="shared" ca="1" si="37"/>
        <v>0.91130124389453337</v>
      </c>
      <c r="D258" s="26" t="str">
        <f t="shared" ca="1" si="34"/>
        <v>Win</v>
      </c>
      <c r="E258" s="3">
        <f t="shared" ca="1" si="38"/>
        <v>500</v>
      </c>
      <c r="F258" s="42">
        <f t="shared" si="30"/>
        <v>5.3792648813257826E-65</v>
      </c>
      <c r="G258" s="41">
        <f>SUM(F$11:F258)</f>
        <v>7.8411528224945632E-65</v>
      </c>
      <c r="I258" s="1">
        <f t="shared" si="39"/>
        <v>248</v>
      </c>
      <c r="J258" s="3">
        <v>92000</v>
      </c>
      <c r="K258" s="3">
        <v>91500</v>
      </c>
      <c r="L258" s="3">
        <v>114000</v>
      </c>
      <c r="M258" s="30">
        <f t="shared" si="31"/>
        <v>-7.999999999999996E-2</v>
      </c>
      <c r="N258" s="1" t="str">
        <f t="shared" si="32"/>
        <v/>
      </c>
      <c r="O258" s="1" t="str">
        <f t="shared" si="33"/>
        <v/>
      </c>
    </row>
    <row r="259" spans="1:15" x14ac:dyDescent="0.25">
      <c r="A259" s="1">
        <f t="shared" si="35"/>
        <v>248</v>
      </c>
      <c r="B259" s="3">
        <f t="shared" ca="1" si="36"/>
        <v>117000</v>
      </c>
      <c r="C259" s="26">
        <f t="shared" ca="1" si="37"/>
        <v>0.64929538078276483</v>
      </c>
      <c r="D259" s="26" t="str">
        <f t="shared" ca="1" si="34"/>
        <v>Win</v>
      </c>
      <c r="E259" s="3">
        <f t="shared" ca="1" si="38"/>
        <v>500</v>
      </c>
      <c r="F259" s="42">
        <f t="shared" si="30"/>
        <v>1.6999663367144734E-64</v>
      </c>
      <c r="G259" s="41">
        <f>SUM(F$11:F259)</f>
        <v>2.4840816189639298E-64</v>
      </c>
      <c r="I259" s="1">
        <f t="shared" si="39"/>
        <v>249</v>
      </c>
      <c r="J259" s="3">
        <v>97000</v>
      </c>
      <c r="K259" s="3">
        <v>85500</v>
      </c>
      <c r="L259" s="3">
        <v>103000</v>
      </c>
      <c r="M259" s="30">
        <f t="shared" si="31"/>
        <v>-3.0000000000000027E-2</v>
      </c>
      <c r="N259" s="1" t="str">
        <f t="shared" si="32"/>
        <v/>
      </c>
      <c r="O259" s="1" t="str">
        <f t="shared" si="33"/>
        <v/>
      </c>
    </row>
    <row r="260" spans="1:15" x14ac:dyDescent="0.25">
      <c r="A260" s="1">
        <f t="shared" si="35"/>
        <v>249</v>
      </c>
      <c r="B260" s="3">
        <f t="shared" ca="1" si="36"/>
        <v>116500</v>
      </c>
      <c r="C260" s="26">
        <f t="shared" ca="1" si="37"/>
        <v>0.39063494659464504</v>
      </c>
      <c r="D260" s="26" t="str">
        <f t="shared" ca="1" si="34"/>
        <v>Lose</v>
      </c>
      <c r="E260" s="3">
        <f t="shared" ca="1" si="38"/>
        <v>-500</v>
      </c>
      <c r="F260" s="42">
        <f t="shared" si="30"/>
        <v>5.3435873244552229E-64</v>
      </c>
      <c r="G260" s="41">
        <f>SUM(F$11:F260)</f>
        <v>7.8276689434191523E-64</v>
      </c>
      <c r="I260" s="1">
        <f t="shared" si="39"/>
        <v>250</v>
      </c>
      <c r="J260" s="3">
        <v>98000</v>
      </c>
      <c r="K260" s="3">
        <v>89500</v>
      </c>
      <c r="L260" s="3">
        <v>104000</v>
      </c>
      <c r="M260" s="30">
        <f t="shared" si="31"/>
        <v>-2.0000000000000018E-2</v>
      </c>
      <c r="N260" s="1" t="str">
        <f t="shared" si="32"/>
        <v/>
      </c>
      <c r="O260" s="1" t="str">
        <f t="shared" si="33"/>
        <v/>
      </c>
    </row>
    <row r="261" spans="1:15" x14ac:dyDescent="0.25">
      <c r="A261" s="1">
        <f t="shared" si="35"/>
        <v>250</v>
      </c>
      <c r="B261" s="3">
        <f t="shared" ca="1" si="36"/>
        <v>116000</v>
      </c>
      <c r="C261" s="26">
        <f t="shared" ca="1" si="37"/>
        <v>0.31039634777750524</v>
      </c>
      <c r="D261" s="26" t="str">
        <f t="shared" ca="1" si="34"/>
        <v>Lose</v>
      </c>
      <c r="E261" s="3">
        <f t="shared" ca="1" si="38"/>
        <v>-500</v>
      </c>
      <c r="F261" s="42">
        <f t="shared" si="30"/>
        <v>1.6707325560322825E-63</v>
      </c>
      <c r="G261" s="41">
        <f>SUM(F$11:F261)</f>
        <v>2.453499450374198E-63</v>
      </c>
      <c r="I261" s="1">
        <f>I260+1</f>
        <v>251</v>
      </c>
      <c r="J261" s="3">
        <v>89000</v>
      </c>
      <c r="K261" s="3">
        <v>82500</v>
      </c>
      <c r="L261" s="3">
        <v>117500</v>
      </c>
      <c r="M261" s="30">
        <f t="shared" si="31"/>
        <v>-0.10999999999999999</v>
      </c>
      <c r="N261" s="1" t="str">
        <f t="shared" si="32"/>
        <v/>
      </c>
      <c r="O261" s="1" t="str">
        <f t="shared" si="33"/>
        <v/>
      </c>
    </row>
    <row r="262" spans="1:15" x14ac:dyDescent="0.25">
      <c r="A262" s="1">
        <f t="shared" si="35"/>
        <v>251</v>
      </c>
      <c r="B262" s="3">
        <f t="shared" ca="1" si="36"/>
        <v>116500</v>
      </c>
      <c r="C262" s="26">
        <f t="shared" ca="1" si="37"/>
        <v>0.79305771452113816</v>
      </c>
      <c r="D262" s="26" t="str">
        <f t="shared" ca="1" si="34"/>
        <v>Win</v>
      </c>
      <c r="E262" s="3">
        <f t="shared" ca="1" si="38"/>
        <v>500</v>
      </c>
      <c r="F262" s="42">
        <f t="shared" si="30"/>
        <v>5.1959931919859334E-63</v>
      </c>
      <c r="G262" s="41">
        <f>SUM(F$11:F262)</f>
        <v>7.6494926423601314E-63</v>
      </c>
      <c r="I262" s="1">
        <f>I261+1</f>
        <v>252</v>
      </c>
      <c r="J262" s="3">
        <v>122000</v>
      </c>
      <c r="K262" s="3">
        <v>96500</v>
      </c>
      <c r="L262" s="3">
        <v>127500</v>
      </c>
      <c r="M262" s="30">
        <f t="shared" si="31"/>
        <v>0.21999999999999997</v>
      </c>
      <c r="N262" s="1" t="str">
        <f t="shared" si="32"/>
        <v/>
      </c>
      <c r="O262" s="1" t="str">
        <f t="shared" si="33"/>
        <v/>
      </c>
    </row>
    <row r="263" spans="1:15" x14ac:dyDescent="0.25">
      <c r="A263" s="1">
        <f t="shared" si="35"/>
        <v>252</v>
      </c>
      <c r="B263" s="3">
        <f t="shared" ca="1" si="36"/>
        <v>116000</v>
      </c>
      <c r="C263" s="26">
        <f t="shared" ca="1" si="37"/>
        <v>0.25854025016949267</v>
      </c>
      <c r="D263" s="26" t="str">
        <f t="shared" ca="1" si="34"/>
        <v>Lose</v>
      </c>
      <c r="E263" s="3">
        <f t="shared" ca="1" si="38"/>
        <v>-500</v>
      </c>
      <c r="F263" s="42">
        <f t="shared" si="30"/>
        <v>1.6073999347315663E-62</v>
      </c>
      <c r="G263" s="41">
        <f>SUM(F$11:F263)</f>
        <v>2.3723491989675794E-62</v>
      </c>
      <c r="I263" s="1">
        <f t="shared" ref="I263:I326" si="40">I262+1</f>
        <v>253</v>
      </c>
      <c r="J263" s="3">
        <v>118000</v>
      </c>
      <c r="K263" s="3">
        <v>91000</v>
      </c>
      <c r="L263" s="3">
        <v>118500</v>
      </c>
      <c r="M263" s="30">
        <f t="shared" si="31"/>
        <v>0.17999999999999994</v>
      </c>
      <c r="N263" s="1" t="str">
        <f t="shared" si="32"/>
        <v/>
      </c>
      <c r="O263" s="1" t="str">
        <f t="shared" si="33"/>
        <v/>
      </c>
    </row>
    <row r="264" spans="1:15" x14ac:dyDescent="0.25">
      <c r="A264" s="1">
        <f t="shared" si="35"/>
        <v>253</v>
      </c>
      <c r="B264" s="3">
        <f t="shared" ca="1" si="36"/>
        <v>116500</v>
      </c>
      <c r="C264" s="26">
        <f t="shared" ca="1" si="37"/>
        <v>0.5724328962444506</v>
      </c>
      <c r="D264" s="26" t="str">
        <f t="shared" ca="1" si="34"/>
        <v>Win</v>
      </c>
      <c r="E264" s="3">
        <f t="shared" ca="1" si="38"/>
        <v>500</v>
      </c>
      <c r="F264" s="42">
        <f t="shared" si="30"/>
        <v>4.9462848035927352E-62</v>
      </c>
      <c r="G264" s="41">
        <f>SUM(F$11:F264)</f>
        <v>7.318634002560315E-62</v>
      </c>
      <c r="I264" s="1">
        <f t="shared" si="40"/>
        <v>254</v>
      </c>
      <c r="J264" s="3">
        <v>114000</v>
      </c>
      <c r="K264" s="3">
        <v>90000</v>
      </c>
      <c r="L264" s="3">
        <v>115500</v>
      </c>
      <c r="M264" s="30">
        <f t="shared" si="31"/>
        <v>0.1399999999999999</v>
      </c>
      <c r="N264" s="1" t="str">
        <f t="shared" si="32"/>
        <v/>
      </c>
      <c r="O264" s="1" t="str">
        <f t="shared" si="33"/>
        <v/>
      </c>
    </row>
    <row r="265" spans="1:15" x14ac:dyDescent="0.25">
      <c r="A265" s="1">
        <f t="shared" si="35"/>
        <v>254</v>
      </c>
      <c r="B265" s="3">
        <f t="shared" ca="1" si="36"/>
        <v>117000</v>
      </c>
      <c r="C265" s="26">
        <f t="shared" ca="1" si="37"/>
        <v>0.56179303265692015</v>
      </c>
      <c r="D265" s="26" t="str">
        <f t="shared" ca="1" si="34"/>
        <v>Win</v>
      </c>
      <c r="E265" s="3">
        <f t="shared" ca="1" si="38"/>
        <v>500</v>
      </c>
      <c r="F265" s="42">
        <f t="shared" si="30"/>
        <v>1.514049591535207E-61</v>
      </c>
      <c r="G265" s="41">
        <f>SUM(F$11:F265)</f>
        <v>2.2459129917912385E-61</v>
      </c>
      <c r="I265" s="1">
        <f t="shared" si="40"/>
        <v>255</v>
      </c>
      <c r="J265" s="3">
        <v>102000</v>
      </c>
      <c r="K265" s="3">
        <v>95000</v>
      </c>
      <c r="L265" s="3">
        <v>110000</v>
      </c>
      <c r="M265" s="30">
        <f t="shared" si="31"/>
        <v>2.0000000000000018E-2</v>
      </c>
      <c r="N265" s="1" t="str">
        <f t="shared" si="32"/>
        <v/>
      </c>
      <c r="O265" s="1" t="str">
        <f t="shared" si="33"/>
        <v/>
      </c>
    </row>
    <row r="266" spans="1:15" x14ac:dyDescent="0.25">
      <c r="A266" s="1">
        <f t="shared" si="35"/>
        <v>255</v>
      </c>
      <c r="B266" s="3">
        <f t="shared" ca="1" si="36"/>
        <v>117500</v>
      </c>
      <c r="C266" s="26">
        <f t="shared" ca="1" si="37"/>
        <v>0.64326266260361298</v>
      </c>
      <c r="D266" s="26" t="str">
        <f t="shared" ca="1" si="34"/>
        <v>Win</v>
      </c>
      <c r="E266" s="3">
        <f t="shared" ca="1" si="38"/>
        <v>500</v>
      </c>
      <c r="F266" s="42">
        <f t="shared" si="30"/>
        <v>4.6101265113687951E-61</v>
      </c>
      <c r="G266" s="41">
        <f>SUM(F$11:F266)</f>
        <v>6.8560395031600343E-61</v>
      </c>
      <c r="I266" s="1">
        <f t="shared" si="40"/>
        <v>256</v>
      </c>
      <c r="J266" s="3">
        <v>112000</v>
      </c>
      <c r="K266" s="3">
        <v>86500</v>
      </c>
      <c r="L266" s="3">
        <v>113000</v>
      </c>
      <c r="M266" s="30">
        <f t="shared" si="31"/>
        <v>0.12000000000000011</v>
      </c>
      <c r="N266" s="1" t="str">
        <f t="shared" si="32"/>
        <v/>
      </c>
      <c r="O266" s="1" t="str">
        <f t="shared" si="33"/>
        <v/>
      </c>
    </row>
    <row r="267" spans="1:15" x14ac:dyDescent="0.25">
      <c r="A267" s="1">
        <f t="shared" si="35"/>
        <v>256</v>
      </c>
      <c r="B267" s="3">
        <f t="shared" ca="1" si="36"/>
        <v>117000</v>
      </c>
      <c r="C267" s="26">
        <f t="shared" ca="1" si="37"/>
        <v>0.36200235440662287</v>
      </c>
      <c r="D267" s="26" t="str">
        <f t="shared" ca="1" si="34"/>
        <v>Lose</v>
      </c>
      <c r="E267" s="3">
        <f t="shared" ca="1" si="38"/>
        <v>-500</v>
      </c>
      <c r="F267" s="42">
        <f t="shared" si="30"/>
        <v>1.3963788010161129E-60</v>
      </c>
      <c r="G267" s="41">
        <f>SUM(F$11:F267)</f>
        <v>2.0819827513321163E-60</v>
      </c>
      <c r="I267" s="1">
        <f t="shared" si="40"/>
        <v>257</v>
      </c>
      <c r="J267" s="3">
        <v>117000</v>
      </c>
      <c r="K267" s="3">
        <v>98500</v>
      </c>
      <c r="L267" s="3">
        <v>119500</v>
      </c>
      <c r="M267" s="30">
        <f t="shared" si="31"/>
        <v>0.16999999999999993</v>
      </c>
      <c r="N267" s="1" t="str">
        <f t="shared" si="32"/>
        <v/>
      </c>
      <c r="O267" s="1" t="str">
        <f t="shared" si="33"/>
        <v/>
      </c>
    </row>
    <row r="268" spans="1:15" x14ac:dyDescent="0.25">
      <c r="A268" s="1">
        <f t="shared" si="35"/>
        <v>257</v>
      </c>
      <c r="B268" s="3">
        <f t="shared" ca="1" si="36"/>
        <v>117500</v>
      </c>
      <c r="C268" s="26">
        <f t="shared" ca="1" si="37"/>
        <v>0.88390323000973614</v>
      </c>
      <c r="D268" s="26" t="str">
        <f t="shared" ca="1" si="34"/>
        <v>Win</v>
      </c>
      <c r="E268" s="3">
        <f t="shared" ca="1" si="38"/>
        <v>500</v>
      </c>
      <c r="F268" s="42">
        <f t="shared" ref="F268:F331" si="41">_xlfn.BINOM.DIST(A268,$A$1011,$B$1,FALSE)</f>
        <v>4.2074324804059585E-60</v>
      </c>
      <c r="G268" s="41">
        <f>SUM(F$11:F268)</f>
        <v>6.2894152317380746E-60</v>
      </c>
      <c r="I268" s="1">
        <f t="shared" si="40"/>
        <v>258</v>
      </c>
      <c r="J268" s="3">
        <v>91000</v>
      </c>
      <c r="K268" s="3">
        <v>91000</v>
      </c>
      <c r="L268" s="3">
        <v>109000</v>
      </c>
      <c r="M268" s="30">
        <f t="shared" ref="M268:M331" si="42">J268/$B$3-1</f>
        <v>-8.9999999999999969E-2</v>
      </c>
      <c r="N268" s="1" t="str">
        <f t="shared" ref="N268:N331" si="43">IF(K268&lt;=0,1,"")</f>
        <v/>
      </c>
      <c r="O268" s="1" t="str">
        <f t="shared" ref="O268:O331" si="44">IF(J268&lt;=0,1,"")</f>
        <v/>
      </c>
    </row>
    <row r="269" spans="1:15" x14ac:dyDescent="0.25">
      <c r="A269" s="1">
        <f t="shared" si="35"/>
        <v>258</v>
      </c>
      <c r="B269" s="3">
        <f t="shared" ca="1" si="36"/>
        <v>117000</v>
      </c>
      <c r="C269" s="26">
        <f t="shared" ca="1" si="37"/>
        <v>0.36247014025574187</v>
      </c>
      <c r="D269" s="26" t="str">
        <f t="shared" ref="D269:D332" ca="1" si="45">IF(C269&gt;$B$2,"Win","Lose")</f>
        <v>Lose</v>
      </c>
      <c r="E269" s="3">
        <f t="shared" ca="1" si="38"/>
        <v>-500</v>
      </c>
      <c r="F269" s="42">
        <f t="shared" si="41"/>
        <v>1.2611314584719904E-59</v>
      </c>
      <c r="G269" s="41">
        <f>SUM(F$11:F269)</f>
        <v>1.8900729816457979E-59</v>
      </c>
      <c r="I269" s="1">
        <f t="shared" si="40"/>
        <v>259</v>
      </c>
      <c r="J269" s="3">
        <v>133000</v>
      </c>
      <c r="K269" s="3">
        <v>99500</v>
      </c>
      <c r="L269" s="3">
        <v>133500</v>
      </c>
      <c r="M269" s="30">
        <f t="shared" si="42"/>
        <v>0.33000000000000007</v>
      </c>
      <c r="N269" s="1" t="str">
        <f t="shared" si="43"/>
        <v/>
      </c>
      <c r="O269" s="1" t="str">
        <f t="shared" si="44"/>
        <v/>
      </c>
    </row>
    <row r="270" spans="1:15" x14ac:dyDescent="0.25">
      <c r="A270" s="1">
        <f t="shared" ref="A270:A323" si="46">A269+1</f>
        <v>259</v>
      </c>
      <c r="B270" s="3">
        <f t="shared" ref="B270:B333" ca="1" si="47">B269+E270</f>
        <v>116500</v>
      </c>
      <c r="C270" s="26">
        <f t="shared" ref="C270:C333" ca="1" si="48">RAND()</f>
        <v>0.25986472126444171</v>
      </c>
      <c r="D270" s="26" t="str">
        <f t="shared" ca="1" si="45"/>
        <v>Lose</v>
      </c>
      <c r="E270" s="3">
        <f t="shared" ref="E270:E333" ca="1" si="49">IF(D270="Win",$B$4,-$B$4)</f>
        <v>-500</v>
      </c>
      <c r="F270" s="42">
        <f t="shared" si="41"/>
        <v>3.7604394178156166E-59</v>
      </c>
      <c r="G270" s="41">
        <f>SUM(F$11:F270)</f>
        <v>5.6505123994614145E-59</v>
      </c>
      <c r="I270" s="1">
        <f t="shared" si="40"/>
        <v>260</v>
      </c>
      <c r="J270" s="3">
        <v>92000</v>
      </c>
      <c r="K270" s="3">
        <v>89000</v>
      </c>
      <c r="L270" s="3">
        <v>102500</v>
      </c>
      <c r="M270" s="30">
        <f t="shared" si="42"/>
        <v>-7.999999999999996E-2</v>
      </c>
      <c r="N270" s="1" t="str">
        <f t="shared" si="43"/>
        <v/>
      </c>
      <c r="O270" s="1" t="str">
        <f t="shared" si="44"/>
        <v/>
      </c>
    </row>
    <row r="271" spans="1:15" x14ac:dyDescent="0.25">
      <c r="A271" s="1">
        <f t="shared" si="46"/>
        <v>260</v>
      </c>
      <c r="B271" s="3">
        <f t="shared" ca="1" si="47"/>
        <v>116000</v>
      </c>
      <c r="C271" s="26">
        <f t="shared" ca="1" si="48"/>
        <v>0.33385556508132275</v>
      </c>
      <c r="D271" s="26" t="str">
        <f t="shared" ca="1" si="45"/>
        <v>Lose</v>
      </c>
      <c r="E271" s="3">
        <f t="shared" ca="1" si="49"/>
        <v>-500</v>
      </c>
      <c r="F271" s="42">
        <f t="shared" si="41"/>
        <v>1.1154691211826631E-58</v>
      </c>
      <c r="G271" s="41">
        <f>SUM(F$11:F271)</f>
        <v>1.6805203611288045E-58</v>
      </c>
      <c r="I271" s="1">
        <f t="shared" si="40"/>
        <v>261</v>
      </c>
      <c r="J271" s="3">
        <v>96000</v>
      </c>
      <c r="K271" s="3">
        <v>89500</v>
      </c>
      <c r="L271" s="3">
        <v>109500</v>
      </c>
      <c r="M271" s="30">
        <f t="shared" si="42"/>
        <v>-4.0000000000000036E-2</v>
      </c>
      <c r="N271" s="1" t="str">
        <f t="shared" si="43"/>
        <v/>
      </c>
      <c r="O271" s="1" t="str">
        <f t="shared" si="44"/>
        <v/>
      </c>
    </row>
    <row r="272" spans="1:15" x14ac:dyDescent="0.25">
      <c r="A272" s="1">
        <f t="shared" si="46"/>
        <v>261</v>
      </c>
      <c r="B272" s="3">
        <f t="shared" ca="1" si="47"/>
        <v>116500</v>
      </c>
      <c r="C272" s="26">
        <f t="shared" ca="1" si="48"/>
        <v>0.72543531839482855</v>
      </c>
      <c r="D272" s="26" t="str">
        <f t="shared" ca="1" si="45"/>
        <v>Win</v>
      </c>
      <c r="E272" s="3">
        <f t="shared" ca="1" si="49"/>
        <v>500</v>
      </c>
      <c r="F272" s="42">
        <f t="shared" si="41"/>
        <v>3.2917198086974086E-58</v>
      </c>
      <c r="G272" s="41">
        <f>SUM(F$11:F272)</f>
        <v>4.9722401698262132E-58</v>
      </c>
      <c r="I272" s="1">
        <f t="shared" si="40"/>
        <v>262</v>
      </c>
      <c r="J272" s="3">
        <v>98000</v>
      </c>
      <c r="K272" s="3">
        <v>79000</v>
      </c>
      <c r="L272" s="3">
        <v>103000</v>
      </c>
      <c r="M272" s="30">
        <f t="shared" si="42"/>
        <v>-2.0000000000000018E-2</v>
      </c>
      <c r="N272" s="1" t="str">
        <f t="shared" si="43"/>
        <v/>
      </c>
      <c r="O272" s="1" t="str">
        <f t="shared" si="44"/>
        <v/>
      </c>
    </row>
    <row r="273" spans="1:15" x14ac:dyDescent="0.25">
      <c r="A273" s="1">
        <f t="shared" si="46"/>
        <v>262</v>
      </c>
      <c r="B273" s="3">
        <f t="shared" ca="1" si="47"/>
        <v>117000</v>
      </c>
      <c r="C273" s="26">
        <f t="shared" ca="1" si="48"/>
        <v>0.83901880406692453</v>
      </c>
      <c r="D273" s="26" t="str">
        <f t="shared" ca="1" si="45"/>
        <v>Win</v>
      </c>
      <c r="E273" s="3">
        <f t="shared" ca="1" si="49"/>
        <v>500</v>
      </c>
      <c r="F273" s="42">
        <f t="shared" si="41"/>
        <v>9.6636257882844028E-58</v>
      </c>
      <c r="G273" s="41">
        <f>SUM(F$11:F273)</f>
        <v>1.4635865958110617E-57</v>
      </c>
      <c r="I273" s="1">
        <f t="shared" si="40"/>
        <v>263</v>
      </c>
      <c r="J273" s="3">
        <v>89000</v>
      </c>
      <c r="K273" s="3">
        <v>87500</v>
      </c>
      <c r="L273" s="3">
        <v>111000</v>
      </c>
      <c r="M273" s="30">
        <f t="shared" si="42"/>
        <v>-0.10999999999999999</v>
      </c>
      <c r="N273" s="1" t="str">
        <f t="shared" si="43"/>
        <v/>
      </c>
      <c r="O273" s="1" t="str">
        <f t="shared" si="44"/>
        <v/>
      </c>
    </row>
    <row r="274" spans="1:15" x14ac:dyDescent="0.25">
      <c r="A274" s="1">
        <f t="shared" si="46"/>
        <v>263</v>
      </c>
      <c r="B274" s="3">
        <f t="shared" ca="1" si="47"/>
        <v>116500</v>
      </c>
      <c r="C274" s="26">
        <f t="shared" ca="1" si="48"/>
        <v>0.18782954132369012</v>
      </c>
      <c r="D274" s="26" t="str">
        <f t="shared" ca="1" si="45"/>
        <v>Lose</v>
      </c>
      <c r="E274" s="3">
        <f t="shared" ca="1" si="49"/>
        <v>-500</v>
      </c>
      <c r="F274" s="42">
        <f t="shared" si="41"/>
        <v>2.8223756298550614E-57</v>
      </c>
      <c r="G274" s="41">
        <f>SUM(F$11:F274)</f>
        <v>4.2859622256661232E-57</v>
      </c>
      <c r="I274" s="1">
        <f t="shared" si="40"/>
        <v>264</v>
      </c>
      <c r="J274" s="3">
        <v>118000</v>
      </c>
      <c r="K274" s="3">
        <v>97000</v>
      </c>
      <c r="L274" s="3">
        <v>120500</v>
      </c>
      <c r="M274" s="30">
        <f t="shared" si="42"/>
        <v>0.17999999999999994</v>
      </c>
      <c r="N274" s="1" t="str">
        <f t="shared" si="43"/>
        <v/>
      </c>
      <c r="O274" s="1" t="str">
        <f t="shared" si="44"/>
        <v/>
      </c>
    </row>
    <row r="275" spans="1:15" x14ac:dyDescent="0.25">
      <c r="A275" s="1">
        <f t="shared" si="46"/>
        <v>264</v>
      </c>
      <c r="B275" s="3">
        <f t="shared" ca="1" si="47"/>
        <v>117000</v>
      </c>
      <c r="C275" s="26">
        <f t="shared" ca="1" si="48"/>
        <v>0.89188306444099164</v>
      </c>
      <c r="D275" s="26" t="str">
        <f t="shared" ca="1" si="45"/>
        <v>Win</v>
      </c>
      <c r="E275" s="3">
        <f t="shared" ca="1" si="49"/>
        <v>500</v>
      </c>
      <c r="F275" s="42">
        <f t="shared" si="41"/>
        <v>8.200729189808903E-57</v>
      </c>
      <c r="G275" s="41">
        <f>SUM(F$11:F275)</f>
        <v>1.2486691415475027E-56</v>
      </c>
      <c r="I275" s="1">
        <f t="shared" si="40"/>
        <v>265</v>
      </c>
      <c r="J275" s="3">
        <v>110000</v>
      </c>
      <c r="K275" s="3">
        <v>94500</v>
      </c>
      <c r="L275" s="3">
        <v>112500</v>
      </c>
      <c r="M275" s="30">
        <f t="shared" si="42"/>
        <v>0.10000000000000009</v>
      </c>
      <c r="N275" s="1" t="str">
        <f t="shared" si="43"/>
        <v/>
      </c>
      <c r="O275" s="1" t="str">
        <f t="shared" si="44"/>
        <v/>
      </c>
    </row>
    <row r="276" spans="1:15" x14ac:dyDescent="0.25">
      <c r="A276" s="1">
        <f t="shared" si="46"/>
        <v>265</v>
      </c>
      <c r="B276" s="3">
        <f t="shared" ca="1" si="47"/>
        <v>117500</v>
      </c>
      <c r="C276" s="26">
        <f t="shared" ca="1" si="48"/>
        <v>0.50266353974648936</v>
      </c>
      <c r="D276" s="26" t="str">
        <f t="shared" ca="1" si="45"/>
        <v>Win</v>
      </c>
      <c r="E276" s="3">
        <f t="shared" ca="1" si="49"/>
        <v>500</v>
      </c>
      <c r="F276" s="42">
        <f t="shared" si="41"/>
        <v>2.3706012388807164E-56</v>
      </c>
      <c r="G276" s="41">
        <f>SUM(F$11:F276)</f>
        <v>3.6192703804282193E-56</v>
      </c>
      <c r="I276" s="1">
        <f t="shared" si="40"/>
        <v>266</v>
      </c>
      <c r="J276" s="3">
        <v>137000</v>
      </c>
      <c r="K276" s="3">
        <v>95000</v>
      </c>
      <c r="L276" s="3">
        <v>138000</v>
      </c>
      <c r="M276" s="30">
        <f t="shared" si="42"/>
        <v>0.37000000000000011</v>
      </c>
      <c r="N276" s="1" t="str">
        <f t="shared" si="43"/>
        <v/>
      </c>
      <c r="O276" s="1" t="str">
        <f t="shared" si="44"/>
        <v/>
      </c>
    </row>
    <row r="277" spans="1:15" x14ac:dyDescent="0.25">
      <c r="A277" s="1">
        <f t="shared" si="46"/>
        <v>266</v>
      </c>
      <c r="B277" s="3">
        <f t="shared" ca="1" si="47"/>
        <v>117000</v>
      </c>
      <c r="C277" s="26">
        <f t="shared" ca="1" si="48"/>
        <v>0.31154255227875138</v>
      </c>
      <c r="D277" s="26" t="str">
        <f t="shared" ca="1" si="45"/>
        <v>Lose</v>
      </c>
      <c r="E277" s="3">
        <f t="shared" ca="1" si="49"/>
        <v>-500</v>
      </c>
      <c r="F277" s="42">
        <f t="shared" si="41"/>
        <v>6.8177065704653903E-56</v>
      </c>
      <c r="G277" s="41">
        <f>SUM(F$11:F277)</f>
        <v>1.043697695089361E-55</v>
      </c>
      <c r="I277" s="1">
        <f t="shared" si="40"/>
        <v>267</v>
      </c>
      <c r="J277" s="3">
        <v>102000</v>
      </c>
      <c r="K277" s="3">
        <v>90500</v>
      </c>
      <c r="L277" s="3">
        <v>106000</v>
      </c>
      <c r="M277" s="30">
        <f t="shared" si="42"/>
        <v>2.0000000000000018E-2</v>
      </c>
      <c r="N277" s="1" t="str">
        <f t="shared" si="43"/>
        <v/>
      </c>
      <c r="O277" s="1" t="str">
        <f t="shared" si="44"/>
        <v/>
      </c>
    </row>
    <row r="278" spans="1:15" x14ac:dyDescent="0.25">
      <c r="A278" s="1">
        <f t="shared" si="46"/>
        <v>267</v>
      </c>
      <c r="B278" s="3">
        <f t="shared" ca="1" si="47"/>
        <v>117500</v>
      </c>
      <c r="C278" s="26">
        <f t="shared" ca="1" si="48"/>
        <v>0.57539766760696365</v>
      </c>
      <c r="D278" s="26" t="str">
        <f t="shared" ca="1" si="45"/>
        <v>Win</v>
      </c>
      <c r="E278" s="3">
        <f t="shared" ca="1" si="49"/>
        <v>500</v>
      </c>
      <c r="F278" s="42">
        <f t="shared" si="41"/>
        <v>1.9507301670779989E-55</v>
      </c>
      <c r="G278" s="41">
        <f>SUM(F$11:F278)</f>
        <v>2.99442786216736E-55</v>
      </c>
      <c r="I278" s="1">
        <f t="shared" si="40"/>
        <v>268</v>
      </c>
      <c r="J278" s="3">
        <v>122000</v>
      </c>
      <c r="K278" s="3">
        <v>99500</v>
      </c>
      <c r="L278" s="3">
        <v>132500</v>
      </c>
      <c r="M278" s="30">
        <f t="shared" si="42"/>
        <v>0.21999999999999997</v>
      </c>
      <c r="N278" s="1" t="str">
        <f t="shared" si="43"/>
        <v/>
      </c>
      <c r="O278" s="1" t="str">
        <f t="shared" si="44"/>
        <v/>
      </c>
    </row>
    <row r="279" spans="1:15" x14ac:dyDescent="0.25">
      <c r="A279" s="1">
        <f t="shared" si="46"/>
        <v>268</v>
      </c>
      <c r="B279" s="3">
        <f t="shared" ca="1" si="47"/>
        <v>117000</v>
      </c>
      <c r="C279" s="26">
        <f t="shared" ca="1" si="48"/>
        <v>0.39011937513602146</v>
      </c>
      <c r="D279" s="26" t="str">
        <f t="shared" ca="1" si="45"/>
        <v>Lose</v>
      </c>
      <c r="E279" s="3">
        <f t="shared" ca="1" si="49"/>
        <v>-500</v>
      </c>
      <c r="F279" s="42">
        <f t="shared" si="41"/>
        <v>5.5531637097071678E-55</v>
      </c>
      <c r="G279" s="41">
        <f>SUM(F$11:F279)</f>
        <v>8.5475915718745285E-55</v>
      </c>
      <c r="I279" s="1">
        <f t="shared" si="40"/>
        <v>269</v>
      </c>
      <c r="J279" s="3">
        <v>133000</v>
      </c>
      <c r="K279" s="3">
        <v>99000</v>
      </c>
      <c r="L279" s="3">
        <v>133000</v>
      </c>
      <c r="M279" s="30">
        <f t="shared" si="42"/>
        <v>0.33000000000000007</v>
      </c>
      <c r="N279" s="1" t="str">
        <f t="shared" si="43"/>
        <v/>
      </c>
      <c r="O279" s="1" t="str">
        <f t="shared" si="44"/>
        <v/>
      </c>
    </row>
    <row r="280" spans="1:15" x14ac:dyDescent="0.25">
      <c r="A280" s="1">
        <f t="shared" si="46"/>
        <v>269</v>
      </c>
      <c r="B280" s="3">
        <f t="shared" ca="1" si="47"/>
        <v>116500</v>
      </c>
      <c r="C280" s="26">
        <f t="shared" ca="1" si="48"/>
        <v>0.22492428919447116</v>
      </c>
      <c r="D280" s="26" t="str">
        <f t="shared" ca="1" si="45"/>
        <v>Lose</v>
      </c>
      <c r="E280" s="3">
        <f t="shared" ca="1" si="49"/>
        <v>-500</v>
      </c>
      <c r="F280" s="42">
        <f t="shared" si="41"/>
        <v>1.5727995418466012E-54</v>
      </c>
      <c r="G280" s="41">
        <f>SUM(F$11:F280)</f>
        <v>2.427558699034054E-54</v>
      </c>
      <c r="I280" s="1">
        <f t="shared" si="40"/>
        <v>270</v>
      </c>
      <c r="J280" s="3">
        <v>91000</v>
      </c>
      <c r="K280" s="3">
        <v>84500</v>
      </c>
      <c r="L280" s="3">
        <v>107000</v>
      </c>
      <c r="M280" s="30">
        <f t="shared" si="42"/>
        <v>-8.9999999999999969E-2</v>
      </c>
      <c r="N280" s="1" t="str">
        <f t="shared" si="43"/>
        <v/>
      </c>
      <c r="O280" s="1" t="str">
        <f t="shared" si="44"/>
        <v/>
      </c>
    </row>
    <row r="281" spans="1:15" x14ac:dyDescent="0.25">
      <c r="A281" s="1">
        <f t="shared" si="46"/>
        <v>270</v>
      </c>
      <c r="B281" s="3">
        <f t="shared" ca="1" si="47"/>
        <v>116000</v>
      </c>
      <c r="C281" s="26">
        <f t="shared" ca="1" si="48"/>
        <v>0.3547876676477747</v>
      </c>
      <c r="D281" s="26" t="str">
        <f t="shared" ca="1" si="45"/>
        <v>Lose</v>
      </c>
      <c r="E281" s="3">
        <f t="shared" ca="1" si="49"/>
        <v>-500</v>
      </c>
      <c r="F281" s="42">
        <f t="shared" si="41"/>
        <v>4.4320135842464788E-54</v>
      </c>
      <c r="G281" s="41">
        <f>SUM(F$11:F281)</f>
        <v>6.8595722832805329E-54</v>
      </c>
      <c r="I281" s="1">
        <f t="shared" si="40"/>
        <v>271</v>
      </c>
      <c r="J281" s="3">
        <v>109000</v>
      </c>
      <c r="K281" s="3">
        <v>95000</v>
      </c>
      <c r="L281" s="3">
        <v>113000</v>
      </c>
      <c r="M281" s="30">
        <f t="shared" si="42"/>
        <v>9.000000000000008E-2</v>
      </c>
      <c r="N281" s="1" t="str">
        <f t="shared" si="43"/>
        <v/>
      </c>
      <c r="O281" s="1" t="str">
        <f t="shared" si="44"/>
        <v/>
      </c>
    </row>
    <row r="282" spans="1:15" x14ac:dyDescent="0.25">
      <c r="A282" s="1">
        <f t="shared" si="46"/>
        <v>271</v>
      </c>
      <c r="B282" s="3">
        <f t="shared" ca="1" si="47"/>
        <v>115500</v>
      </c>
      <c r="C282" s="26">
        <f t="shared" ca="1" si="48"/>
        <v>5.5397947208238429E-2</v>
      </c>
      <c r="D282" s="26" t="str">
        <f t="shared" ca="1" si="45"/>
        <v>Lose</v>
      </c>
      <c r="E282" s="3">
        <f t="shared" ca="1" si="49"/>
        <v>-500</v>
      </c>
      <c r="F282" s="42">
        <f t="shared" si="41"/>
        <v>1.2425925577339801E-53</v>
      </c>
      <c r="G282" s="41">
        <f>SUM(F$11:F282)</f>
        <v>1.9285497860620335E-53</v>
      </c>
      <c r="I282" s="1">
        <f t="shared" si="40"/>
        <v>272</v>
      </c>
      <c r="J282" s="3">
        <v>95000</v>
      </c>
      <c r="K282" s="3">
        <v>80000</v>
      </c>
      <c r="L282" s="3">
        <v>109000</v>
      </c>
      <c r="M282" s="30">
        <f t="shared" si="42"/>
        <v>-5.0000000000000044E-2</v>
      </c>
      <c r="N282" s="1" t="str">
        <f t="shared" si="43"/>
        <v/>
      </c>
      <c r="O282" s="1" t="str">
        <f t="shared" si="44"/>
        <v/>
      </c>
    </row>
    <row r="283" spans="1:15" x14ac:dyDescent="0.25">
      <c r="A283" s="1">
        <f t="shared" si="46"/>
        <v>272</v>
      </c>
      <c r="B283" s="3">
        <f t="shared" ca="1" si="47"/>
        <v>116000</v>
      </c>
      <c r="C283" s="26">
        <f t="shared" ca="1" si="48"/>
        <v>0.68828212721767945</v>
      </c>
      <c r="D283" s="26" t="str">
        <f t="shared" ca="1" si="45"/>
        <v>Win</v>
      </c>
      <c r="E283" s="3">
        <f t="shared" ca="1" si="49"/>
        <v>500</v>
      </c>
      <c r="F283" s="42">
        <f t="shared" si="41"/>
        <v>3.4662626578627323E-53</v>
      </c>
      <c r="G283" s="41">
        <f>SUM(F$11:F283)</f>
        <v>5.3948124439247663E-53</v>
      </c>
      <c r="I283" s="1">
        <f t="shared" si="40"/>
        <v>273</v>
      </c>
      <c r="J283" s="3">
        <v>85000</v>
      </c>
      <c r="K283" s="3">
        <v>80500</v>
      </c>
      <c r="L283" s="3">
        <v>105000</v>
      </c>
      <c r="M283" s="30">
        <f t="shared" si="42"/>
        <v>-0.15000000000000002</v>
      </c>
      <c r="N283" s="1" t="str">
        <f t="shared" si="43"/>
        <v/>
      </c>
      <c r="O283" s="1" t="str">
        <f t="shared" si="44"/>
        <v/>
      </c>
    </row>
    <row r="284" spans="1:15" x14ac:dyDescent="0.25">
      <c r="A284" s="1">
        <f t="shared" si="46"/>
        <v>273</v>
      </c>
      <c r="B284" s="3">
        <f t="shared" ca="1" si="47"/>
        <v>116500</v>
      </c>
      <c r="C284" s="26">
        <f t="shared" ca="1" si="48"/>
        <v>0.77421291513929291</v>
      </c>
      <c r="D284" s="26" t="str">
        <f t="shared" ca="1" si="45"/>
        <v>Win</v>
      </c>
      <c r="E284" s="3">
        <f t="shared" ca="1" si="49"/>
        <v>500</v>
      </c>
      <c r="F284" s="42">
        <f t="shared" si="41"/>
        <v>9.6206473769243398E-53</v>
      </c>
      <c r="G284" s="41">
        <f>SUM(F$11:F284)</f>
        <v>1.5015459820849106E-52</v>
      </c>
      <c r="I284" s="1">
        <f t="shared" si="40"/>
        <v>274</v>
      </c>
      <c r="J284" s="3">
        <v>109000</v>
      </c>
      <c r="K284" s="3">
        <v>97000</v>
      </c>
      <c r="L284" s="3">
        <v>113000</v>
      </c>
      <c r="M284" s="30">
        <f t="shared" si="42"/>
        <v>9.000000000000008E-2</v>
      </c>
      <c r="N284" s="1" t="str">
        <f t="shared" si="43"/>
        <v/>
      </c>
      <c r="O284" s="1" t="str">
        <f t="shared" si="44"/>
        <v/>
      </c>
    </row>
    <row r="285" spans="1:15" x14ac:dyDescent="0.25">
      <c r="A285" s="1">
        <f t="shared" si="46"/>
        <v>274</v>
      </c>
      <c r="B285" s="3">
        <f t="shared" ca="1" si="47"/>
        <v>116000</v>
      </c>
      <c r="C285" s="26">
        <f t="shared" ca="1" si="48"/>
        <v>0.43919076538420165</v>
      </c>
      <c r="D285" s="26" t="str">
        <f t="shared" ca="1" si="45"/>
        <v>Lose</v>
      </c>
      <c r="E285" s="3">
        <f t="shared" ca="1" si="49"/>
        <v>-500</v>
      </c>
      <c r="F285" s="42">
        <f t="shared" si="41"/>
        <v>2.6568206673189532E-52</v>
      </c>
      <c r="G285" s="41">
        <f>SUM(F$11:F285)</f>
        <v>4.1583666494038641E-52</v>
      </c>
      <c r="I285" s="1">
        <f t="shared" si="40"/>
        <v>275</v>
      </c>
      <c r="J285" s="3">
        <v>81000</v>
      </c>
      <c r="K285" s="3">
        <v>69500</v>
      </c>
      <c r="L285" s="3">
        <v>100000</v>
      </c>
      <c r="M285" s="30">
        <f t="shared" si="42"/>
        <v>-0.18999999999999995</v>
      </c>
      <c r="N285" s="1" t="str">
        <f t="shared" si="43"/>
        <v/>
      </c>
      <c r="O285" s="1" t="str">
        <f t="shared" si="44"/>
        <v/>
      </c>
    </row>
    <row r="286" spans="1:15" x14ac:dyDescent="0.25">
      <c r="A286" s="1">
        <f t="shared" si="46"/>
        <v>275</v>
      </c>
      <c r="B286" s="3">
        <f t="shared" ca="1" si="47"/>
        <v>115500</v>
      </c>
      <c r="C286" s="26">
        <f t="shared" ca="1" si="48"/>
        <v>0.27301597793643306</v>
      </c>
      <c r="D286" s="26" t="str">
        <f t="shared" ca="1" si="45"/>
        <v>Lose</v>
      </c>
      <c r="E286" s="3">
        <f t="shared" ca="1" si="49"/>
        <v>-500</v>
      </c>
      <c r="F286" s="42">
        <f t="shared" si="41"/>
        <v>7.3002925438330239E-52</v>
      </c>
      <c r="G286" s="41">
        <f>SUM(F$11:F286)</f>
        <v>1.1458659193236888E-51</v>
      </c>
      <c r="I286" s="1">
        <f t="shared" si="40"/>
        <v>276</v>
      </c>
      <c r="J286" s="3">
        <v>125000</v>
      </c>
      <c r="K286" s="3">
        <v>97000</v>
      </c>
      <c r="L286" s="3">
        <v>126500</v>
      </c>
      <c r="M286" s="30">
        <f t="shared" si="42"/>
        <v>0.25</v>
      </c>
      <c r="N286" s="1" t="str">
        <f t="shared" si="43"/>
        <v/>
      </c>
      <c r="O286" s="1" t="str">
        <f t="shared" si="44"/>
        <v/>
      </c>
    </row>
    <row r="287" spans="1:15" x14ac:dyDescent="0.25">
      <c r="A287" s="1">
        <f t="shared" si="46"/>
        <v>276</v>
      </c>
      <c r="B287" s="3">
        <f t="shared" ca="1" si="47"/>
        <v>115000</v>
      </c>
      <c r="C287" s="26">
        <f t="shared" ca="1" si="48"/>
        <v>0.28280440188193934</v>
      </c>
      <c r="D287" s="26" t="str">
        <f t="shared" ca="1" si="45"/>
        <v>Lose</v>
      </c>
      <c r="E287" s="3">
        <f t="shared" ca="1" si="49"/>
        <v>-500</v>
      </c>
      <c r="F287" s="42">
        <f t="shared" si="41"/>
        <v>1.9959207099099263E-51</v>
      </c>
      <c r="G287" s="41">
        <f>SUM(F$11:F287)</f>
        <v>3.1417866292336152E-51</v>
      </c>
      <c r="I287" s="1">
        <f t="shared" si="40"/>
        <v>277</v>
      </c>
      <c r="J287" s="3">
        <v>127000</v>
      </c>
      <c r="K287" s="3">
        <v>96000</v>
      </c>
      <c r="L287" s="3">
        <v>134000</v>
      </c>
      <c r="M287" s="30">
        <f t="shared" si="42"/>
        <v>0.27</v>
      </c>
      <c r="N287" s="1" t="str">
        <f t="shared" si="43"/>
        <v/>
      </c>
      <c r="O287" s="1" t="str">
        <f t="shared" si="44"/>
        <v/>
      </c>
    </row>
    <row r="288" spans="1:15" x14ac:dyDescent="0.25">
      <c r="A288" s="1">
        <f t="shared" si="46"/>
        <v>277</v>
      </c>
      <c r="B288" s="3">
        <f t="shared" ca="1" si="47"/>
        <v>115500</v>
      </c>
      <c r="C288" s="26">
        <f t="shared" ca="1" si="48"/>
        <v>0.72957348495988827</v>
      </c>
      <c r="D288" s="26" t="str">
        <f t="shared" ca="1" si="45"/>
        <v>Win</v>
      </c>
      <c r="E288" s="3">
        <f t="shared" ca="1" si="49"/>
        <v>500</v>
      </c>
      <c r="F288" s="42">
        <f t="shared" si="41"/>
        <v>5.4297042873878836E-51</v>
      </c>
      <c r="G288" s="41">
        <f>SUM(F$11:F288)</f>
        <v>8.5714909166214988E-51</v>
      </c>
      <c r="I288" s="1">
        <f t="shared" si="40"/>
        <v>278</v>
      </c>
      <c r="J288" s="3">
        <v>121000</v>
      </c>
      <c r="K288" s="3">
        <v>96500</v>
      </c>
      <c r="L288" s="3">
        <v>135500</v>
      </c>
      <c r="M288" s="30">
        <f t="shared" si="42"/>
        <v>0.20999999999999996</v>
      </c>
      <c r="N288" s="1" t="str">
        <f t="shared" si="43"/>
        <v/>
      </c>
      <c r="O288" s="1" t="str">
        <f t="shared" si="44"/>
        <v/>
      </c>
    </row>
    <row r="289" spans="1:15" x14ac:dyDescent="0.25">
      <c r="A289" s="1">
        <f t="shared" si="46"/>
        <v>278</v>
      </c>
      <c r="B289" s="3">
        <f t="shared" ca="1" si="47"/>
        <v>116000</v>
      </c>
      <c r="C289" s="26">
        <f t="shared" ca="1" si="48"/>
        <v>0.53315131036452901</v>
      </c>
      <c r="D289" s="26" t="str">
        <f t="shared" ca="1" si="45"/>
        <v>Win</v>
      </c>
      <c r="E289" s="3">
        <f t="shared" ca="1" si="49"/>
        <v>500</v>
      </c>
      <c r="F289" s="42">
        <f t="shared" si="41"/>
        <v>1.4697510364767279E-50</v>
      </c>
      <c r="G289" s="41">
        <f>SUM(F$11:F289)</f>
        <v>2.3269001281388779E-50</v>
      </c>
      <c r="I289" s="1">
        <f t="shared" si="40"/>
        <v>279</v>
      </c>
      <c r="J289" s="3">
        <v>93000</v>
      </c>
      <c r="K289" s="3">
        <v>91500</v>
      </c>
      <c r="L289" s="3">
        <v>109500</v>
      </c>
      <c r="M289" s="30">
        <f t="shared" si="42"/>
        <v>-6.9999999999999951E-2</v>
      </c>
      <c r="N289" s="1" t="str">
        <f t="shared" si="43"/>
        <v/>
      </c>
      <c r="O289" s="1" t="str">
        <f t="shared" si="44"/>
        <v/>
      </c>
    </row>
    <row r="290" spans="1:15" x14ac:dyDescent="0.25">
      <c r="A290" s="1">
        <f t="shared" si="46"/>
        <v>279</v>
      </c>
      <c r="B290" s="3">
        <f t="shared" ca="1" si="47"/>
        <v>116500</v>
      </c>
      <c r="C290" s="26">
        <f t="shared" ca="1" si="48"/>
        <v>0.52265133927051588</v>
      </c>
      <c r="D290" s="26" t="str">
        <f t="shared" ca="1" si="45"/>
        <v>Win</v>
      </c>
      <c r="E290" s="3">
        <f t="shared" ca="1" si="49"/>
        <v>500</v>
      </c>
      <c r="F290" s="42">
        <f t="shared" si="41"/>
        <v>3.9586842707294686E-50</v>
      </c>
      <c r="G290" s="41">
        <f>SUM(F$11:F290)</f>
        <v>6.2855843988683465E-50</v>
      </c>
      <c r="I290" s="1">
        <f t="shared" si="40"/>
        <v>280</v>
      </c>
      <c r="J290" s="3">
        <v>94000</v>
      </c>
      <c r="K290" s="3">
        <v>92500</v>
      </c>
      <c r="L290" s="3">
        <v>114500</v>
      </c>
      <c r="M290" s="30">
        <f t="shared" si="42"/>
        <v>-6.0000000000000053E-2</v>
      </c>
      <c r="N290" s="1" t="str">
        <f t="shared" si="43"/>
        <v/>
      </c>
      <c r="O290" s="1" t="str">
        <f t="shared" si="44"/>
        <v/>
      </c>
    </row>
    <row r="291" spans="1:15" x14ac:dyDescent="0.25">
      <c r="A291" s="1">
        <f t="shared" si="46"/>
        <v>280</v>
      </c>
      <c r="B291" s="3">
        <f t="shared" ca="1" si="47"/>
        <v>117000</v>
      </c>
      <c r="C291" s="26">
        <f t="shared" ca="1" si="48"/>
        <v>0.94626014773501699</v>
      </c>
      <c r="D291" s="26" t="str">
        <f t="shared" ca="1" si="45"/>
        <v>Win</v>
      </c>
      <c r="E291" s="3">
        <f t="shared" ca="1" si="49"/>
        <v>500</v>
      </c>
      <c r="F291" s="42">
        <f t="shared" si="41"/>
        <v>1.0609677792929669E-49</v>
      </c>
      <c r="G291" s="41">
        <f>SUM(F$11:F291)</f>
        <v>1.6895262191798016E-49</v>
      </c>
      <c r="I291" s="1">
        <f t="shared" si="40"/>
        <v>281</v>
      </c>
      <c r="J291" s="3">
        <v>111000</v>
      </c>
      <c r="K291" s="3">
        <v>93500</v>
      </c>
      <c r="L291" s="3">
        <v>116000</v>
      </c>
      <c r="M291" s="30">
        <f t="shared" si="42"/>
        <v>0.1100000000000001</v>
      </c>
      <c r="N291" s="1" t="str">
        <f t="shared" si="43"/>
        <v/>
      </c>
      <c r="O291" s="1" t="str">
        <f t="shared" si="44"/>
        <v/>
      </c>
    </row>
    <row r="292" spans="1:15" x14ac:dyDescent="0.25">
      <c r="A292" s="1">
        <f t="shared" si="46"/>
        <v>281</v>
      </c>
      <c r="B292" s="3">
        <f t="shared" ca="1" si="47"/>
        <v>116500</v>
      </c>
      <c r="C292" s="26">
        <f t="shared" ca="1" si="48"/>
        <v>0.1982069395058339</v>
      </c>
      <c r="D292" s="26" t="str">
        <f t="shared" ca="1" si="45"/>
        <v>Lose</v>
      </c>
      <c r="E292" s="3">
        <f t="shared" ca="1" si="49"/>
        <v>-500</v>
      </c>
      <c r="F292" s="42">
        <f t="shared" si="41"/>
        <v>2.829452890960578E-49</v>
      </c>
      <c r="G292" s="41">
        <f>SUM(F$11:F292)</f>
        <v>4.5189791101403793E-49</v>
      </c>
      <c r="I292" s="1">
        <f t="shared" si="40"/>
        <v>282</v>
      </c>
      <c r="J292" s="3">
        <v>111000</v>
      </c>
      <c r="K292" s="3">
        <v>99000</v>
      </c>
      <c r="L292" s="3">
        <v>116500</v>
      </c>
      <c r="M292" s="30">
        <f t="shared" si="42"/>
        <v>0.1100000000000001</v>
      </c>
      <c r="N292" s="1" t="str">
        <f t="shared" si="43"/>
        <v/>
      </c>
      <c r="O292" s="1" t="str">
        <f t="shared" si="44"/>
        <v/>
      </c>
    </row>
    <row r="293" spans="1:15" x14ac:dyDescent="0.25">
      <c r="A293" s="1">
        <f t="shared" si="46"/>
        <v>282</v>
      </c>
      <c r="B293" s="3">
        <f t="shared" ca="1" si="47"/>
        <v>117000</v>
      </c>
      <c r="C293" s="26">
        <f t="shared" ca="1" si="48"/>
        <v>0.7251073030383447</v>
      </c>
      <c r="D293" s="26" t="str">
        <f t="shared" ca="1" si="45"/>
        <v>Win</v>
      </c>
      <c r="E293" s="3">
        <f t="shared" ca="1" si="49"/>
        <v>500</v>
      </c>
      <c r="F293" s="42">
        <f t="shared" si="41"/>
        <v>7.508554643120321E-49</v>
      </c>
      <c r="G293" s="41">
        <f>SUM(F$11:F293)</f>
        <v>1.20275337532607E-48</v>
      </c>
      <c r="I293" s="1">
        <f t="shared" si="40"/>
        <v>283</v>
      </c>
      <c r="J293" s="3">
        <v>106000</v>
      </c>
      <c r="K293" s="3">
        <v>90500</v>
      </c>
      <c r="L293" s="3">
        <v>110500</v>
      </c>
      <c r="M293" s="30">
        <f t="shared" si="42"/>
        <v>6.0000000000000053E-2</v>
      </c>
      <c r="N293" s="1" t="str">
        <f t="shared" si="43"/>
        <v/>
      </c>
      <c r="O293" s="1" t="str">
        <f t="shared" si="44"/>
        <v/>
      </c>
    </row>
    <row r="294" spans="1:15" x14ac:dyDescent="0.25">
      <c r="A294" s="1">
        <f t="shared" si="46"/>
        <v>283</v>
      </c>
      <c r="B294" s="3">
        <f t="shared" ca="1" si="47"/>
        <v>116500</v>
      </c>
      <c r="C294" s="26">
        <f t="shared" ca="1" si="48"/>
        <v>0.11417246620384891</v>
      </c>
      <c r="D294" s="26" t="str">
        <f t="shared" ca="1" si="45"/>
        <v>Lose</v>
      </c>
      <c r="E294" s="3">
        <f t="shared" ca="1" si="49"/>
        <v>-500</v>
      </c>
      <c r="F294" s="42">
        <f t="shared" si="41"/>
        <v>1.9827522457761398E-48</v>
      </c>
      <c r="G294" s="41">
        <f>SUM(F$11:F294)</f>
        <v>3.1855056211022097E-48</v>
      </c>
      <c r="I294" s="1">
        <f t="shared" si="40"/>
        <v>284</v>
      </c>
      <c r="J294" s="3">
        <v>115000</v>
      </c>
      <c r="K294" s="3">
        <v>94000</v>
      </c>
      <c r="L294" s="3">
        <v>119500</v>
      </c>
      <c r="M294" s="30">
        <f t="shared" si="42"/>
        <v>0.14999999999999991</v>
      </c>
      <c r="N294" s="1" t="str">
        <f t="shared" si="43"/>
        <v/>
      </c>
      <c r="O294" s="1" t="str">
        <f t="shared" si="44"/>
        <v/>
      </c>
    </row>
    <row r="295" spans="1:15" x14ac:dyDescent="0.25">
      <c r="A295" s="1">
        <f t="shared" si="46"/>
        <v>284</v>
      </c>
      <c r="B295" s="3">
        <f t="shared" ca="1" si="47"/>
        <v>116000</v>
      </c>
      <c r="C295" s="26">
        <f t="shared" ca="1" si="48"/>
        <v>0.45572841539120601</v>
      </c>
      <c r="D295" s="26" t="str">
        <f t="shared" ca="1" si="45"/>
        <v>Lose</v>
      </c>
      <c r="E295" s="3">
        <f t="shared" ca="1" si="49"/>
        <v>-500</v>
      </c>
      <c r="F295" s="42">
        <f t="shared" si="41"/>
        <v>5.2100676466869358E-48</v>
      </c>
      <c r="G295" s="41">
        <f>SUM(F$11:F295)</f>
        <v>8.3955732677891448E-48</v>
      </c>
      <c r="I295" s="1">
        <f t="shared" si="40"/>
        <v>285</v>
      </c>
      <c r="J295" s="3">
        <v>118000</v>
      </c>
      <c r="K295" s="3">
        <v>85500</v>
      </c>
      <c r="L295" s="3">
        <v>119500</v>
      </c>
      <c r="M295" s="30">
        <f t="shared" si="42"/>
        <v>0.17999999999999994</v>
      </c>
      <c r="N295" s="1" t="str">
        <f t="shared" si="43"/>
        <v/>
      </c>
      <c r="O295" s="1" t="str">
        <f t="shared" si="44"/>
        <v/>
      </c>
    </row>
    <row r="296" spans="1:15" x14ac:dyDescent="0.25">
      <c r="A296" s="1">
        <f t="shared" si="46"/>
        <v>285</v>
      </c>
      <c r="B296" s="3">
        <f t="shared" ca="1" si="47"/>
        <v>115500</v>
      </c>
      <c r="C296" s="26">
        <f t="shared" ca="1" si="48"/>
        <v>0.27430728646931024</v>
      </c>
      <c r="D296" s="26" t="str">
        <f t="shared" ca="1" si="45"/>
        <v>Lose</v>
      </c>
      <c r="E296" s="3">
        <f t="shared" ca="1" si="49"/>
        <v>-500</v>
      </c>
      <c r="F296" s="42">
        <f t="shared" si="41"/>
        <v>1.3623403522121343E-47</v>
      </c>
      <c r="G296" s="41">
        <f>SUM(F$11:F296)</f>
        <v>2.2018976789910488E-47</v>
      </c>
      <c r="I296" s="1">
        <f t="shared" si="40"/>
        <v>286</v>
      </c>
      <c r="J296" s="3">
        <v>130000</v>
      </c>
      <c r="K296" s="3">
        <v>98000</v>
      </c>
      <c r="L296" s="3">
        <v>132000</v>
      </c>
      <c r="M296" s="30">
        <f t="shared" si="42"/>
        <v>0.30000000000000004</v>
      </c>
      <c r="N296" s="1" t="str">
        <f t="shared" si="43"/>
        <v/>
      </c>
      <c r="O296" s="1" t="str">
        <f t="shared" si="44"/>
        <v/>
      </c>
    </row>
    <row r="297" spans="1:15" x14ac:dyDescent="0.25">
      <c r="A297" s="1">
        <f t="shared" si="46"/>
        <v>286</v>
      </c>
      <c r="B297" s="3">
        <f t="shared" ca="1" si="47"/>
        <v>116000</v>
      </c>
      <c r="C297" s="26">
        <f t="shared" ca="1" si="48"/>
        <v>0.67728693211618807</v>
      </c>
      <c r="D297" s="26" t="str">
        <f t="shared" ca="1" si="45"/>
        <v>Win</v>
      </c>
      <c r="E297" s="3">
        <f t="shared" ca="1" si="49"/>
        <v>500</v>
      </c>
      <c r="F297" s="42">
        <f t="shared" si="41"/>
        <v>3.5448652021846791E-47</v>
      </c>
      <c r="G297" s="41">
        <f>SUM(F$11:F297)</f>
        <v>5.7467628811757279E-47</v>
      </c>
      <c r="I297" s="1">
        <f t="shared" si="40"/>
        <v>287</v>
      </c>
      <c r="J297" s="3">
        <v>103000</v>
      </c>
      <c r="K297" s="3">
        <v>95000</v>
      </c>
      <c r="L297" s="3">
        <v>111000</v>
      </c>
      <c r="M297" s="30">
        <f t="shared" si="42"/>
        <v>3.0000000000000027E-2</v>
      </c>
      <c r="N297" s="1" t="str">
        <f t="shared" si="43"/>
        <v/>
      </c>
      <c r="O297" s="1" t="str">
        <f t="shared" si="44"/>
        <v/>
      </c>
    </row>
    <row r="298" spans="1:15" x14ac:dyDescent="0.25">
      <c r="A298" s="1">
        <f t="shared" si="46"/>
        <v>287</v>
      </c>
      <c r="B298" s="3">
        <f t="shared" ca="1" si="47"/>
        <v>115500</v>
      </c>
      <c r="C298" s="26">
        <f t="shared" ca="1" si="48"/>
        <v>0.17808882602568887</v>
      </c>
      <c r="D298" s="26" t="str">
        <f t="shared" ca="1" si="45"/>
        <v>Lose</v>
      </c>
      <c r="E298" s="3">
        <f t="shared" ca="1" si="49"/>
        <v>-500</v>
      </c>
      <c r="F298" s="42">
        <f t="shared" si="41"/>
        <v>9.1788893886335332E-47</v>
      </c>
      <c r="G298" s="41">
        <f>SUM(F$11:F298)</f>
        <v>1.4925652269809261E-46</v>
      </c>
      <c r="I298" s="1">
        <f t="shared" si="40"/>
        <v>288</v>
      </c>
      <c r="J298" s="3">
        <v>115000</v>
      </c>
      <c r="K298" s="3">
        <v>91500</v>
      </c>
      <c r="L298" s="3">
        <v>118000</v>
      </c>
      <c r="M298" s="30">
        <f t="shared" si="42"/>
        <v>0.14999999999999991</v>
      </c>
      <c r="N298" s="1" t="str">
        <f t="shared" si="43"/>
        <v/>
      </c>
      <c r="O298" s="1" t="str">
        <f t="shared" si="44"/>
        <v/>
      </c>
    </row>
    <row r="299" spans="1:15" x14ac:dyDescent="0.25">
      <c r="A299" s="1">
        <f t="shared" si="46"/>
        <v>288</v>
      </c>
      <c r="B299" s="3">
        <f t="shared" ca="1" si="47"/>
        <v>116000</v>
      </c>
      <c r="C299" s="26">
        <f t="shared" ca="1" si="48"/>
        <v>0.79615971070838354</v>
      </c>
      <c r="D299" s="26" t="str">
        <f t="shared" ca="1" si="45"/>
        <v>Win</v>
      </c>
      <c r="E299" s="3">
        <f t="shared" ca="1" si="49"/>
        <v>500</v>
      </c>
      <c r="F299" s="42">
        <f t="shared" si="41"/>
        <v>2.3651640790736321E-46</v>
      </c>
      <c r="G299" s="41">
        <f>SUM(F$11:F299)</f>
        <v>3.8577293060545584E-46</v>
      </c>
      <c r="I299" s="1">
        <f t="shared" si="40"/>
        <v>289</v>
      </c>
      <c r="J299" s="3">
        <v>98000</v>
      </c>
      <c r="K299" s="3">
        <v>83000</v>
      </c>
      <c r="L299" s="3">
        <v>100000</v>
      </c>
      <c r="M299" s="30">
        <f t="shared" si="42"/>
        <v>-2.0000000000000018E-2</v>
      </c>
      <c r="N299" s="1" t="str">
        <f t="shared" si="43"/>
        <v/>
      </c>
      <c r="O299" s="1" t="str">
        <f t="shared" si="44"/>
        <v/>
      </c>
    </row>
    <row r="300" spans="1:15" x14ac:dyDescent="0.25">
      <c r="A300" s="1">
        <f t="shared" si="46"/>
        <v>289</v>
      </c>
      <c r="B300" s="3">
        <f t="shared" ca="1" si="47"/>
        <v>116500</v>
      </c>
      <c r="C300" s="26">
        <f t="shared" ca="1" si="48"/>
        <v>0.5972567305332187</v>
      </c>
      <c r="D300" s="26" t="str">
        <f t="shared" ca="1" si="45"/>
        <v>Win</v>
      </c>
      <c r="E300" s="3">
        <f t="shared" ca="1" si="49"/>
        <v>500</v>
      </c>
      <c r="F300" s="42">
        <f t="shared" si="41"/>
        <v>6.0648144932790309E-46</v>
      </c>
      <c r="G300" s="41">
        <f>SUM(F$11:F300)</f>
        <v>9.92254379933359E-46</v>
      </c>
      <c r="I300" s="1">
        <f t="shared" si="40"/>
        <v>290</v>
      </c>
      <c r="J300" s="3">
        <v>98000</v>
      </c>
      <c r="K300" s="3">
        <v>89500</v>
      </c>
      <c r="L300" s="3">
        <v>113000</v>
      </c>
      <c r="M300" s="30">
        <f t="shared" si="42"/>
        <v>-2.0000000000000018E-2</v>
      </c>
      <c r="N300" s="1" t="str">
        <f t="shared" si="43"/>
        <v/>
      </c>
      <c r="O300" s="1" t="str">
        <f t="shared" si="44"/>
        <v/>
      </c>
    </row>
    <row r="301" spans="1:15" x14ac:dyDescent="0.25">
      <c r="A301" s="1">
        <f t="shared" si="46"/>
        <v>290</v>
      </c>
      <c r="B301" s="3">
        <f t="shared" ca="1" si="47"/>
        <v>116000</v>
      </c>
      <c r="C301" s="26">
        <f t="shared" ca="1" si="48"/>
        <v>0.27390751836047278</v>
      </c>
      <c r="D301" s="26" t="str">
        <f t="shared" ca="1" si="45"/>
        <v>Lose</v>
      </c>
      <c r="E301" s="3">
        <f t="shared" ca="1" si="49"/>
        <v>-500</v>
      </c>
      <c r="F301" s="42">
        <f t="shared" si="41"/>
        <v>1.5476160333624449E-45</v>
      </c>
      <c r="G301" s="41">
        <f>SUM(F$11:F301)</f>
        <v>2.5398704132958039E-45</v>
      </c>
      <c r="I301" s="1">
        <f t="shared" si="40"/>
        <v>291</v>
      </c>
      <c r="J301" s="3">
        <v>106000</v>
      </c>
      <c r="K301" s="3">
        <v>93500</v>
      </c>
      <c r="L301" s="3">
        <v>112500</v>
      </c>
      <c r="M301" s="30">
        <f t="shared" si="42"/>
        <v>6.0000000000000053E-2</v>
      </c>
      <c r="N301" s="1" t="str">
        <f t="shared" si="43"/>
        <v/>
      </c>
      <c r="O301" s="1" t="str">
        <f t="shared" si="44"/>
        <v/>
      </c>
    </row>
    <row r="302" spans="1:15" x14ac:dyDescent="0.25">
      <c r="A302" s="1">
        <f t="shared" si="46"/>
        <v>291</v>
      </c>
      <c r="B302" s="3">
        <f t="shared" ca="1" si="47"/>
        <v>115500</v>
      </c>
      <c r="C302" s="26">
        <f t="shared" ca="1" si="48"/>
        <v>0.13260728305836678</v>
      </c>
      <c r="D302" s="26" t="str">
        <f t="shared" ca="1" si="45"/>
        <v>Lose</v>
      </c>
      <c r="E302" s="3">
        <f t="shared" ca="1" si="49"/>
        <v>-500</v>
      </c>
      <c r="F302" s="42">
        <f t="shared" si="41"/>
        <v>3.9300916311138673E-45</v>
      </c>
      <c r="G302" s="41">
        <f>SUM(F$11:F302)</f>
        <v>6.4699620444096716E-45</v>
      </c>
      <c r="I302" s="1">
        <f t="shared" si="40"/>
        <v>292</v>
      </c>
      <c r="J302" s="3">
        <v>104000</v>
      </c>
      <c r="K302" s="3">
        <v>83000</v>
      </c>
      <c r="L302" s="3">
        <v>112000</v>
      </c>
      <c r="M302" s="30">
        <f t="shared" si="42"/>
        <v>4.0000000000000036E-2</v>
      </c>
      <c r="N302" s="1" t="str">
        <f t="shared" si="43"/>
        <v/>
      </c>
      <c r="O302" s="1" t="str">
        <f t="shared" si="44"/>
        <v/>
      </c>
    </row>
    <row r="303" spans="1:15" x14ac:dyDescent="0.25">
      <c r="A303" s="1">
        <f t="shared" si="46"/>
        <v>292</v>
      </c>
      <c r="B303" s="3">
        <f t="shared" ca="1" si="47"/>
        <v>115000</v>
      </c>
      <c r="C303" s="26">
        <f t="shared" ca="1" si="48"/>
        <v>0.28566214746355745</v>
      </c>
      <c r="D303" s="26" t="str">
        <f t="shared" ca="1" si="45"/>
        <v>Lose</v>
      </c>
      <c r="E303" s="3">
        <f t="shared" ca="1" si="49"/>
        <v>-500</v>
      </c>
      <c r="F303" s="42">
        <f t="shared" si="41"/>
        <v>9.9320787873528721E-45</v>
      </c>
      <c r="G303" s="41">
        <f>SUM(F$11:F303)</f>
        <v>1.6402040831762544E-44</v>
      </c>
      <c r="I303" s="1">
        <f t="shared" si="40"/>
        <v>293</v>
      </c>
      <c r="J303" s="3">
        <v>90000</v>
      </c>
      <c r="K303" s="3">
        <v>80000</v>
      </c>
      <c r="L303" s="3">
        <v>100500</v>
      </c>
      <c r="M303" s="30">
        <f t="shared" si="42"/>
        <v>-9.9999999999999978E-2</v>
      </c>
      <c r="N303" s="1" t="str">
        <f t="shared" si="43"/>
        <v/>
      </c>
      <c r="O303" s="1" t="str">
        <f t="shared" si="44"/>
        <v/>
      </c>
    </row>
    <row r="304" spans="1:15" x14ac:dyDescent="0.25">
      <c r="A304" s="1">
        <f t="shared" si="46"/>
        <v>293</v>
      </c>
      <c r="B304" s="3">
        <f t="shared" ca="1" si="47"/>
        <v>114500</v>
      </c>
      <c r="C304" s="26">
        <f t="shared" ca="1" si="48"/>
        <v>0.19780797281699347</v>
      </c>
      <c r="D304" s="26" t="str">
        <f t="shared" ca="1" si="45"/>
        <v>Lose</v>
      </c>
      <c r="E304" s="3">
        <f t="shared" ca="1" si="49"/>
        <v>-500</v>
      </c>
      <c r="F304" s="42">
        <f t="shared" si="41"/>
        <v>2.4979278460245713E-44</v>
      </c>
      <c r="G304" s="41">
        <f>SUM(F$11:F304)</f>
        <v>4.1381319292008259E-44</v>
      </c>
      <c r="I304" s="1">
        <f t="shared" si="40"/>
        <v>294</v>
      </c>
      <c r="J304" s="3">
        <v>138000</v>
      </c>
      <c r="K304" s="3">
        <v>98500</v>
      </c>
      <c r="L304" s="3">
        <v>138500</v>
      </c>
      <c r="M304" s="30">
        <f t="shared" si="42"/>
        <v>0.37999999999999989</v>
      </c>
      <c r="N304" s="1" t="str">
        <f t="shared" si="43"/>
        <v/>
      </c>
      <c r="O304" s="1" t="str">
        <f t="shared" si="44"/>
        <v/>
      </c>
    </row>
    <row r="305" spans="1:15" x14ac:dyDescent="0.25">
      <c r="A305" s="1">
        <f t="shared" si="46"/>
        <v>294</v>
      </c>
      <c r="B305" s="3">
        <f t="shared" ca="1" si="47"/>
        <v>115000</v>
      </c>
      <c r="C305" s="26">
        <f t="shared" ca="1" si="48"/>
        <v>0.77342453208180229</v>
      </c>
      <c r="D305" s="26" t="str">
        <f t="shared" ca="1" si="45"/>
        <v>Win</v>
      </c>
      <c r="E305" s="3">
        <f t="shared" ca="1" si="49"/>
        <v>500</v>
      </c>
      <c r="F305" s="42">
        <f t="shared" si="41"/>
        <v>6.2521022035335181E-44</v>
      </c>
      <c r="G305" s="41">
        <f>SUM(F$11:F305)</f>
        <v>1.0390234132734344E-43</v>
      </c>
      <c r="I305" s="1">
        <f t="shared" si="40"/>
        <v>295</v>
      </c>
      <c r="J305" s="3">
        <v>136000</v>
      </c>
      <c r="K305" s="3">
        <v>94000</v>
      </c>
      <c r="L305" s="3">
        <v>138000</v>
      </c>
      <c r="M305" s="30">
        <f t="shared" si="42"/>
        <v>0.3600000000000001</v>
      </c>
      <c r="N305" s="1" t="str">
        <f t="shared" si="43"/>
        <v/>
      </c>
      <c r="O305" s="1" t="str">
        <f t="shared" si="44"/>
        <v/>
      </c>
    </row>
    <row r="306" spans="1:15" x14ac:dyDescent="0.25">
      <c r="A306" s="1">
        <f t="shared" si="46"/>
        <v>295</v>
      </c>
      <c r="B306" s="3">
        <f t="shared" ca="1" si="47"/>
        <v>114500</v>
      </c>
      <c r="C306" s="26">
        <f t="shared" ca="1" si="48"/>
        <v>0.47069390616741624</v>
      </c>
      <c r="D306" s="26" t="str">
        <f t="shared" ca="1" si="45"/>
        <v>Lose</v>
      </c>
      <c r="E306" s="3">
        <f t="shared" ca="1" si="49"/>
        <v>-500</v>
      </c>
      <c r="F306" s="42">
        <f t="shared" si="41"/>
        <v>1.5573378895912408E-43</v>
      </c>
      <c r="G306" s="41">
        <f>SUM(F$11:F306)</f>
        <v>2.596361302864675E-43</v>
      </c>
      <c r="I306" s="1">
        <f t="shared" si="40"/>
        <v>296</v>
      </c>
      <c r="J306" s="3">
        <v>93000</v>
      </c>
      <c r="K306" s="3">
        <v>80000</v>
      </c>
      <c r="L306" s="3">
        <v>100500</v>
      </c>
      <c r="M306" s="30">
        <f t="shared" si="42"/>
        <v>-6.9999999999999951E-2</v>
      </c>
      <c r="N306" s="1" t="str">
        <f t="shared" si="43"/>
        <v/>
      </c>
      <c r="O306" s="1" t="str">
        <f t="shared" si="44"/>
        <v/>
      </c>
    </row>
    <row r="307" spans="1:15" x14ac:dyDescent="0.25">
      <c r="A307" s="1">
        <f t="shared" si="46"/>
        <v>296</v>
      </c>
      <c r="B307" s="3">
        <f t="shared" ca="1" si="47"/>
        <v>115000</v>
      </c>
      <c r="C307" s="26">
        <f t="shared" ca="1" si="48"/>
        <v>0.79568871741572933</v>
      </c>
      <c r="D307" s="26" t="str">
        <f t="shared" ca="1" si="45"/>
        <v>Win</v>
      </c>
      <c r="E307" s="3">
        <f t="shared" ca="1" si="49"/>
        <v>500</v>
      </c>
      <c r="F307" s="42">
        <f t="shared" si="41"/>
        <v>3.860595961131712E-43</v>
      </c>
      <c r="G307" s="41">
        <f>SUM(F$11:F307)</f>
        <v>6.456957263996387E-43</v>
      </c>
      <c r="I307" s="1">
        <f t="shared" si="40"/>
        <v>297</v>
      </c>
      <c r="J307" s="3">
        <v>120000</v>
      </c>
      <c r="K307" s="3">
        <v>94500</v>
      </c>
      <c r="L307" s="3">
        <v>122500</v>
      </c>
      <c r="M307" s="30">
        <f t="shared" si="42"/>
        <v>0.19999999999999996</v>
      </c>
      <c r="N307" s="1" t="str">
        <f t="shared" si="43"/>
        <v/>
      </c>
      <c r="O307" s="1" t="str">
        <f t="shared" si="44"/>
        <v/>
      </c>
    </row>
    <row r="308" spans="1:15" x14ac:dyDescent="0.25">
      <c r="A308" s="1">
        <f t="shared" si="46"/>
        <v>297</v>
      </c>
      <c r="B308" s="3">
        <f t="shared" ca="1" si="47"/>
        <v>114500</v>
      </c>
      <c r="C308" s="26">
        <f t="shared" ca="1" si="48"/>
        <v>0.10379531177842027</v>
      </c>
      <c r="D308" s="26" t="str">
        <f t="shared" ca="1" si="45"/>
        <v>Lose</v>
      </c>
      <c r="E308" s="3">
        <f t="shared" ca="1" si="49"/>
        <v>-500</v>
      </c>
      <c r="F308" s="42">
        <f t="shared" si="41"/>
        <v>9.5245542079622019E-43</v>
      </c>
      <c r="G308" s="41">
        <f>SUM(F$11:F308)</f>
        <v>1.5981511471958588E-42</v>
      </c>
      <c r="I308" s="1">
        <f t="shared" si="40"/>
        <v>298</v>
      </c>
      <c r="J308" s="3">
        <v>99000</v>
      </c>
      <c r="K308" s="3">
        <v>89000</v>
      </c>
      <c r="L308" s="3">
        <v>106500</v>
      </c>
      <c r="M308" s="30">
        <f t="shared" si="42"/>
        <v>-1.0000000000000009E-2</v>
      </c>
      <c r="N308" s="1" t="str">
        <f t="shared" si="43"/>
        <v/>
      </c>
      <c r="O308" s="1" t="str">
        <f t="shared" si="44"/>
        <v/>
      </c>
    </row>
    <row r="309" spans="1:15" x14ac:dyDescent="0.25">
      <c r="A309" s="1">
        <f t="shared" si="46"/>
        <v>298</v>
      </c>
      <c r="B309" s="3">
        <f t="shared" ca="1" si="47"/>
        <v>114000</v>
      </c>
      <c r="C309" s="26">
        <f t="shared" ca="1" si="48"/>
        <v>0.16523692357168174</v>
      </c>
      <c r="D309" s="26" t="str">
        <f t="shared" ca="1" si="45"/>
        <v>Lose</v>
      </c>
      <c r="E309" s="3">
        <f t="shared" ca="1" si="49"/>
        <v>-500</v>
      </c>
      <c r="F309" s="42">
        <f t="shared" si="41"/>
        <v>2.3386100672378506E-42</v>
      </c>
      <c r="G309" s="41">
        <f>SUM(F$11:F309)</f>
        <v>3.9367612144337097E-42</v>
      </c>
      <c r="I309" s="1">
        <f t="shared" si="40"/>
        <v>299</v>
      </c>
      <c r="J309" s="3">
        <v>127000</v>
      </c>
      <c r="K309" s="3">
        <v>97000</v>
      </c>
      <c r="L309" s="3">
        <v>127500</v>
      </c>
      <c r="M309" s="30">
        <f t="shared" si="42"/>
        <v>0.27</v>
      </c>
      <c r="N309" s="1" t="str">
        <f t="shared" si="43"/>
        <v/>
      </c>
      <c r="O309" s="1" t="str">
        <f t="shared" si="44"/>
        <v/>
      </c>
    </row>
    <row r="310" spans="1:15" x14ac:dyDescent="0.25">
      <c r="A310" s="1">
        <f t="shared" si="46"/>
        <v>299</v>
      </c>
      <c r="B310" s="3">
        <f t="shared" ca="1" si="47"/>
        <v>113500</v>
      </c>
      <c r="C310" s="26">
        <f t="shared" ca="1" si="48"/>
        <v>0.36583254846558266</v>
      </c>
      <c r="D310" s="26" t="str">
        <f t="shared" ca="1" si="45"/>
        <v>Lose</v>
      </c>
      <c r="E310" s="3">
        <f t="shared" ca="1" si="49"/>
        <v>-500</v>
      </c>
      <c r="F310" s="42">
        <f t="shared" si="41"/>
        <v>5.7147578750424865E-42</v>
      </c>
      <c r="G310" s="41">
        <f>SUM(F$11:F310)</f>
        <v>9.6515190894761955E-42</v>
      </c>
      <c r="I310" s="1">
        <f t="shared" si="40"/>
        <v>300</v>
      </c>
      <c r="J310" s="3">
        <v>109000</v>
      </c>
      <c r="K310" s="3">
        <v>94500</v>
      </c>
      <c r="L310" s="3">
        <v>114000</v>
      </c>
      <c r="M310" s="30">
        <f t="shared" si="42"/>
        <v>9.000000000000008E-2</v>
      </c>
      <c r="N310" s="1" t="str">
        <f t="shared" si="43"/>
        <v/>
      </c>
      <c r="O310" s="1" t="str">
        <f t="shared" si="44"/>
        <v/>
      </c>
    </row>
    <row r="311" spans="1:15" x14ac:dyDescent="0.25">
      <c r="A311" s="1">
        <f t="shared" si="46"/>
        <v>300</v>
      </c>
      <c r="B311" s="3">
        <f t="shared" ca="1" si="47"/>
        <v>114000</v>
      </c>
      <c r="C311" s="26">
        <f t="shared" ca="1" si="48"/>
        <v>0.86912160319706477</v>
      </c>
      <c r="D311" s="26" t="str">
        <f t="shared" ca="1" si="45"/>
        <v>Win</v>
      </c>
      <c r="E311" s="3">
        <f t="shared" ca="1" si="49"/>
        <v>500</v>
      </c>
      <c r="F311" s="42">
        <f t="shared" si="41"/>
        <v>1.3898524407527161E-41</v>
      </c>
      <c r="G311" s="41">
        <f>SUM(F$11:F311)</f>
        <v>2.3550043497003356E-41</v>
      </c>
      <c r="I311" s="1">
        <f t="shared" si="40"/>
        <v>301</v>
      </c>
      <c r="J311" s="3">
        <v>115000</v>
      </c>
      <c r="K311" s="3">
        <v>98000</v>
      </c>
      <c r="L311" s="3">
        <v>120000</v>
      </c>
      <c r="M311" s="30">
        <f t="shared" si="42"/>
        <v>0.14999999999999991</v>
      </c>
      <c r="N311" s="1" t="str">
        <f t="shared" si="43"/>
        <v/>
      </c>
      <c r="O311" s="1" t="str">
        <f t="shared" si="44"/>
        <v/>
      </c>
    </row>
    <row r="312" spans="1:15" x14ac:dyDescent="0.25">
      <c r="A312" s="1">
        <f t="shared" si="46"/>
        <v>301</v>
      </c>
      <c r="B312" s="3">
        <f t="shared" ca="1" si="47"/>
        <v>114500</v>
      </c>
      <c r="C312" s="26">
        <f t="shared" ca="1" si="48"/>
        <v>0.53960578164359352</v>
      </c>
      <c r="D312" s="26" t="str">
        <f t="shared" ca="1" si="45"/>
        <v>Win</v>
      </c>
      <c r="E312" s="3">
        <f t="shared" ca="1" si="49"/>
        <v>500</v>
      </c>
      <c r="F312" s="42">
        <f t="shared" si="41"/>
        <v>3.3641421204741607E-41</v>
      </c>
      <c r="G312" s="41">
        <f>SUM(F$11:F312)</f>
        <v>5.7191464701744959E-41</v>
      </c>
      <c r="I312" s="1">
        <f t="shared" si="40"/>
        <v>302</v>
      </c>
      <c r="J312" s="3">
        <v>111000</v>
      </c>
      <c r="K312" s="3">
        <v>92000</v>
      </c>
      <c r="L312" s="3">
        <v>123000</v>
      </c>
      <c r="M312" s="30">
        <f t="shared" si="42"/>
        <v>0.1100000000000001</v>
      </c>
      <c r="N312" s="1" t="str">
        <f t="shared" si="43"/>
        <v/>
      </c>
      <c r="O312" s="1" t="str">
        <f t="shared" si="44"/>
        <v/>
      </c>
    </row>
    <row r="313" spans="1:15" x14ac:dyDescent="0.25">
      <c r="A313" s="1">
        <f t="shared" si="46"/>
        <v>302</v>
      </c>
      <c r="B313" s="3">
        <f t="shared" ca="1" si="47"/>
        <v>115000</v>
      </c>
      <c r="C313" s="26">
        <f t="shared" ca="1" si="48"/>
        <v>0.56517212749336643</v>
      </c>
      <c r="D313" s="26" t="str">
        <f t="shared" ca="1" si="45"/>
        <v>Win</v>
      </c>
      <c r="E313" s="3">
        <f t="shared" ca="1" si="49"/>
        <v>500</v>
      </c>
      <c r="F313" s="42">
        <f t="shared" si="41"/>
        <v>8.1043588628719176E-41</v>
      </c>
      <c r="G313" s="41">
        <f>SUM(F$11:F313)</f>
        <v>1.3823505333046413E-40</v>
      </c>
      <c r="I313" s="1">
        <f t="shared" si="40"/>
        <v>303</v>
      </c>
      <c r="J313" s="3">
        <v>101000</v>
      </c>
      <c r="K313" s="3">
        <v>87500</v>
      </c>
      <c r="L313" s="3">
        <v>111500</v>
      </c>
      <c r="M313" s="30">
        <f t="shared" si="42"/>
        <v>1.0000000000000009E-2</v>
      </c>
      <c r="N313" s="1" t="str">
        <f t="shared" si="43"/>
        <v/>
      </c>
      <c r="O313" s="1" t="str">
        <f t="shared" si="44"/>
        <v/>
      </c>
    </row>
    <row r="314" spans="1:15" x14ac:dyDescent="0.25">
      <c r="A314" s="1">
        <f t="shared" si="46"/>
        <v>303</v>
      </c>
      <c r="B314" s="3">
        <f t="shared" ca="1" si="47"/>
        <v>115500</v>
      </c>
      <c r="C314" s="26">
        <f t="shared" ca="1" si="48"/>
        <v>0.7987169935278513</v>
      </c>
      <c r="D314" s="26" t="str">
        <f t="shared" ca="1" si="45"/>
        <v>Win</v>
      </c>
      <c r="E314" s="3">
        <f t="shared" ca="1" si="49"/>
        <v>500</v>
      </c>
      <c r="F314" s="42">
        <f t="shared" si="41"/>
        <v>1.9431465400452751E-40</v>
      </c>
      <c r="G314" s="41">
        <f>SUM(F$11:F314)</f>
        <v>3.3254970733499164E-40</v>
      </c>
      <c r="I314" s="1">
        <f t="shared" si="40"/>
        <v>304</v>
      </c>
      <c r="J314" s="3">
        <v>113000</v>
      </c>
      <c r="K314" s="3">
        <v>99000</v>
      </c>
      <c r="L314" s="3">
        <v>122000</v>
      </c>
      <c r="M314" s="30">
        <f t="shared" si="42"/>
        <v>0.12999999999999989</v>
      </c>
      <c r="N314" s="1" t="str">
        <f t="shared" si="43"/>
        <v/>
      </c>
      <c r="O314" s="1" t="str">
        <f t="shared" si="44"/>
        <v/>
      </c>
    </row>
    <row r="315" spans="1:15" x14ac:dyDescent="0.25">
      <c r="A315" s="1">
        <f t="shared" si="46"/>
        <v>304</v>
      </c>
      <c r="B315" s="3">
        <f t="shared" ca="1" si="47"/>
        <v>116000</v>
      </c>
      <c r="C315" s="26">
        <f t="shared" ca="1" si="48"/>
        <v>0.70026170588631298</v>
      </c>
      <c r="D315" s="26" t="str">
        <f t="shared" ca="1" si="45"/>
        <v>Win</v>
      </c>
      <c r="E315" s="3">
        <f t="shared" ca="1" si="49"/>
        <v>500</v>
      </c>
      <c r="F315" s="42">
        <f t="shared" si="41"/>
        <v>4.637018666688352E-40</v>
      </c>
      <c r="G315" s="41">
        <f>SUM(F$11:F315)</f>
        <v>7.9625157400382688E-40</v>
      </c>
      <c r="I315" s="1">
        <f t="shared" si="40"/>
        <v>305</v>
      </c>
      <c r="J315" s="3">
        <v>125000</v>
      </c>
      <c r="K315" s="3">
        <v>99000</v>
      </c>
      <c r="L315" s="3">
        <v>127000</v>
      </c>
      <c r="M315" s="30">
        <f t="shared" si="42"/>
        <v>0.25</v>
      </c>
      <c r="N315" s="1" t="str">
        <f t="shared" si="43"/>
        <v/>
      </c>
      <c r="O315" s="1" t="str">
        <f t="shared" si="44"/>
        <v/>
      </c>
    </row>
    <row r="316" spans="1:15" x14ac:dyDescent="0.25">
      <c r="A316" s="1">
        <f t="shared" si="46"/>
        <v>305</v>
      </c>
      <c r="B316" s="3">
        <f t="shared" ca="1" si="47"/>
        <v>116500</v>
      </c>
      <c r="C316" s="26">
        <f t="shared" ca="1" si="48"/>
        <v>0.91654513723179598</v>
      </c>
      <c r="D316" s="26" t="str">
        <f t="shared" ca="1" si="45"/>
        <v>Win</v>
      </c>
      <c r="E316" s="3">
        <f t="shared" ca="1" si="49"/>
        <v>500</v>
      </c>
      <c r="F316" s="42">
        <f t="shared" si="41"/>
        <v>1.1013423525778964E-39</v>
      </c>
      <c r="G316" s="41">
        <f>SUM(F$11:F316)</f>
        <v>1.8975939265817234E-39</v>
      </c>
      <c r="I316" s="1">
        <f t="shared" si="40"/>
        <v>306</v>
      </c>
      <c r="J316" s="3">
        <v>86000</v>
      </c>
      <c r="K316" s="3">
        <v>72500</v>
      </c>
      <c r="L316" s="3">
        <v>101500</v>
      </c>
      <c r="M316" s="30">
        <f t="shared" si="42"/>
        <v>-0.14000000000000001</v>
      </c>
      <c r="N316" s="1" t="str">
        <f t="shared" si="43"/>
        <v/>
      </c>
      <c r="O316" s="1" t="str">
        <f t="shared" si="44"/>
        <v/>
      </c>
    </row>
    <row r="317" spans="1:15" x14ac:dyDescent="0.25">
      <c r="A317" s="1">
        <f t="shared" si="46"/>
        <v>306</v>
      </c>
      <c r="B317" s="3">
        <f t="shared" ca="1" si="47"/>
        <v>117000</v>
      </c>
      <c r="C317" s="26">
        <f t="shared" ca="1" si="48"/>
        <v>0.99547485260694013</v>
      </c>
      <c r="D317" s="26" t="str">
        <f t="shared" ca="1" si="45"/>
        <v>Win</v>
      </c>
      <c r="E317" s="3">
        <f t="shared" ca="1" si="49"/>
        <v>500</v>
      </c>
      <c r="F317" s="42">
        <f t="shared" si="41"/>
        <v>2.6035133844954784E-39</v>
      </c>
      <c r="G317" s="41">
        <f>SUM(F$11:F317)</f>
        <v>4.5011073110772018E-39</v>
      </c>
      <c r="I317" s="1">
        <f t="shared" si="40"/>
        <v>307</v>
      </c>
      <c r="J317" s="3">
        <v>103000</v>
      </c>
      <c r="K317" s="3">
        <v>89000</v>
      </c>
      <c r="L317" s="3">
        <v>104500</v>
      </c>
      <c r="M317" s="30">
        <f t="shared" si="42"/>
        <v>3.0000000000000027E-2</v>
      </c>
      <c r="N317" s="1" t="str">
        <f t="shared" si="43"/>
        <v/>
      </c>
      <c r="O317" s="1" t="str">
        <f t="shared" si="44"/>
        <v/>
      </c>
    </row>
    <row r="318" spans="1:15" x14ac:dyDescent="0.25">
      <c r="A318" s="1">
        <f t="shared" si="46"/>
        <v>307</v>
      </c>
      <c r="B318" s="3">
        <f t="shared" ca="1" si="47"/>
        <v>117500</v>
      </c>
      <c r="C318" s="26">
        <f t="shared" ca="1" si="48"/>
        <v>0.66426853504322803</v>
      </c>
      <c r="D318" s="26" t="str">
        <f t="shared" ca="1" si="45"/>
        <v>Win</v>
      </c>
      <c r="E318" s="3">
        <f t="shared" ca="1" si="49"/>
        <v>500</v>
      </c>
      <c r="F318" s="42">
        <f t="shared" si="41"/>
        <v>6.1256898710916075E-39</v>
      </c>
      <c r="G318" s="41">
        <f>SUM(F$11:F318)</f>
        <v>1.0626797182168809E-38</v>
      </c>
      <c r="I318" s="1">
        <f t="shared" si="40"/>
        <v>308</v>
      </c>
      <c r="J318" s="3">
        <v>95000</v>
      </c>
      <c r="K318" s="3">
        <v>82500</v>
      </c>
      <c r="L318" s="3">
        <v>101000</v>
      </c>
      <c r="M318" s="30">
        <f t="shared" si="42"/>
        <v>-5.0000000000000044E-2</v>
      </c>
      <c r="N318" s="1" t="str">
        <f t="shared" si="43"/>
        <v/>
      </c>
      <c r="O318" s="1" t="str">
        <f t="shared" si="44"/>
        <v/>
      </c>
    </row>
    <row r="319" spans="1:15" x14ac:dyDescent="0.25">
      <c r="A319" s="1">
        <f t="shared" si="46"/>
        <v>308</v>
      </c>
      <c r="B319" s="3">
        <f t="shared" ca="1" si="47"/>
        <v>118000</v>
      </c>
      <c r="C319" s="26">
        <f t="shared" ca="1" si="48"/>
        <v>0.57958456867683072</v>
      </c>
      <c r="D319" s="26" t="str">
        <f t="shared" ca="1" si="45"/>
        <v>Win</v>
      </c>
      <c r="E319" s="3">
        <f t="shared" ca="1" si="49"/>
        <v>500</v>
      </c>
      <c r="F319" s="42">
        <f t="shared" si="41"/>
        <v>1.4345365565464487E-38</v>
      </c>
      <c r="G319" s="41">
        <f>SUM(F$11:F319)</f>
        <v>2.4972162747633295E-38</v>
      </c>
      <c r="I319" s="1">
        <f t="shared" si="40"/>
        <v>309</v>
      </c>
      <c r="J319" s="3">
        <v>105000</v>
      </c>
      <c r="K319" s="3">
        <v>80000</v>
      </c>
      <c r="L319" s="3">
        <v>105000</v>
      </c>
      <c r="M319" s="30">
        <f t="shared" si="42"/>
        <v>5.0000000000000044E-2</v>
      </c>
      <c r="N319" s="1" t="str">
        <f t="shared" si="43"/>
        <v/>
      </c>
      <c r="O319" s="1" t="str">
        <f t="shared" si="44"/>
        <v/>
      </c>
    </row>
    <row r="320" spans="1:15" x14ac:dyDescent="0.25">
      <c r="A320" s="1">
        <f t="shared" si="46"/>
        <v>309</v>
      </c>
      <c r="B320" s="3">
        <f t="shared" ca="1" si="47"/>
        <v>117500</v>
      </c>
      <c r="C320" s="26">
        <f t="shared" ca="1" si="48"/>
        <v>0.4605927848660476</v>
      </c>
      <c r="D320" s="26" t="str">
        <f t="shared" ca="1" si="45"/>
        <v>Lose</v>
      </c>
      <c r="E320" s="3">
        <f t="shared" ca="1" si="49"/>
        <v>-500</v>
      </c>
      <c r="F320" s="42">
        <f t="shared" si="41"/>
        <v>3.3437463941376691E-38</v>
      </c>
      <c r="G320" s="41">
        <f>SUM(F$11:F320)</f>
        <v>5.8409626689009992E-38</v>
      </c>
      <c r="I320" s="1">
        <f t="shared" si="40"/>
        <v>310</v>
      </c>
      <c r="J320" s="3">
        <v>110000</v>
      </c>
      <c r="K320" s="3">
        <v>94500</v>
      </c>
      <c r="L320" s="3">
        <v>111500</v>
      </c>
      <c r="M320" s="30">
        <f t="shared" si="42"/>
        <v>0.10000000000000009</v>
      </c>
      <c r="N320" s="1" t="str">
        <f t="shared" si="43"/>
        <v/>
      </c>
      <c r="O320" s="1" t="str">
        <f t="shared" si="44"/>
        <v/>
      </c>
    </row>
    <row r="321" spans="1:15" x14ac:dyDescent="0.25">
      <c r="A321" s="1">
        <f t="shared" si="46"/>
        <v>310</v>
      </c>
      <c r="B321" s="3">
        <f t="shared" ca="1" si="47"/>
        <v>118000</v>
      </c>
      <c r="C321" s="26">
        <f t="shared" ca="1" si="48"/>
        <v>0.64778900681710228</v>
      </c>
      <c r="D321" s="26" t="str">
        <f t="shared" ca="1" si="45"/>
        <v>Win</v>
      </c>
      <c r="E321" s="3">
        <f t="shared" ca="1" si="49"/>
        <v>500</v>
      </c>
      <c r="F321" s="42">
        <f t="shared" si="41"/>
        <v>7.7575356600267714E-38</v>
      </c>
      <c r="G321" s="41">
        <f>SUM(F$11:F321)</f>
        <v>1.359849832892777E-37</v>
      </c>
      <c r="I321" s="1">
        <f t="shared" si="40"/>
        <v>311</v>
      </c>
      <c r="J321" s="3">
        <v>106000</v>
      </c>
      <c r="K321" s="3">
        <v>97500</v>
      </c>
      <c r="L321" s="3">
        <v>114500</v>
      </c>
      <c r="M321" s="30">
        <f t="shared" si="42"/>
        <v>6.0000000000000053E-2</v>
      </c>
      <c r="N321" s="1" t="str">
        <f t="shared" si="43"/>
        <v/>
      </c>
      <c r="O321" s="1" t="str">
        <f t="shared" si="44"/>
        <v/>
      </c>
    </row>
    <row r="322" spans="1:15" x14ac:dyDescent="0.25">
      <c r="A322" s="1">
        <f t="shared" si="46"/>
        <v>311</v>
      </c>
      <c r="B322" s="3">
        <f t="shared" ca="1" si="47"/>
        <v>117500</v>
      </c>
      <c r="C322" s="26">
        <f t="shared" ca="1" si="48"/>
        <v>0.20657921455303252</v>
      </c>
      <c r="D322" s="26" t="str">
        <f t="shared" ca="1" si="45"/>
        <v>Lose</v>
      </c>
      <c r="E322" s="3">
        <f t="shared" ca="1" si="49"/>
        <v>-500</v>
      </c>
      <c r="F322" s="42">
        <f t="shared" si="41"/>
        <v>1.7913752862807751E-37</v>
      </c>
      <c r="G322" s="41">
        <f>SUM(F$11:F322)</f>
        <v>3.1512251191735522E-37</v>
      </c>
      <c r="I322" s="1">
        <f t="shared" si="40"/>
        <v>312</v>
      </c>
      <c r="J322" s="3">
        <v>121000</v>
      </c>
      <c r="K322" s="3">
        <v>96000</v>
      </c>
      <c r="L322" s="3">
        <v>126500</v>
      </c>
      <c r="M322" s="30">
        <f t="shared" si="42"/>
        <v>0.20999999999999996</v>
      </c>
      <c r="N322" s="1" t="str">
        <f t="shared" si="43"/>
        <v/>
      </c>
      <c r="O322" s="1" t="str">
        <f t="shared" si="44"/>
        <v/>
      </c>
    </row>
    <row r="323" spans="1:15" x14ac:dyDescent="0.25">
      <c r="A323" s="1">
        <f t="shared" si="46"/>
        <v>312</v>
      </c>
      <c r="B323" s="3">
        <f t="shared" ca="1" si="47"/>
        <v>118000</v>
      </c>
      <c r="C323" s="26">
        <f t="shared" ca="1" si="48"/>
        <v>0.80004341147490443</v>
      </c>
      <c r="D323" s="26" t="str">
        <f t="shared" ca="1" si="45"/>
        <v>Win</v>
      </c>
      <c r="E323" s="3">
        <f t="shared" ca="1" si="49"/>
        <v>500</v>
      </c>
      <c r="F323" s="42">
        <f t="shared" si="41"/>
        <v>4.1174212574973209E-37</v>
      </c>
      <c r="G323" s="41">
        <f>SUM(F$11:F323)</f>
        <v>7.2686463766708731E-37</v>
      </c>
      <c r="I323" s="1">
        <f t="shared" si="40"/>
        <v>313</v>
      </c>
      <c r="J323" s="3">
        <v>108000</v>
      </c>
      <c r="K323" s="3">
        <v>99000</v>
      </c>
      <c r="L323" s="3">
        <v>115000</v>
      </c>
      <c r="M323" s="30">
        <f t="shared" si="42"/>
        <v>8.0000000000000071E-2</v>
      </c>
      <c r="N323" s="1" t="str">
        <f t="shared" si="43"/>
        <v/>
      </c>
      <c r="O323" s="1" t="str">
        <f t="shared" si="44"/>
        <v/>
      </c>
    </row>
    <row r="324" spans="1:15" x14ac:dyDescent="0.25">
      <c r="A324" s="1">
        <f>A323+1</f>
        <v>313</v>
      </c>
      <c r="B324" s="3">
        <f t="shared" ca="1" si="47"/>
        <v>117500</v>
      </c>
      <c r="C324" s="26">
        <f t="shared" ca="1" si="48"/>
        <v>0.22341627339546744</v>
      </c>
      <c r="D324" s="26" t="str">
        <f t="shared" ca="1" si="45"/>
        <v>Lose</v>
      </c>
      <c r="E324" s="3">
        <f t="shared" ca="1" si="49"/>
        <v>-500</v>
      </c>
      <c r="F324" s="42">
        <f t="shared" si="41"/>
        <v>9.4198394133839947E-37</v>
      </c>
      <c r="G324" s="41">
        <f>SUM(F$11:F324)</f>
        <v>1.6688485790054868E-36</v>
      </c>
      <c r="I324" s="1">
        <f t="shared" si="40"/>
        <v>314</v>
      </c>
      <c r="J324" s="3">
        <v>119000</v>
      </c>
      <c r="K324" s="3">
        <v>98500</v>
      </c>
      <c r="L324" s="3">
        <v>127500</v>
      </c>
      <c r="M324" s="30">
        <f t="shared" si="42"/>
        <v>0.18999999999999995</v>
      </c>
      <c r="N324" s="1" t="str">
        <f t="shared" si="43"/>
        <v/>
      </c>
      <c r="O324" s="1" t="str">
        <f t="shared" si="44"/>
        <v/>
      </c>
    </row>
    <row r="325" spans="1:15" x14ac:dyDescent="0.25">
      <c r="A325" s="1">
        <f t="shared" ref="A325:A388" si="50">A324+1</f>
        <v>314</v>
      </c>
      <c r="B325" s="3">
        <f t="shared" ca="1" si="47"/>
        <v>117000</v>
      </c>
      <c r="C325" s="26">
        <f t="shared" ca="1" si="48"/>
        <v>0.3948967886133874</v>
      </c>
      <c r="D325" s="26" t="str">
        <f t="shared" ca="1" si="45"/>
        <v>Lose</v>
      </c>
      <c r="E325" s="3">
        <f t="shared" ca="1" si="49"/>
        <v>-500</v>
      </c>
      <c r="F325" s="42">
        <f t="shared" si="41"/>
        <v>2.1450858801945232E-36</v>
      </c>
      <c r="G325" s="41">
        <f>SUM(F$11:F325)</f>
        <v>3.81393445920001E-36</v>
      </c>
      <c r="I325" s="1">
        <f t="shared" si="40"/>
        <v>315</v>
      </c>
      <c r="J325" s="3">
        <v>99000</v>
      </c>
      <c r="K325" s="3">
        <v>94000</v>
      </c>
      <c r="L325" s="3">
        <v>114500</v>
      </c>
      <c r="M325" s="30">
        <f t="shared" si="42"/>
        <v>-1.0000000000000009E-2</v>
      </c>
      <c r="N325" s="1" t="str">
        <f t="shared" si="43"/>
        <v/>
      </c>
      <c r="O325" s="1" t="str">
        <f t="shared" si="44"/>
        <v/>
      </c>
    </row>
    <row r="326" spans="1:15" x14ac:dyDescent="0.25">
      <c r="A326" s="1">
        <f t="shared" si="50"/>
        <v>315</v>
      </c>
      <c r="B326" s="3">
        <f t="shared" ca="1" si="47"/>
        <v>116500</v>
      </c>
      <c r="C326" s="26">
        <f t="shared" ca="1" si="48"/>
        <v>0.3464621312556504</v>
      </c>
      <c r="D326" s="26" t="str">
        <f t="shared" ca="1" si="45"/>
        <v>Lose</v>
      </c>
      <c r="E326" s="3">
        <f t="shared" ca="1" si="49"/>
        <v>-500</v>
      </c>
      <c r="F326" s="42">
        <f t="shared" si="41"/>
        <v>4.8621946617742189E-36</v>
      </c>
      <c r="G326" s="41">
        <f>SUM(F$11:F326)</f>
        <v>8.6761291209742296E-36</v>
      </c>
      <c r="I326" s="1">
        <f t="shared" si="40"/>
        <v>316</v>
      </c>
      <c r="J326" s="3">
        <v>102000</v>
      </c>
      <c r="K326" s="3">
        <v>90000</v>
      </c>
      <c r="L326" s="3">
        <v>108500</v>
      </c>
      <c r="M326" s="30">
        <f t="shared" si="42"/>
        <v>2.0000000000000018E-2</v>
      </c>
      <c r="N326" s="1" t="str">
        <f t="shared" si="43"/>
        <v/>
      </c>
      <c r="O326" s="1" t="str">
        <f t="shared" si="44"/>
        <v/>
      </c>
    </row>
    <row r="327" spans="1:15" x14ac:dyDescent="0.25">
      <c r="A327" s="1">
        <f t="shared" si="50"/>
        <v>316</v>
      </c>
      <c r="B327" s="3">
        <f t="shared" ca="1" si="47"/>
        <v>117000</v>
      </c>
      <c r="C327" s="26">
        <f t="shared" ca="1" si="48"/>
        <v>0.78848400106862171</v>
      </c>
      <c r="D327" s="26" t="str">
        <f t="shared" ca="1" si="45"/>
        <v>Win</v>
      </c>
      <c r="E327" s="3">
        <f t="shared" ca="1" si="49"/>
        <v>500</v>
      </c>
      <c r="F327" s="42">
        <f t="shared" si="41"/>
        <v>1.0970083344684233E-35</v>
      </c>
      <c r="G327" s="41">
        <f>SUM(F$11:F327)</f>
        <v>1.9646212465658464E-35</v>
      </c>
      <c r="I327" s="1">
        <f t="shared" ref="I327:I390" si="51">I326+1</f>
        <v>317</v>
      </c>
      <c r="J327" s="3">
        <v>96000</v>
      </c>
      <c r="K327" s="3">
        <v>93500</v>
      </c>
      <c r="L327" s="3">
        <v>116000</v>
      </c>
      <c r="M327" s="30">
        <f t="shared" si="42"/>
        <v>-4.0000000000000036E-2</v>
      </c>
      <c r="N327" s="1" t="str">
        <f t="shared" si="43"/>
        <v/>
      </c>
      <c r="O327" s="1" t="str">
        <f t="shared" si="44"/>
        <v/>
      </c>
    </row>
    <row r="328" spans="1:15" x14ac:dyDescent="0.25">
      <c r="A328" s="1">
        <f t="shared" si="50"/>
        <v>317</v>
      </c>
      <c r="B328" s="3">
        <f t="shared" ca="1" si="47"/>
        <v>117500</v>
      </c>
      <c r="C328" s="26">
        <f t="shared" ca="1" si="48"/>
        <v>0.52543313889485421</v>
      </c>
      <c r="D328" s="26" t="str">
        <f t="shared" ca="1" si="45"/>
        <v>Win</v>
      </c>
      <c r="E328" s="3">
        <f t="shared" ca="1" si="49"/>
        <v>500</v>
      </c>
      <c r="F328" s="42">
        <f t="shared" si="41"/>
        <v>2.4636605124313479E-35</v>
      </c>
      <c r="G328" s="41">
        <f>SUM(F$11:F328)</f>
        <v>4.4282817589971943E-35</v>
      </c>
      <c r="I328" s="1">
        <f t="shared" si="51"/>
        <v>318</v>
      </c>
      <c r="J328" s="3">
        <v>103000</v>
      </c>
      <c r="K328" s="3">
        <v>97000</v>
      </c>
      <c r="L328" s="3">
        <v>113500</v>
      </c>
      <c r="M328" s="30">
        <f t="shared" si="42"/>
        <v>3.0000000000000027E-2</v>
      </c>
      <c r="N328" s="1" t="str">
        <f t="shared" si="43"/>
        <v/>
      </c>
      <c r="O328" s="1" t="str">
        <f t="shared" si="44"/>
        <v/>
      </c>
    </row>
    <row r="329" spans="1:15" x14ac:dyDescent="0.25">
      <c r="A329" s="1">
        <f t="shared" si="50"/>
        <v>318</v>
      </c>
      <c r="B329" s="3">
        <f t="shared" ca="1" si="47"/>
        <v>118000</v>
      </c>
      <c r="C329" s="26">
        <f t="shared" ca="1" si="48"/>
        <v>0.70895487625433751</v>
      </c>
      <c r="D329" s="26" t="str">
        <f t="shared" ca="1" si="45"/>
        <v>Win</v>
      </c>
      <c r="E329" s="3">
        <f t="shared" ca="1" si="49"/>
        <v>500</v>
      </c>
      <c r="F329" s="42">
        <f t="shared" si="41"/>
        <v>5.5074243761723261E-35</v>
      </c>
      <c r="G329" s="41">
        <f>SUM(F$11:F329)</f>
        <v>9.9357061351695194E-35</v>
      </c>
      <c r="I329" s="1">
        <f t="shared" si="51"/>
        <v>319</v>
      </c>
      <c r="J329" s="3">
        <v>124000</v>
      </c>
      <c r="K329" s="3">
        <v>95000</v>
      </c>
      <c r="L329" s="3">
        <v>126500</v>
      </c>
      <c r="M329" s="30">
        <f t="shared" si="42"/>
        <v>0.24</v>
      </c>
      <c r="N329" s="1" t="str">
        <f t="shared" si="43"/>
        <v/>
      </c>
      <c r="O329" s="1" t="str">
        <f t="shared" si="44"/>
        <v/>
      </c>
    </row>
    <row r="330" spans="1:15" x14ac:dyDescent="0.25">
      <c r="A330" s="1">
        <f t="shared" si="50"/>
        <v>319</v>
      </c>
      <c r="B330" s="3">
        <f t="shared" ca="1" si="47"/>
        <v>118500</v>
      </c>
      <c r="C330" s="26">
        <f t="shared" ca="1" si="48"/>
        <v>0.97687783214163204</v>
      </c>
      <c r="D330" s="26" t="str">
        <f t="shared" ca="1" si="45"/>
        <v>Win</v>
      </c>
      <c r="E330" s="3">
        <f t="shared" ca="1" si="49"/>
        <v>500</v>
      </c>
      <c r="F330" s="42">
        <f t="shared" si="41"/>
        <v>1.2255085065065225E-34</v>
      </c>
      <c r="G330" s="41">
        <f>SUM(F$11:F330)</f>
        <v>2.2190791200234747E-34</v>
      </c>
      <c r="I330" s="1">
        <f t="shared" si="51"/>
        <v>320</v>
      </c>
      <c r="J330" s="3">
        <v>109000</v>
      </c>
      <c r="K330" s="3">
        <v>88500</v>
      </c>
      <c r="L330" s="3">
        <v>111500</v>
      </c>
      <c r="M330" s="30">
        <f t="shared" si="42"/>
        <v>9.000000000000008E-2</v>
      </c>
      <c r="N330" s="1" t="str">
        <f t="shared" si="43"/>
        <v/>
      </c>
      <c r="O330" s="1" t="str">
        <f t="shared" si="44"/>
        <v/>
      </c>
    </row>
    <row r="331" spans="1:15" x14ac:dyDescent="0.25">
      <c r="A331" s="1">
        <f t="shared" si="50"/>
        <v>320</v>
      </c>
      <c r="B331" s="3">
        <f t="shared" ca="1" si="47"/>
        <v>119000</v>
      </c>
      <c r="C331" s="26">
        <f t="shared" ca="1" si="48"/>
        <v>0.97791734299386601</v>
      </c>
      <c r="D331" s="26" t="str">
        <f t="shared" ca="1" si="45"/>
        <v>Win</v>
      </c>
      <c r="E331" s="3">
        <f t="shared" ca="1" si="49"/>
        <v>500</v>
      </c>
      <c r="F331" s="42">
        <f t="shared" si="41"/>
        <v>2.7144857104258913E-34</v>
      </c>
      <c r="G331" s="41">
        <f>SUM(F$11:F331)</f>
        <v>4.9335648304493664E-34</v>
      </c>
      <c r="I331" s="1">
        <f t="shared" si="51"/>
        <v>321</v>
      </c>
      <c r="J331" s="3">
        <v>91000</v>
      </c>
      <c r="K331" s="3">
        <v>84000</v>
      </c>
      <c r="L331" s="3">
        <v>118000</v>
      </c>
      <c r="M331" s="30">
        <f t="shared" si="42"/>
        <v>-8.9999999999999969E-2</v>
      </c>
      <c r="N331" s="1" t="str">
        <f t="shared" si="43"/>
        <v/>
      </c>
      <c r="O331" s="1" t="str">
        <f t="shared" si="44"/>
        <v/>
      </c>
    </row>
    <row r="332" spans="1:15" x14ac:dyDescent="0.25">
      <c r="A332" s="1">
        <f t="shared" si="50"/>
        <v>321</v>
      </c>
      <c r="B332" s="3">
        <f t="shared" ca="1" si="47"/>
        <v>118500</v>
      </c>
      <c r="C332" s="26">
        <f t="shared" ca="1" si="48"/>
        <v>0.29478930220695143</v>
      </c>
      <c r="D332" s="26" t="str">
        <f t="shared" ca="1" si="45"/>
        <v>Lose</v>
      </c>
      <c r="E332" s="3">
        <f t="shared" ca="1" si="49"/>
        <v>-500</v>
      </c>
      <c r="F332" s="42">
        <f t="shared" ref="F332:F395" si="52">_xlfn.BINOM.DIST(A332,$A$1011,$B$1,FALSE)</f>
        <v>5.9850190372922695E-34</v>
      </c>
      <c r="G332" s="41">
        <f>SUM(F$11:F332)</f>
        <v>1.0918583867741637E-33</v>
      </c>
      <c r="I332" s="1">
        <f t="shared" si="51"/>
        <v>322</v>
      </c>
      <c r="J332" s="3">
        <v>122000</v>
      </c>
      <c r="K332" s="3">
        <v>95500</v>
      </c>
      <c r="L332" s="3">
        <v>123000</v>
      </c>
      <c r="M332" s="30">
        <f t="shared" ref="M332:M395" si="53">J332/$B$3-1</f>
        <v>0.21999999999999997</v>
      </c>
      <c r="N332" s="1" t="str">
        <f t="shared" ref="N332:N395" si="54">IF(K332&lt;=0,1,"")</f>
        <v/>
      </c>
      <c r="O332" s="1" t="str">
        <f t="shared" ref="O332:O395" si="55">IF(J332&lt;=0,1,"")</f>
        <v/>
      </c>
    </row>
    <row r="333" spans="1:15" x14ac:dyDescent="0.25">
      <c r="A333" s="1">
        <f t="shared" si="50"/>
        <v>322</v>
      </c>
      <c r="B333" s="3">
        <f t="shared" ca="1" si="47"/>
        <v>119000</v>
      </c>
      <c r="C333" s="26">
        <f t="shared" ca="1" si="48"/>
        <v>0.76393179259929789</v>
      </c>
      <c r="D333" s="26" t="str">
        <f t="shared" ref="D333:D396" ca="1" si="56">IF(C333&gt;$B$2,"Win","Lose")</f>
        <v>Win</v>
      </c>
      <c r="E333" s="3">
        <f t="shared" ca="1" si="49"/>
        <v>500</v>
      </c>
      <c r="F333" s="42">
        <f t="shared" si="52"/>
        <v>1.3135709484243645E-33</v>
      </c>
      <c r="G333" s="41">
        <f>SUM(F$11:F333)</f>
        <v>2.405429335198528E-33</v>
      </c>
      <c r="I333" s="1">
        <f t="shared" si="51"/>
        <v>323</v>
      </c>
      <c r="J333" s="3">
        <v>119000</v>
      </c>
      <c r="K333" s="3">
        <v>92000</v>
      </c>
      <c r="L333" s="3">
        <v>119500</v>
      </c>
      <c r="M333" s="30">
        <f t="shared" si="53"/>
        <v>0.18999999999999995</v>
      </c>
      <c r="N333" s="1" t="str">
        <f t="shared" si="54"/>
        <v/>
      </c>
      <c r="O333" s="1" t="str">
        <f t="shared" si="55"/>
        <v/>
      </c>
    </row>
    <row r="334" spans="1:15" x14ac:dyDescent="0.25">
      <c r="A334" s="1">
        <f t="shared" si="50"/>
        <v>323</v>
      </c>
      <c r="B334" s="3">
        <f t="shared" ref="B334:B397" ca="1" si="57">B333+E334</f>
        <v>118500</v>
      </c>
      <c r="C334" s="26">
        <f t="shared" ref="C334:C397" ca="1" si="58">RAND()</f>
        <v>0.41810893596247423</v>
      </c>
      <c r="D334" s="26" t="str">
        <f t="shared" ca="1" si="56"/>
        <v>Lose</v>
      </c>
      <c r="E334" s="3">
        <f t="shared" ref="E334:E397" ca="1" si="59">IF(D334="Win",$B$4,-$B$4)</f>
        <v>-500</v>
      </c>
      <c r="F334" s="42">
        <f t="shared" si="52"/>
        <v>2.8698209549893897E-33</v>
      </c>
      <c r="G334" s="41">
        <f>SUM(F$11:F334)</f>
        <v>5.2752502901879174E-33</v>
      </c>
      <c r="I334" s="1">
        <f t="shared" si="51"/>
        <v>324</v>
      </c>
      <c r="J334" s="3">
        <v>117000</v>
      </c>
      <c r="K334" s="3">
        <v>98000</v>
      </c>
      <c r="L334" s="3">
        <v>117000</v>
      </c>
      <c r="M334" s="30">
        <f t="shared" si="53"/>
        <v>0.16999999999999993</v>
      </c>
      <c r="N334" s="1" t="str">
        <f t="shared" si="54"/>
        <v/>
      </c>
      <c r="O334" s="1" t="str">
        <f t="shared" si="55"/>
        <v/>
      </c>
    </row>
    <row r="335" spans="1:15" x14ac:dyDescent="0.25">
      <c r="A335" s="1">
        <f t="shared" si="50"/>
        <v>324</v>
      </c>
      <c r="B335" s="3">
        <f t="shared" ca="1" si="57"/>
        <v>119000</v>
      </c>
      <c r="C335" s="26">
        <f t="shared" ca="1" si="58"/>
        <v>0.65756023044815404</v>
      </c>
      <c r="D335" s="26" t="str">
        <f t="shared" ca="1" si="56"/>
        <v>Win</v>
      </c>
      <c r="E335" s="3">
        <f t="shared" ca="1" si="59"/>
        <v>500</v>
      </c>
      <c r="F335" s="42">
        <f t="shared" si="52"/>
        <v>6.2412640534717673E-33</v>
      </c>
      <c r="G335" s="41">
        <f>SUM(F$11:F335)</f>
        <v>1.1516514343659685E-32</v>
      </c>
      <c r="I335" s="1">
        <f t="shared" si="51"/>
        <v>325</v>
      </c>
      <c r="J335" s="3">
        <v>126000</v>
      </c>
      <c r="K335" s="3">
        <v>99000</v>
      </c>
      <c r="L335" s="3">
        <v>129500</v>
      </c>
      <c r="M335" s="30">
        <f t="shared" si="53"/>
        <v>0.26</v>
      </c>
      <c r="N335" s="1" t="str">
        <f t="shared" si="54"/>
        <v/>
      </c>
      <c r="O335" s="1" t="str">
        <f t="shared" si="55"/>
        <v/>
      </c>
    </row>
    <row r="336" spans="1:15" x14ac:dyDescent="0.25">
      <c r="A336" s="1">
        <f t="shared" si="50"/>
        <v>325</v>
      </c>
      <c r="B336" s="3">
        <f t="shared" ca="1" si="57"/>
        <v>119500</v>
      </c>
      <c r="C336" s="26">
        <f t="shared" ca="1" si="58"/>
        <v>0.61096606702720069</v>
      </c>
      <c r="D336" s="26" t="str">
        <f t="shared" ca="1" si="56"/>
        <v>Win</v>
      </c>
      <c r="E336" s="3">
        <f t="shared" ca="1" si="59"/>
        <v>500</v>
      </c>
      <c r="F336" s="42">
        <f t="shared" si="52"/>
        <v>1.3511699812087747E-32</v>
      </c>
      <c r="G336" s="41">
        <f>SUM(F$11:F336)</f>
        <v>2.5028214155747431E-32</v>
      </c>
      <c r="I336" s="1">
        <f t="shared" si="51"/>
        <v>326</v>
      </c>
      <c r="J336" s="3">
        <v>103000</v>
      </c>
      <c r="K336" s="3">
        <v>91500</v>
      </c>
      <c r="L336" s="3">
        <v>107500</v>
      </c>
      <c r="M336" s="30">
        <f t="shared" si="53"/>
        <v>3.0000000000000027E-2</v>
      </c>
      <c r="N336" s="1" t="str">
        <f t="shared" si="54"/>
        <v/>
      </c>
      <c r="O336" s="1" t="str">
        <f t="shared" si="55"/>
        <v/>
      </c>
    </row>
    <row r="337" spans="1:15" x14ac:dyDescent="0.25">
      <c r="A337" s="1">
        <f t="shared" si="50"/>
        <v>326</v>
      </c>
      <c r="B337" s="3">
        <f t="shared" ca="1" si="57"/>
        <v>120000</v>
      </c>
      <c r="C337" s="26">
        <f t="shared" ca="1" si="58"/>
        <v>0.91208573495375078</v>
      </c>
      <c r="D337" s="26" t="str">
        <f t="shared" ca="1" si="56"/>
        <v>Win</v>
      </c>
      <c r="E337" s="3">
        <f t="shared" ca="1" si="59"/>
        <v>500</v>
      </c>
      <c r="F337" s="42">
        <f t="shared" si="52"/>
        <v>2.9118584326475748E-32</v>
      </c>
      <c r="G337" s="41">
        <f>SUM(F$11:F337)</f>
        <v>5.4146798482223173E-32</v>
      </c>
      <c r="I337" s="1">
        <f t="shared" si="51"/>
        <v>327</v>
      </c>
      <c r="J337" s="3">
        <v>118000</v>
      </c>
      <c r="K337" s="3">
        <v>98500</v>
      </c>
      <c r="L337" s="3">
        <v>123500</v>
      </c>
      <c r="M337" s="30">
        <f t="shared" si="53"/>
        <v>0.17999999999999994</v>
      </c>
      <c r="N337" s="1" t="str">
        <f t="shared" si="54"/>
        <v/>
      </c>
      <c r="O337" s="1" t="str">
        <f t="shared" si="55"/>
        <v/>
      </c>
    </row>
    <row r="338" spans="1:15" x14ac:dyDescent="0.25">
      <c r="A338" s="1">
        <f t="shared" si="50"/>
        <v>327</v>
      </c>
      <c r="B338" s="3">
        <f t="shared" ca="1" si="57"/>
        <v>120500</v>
      </c>
      <c r="C338" s="26">
        <f t="shared" ca="1" si="58"/>
        <v>0.92922526344600054</v>
      </c>
      <c r="D338" s="26" t="str">
        <f t="shared" ca="1" si="56"/>
        <v>Win</v>
      </c>
      <c r="E338" s="3">
        <f t="shared" ca="1" si="59"/>
        <v>500</v>
      </c>
      <c r="F338" s="42">
        <f t="shared" si="52"/>
        <v>6.2467841080835602E-32</v>
      </c>
      <c r="G338" s="41">
        <f>SUM(F$11:F338)</f>
        <v>1.1661463956305877E-31</v>
      </c>
      <c r="I338" s="1">
        <f t="shared" si="51"/>
        <v>328</v>
      </c>
      <c r="J338" s="3">
        <v>112000</v>
      </c>
      <c r="K338" s="3">
        <v>100000</v>
      </c>
      <c r="L338" s="3">
        <v>115000</v>
      </c>
      <c r="M338" s="30">
        <f t="shared" si="53"/>
        <v>0.12000000000000011</v>
      </c>
      <c r="N338" s="1" t="str">
        <f t="shared" si="54"/>
        <v/>
      </c>
      <c r="O338" s="1" t="str">
        <f t="shared" si="55"/>
        <v/>
      </c>
    </row>
    <row r="339" spans="1:15" x14ac:dyDescent="0.25">
      <c r="A339" s="1">
        <f t="shared" si="50"/>
        <v>328</v>
      </c>
      <c r="B339" s="3">
        <f t="shared" ca="1" si="57"/>
        <v>120000</v>
      </c>
      <c r="C339" s="26">
        <f t="shared" ca="1" si="58"/>
        <v>0.28358868147552263</v>
      </c>
      <c r="D339" s="26" t="str">
        <f t="shared" ca="1" si="56"/>
        <v>Lose</v>
      </c>
      <c r="E339" s="3">
        <f t="shared" ca="1" si="59"/>
        <v>-500</v>
      </c>
      <c r="F339" s="42">
        <f t="shared" si="52"/>
        <v>1.3340490974474277E-31</v>
      </c>
      <c r="G339" s="41">
        <f>SUM(F$11:F339)</f>
        <v>2.5001954930780156E-31</v>
      </c>
      <c r="I339" s="1">
        <f t="shared" si="51"/>
        <v>329</v>
      </c>
      <c r="J339" s="3">
        <v>153000</v>
      </c>
      <c r="K339" s="3">
        <v>98500</v>
      </c>
      <c r="L339" s="3">
        <v>154000</v>
      </c>
      <c r="M339" s="30">
        <f t="shared" si="53"/>
        <v>0.53</v>
      </c>
      <c r="N339" s="1" t="str">
        <f t="shared" si="54"/>
        <v/>
      </c>
      <c r="O339" s="1" t="str">
        <f t="shared" si="55"/>
        <v/>
      </c>
    </row>
    <row r="340" spans="1:15" x14ac:dyDescent="0.25">
      <c r="A340" s="1">
        <f t="shared" si="50"/>
        <v>329</v>
      </c>
      <c r="B340" s="3">
        <f t="shared" ca="1" si="57"/>
        <v>120500</v>
      </c>
      <c r="C340" s="26">
        <f t="shared" ca="1" si="58"/>
        <v>0.71250352554177765</v>
      </c>
      <c r="D340" s="26" t="str">
        <f t="shared" ca="1" si="56"/>
        <v>Win</v>
      </c>
      <c r="E340" s="3">
        <f t="shared" ca="1" si="59"/>
        <v>500</v>
      </c>
      <c r="F340" s="42">
        <f t="shared" si="52"/>
        <v>2.8360852718640117E-31</v>
      </c>
      <c r="G340" s="41">
        <f>SUM(F$11:F340)</f>
        <v>5.3362807649420269E-31</v>
      </c>
      <c r="I340" s="1">
        <f t="shared" si="51"/>
        <v>330</v>
      </c>
      <c r="J340" s="3">
        <v>97000</v>
      </c>
      <c r="K340" s="3">
        <v>94500</v>
      </c>
      <c r="L340" s="3">
        <v>113000</v>
      </c>
      <c r="M340" s="30">
        <f t="shared" si="53"/>
        <v>-3.0000000000000027E-2</v>
      </c>
      <c r="N340" s="1" t="str">
        <f t="shared" si="54"/>
        <v/>
      </c>
      <c r="O340" s="1" t="str">
        <f t="shared" si="55"/>
        <v/>
      </c>
    </row>
    <row r="341" spans="1:15" x14ac:dyDescent="0.25">
      <c r="A341" s="1">
        <f t="shared" si="50"/>
        <v>330</v>
      </c>
      <c r="B341" s="3">
        <f t="shared" ca="1" si="57"/>
        <v>121000</v>
      </c>
      <c r="C341" s="26">
        <f t="shared" ca="1" si="58"/>
        <v>0.61454061170227636</v>
      </c>
      <c r="D341" s="26" t="str">
        <f t="shared" ca="1" si="56"/>
        <v>Win</v>
      </c>
      <c r="E341" s="3">
        <f t="shared" ca="1" si="59"/>
        <v>500</v>
      </c>
      <c r="F341" s="42">
        <f t="shared" si="52"/>
        <v>6.0020825039241563E-31</v>
      </c>
      <c r="G341" s="41">
        <f>SUM(F$11:F341)</f>
        <v>1.1338363268866183E-30</v>
      </c>
      <c r="I341" s="1">
        <f t="shared" si="51"/>
        <v>331</v>
      </c>
      <c r="J341" s="3">
        <v>110000</v>
      </c>
      <c r="K341" s="3">
        <v>94000</v>
      </c>
      <c r="L341" s="3">
        <v>124000</v>
      </c>
      <c r="M341" s="30">
        <f t="shared" si="53"/>
        <v>0.10000000000000009</v>
      </c>
      <c r="N341" s="1" t="str">
        <f t="shared" si="54"/>
        <v/>
      </c>
      <c r="O341" s="1" t="str">
        <f t="shared" si="55"/>
        <v/>
      </c>
    </row>
    <row r="342" spans="1:15" x14ac:dyDescent="0.25">
      <c r="A342" s="1">
        <f t="shared" si="50"/>
        <v>331</v>
      </c>
      <c r="B342" s="3">
        <f t="shared" ca="1" si="57"/>
        <v>121500</v>
      </c>
      <c r="C342" s="26">
        <f t="shared" ca="1" si="58"/>
        <v>0.87780113984463914</v>
      </c>
      <c r="D342" s="26" t="str">
        <f t="shared" ca="1" si="56"/>
        <v>Win</v>
      </c>
      <c r="E342" s="3">
        <f t="shared" ca="1" si="59"/>
        <v>500</v>
      </c>
      <c r="F342" s="42">
        <f t="shared" si="52"/>
        <v>1.2645117402990111E-30</v>
      </c>
      <c r="G342" s="41">
        <f>SUM(F$11:F342)</f>
        <v>2.3983480671856294E-30</v>
      </c>
      <c r="I342" s="1">
        <f t="shared" si="51"/>
        <v>332</v>
      </c>
      <c r="J342" s="3">
        <v>94000</v>
      </c>
      <c r="K342" s="3">
        <v>88000</v>
      </c>
      <c r="L342" s="3">
        <v>113500</v>
      </c>
      <c r="M342" s="30">
        <f t="shared" si="53"/>
        <v>-6.0000000000000053E-2</v>
      </c>
      <c r="N342" s="1" t="str">
        <f t="shared" si="54"/>
        <v/>
      </c>
      <c r="O342" s="1" t="str">
        <f t="shared" si="55"/>
        <v/>
      </c>
    </row>
    <row r="343" spans="1:15" x14ac:dyDescent="0.25">
      <c r="A343" s="1">
        <f t="shared" si="50"/>
        <v>332</v>
      </c>
      <c r="B343" s="3">
        <f t="shared" ca="1" si="57"/>
        <v>121000</v>
      </c>
      <c r="C343" s="26">
        <f t="shared" ca="1" si="58"/>
        <v>0.1220151744209923</v>
      </c>
      <c r="D343" s="26" t="str">
        <f t="shared" ca="1" si="56"/>
        <v>Lose</v>
      </c>
      <c r="E343" s="3">
        <f t="shared" ca="1" si="59"/>
        <v>-500</v>
      </c>
      <c r="F343" s="42">
        <f t="shared" si="52"/>
        <v>2.6520700803578826E-30</v>
      </c>
      <c r="G343" s="41">
        <f>SUM(F$11:F343)</f>
        <v>5.0504181475435123E-30</v>
      </c>
      <c r="I343" s="1">
        <f t="shared" si="51"/>
        <v>333</v>
      </c>
      <c r="J343" s="3">
        <v>108000</v>
      </c>
      <c r="K343" s="3">
        <v>89500</v>
      </c>
      <c r="L343" s="3">
        <v>111500</v>
      </c>
      <c r="M343" s="30">
        <f t="shared" si="53"/>
        <v>8.0000000000000071E-2</v>
      </c>
      <c r="N343" s="1" t="str">
        <f t="shared" si="54"/>
        <v/>
      </c>
      <c r="O343" s="1" t="str">
        <f t="shared" si="55"/>
        <v/>
      </c>
    </row>
    <row r="344" spans="1:15" x14ac:dyDescent="0.25">
      <c r="A344" s="1">
        <f t="shared" si="50"/>
        <v>333</v>
      </c>
      <c r="B344" s="3">
        <f t="shared" ca="1" si="57"/>
        <v>120500</v>
      </c>
      <c r="C344" s="26">
        <f t="shared" ca="1" si="58"/>
        <v>0.18385594580787379</v>
      </c>
      <c r="D344" s="26" t="str">
        <f t="shared" ca="1" si="56"/>
        <v>Lose</v>
      </c>
      <c r="E344" s="3">
        <f t="shared" ca="1" si="59"/>
        <v>-500</v>
      </c>
      <c r="F344" s="42">
        <f t="shared" si="52"/>
        <v>5.537214162997688E-30</v>
      </c>
      <c r="G344" s="41">
        <f>SUM(F$11:F344)</f>
        <v>1.0587632310541201E-29</v>
      </c>
      <c r="I344" s="1">
        <f t="shared" si="51"/>
        <v>334</v>
      </c>
      <c r="J344" s="3">
        <v>120000</v>
      </c>
      <c r="K344" s="3">
        <v>100000</v>
      </c>
      <c r="L344" s="3">
        <v>125000</v>
      </c>
      <c r="M344" s="30">
        <f t="shared" si="53"/>
        <v>0.19999999999999996</v>
      </c>
      <c r="N344" s="1" t="str">
        <f t="shared" si="54"/>
        <v/>
      </c>
      <c r="O344" s="1" t="str">
        <f t="shared" si="55"/>
        <v/>
      </c>
    </row>
    <row r="345" spans="1:15" x14ac:dyDescent="0.25">
      <c r="A345" s="1">
        <f t="shared" si="50"/>
        <v>334</v>
      </c>
      <c r="B345" s="3">
        <f t="shared" ca="1" si="57"/>
        <v>120000</v>
      </c>
      <c r="C345" s="26">
        <f t="shared" ca="1" si="58"/>
        <v>9.1589724639216552E-2</v>
      </c>
      <c r="D345" s="26" t="str">
        <f t="shared" ca="1" si="56"/>
        <v>Lose</v>
      </c>
      <c r="E345" s="3">
        <f t="shared" ca="1" si="59"/>
        <v>-500</v>
      </c>
      <c r="F345" s="42">
        <f t="shared" si="52"/>
        <v>1.1509190650292818E-29</v>
      </c>
      <c r="G345" s="41">
        <f>SUM(F$11:F345)</f>
        <v>2.209682296083402E-29</v>
      </c>
      <c r="I345" s="1">
        <f t="shared" si="51"/>
        <v>335</v>
      </c>
      <c r="J345" s="3">
        <v>103000</v>
      </c>
      <c r="K345" s="3">
        <v>93000</v>
      </c>
      <c r="L345" s="3">
        <v>113000</v>
      </c>
      <c r="M345" s="30">
        <f t="shared" si="53"/>
        <v>3.0000000000000027E-2</v>
      </c>
      <c r="N345" s="1" t="str">
        <f t="shared" si="54"/>
        <v/>
      </c>
      <c r="O345" s="1" t="str">
        <f t="shared" si="55"/>
        <v/>
      </c>
    </row>
    <row r="346" spans="1:15" x14ac:dyDescent="0.25">
      <c r="A346" s="1">
        <f t="shared" si="50"/>
        <v>335</v>
      </c>
      <c r="B346" s="3">
        <f t="shared" ca="1" si="57"/>
        <v>119500</v>
      </c>
      <c r="C346" s="26">
        <f t="shared" ca="1" si="58"/>
        <v>0.24959525790838311</v>
      </c>
      <c r="D346" s="26" t="str">
        <f t="shared" ca="1" si="56"/>
        <v>Lose</v>
      </c>
      <c r="E346" s="3">
        <f t="shared" ca="1" si="59"/>
        <v>-500</v>
      </c>
      <c r="F346" s="42">
        <f t="shared" si="52"/>
        <v>2.3814874786953634E-29</v>
      </c>
      <c r="G346" s="41">
        <f>SUM(F$11:F346)</f>
        <v>4.5911697747787654E-29</v>
      </c>
      <c r="I346" s="1">
        <f t="shared" si="51"/>
        <v>336</v>
      </c>
      <c r="J346" s="3">
        <v>112000</v>
      </c>
      <c r="K346" s="3">
        <v>97000</v>
      </c>
      <c r="L346" s="3">
        <v>116500</v>
      </c>
      <c r="M346" s="30">
        <f t="shared" si="53"/>
        <v>0.12000000000000011</v>
      </c>
      <c r="N346" s="1" t="str">
        <f t="shared" si="54"/>
        <v/>
      </c>
      <c r="O346" s="1" t="str">
        <f t="shared" si="55"/>
        <v/>
      </c>
    </row>
    <row r="347" spans="1:15" x14ac:dyDescent="0.25">
      <c r="A347" s="1">
        <f t="shared" si="50"/>
        <v>336</v>
      </c>
      <c r="B347" s="3">
        <f t="shared" ca="1" si="57"/>
        <v>119000</v>
      </c>
      <c r="C347" s="26">
        <f t="shared" ca="1" si="58"/>
        <v>5.8882108858444471E-2</v>
      </c>
      <c r="D347" s="26" t="str">
        <f t="shared" ca="1" si="56"/>
        <v>Lose</v>
      </c>
      <c r="E347" s="3">
        <f t="shared" ca="1" si="59"/>
        <v>-500</v>
      </c>
      <c r="F347" s="42">
        <f t="shared" si="52"/>
        <v>4.9057427016493163E-29</v>
      </c>
      <c r="G347" s="41">
        <f>SUM(F$11:F347)</f>
        <v>9.4969124764280811E-29</v>
      </c>
      <c r="I347" s="1">
        <f t="shared" si="51"/>
        <v>337</v>
      </c>
      <c r="J347" s="3">
        <v>89000</v>
      </c>
      <c r="K347" s="3">
        <v>81500</v>
      </c>
      <c r="L347" s="3">
        <v>113000</v>
      </c>
      <c r="M347" s="30">
        <f t="shared" si="53"/>
        <v>-0.10999999999999999</v>
      </c>
      <c r="N347" s="1" t="str">
        <f t="shared" si="54"/>
        <v/>
      </c>
      <c r="O347" s="1" t="str">
        <f t="shared" si="55"/>
        <v/>
      </c>
    </row>
    <row r="348" spans="1:15" x14ac:dyDescent="0.25">
      <c r="A348" s="1">
        <f t="shared" si="50"/>
        <v>337</v>
      </c>
      <c r="B348" s="3">
        <f t="shared" ca="1" si="57"/>
        <v>118500</v>
      </c>
      <c r="C348" s="26">
        <f t="shared" ca="1" si="58"/>
        <v>0.20132744129623414</v>
      </c>
      <c r="D348" s="26" t="str">
        <f t="shared" ca="1" si="56"/>
        <v>Lose</v>
      </c>
      <c r="E348" s="3">
        <f t="shared" ca="1" si="59"/>
        <v>-500</v>
      </c>
      <c r="F348" s="42">
        <f t="shared" si="52"/>
        <v>1.0060441521749727E-28</v>
      </c>
      <c r="G348" s="41">
        <f>SUM(F$11:F348)</f>
        <v>1.9557353998177809E-28</v>
      </c>
      <c r="I348" s="1">
        <f t="shared" si="51"/>
        <v>338</v>
      </c>
      <c r="J348" s="3">
        <v>124000</v>
      </c>
      <c r="K348" s="3">
        <v>98000</v>
      </c>
      <c r="L348" s="3">
        <v>126500</v>
      </c>
      <c r="M348" s="30">
        <f t="shared" si="53"/>
        <v>0.24</v>
      </c>
      <c r="N348" s="1" t="str">
        <f t="shared" si="54"/>
        <v/>
      </c>
      <c r="O348" s="1" t="str">
        <f t="shared" si="55"/>
        <v/>
      </c>
    </row>
    <row r="349" spans="1:15" x14ac:dyDescent="0.25">
      <c r="A349" s="1">
        <f t="shared" si="50"/>
        <v>338</v>
      </c>
      <c r="B349" s="3">
        <f t="shared" ca="1" si="57"/>
        <v>119000</v>
      </c>
      <c r="C349" s="26">
        <f t="shared" ca="1" si="58"/>
        <v>0.62376488743336922</v>
      </c>
      <c r="D349" s="26" t="str">
        <f t="shared" ca="1" si="56"/>
        <v>Win</v>
      </c>
      <c r="E349" s="3">
        <f t="shared" ca="1" si="59"/>
        <v>500</v>
      </c>
      <c r="F349" s="42">
        <f t="shared" si="52"/>
        <v>2.0539410045581438E-28</v>
      </c>
      <c r="G349" s="41">
        <f>SUM(F$11:F349)</f>
        <v>4.0096764043759249E-28</v>
      </c>
      <c r="I349" s="1">
        <f t="shared" si="51"/>
        <v>339</v>
      </c>
      <c r="J349" s="3">
        <v>105000</v>
      </c>
      <c r="K349" s="3">
        <v>99000</v>
      </c>
      <c r="L349" s="3">
        <v>119500</v>
      </c>
      <c r="M349" s="30">
        <f t="shared" si="53"/>
        <v>5.0000000000000044E-2</v>
      </c>
      <c r="N349" s="1" t="str">
        <f t="shared" si="54"/>
        <v/>
      </c>
      <c r="O349" s="1" t="str">
        <f t="shared" si="55"/>
        <v/>
      </c>
    </row>
    <row r="350" spans="1:15" x14ac:dyDescent="0.25">
      <c r="A350" s="1">
        <f t="shared" si="50"/>
        <v>339</v>
      </c>
      <c r="B350" s="3">
        <f t="shared" ca="1" si="57"/>
        <v>119500</v>
      </c>
      <c r="C350" s="26">
        <f t="shared" ca="1" si="58"/>
        <v>0.95003644658448227</v>
      </c>
      <c r="D350" s="26" t="str">
        <f t="shared" ca="1" si="56"/>
        <v>Win</v>
      </c>
      <c r="E350" s="3">
        <f t="shared" ca="1" si="59"/>
        <v>500</v>
      </c>
      <c r="F350" s="42">
        <f t="shared" si="52"/>
        <v>4.1746527118109702E-28</v>
      </c>
      <c r="G350" s="41">
        <f>SUM(F$11:F350)</f>
        <v>8.1843291161868951E-28</v>
      </c>
      <c r="I350" s="1">
        <f t="shared" si="51"/>
        <v>340</v>
      </c>
      <c r="J350" s="3">
        <v>90000</v>
      </c>
      <c r="K350" s="3">
        <v>83500</v>
      </c>
      <c r="L350" s="3">
        <v>115000</v>
      </c>
      <c r="M350" s="30">
        <f t="shared" si="53"/>
        <v>-9.9999999999999978E-2</v>
      </c>
      <c r="N350" s="1" t="str">
        <f t="shared" si="54"/>
        <v/>
      </c>
      <c r="O350" s="1" t="str">
        <f t="shared" si="55"/>
        <v/>
      </c>
    </row>
    <row r="351" spans="1:15" x14ac:dyDescent="0.25">
      <c r="A351" s="1">
        <f t="shared" si="50"/>
        <v>340</v>
      </c>
      <c r="B351" s="3">
        <f t="shared" ca="1" si="57"/>
        <v>120000</v>
      </c>
      <c r="C351" s="26">
        <f t="shared" ca="1" si="58"/>
        <v>0.82222516489521713</v>
      </c>
      <c r="D351" s="26" t="str">
        <f t="shared" ca="1" si="56"/>
        <v>Win</v>
      </c>
      <c r="E351" s="3">
        <f t="shared" ca="1" si="59"/>
        <v>500</v>
      </c>
      <c r="F351" s="42">
        <f t="shared" si="52"/>
        <v>8.4472819668581999E-28</v>
      </c>
      <c r="G351" s="41">
        <f>SUM(F$11:F351)</f>
        <v>1.6631611083045093E-27</v>
      </c>
      <c r="I351" s="1">
        <f t="shared" si="51"/>
        <v>341</v>
      </c>
      <c r="J351" s="3">
        <v>145000</v>
      </c>
      <c r="K351" s="3">
        <v>97500</v>
      </c>
      <c r="L351" s="3">
        <v>145500</v>
      </c>
      <c r="M351" s="30">
        <f t="shared" si="53"/>
        <v>0.44999999999999996</v>
      </c>
      <c r="N351" s="1" t="str">
        <f t="shared" si="54"/>
        <v/>
      </c>
      <c r="O351" s="1" t="str">
        <f t="shared" si="55"/>
        <v/>
      </c>
    </row>
    <row r="352" spans="1:15" x14ac:dyDescent="0.25">
      <c r="A352" s="1">
        <f t="shared" si="50"/>
        <v>341</v>
      </c>
      <c r="B352" s="3">
        <f t="shared" ca="1" si="57"/>
        <v>120500</v>
      </c>
      <c r="C352" s="26">
        <f t="shared" ca="1" si="58"/>
        <v>0.57268836293264813</v>
      </c>
      <c r="D352" s="26" t="str">
        <f t="shared" ca="1" si="56"/>
        <v>Win</v>
      </c>
      <c r="E352" s="3">
        <f t="shared" ca="1" si="59"/>
        <v>500</v>
      </c>
      <c r="F352" s="42">
        <f t="shared" si="52"/>
        <v>1.7016907714671792E-27</v>
      </c>
      <c r="G352" s="41">
        <f>SUM(F$11:F352)</f>
        <v>3.3648518797716881E-27</v>
      </c>
      <c r="I352" s="1">
        <f t="shared" si="51"/>
        <v>342</v>
      </c>
      <c r="J352" s="3">
        <v>125000</v>
      </c>
      <c r="K352" s="3">
        <v>100000</v>
      </c>
      <c r="L352" s="3">
        <v>126000</v>
      </c>
      <c r="M352" s="30">
        <f t="shared" si="53"/>
        <v>0.25</v>
      </c>
      <c r="N352" s="1" t="str">
        <f t="shared" si="54"/>
        <v/>
      </c>
      <c r="O352" s="1" t="str">
        <f t="shared" si="55"/>
        <v/>
      </c>
    </row>
    <row r="353" spans="1:15" x14ac:dyDescent="0.25">
      <c r="A353" s="1">
        <f t="shared" si="50"/>
        <v>342</v>
      </c>
      <c r="B353" s="3">
        <f t="shared" ca="1" si="57"/>
        <v>120000</v>
      </c>
      <c r="C353" s="26">
        <f t="shared" ca="1" si="58"/>
        <v>0.19498883389386457</v>
      </c>
      <c r="D353" s="26" t="str">
        <f t="shared" ca="1" si="56"/>
        <v>Lose</v>
      </c>
      <c r="E353" s="3">
        <f t="shared" ca="1" si="59"/>
        <v>-500</v>
      </c>
      <c r="F353" s="42">
        <f t="shared" si="52"/>
        <v>3.4128252260556749E-27</v>
      </c>
      <c r="G353" s="41">
        <f>SUM(F$11:F353)</f>
        <v>6.777677105827363E-27</v>
      </c>
      <c r="I353" s="1">
        <f t="shared" si="51"/>
        <v>343</v>
      </c>
      <c r="J353" s="3">
        <v>103000</v>
      </c>
      <c r="K353" s="3">
        <v>92500</v>
      </c>
      <c r="L353" s="3">
        <v>112500</v>
      </c>
      <c r="M353" s="30">
        <f t="shared" si="53"/>
        <v>3.0000000000000027E-2</v>
      </c>
      <c r="N353" s="1" t="str">
        <f t="shared" si="54"/>
        <v/>
      </c>
      <c r="O353" s="1" t="str">
        <f t="shared" si="55"/>
        <v/>
      </c>
    </row>
    <row r="354" spans="1:15" x14ac:dyDescent="0.25">
      <c r="A354" s="1">
        <f t="shared" si="50"/>
        <v>343</v>
      </c>
      <c r="B354" s="3">
        <f t="shared" ca="1" si="57"/>
        <v>120500</v>
      </c>
      <c r="C354" s="26">
        <f t="shared" ca="1" si="58"/>
        <v>0.56592783292525328</v>
      </c>
      <c r="D354" s="26" t="str">
        <f t="shared" ca="1" si="56"/>
        <v>Win</v>
      </c>
      <c r="E354" s="3">
        <f t="shared" ca="1" si="59"/>
        <v>500</v>
      </c>
      <c r="F354" s="42">
        <f t="shared" si="52"/>
        <v>6.8142791060852252E-27</v>
      </c>
      <c r="G354" s="41">
        <f>SUM(F$11:F354)</f>
        <v>1.3591956211912588E-26</v>
      </c>
      <c r="I354" s="1">
        <f t="shared" si="51"/>
        <v>344</v>
      </c>
      <c r="J354" s="3">
        <v>85000</v>
      </c>
      <c r="K354" s="3">
        <v>81000</v>
      </c>
      <c r="L354" s="3">
        <v>104500</v>
      </c>
      <c r="M354" s="30">
        <f t="shared" si="53"/>
        <v>-0.15000000000000002</v>
      </c>
      <c r="N354" s="1" t="str">
        <f t="shared" si="54"/>
        <v/>
      </c>
      <c r="O354" s="1" t="str">
        <f t="shared" si="55"/>
        <v/>
      </c>
    </row>
    <row r="355" spans="1:15" x14ac:dyDescent="0.25">
      <c r="A355" s="1">
        <f t="shared" si="50"/>
        <v>344</v>
      </c>
      <c r="B355" s="3">
        <f t="shared" ca="1" si="57"/>
        <v>121000</v>
      </c>
      <c r="C355" s="26">
        <f t="shared" ca="1" si="58"/>
        <v>0.80041212459560396</v>
      </c>
      <c r="D355" s="26" t="str">
        <f t="shared" ca="1" si="56"/>
        <v>Win</v>
      </c>
      <c r="E355" s="3">
        <f t="shared" ca="1" si="59"/>
        <v>500</v>
      </c>
      <c r="F355" s="42">
        <f t="shared" si="52"/>
        <v>1.3545684029877145E-26</v>
      </c>
      <c r="G355" s="41">
        <f>SUM(F$11:F355)</f>
        <v>2.7137640241789733E-26</v>
      </c>
      <c r="I355" s="1">
        <f t="shared" si="51"/>
        <v>345</v>
      </c>
      <c r="J355" s="3">
        <v>99000</v>
      </c>
      <c r="K355" s="3">
        <v>96500</v>
      </c>
      <c r="L355" s="3">
        <v>112000</v>
      </c>
      <c r="M355" s="30">
        <f t="shared" si="53"/>
        <v>-1.0000000000000009E-2</v>
      </c>
      <c r="N355" s="1" t="str">
        <f t="shared" si="54"/>
        <v/>
      </c>
      <c r="O355" s="1" t="str">
        <f t="shared" si="55"/>
        <v/>
      </c>
    </row>
    <row r="356" spans="1:15" x14ac:dyDescent="0.25">
      <c r="A356" s="1">
        <f t="shared" si="50"/>
        <v>345</v>
      </c>
      <c r="B356" s="3">
        <f t="shared" ca="1" si="57"/>
        <v>121500</v>
      </c>
      <c r="C356" s="26">
        <f t="shared" ca="1" si="58"/>
        <v>0.82383920255788157</v>
      </c>
      <c r="D356" s="26" t="str">
        <f t="shared" ca="1" si="56"/>
        <v>Win</v>
      </c>
      <c r="E356" s="3">
        <f t="shared" ca="1" si="59"/>
        <v>500</v>
      </c>
      <c r="F356" s="42">
        <f t="shared" si="52"/>
        <v>2.6807713984238266E-26</v>
      </c>
      <c r="G356" s="41">
        <f>SUM(F$11:F356)</f>
        <v>5.3945354226027999E-26</v>
      </c>
      <c r="I356" s="1">
        <f t="shared" si="51"/>
        <v>346</v>
      </c>
      <c r="J356" s="3">
        <v>110000</v>
      </c>
      <c r="K356" s="3">
        <v>96000</v>
      </c>
      <c r="L356" s="3">
        <v>126000</v>
      </c>
      <c r="M356" s="30">
        <f t="shared" si="53"/>
        <v>0.10000000000000009</v>
      </c>
      <c r="N356" s="1" t="str">
        <f t="shared" si="54"/>
        <v/>
      </c>
      <c r="O356" s="1" t="str">
        <f t="shared" si="55"/>
        <v/>
      </c>
    </row>
    <row r="357" spans="1:15" x14ac:dyDescent="0.25">
      <c r="A357" s="1">
        <f t="shared" si="50"/>
        <v>346</v>
      </c>
      <c r="B357" s="3">
        <f t="shared" ca="1" si="57"/>
        <v>121000</v>
      </c>
      <c r="C357" s="26">
        <f t="shared" ca="1" si="58"/>
        <v>0.24494494822246748</v>
      </c>
      <c r="D357" s="26" t="str">
        <f t="shared" ca="1" si="56"/>
        <v>Lose</v>
      </c>
      <c r="E357" s="3">
        <f t="shared" ca="1" si="59"/>
        <v>-500</v>
      </c>
      <c r="F357" s="42">
        <f t="shared" si="52"/>
        <v>5.2820082909252048E-26</v>
      </c>
      <c r="G357" s="41">
        <f>SUM(F$11:F357)</f>
        <v>1.0676543713528003E-25</v>
      </c>
      <c r="I357" s="1">
        <f t="shared" si="51"/>
        <v>347</v>
      </c>
      <c r="J357" s="3">
        <v>130000</v>
      </c>
      <c r="K357" s="3">
        <v>96500</v>
      </c>
      <c r="L357" s="3">
        <v>134500</v>
      </c>
      <c r="M357" s="30">
        <f t="shared" si="53"/>
        <v>0.30000000000000004</v>
      </c>
      <c r="N357" s="1" t="str">
        <f t="shared" si="54"/>
        <v/>
      </c>
      <c r="O357" s="1" t="str">
        <f t="shared" si="55"/>
        <v/>
      </c>
    </row>
    <row r="358" spans="1:15" x14ac:dyDescent="0.25">
      <c r="A358" s="1">
        <f t="shared" si="50"/>
        <v>347</v>
      </c>
      <c r="B358" s="3">
        <f t="shared" ca="1" si="57"/>
        <v>120500</v>
      </c>
      <c r="C358" s="26">
        <f t="shared" ca="1" si="58"/>
        <v>0.29014620261788682</v>
      </c>
      <c r="D358" s="26" t="str">
        <f t="shared" ca="1" si="56"/>
        <v>Lose</v>
      </c>
      <c r="E358" s="3">
        <f t="shared" ca="1" si="59"/>
        <v>-500</v>
      </c>
      <c r="F358" s="42">
        <f t="shared" si="52"/>
        <v>1.03614717717769E-25</v>
      </c>
      <c r="G358" s="41">
        <f>SUM(F$11:F358)</f>
        <v>2.1038015485304906E-25</v>
      </c>
      <c r="I358" s="1">
        <f t="shared" si="51"/>
        <v>348</v>
      </c>
      <c r="J358" s="3">
        <v>129000</v>
      </c>
      <c r="K358" s="3">
        <v>97000</v>
      </c>
      <c r="L358" s="3">
        <v>132000</v>
      </c>
      <c r="M358" s="30">
        <f t="shared" si="53"/>
        <v>0.29000000000000004</v>
      </c>
      <c r="N358" s="1" t="str">
        <f t="shared" si="54"/>
        <v/>
      </c>
      <c r="O358" s="1" t="str">
        <f t="shared" si="55"/>
        <v/>
      </c>
    </row>
    <row r="359" spans="1:15" x14ac:dyDescent="0.25">
      <c r="A359" s="1">
        <f t="shared" si="50"/>
        <v>348</v>
      </c>
      <c r="B359" s="3">
        <f t="shared" ca="1" si="57"/>
        <v>121000</v>
      </c>
      <c r="C359" s="26">
        <f t="shared" ca="1" si="58"/>
        <v>0.96164109342715531</v>
      </c>
      <c r="D359" s="26" t="str">
        <f t="shared" ca="1" si="56"/>
        <v>Win</v>
      </c>
      <c r="E359" s="3">
        <f t="shared" ca="1" si="59"/>
        <v>500</v>
      </c>
      <c r="F359" s="42">
        <f t="shared" si="52"/>
        <v>2.0236224162296757E-25</v>
      </c>
      <c r="G359" s="41">
        <f>SUM(F$11:F359)</f>
        <v>4.1274239647601661E-25</v>
      </c>
      <c r="I359" s="1">
        <f t="shared" si="51"/>
        <v>349</v>
      </c>
      <c r="J359" s="3">
        <v>127000</v>
      </c>
      <c r="K359" s="3">
        <v>95500</v>
      </c>
      <c r="L359" s="3">
        <v>131500</v>
      </c>
      <c r="M359" s="30">
        <f t="shared" si="53"/>
        <v>0.27</v>
      </c>
      <c r="N359" s="1" t="str">
        <f t="shared" si="54"/>
        <v/>
      </c>
      <c r="O359" s="1" t="str">
        <f t="shared" si="55"/>
        <v/>
      </c>
    </row>
    <row r="360" spans="1:15" x14ac:dyDescent="0.25">
      <c r="A360" s="1">
        <f t="shared" si="50"/>
        <v>349</v>
      </c>
      <c r="B360" s="3">
        <f t="shared" ca="1" si="57"/>
        <v>121500</v>
      </c>
      <c r="C360" s="26">
        <f t="shared" ca="1" si="58"/>
        <v>0.67967804965286849</v>
      </c>
      <c r="D360" s="26" t="str">
        <f t="shared" ca="1" si="56"/>
        <v>Win</v>
      </c>
      <c r="E360" s="3">
        <f t="shared" ca="1" si="59"/>
        <v>500</v>
      </c>
      <c r="F360" s="42">
        <f t="shared" si="52"/>
        <v>3.9348279389783936E-25</v>
      </c>
      <c r="G360" s="41">
        <f>SUM(F$11:F360)</f>
        <v>8.0622519037385602E-25</v>
      </c>
      <c r="I360" s="1">
        <f t="shared" si="51"/>
        <v>350</v>
      </c>
      <c r="J360" s="3">
        <v>81000</v>
      </c>
      <c r="K360" s="3">
        <v>81000</v>
      </c>
      <c r="L360" s="3">
        <v>106500</v>
      </c>
      <c r="M360" s="30">
        <f t="shared" si="53"/>
        <v>-0.18999999999999995</v>
      </c>
      <c r="N360" s="1" t="str">
        <f t="shared" si="54"/>
        <v/>
      </c>
      <c r="O360" s="1" t="str">
        <f t="shared" si="55"/>
        <v/>
      </c>
    </row>
    <row r="361" spans="1:15" x14ac:dyDescent="0.25">
      <c r="A361" s="1">
        <f t="shared" si="50"/>
        <v>350</v>
      </c>
      <c r="B361" s="3">
        <f t="shared" ca="1" si="57"/>
        <v>121000</v>
      </c>
      <c r="C361" s="26">
        <f t="shared" ca="1" si="58"/>
        <v>0.41736044034034436</v>
      </c>
      <c r="D361" s="26" t="str">
        <f t="shared" ca="1" si="56"/>
        <v>Lose</v>
      </c>
      <c r="E361" s="3">
        <f t="shared" ca="1" si="59"/>
        <v>-500</v>
      </c>
      <c r="F361" s="42">
        <f t="shared" si="52"/>
        <v>7.617505679418065E-25</v>
      </c>
      <c r="G361" s="41">
        <f>SUM(F$11:F361)</f>
        <v>1.5679757583156625E-24</v>
      </c>
      <c r="I361" s="1">
        <f t="shared" si="51"/>
        <v>351</v>
      </c>
      <c r="J361" s="3">
        <v>115000</v>
      </c>
      <c r="K361" s="3">
        <v>94500</v>
      </c>
      <c r="L361" s="3">
        <v>116000</v>
      </c>
      <c r="M361" s="30">
        <f t="shared" si="53"/>
        <v>0.14999999999999991</v>
      </c>
      <c r="N361" s="1" t="str">
        <f t="shared" si="54"/>
        <v/>
      </c>
      <c r="O361" s="1" t="str">
        <f t="shared" si="55"/>
        <v/>
      </c>
    </row>
    <row r="362" spans="1:15" x14ac:dyDescent="0.25">
      <c r="A362" s="1">
        <f t="shared" si="50"/>
        <v>351</v>
      </c>
      <c r="B362" s="3">
        <f t="shared" ca="1" si="57"/>
        <v>120500</v>
      </c>
      <c r="C362" s="26">
        <f t="shared" ca="1" si="58"/>
        <v>0.28768763176359824</v>
      </c>
      <c r="D362" s="26" t="str">
        <f t="shared" ca="1" si="56"/>
        <v>Lose</v>
      </c>
      <c r="E362" s="3">
        <f t="shared" ca="1" si="59"/>
        <v>-500</v>
      </c>
      <c r="F362" s="42">
        <f t="shared" si="52"/>
        <v>1.4682267182551974E-24</v>
      </c>
      <c r="G362" s="41">
        <f>SUM(F$11:F362)</f>
        <v>3.0362024765708601E-24</v>
      </c>
      <c r="I362" s="1">
        <f t="shared" si="51"/>
        <v>352</v>
      </c>
      <c r="J362" s="3">
        <v>98000</v>
      </c>
      <c r="K362" s="3">
        <v>90500</v>
      </c>
      <c r="L362" s="3">
        <v>108500</v>
      </c>
      <c r="M362" s="30">
        <f t="shared" si="53"/>
        <v>-2.0000000000000018E-2</v>
      </c>
      <c r="N362" s="1" t="str">
        <f t="shared" si="54"/>
        <v/>
      </c>
      <c r="O362" s="1" t="str">
        <f t="shared" si="55"/>
        <v/>
      </c>
    </row>
    <row r="363" spans="1:15" x14ac:dyDescent="0.25">
      <c r="A363" s="1">
        <f t="shared" si="50"/>
        <v>352</v>
      </c>
      <c r="B363" s="3">
        <f t="shared" ca="1" si="57"/>
        <v>121000</v>
      </c>
      <c r="C363" s="26">
        <f t="shared" ca="1" si="58"/>
        <v>0.5803304919491703</v>
      </c>
      <c r="D363" s="26" t="str">
        <f t="shared" ca="1" si="56"/>
        <v>Win</v>
      </c>
      <c r="E363" s="3">
        <f t="shared" ca="1" si="59"/>
        <v>500</v>
      </c>
      <c r="F363" s="42">
        <f t="shared" si="52"/>
        <v>2.8175345632843506E-24</v>
      </c>
      <c r="G363" s="41">
        <f>SUM(F$11:F363)</f>
        <v>5.8537370398552107E-24</v>
      </c>
      <c r="I363" s="1">
        <f t="shared" si="51"/>
        <v>353</v>
      </c>
      <c r="J363" s="3">
        <v>142000</v>
      </c>
      <c r="K363" s="3">
        <v>95500</v>
      </c>
      <c r="L363" s="3">
        <v>144000</v>
      </c>
      <c r="M363" s="30">
        <f t="shared" si="53"/>
        <v>0.41999999999999993</v>
      </c>
      <c r="N363" s="1" t="str">
        <f t="shared" si="54"/>
        <v/>
      </c>
      <c r="O363" s="1" t="str">
        <f t="shared" si="55"/>
        <v/>
      </c>
    </row>
    <row r="364" spans="1:15" x14ac:dyDescent="0.25">
      <c r="A364" s="1">
        <f t="shared" si="50"/>
        <v>353</v>
      </c>
      <c r="B364" s="3">
        <f t="shared" ca="1" si="57"/>
        <v>121500</v>
      </c>
      <c r="C364" s="26">
        <f t="shared" ca="1" si="58"/>
        <v>0.64636736817078178</v>
      </c>
      <c r="D364" s="26" t="str">
        <f t="shared" ca="1" si="56"/>
        <v>Win</v>
      </c>
      <c r="E364" s="3">
        <f t="shared" ca="1" si="59"/>
        <v>500</v>
      </c>
      <c r="F364" s="42">
        <f t="shared" si="52"/>
        <v>5.3832388418467188E-24</v>
      </c>
      <c r="G364" s="41">
        <f>SUM(F$11:F364)</f>
        <v>1.123697588170193E-23</v>
      </c>
      <c r="I364" s="1">
        <f t="shared" si="51"/>
        <v>354</v>
      </c>
      <c r="J364" s="3">
        <v>133000</v>
      </c>
      <c r="K364" s="3">
        <v>99000</v>
      </c>
      <c r="L364" s="3">
        <v>136000</v>
      </c>
      <c r="M364" s="30">
        <f t="shared" si="53"/>
        <v>0.33000000000000007</v>
      </c>
      <c r="N364" s="1" t="str">
        <f t="shared" si="54"/>
        <v/>
      </c>
      <c r="O364" s="1" t="str">
        <f t="shared" si="55"/>
        <v/>
      </c>
    </row>
    <row r="365" spans="1:15" x14ac:dyDescent="0.25">
      <c r="A365" s="1">
        <f t="shared" si="50"/>
        <v>354</v>
      </c>
      <c r="B365" s="3">
        <f t="shared" ca="1" si="57"/>
        <v>122000</v>
      </c>
      <c r="C365" s="26">
        <f t="shared" ca="1" si="58"/>
        <v>0.76146784183457561</v>
      </c>
      <c r="D365" s="26" t="str">
        <f t="shared" ca="1" si="56"/>
        <v>Win</v>
      </c>
      <c r="E365" s="3">
        <f t="shared" ca="1" si="59"/>
        <v>500</v>
      </c>
      <c r="F365" s="42">
        <f t="shared" si="52"/>
        <v>1.0240443448888535E-23</v>
      </c>
      <c r="G365" s="41">
        <f>SUM(F$11:F365)</f>
        <v>2.1477419330590465E-23</v>
      </c>
      <c r="I365" s="1">
        <f t="shared" si="51"/>
        <v>355</v>
      </c>
      <c r="J365" s="3">
        <v>118000</v>
      </c>
      <c r="K365" s="3">
        <v>95000</v>
      </c>
      <c r="L365" s="3">
        <v>118500</v>
      </c>
      <c r="M365" s="30">
        <f t="shared" si="53"/>
        <v>0.17999999999999994</v>
      </c>
      <c r="N365" s="1" t="str">
        <f t="shared" si="54"/>
        <v/>
      </c>
      <c r="O365" s="1" t="str">
        <f t="shared" si="55"/>
        <v/>
      </c>
    </row>
    <row r="366" spans="1:15" x14ac:dyDescent="0.25">
      <c r="A366" s="1">
        <f t="shared" si="50"/>
        <v>355</v>
      </c>
      <c r="B366" s="3">
        <f t="shared" ca="1" si="57"/>
        <v>121500</v>
      </c>
      <c r="C366" s="26">
        <f t="shared" ca="1" si="58"/>
        <v>0.14340076784052758</v>
      </c>
      <c r="D366" s="26" t="str">
        <f t="shared" ca="1" si="56"/>
        <v>Lose</v>
      </c>
      <c r="E366" s="3">
        <f t="shared" ca="1" si="59"/>
        <v>-500</v>
      </c>
      <c r="F366" s="42">
        <f t="shared" si="52"/>
        <v>1.9395323361142654E-23</v>
      </c>
      <c r="G366" s="41">
        <f>SUM(F$11:F366)</f>
        <v>4.0872742691733121E-23</v>
      </c>
      <c r="I366" s="1">
        <f t="shared" si="51"/>
        <v>356</v>
      </c>
      <c r="J366" s="3">
        <v>130000</v>
      </c>
      <c r="K366" s="3">
        <v>97500</v>
      </c>
      <c r="L366" s="3">
        <v>132500</v>
      </c>
      <c r="M366" s="30">
        <f t="shared" si="53"/>
        <v>0.30000000000000004</v>
      </c>
      <c r="N366" s="1" t="str">
        <f t="shared" si="54"/>
        <v/>
      </c>
      <c r="O366" s="1" t="str">
        <f t="shared" si="55"/>
        <v/>
      </c>
    </row>
    <row r="367" spans="1:15" x14ac:dyDescent="0.25">
      <c r="A367" s="1">
        <f t="shared" si="50"/>
        <v>356</v>
      </c>
      <c r="B367" s="3">
        <f t="shared" ca="1" si="57"/>
        <v>121000</v>
      </c>
      <c r="C367" s="26">
        <f t="shared" ca="1" si="58"/>
        <v>0.24861837335967729</v>
      </c>
      <c r="D367" s="26" t="str">
        <f t="shared" ca="1" si="56"/>
        <v>Lose</v>
      </c>
      <c r="E367" s="3">
        <f t="shared" ca="1" si="59"/>
        <v>-500</v>
      </c>
      <c r="F367" s="42">
        <f t="shared" si="52"/>
        <v>3.6574705455445784E-23</v>
      </c>
      <c r="G367" s="41">
        <f>SUM(F$11:F367)</f>
        <v>7.7447448147178905E-23</v>
      </c>
      <c r="I367" s="1">
        <f t="shared" si="51"/>
        <v>357</v>
      </c>
      <c r="J367" s="3">
        <v>129000</v>
      </c>
      <c r="K367" s="3">
        <v>100000</v>
      </c>
      <c r="L367" s="3">
        <v>134500</v>
      </c>
      <c r="M367" s="30">
        <f t="shared" si="53"/>
        <v>0.29000000000000004</v>
      </c>
      <c r="N367" s="1" t="str">
        <f t="shared" si="54"/>
        <v/>
      </c>
      <c r="O367" s="1" t="str">
        <f t="shared" si="55"/>
        <v/>
      </c>
    </row>
    <row r="368" spans="1:15" x14ac:dyDescent="0.25">
      <c r="A368" s="1">
        <f t="shared" si="50"/>
        <v>357</v>
      </c>
      <c r="B368" s="3">
        <f t="shared" ca="1" si="57"/>
        <v>120500</v>
      </c>
      <c r="C368" s="26">
        <f t="shared" ca="1" si="58"/>
        <v>0.1213401206282676</v>
      </c>
      <c r="D368" s="26" t="str">
        <f t="shared" ca="1" si="56"/>
        <v>Lose</v>
      </c>
      <c r="E368" s="3">
        <f t="shared" ca="1" si="59"/>
        <v>-500</v>
      </c>
      <c r="F368" s="42">
        <f t="shared" si="52"/>
        <v>6.8670875548996663E-23</v>
      </c>
      <c r="G368" s="41">
        <f>SUM(F$11:F368)</f>
        <v>1.4611832369617557E-22</v>
      </c>
      <c r="I368" s="1">
        <f t="shared" si="51"/>
        <v>358</v>
      </c>
      <c r="J368" s="3">
        <v>119000</v>
      </c>
      <c r="K368" s="3">
        <v>99500</v>
      </c>
      <c r="L368" s="3">
        <v>124000</v>
      </c>
      <c r="M368" s="30">
        <f t="shared" si="53"/>
        <v>0.18999999999999995</v>
      </c>
      <c r="N368" s="1" t="str">
        <f t="shared" si="54"/>
        <v/>
      </c>
      <c r="O368" s="1" t="str">
        <f t="shared" si="55"/>
        <v/>
      </c>
    </row>
    <row r="369" spans="1:15" x14ac:dyDescent="0.25">
      <c r="A369" s="1">
        <f t="shared" si="50"/>
        <v>358</v>
      </c>
      <c r="B369" s="3">
        <f t="shared" ca="1" si="57"/>
        <v>120000</v>
      </c>
      <c r="C369" s="26">
        <f t="shared" ca="1" si="58"/>
        <v>0.41647923969809963</v>
      </c>
      <c r="D369" s="26" t="str">
        <f t="shared" ca="1" si="56"/>
        <v>Lose</v>
      </c>
      <c r="E369" s="3">
        <f t="shared" ca="1" si="59"/>
        <v>-500</v>
      </c>
      <c r="F369" s="42">
        <f t="shared" si="52"/>
        <v>1.2837327681440212E-22</v>
      </c>
      <c r="G369" s="41">
        <f>SUM(F$11:F369)</f>
        <v>2.7449160051057771E-22</v>
      </c>
      <c r="I369" s="1">
        <f t="shared" si="51"/>
        <v>359</v>
      </c>
      <c r="J369" s="3">
        <v>98000</v>
      </c>
      <c r="K369" s="3">
        <v>94000</v>
      </c>
      <c r="L369" s="3">
        <v>109000</v>
      </c>
      <c r="M369" s="30">
        <f t="shared" si="53"/>
        <v>-2.0000000000000018E-2</v>
      </c>
      <c r="N369" s="1" t="str">
        <f t="shared" si="54"/>
        <v/>
      </c>
      <c r="O369" s="1" t="str">
        <f t="shared" si="55"/>
        <v/>
      </c>
    </row>
    <row r="370" spans="1:15" x14ac:dyDescent="0.25">
      <c r="A370" s="1">
        <f t="shared" si="50"/>
        <v>359</v>
      </c>
      <c r="B370" s="3">
        <f t="shared" ca="1" si="57"/>
        <v>119500</v>
      </c>
      <c r="C370" s="26">
        <f t="shared" ca="1" si="58"/>
        <v>0.30877957972754211</v>
      </c>
      <c r="D370" s="26" t="str">
        <f t="shared" ca="1" si="56"/>
        <v>Lose</v>
      </c>
      <c r="E370" s="3">
        <f t="shared" ca="1" si="59"/>
        <v>-500</v>
      </c>
      <c r="F370" s="42">
        <f t="shared" si="52"/>
        <v>2.3894024384385564E-22</v>
      </c>
      <c r="G370" s="41">
        <f>SUM(F$11:F370)</f>
        <v>5.134318443544333E-22</v>
      </c>
      <c r="I370" s="1">
        <f t="shared" si="51"/>
        <v>360</v>
      </c>
      <c r="J370" s="3">
        <v>132000</v>
      </c>
      <c r="K370" s="3">
        <v>98000</v>
      </c>
      <c r="L370" s="3">
        <v>137500</v>
      </c>
      <c r="M370" s="30">
        <f t="shared" si="53"/>
        <v>0.32000000000000006</v>
      </c>
      <c r="N370" s="1" t="str">
        <f t="shared" si="54"/>
        <v/>
      </c>
      <c r="O370" s="1" t="str">
        <f t="shared" si="55"/>
        <v/>
      </c>
    </row>
    <row r="371" spans="1:15" x14ac:dyDescent="0.25">
      <c r="A371" s="1">
        <f t="shared" si="50"/>
        <v>360</v>
      </c>
      <c r="B371" s="3">
        <f t="shared" ca="1" si="57"/>
        <v>120000</v>
      </c>
      <c r="C371" s="26">
        <f t="shared" ca="1" si="58"/>
        <v>0.99865936926379573</v>
      </c>
      <c r="D371" s="26" t="str">
        <f t="shared" ca="1" si="56"/>
        <v>Win</v>
      </c>
      <c r="E371" s="3">
        <f t="shared" ca="1" si="59"/>
        <v>500</v>
      </c>
      <c r="F371" s="42">
        <f t="shared" si="52"/>
        <v>4.4281153693308325E-22</v>
      </c>
      <c r="G371" s="41">
        <f>SUM(F$11:F371)</f>
        <v>9.5624338128751655E-22</v>
      </c>
      <c r="I371" s="1">
        <f t="shared" si="51"/>
        <v>361</v>
      </c>
      <c r="J371" s="3">
        <v>108000</v>
      </c>
      <c r="K371" s="3">
        <v>96500</v>
      </c>
      <c r="L371" s="3">
        <v>114500</v>
      </c>
      <c r="M371" s="30">
        <f t="shared" si="53"/>
        <v>8.0000000000000071E-2</v>
      </c>
      <c r="N371" s="1" t="str">
        <f t="shared" si="54"/>
        <v/>
      </c>
      <c r="O371" s="1" t="str">
        <f t="shared" si="55"/>
        <v/>
      </c>
    </row>
    <row r="372" spans="1:15" x14ac:dyDescent="0.25">
      <c r="A372" s="1">
        <f t="shared" si="50"/>
        <v>361</v>
      </c>
      <c r="B372" s="3">
        <f t="shared" ca="1" si="57"/>
        <v>119500</v>
      </c>
      <c r="C372" s="26">
        <f t="shared" ca="1" si="58"/>
        <v>0.1375830620485563</v>
      </c>
      <c r="D372" s="26" t="str">
        <f t="shared" ca="1" si="56"/>
        <v>Lose</v>
      </c>
      <c r="E372" s="3">
        <f t="shared" ca="1" si="59"/>
        <v>-500</v>
      </c>
      <c r="F372" s="42">
        <f t="shared" si="52"/>
        <v>8.1708228647724399E-22</v>
      </c>
      <c r="G372" s="41">
        <f>SUM(F$11:F372)</f>
        <v>1.7733256677647604E-21</v>
      </c>
      <c r="I372" s="1">
        <f t="shared" si="51"/>
        <v>362</v>
      </c>
      <c r="J372" s="3">
        <v>107000</v>
      </c>
      <c r="K372" s="3">
        <v>89500</v>
      </c>
      <c r="L372" s="3">
        <v>115500</v>
      </c>
      <c r="M372" s="30">
        <f t="shared" si="53"/>
        <v>7.0000000000000062E-2</v>
      </c>
      <c r="N372" s="1" t="str">
        <f t="shared" si="54"/>
        <v/>
      </c>
      <c r="O372" s="1" t="str">
        <f t="shared" si="55"/>
        <v/>
      </c>
    </row>
    <row r="373" spans="1:15" x14ac:dyDescent="0.25">
      <c r="A373" s="1">
        <f t="shared" si="50"/>
        <v>362</v>
      </c>
      <c r="B373" s="3">
        <f t="shared" ca="1" si="57"/>
        <v>119000</v>
      </c>
      <c r="C373" s="26">
        <f t="shared" ca="1" si="58"/>
        <v>0.28925524055145391</v>
      </c>
      <c r="D373" s="26" t="str">
        <f t="shared" ca="1" si="56"/>
        <v>Lose</v>
      </c>
      <c r="E373" s="3">
        <f t="shared" ca="1" si="59"/>
        <v>-500</v>
      </c>
      <c r="F373" s="42">
        <f t="shared" si="52"/>
        <v>1.5011779588457704E-21</v>
      </c>
      <c r="G373" s="41">
        <f>SUM(F$11:F373)</f>
        <v>3.2745036266105305E-21</v>
      </c>
      <c r="I373" s="1">
        <f t="shared" si="51"/>
        <v>363</v>
      </c>
      <c r="J373" s="3">
        <v>114000</v>
      </c>
      <c r="K373" s="3">
        <v>92500</v>
      </c>
      <c r="L373" s="3">
        <v>114500</v>
      </c>
      <c r="M373" s="30">
        <f t="shared" si="53"/>
        <v>0.1399999999999999</v>
      </c>
      <c r="N373" s="1" t="str">
        <f t="shared" si="54"/>
        <v/>
      </c>
      <c r="O373" s="1" t="str">
        <f t="shared" si="55"/>
        <v/>
      </c>
    </row>
    <row r="374" spans="1:15" x14ac:dyDescent="0.25">
      <c r="A374" s="1">
        <f t="shared" si="50"/>
        <v>363</v>
      </c>
      <c r="B374" s="3">
        <f t="shared" ca="1" si="57"/>
        <v>119500</v>
      </c>
      <c r="C374" s="26">
        <f t="shared" ca="1" si="58"/>
        <v>0.55286764486753925</v>
      </c>
      <c r="D374" s="26" t="str">
        <f t="shared" ca="1" si="56"/>
        <v>Win</v>
      </c>
      <c r="E374" s="3">
        <f t="shared" ca="1" si="59"/>
        <v>500</v>
      </c>
      <c r="F374" s="42">
        <f t="shared" si="52"/>
        <v>2.746125171469248E-21</v>
      </c>
      <c r="G374" s="41">
        <f>SUM(F$11:F374)</f>
        <v>6.0206287980797785E-21</v>
      </c>
      <c r="I374" s="1">
        <f t="shared" si="51"/>
        <v>364</v>
      </c>
      <c r="J374" s="3">
        <v>111000</v>
      </c>
      <c r="K374" s="3">
        <v>96500</v>
      </c>
      <c r="L374" s="3">
        <v>114000</v>
      </c>
      <c r="M374" s="30">
        <f t="shared" si="53"/>
        <v>0.1100000000000001</v>
      </c>
      <c r="N374" s="1" t="str">
        <f t="shared" si="54"/>
        <v/>
      </c>
      <c r="O374" s="1" t="str">
        <f t="shared" si="55"/>
        <v/>
      </c>
    </row>
    <row r="375" spans="1:15" x14ac:dyDescent="0.25">
      <c r="A375" s="1">
        <f t="shared" si="50"/>
        <v>364</v>
      </c>
      <c r="B375" s="3">
        <f t="shared" ca="1" si="57"/>
        <v>120000</v>
      </c>
      <c r="C375" s="26">
        <f t="shared" ca="1" si="58"/>
        <v>0.60241091892505549</v>
      </c>
      <c r="D375" s="26" t="str">
        <f t="shared" ca="1" si="56"/>
        <v>Win</v>
      </c>
      <c r="E375" s="3">
        <f t="shared" ca="1" si="59"/>
        <v>500</v>
      </c>
      <c r="F375" s="42">
        <f t="shared" si="52"/>
        <v>5.001870848033185E-21</v>
      </c>
      <c r="G375" s="41">
        <f>SUM(F$11:F375)</f>
        <v>1.1022499646112964E-20</v>
      </c>
      <c r="I375" s="1">
        <f t="shared" si="51"/>
        <v>365</v>
      </c>
      <c r="J375" s="3">
        <v>111000</v>
      </c>
      <c r="K375" s="3">
        <v>92500</v>
      </c>
      <c r="L375" s="3">
        <v>113000</v>
      </c>
      <c r="M375" s="30">
        <f t="shared" si="53"/>
        <v>0.1100000000000001</v>
      </c>
      <c r="N375" s="1" t="str">
        <f t="shared" si="54"/>
        <v/>
      </c>
      <c r="O375" s="1" t="str">
        <f t="shared" si="55"/>
        <v/>
      </c>
    </row>
    <row r="376" spans="1:15" x14ac:dyDescent="0.25">
      <c r="A376" s="1">
        <f t="shared" si="50"/>
        <v>365</v>
      </c>
      <c r="B376" s="3">
        <f t="shared" ca="1" si="57"/>
        <v>119500</v>
      </c>
      <c r="C376" s="26">
        <f t="shared" ca="1" si="58"/>
        <v>0.15085807214928815</v>
      </c>
      <c r="D376" s="26" t="str">
        <f t="shared" ca="1" si="56"/>
        <v>Lose</v>
      </c>
      <c r="E376" s="3">
        <f t="shared" ca="1" si="59"/>
        <v>-500</v>
      </c>
      <c r="F376" s="42">
        <f t="shared" si="52"/>
        <v>9.0713269682310682E-21</v>
      </c>
      <c r="G376" s="41">
        <f>SUM(F$11:F376)</f>
        <v>2.0093826614344032E-20</v>
      </c>
      <c r="I376" s="1">
        <f t="shared" si="51"/>
        <v>366</v>
      </c>
      <c r="J376" s="3">
        <v>136000</v>
      </c>
      <c r="K376" s="3">
        <v>98500</v>
      </c>
      <c r="L376" s="3">
        <v>138500</v>
      </c>
      <c r="M376" s="30">
        <f t="shared" si="53"/>
        <v>0.3600000000000001</v>
      </c>
      <c r="N376" s="1" t="str">
        <f t="shared" si="54"/>
        <v/>
      </c>
      <c r="O376" s="1" t="str">
        <f t="shared" si="55"/>
        <v/>
      </c>
    </row>
    <row r="377" spans="1:15" x14ac:dyDescent="0.25">
      <c r="A377" s="1">
        <f t="shared" si="50"/>
        <v>366</v>
      </c>
      <c r="B377" s="3">
        <f t="shared" ca="1" si="57"/>
        <v>119000</v>
      </c>
      <c r="C377" s="26">
        <f t="shared" ca="1" si="58"/>
        <v>0.16002321099549555</v>
      </c>
      <c r="D377" s="26" t="str">
        <f t="shared" ca="1" si="56"/>
        <v>Lose</v>
      </c>
      <c r="E377" s="3">
        <f t="shared" ca="1" si="59"/>
        <v>-500</v>
      </c>
      <c r="F377" s="42">
        <f t="shared" si="52"/>
        <v>1.6380892375719921E-20</v>
      </c>
      <c r="G377" s="41">
        <f>SUM(F$11:F377)</f>
        <v>3.6474718990063954E-20</v>
      </c>
      <c r="I377" s="1">
        <f t="shared" si="51"/>
        <v>367</v>
      </c>
      <c r="J377" s="3">
        <v>106000</v>
      </c>
      <c r="K377" s="3">
        <v>100000</v>
      </c>
      <c r="L377" s="3">
        <v>118000</v>
      </c>
      <c r="M377" s="30">
        <f t="shared" si="53"/>
        <v>6.0000000000000053E-2</v>
      </c>
      <c r="N377" s="1" t="str">
        <f t="shared" si="54"/>
        <v/>
      </c>
      <c r="O377" s="1" t="str">
        <f t="shared" si="55"/>
        <v/>
      </c>
    </row>
    <row r="378" spans="1:15" x14ac:dyDescent="0.25">
      <c r="A378" s="1">
        <f t="shared" si="50"/>
        <v>367</v>
      </c>
      <c r="B378" s="3">
        <f t="shared" ca="1" si="57"/>
        <v>119500</v>
      </c>
      <c r="C378" s="26">
        <f t="shared" ca="1" si="58"/>
        <v>0.57142425038122868</v>
      </c>
      <c r="D378" s="26" t="str">
        <f t="shared" ca="1" si="56"/>
        <v>Win</v>
      </c>
      <c r="E378" s="3">
        <f t="shared" ca="1" si="59"/>
        <v>500</v>
      </c>
      <c r="F378" s="42">
        <f t="shared" si="52"/>
        <v>2.9453360066535781E-20</v>
      </c>
      <c r="G378" s="41">
        <f>SUM(F$11:F378)</f>
        <v>6.5928079056599734E-20</v>
      </c>
      <c r="I378" s="1">
        <f t="shared" si="51"/>
        <v>368</v>
      </c>
      <c r="J378" s="3">
        <v>105000</v>
      </c>
      <c r="K378" s="3">
        <v>86500</v>
      </c>
      <c r="L378" s="3">
        <v>116500</v>
      </c>
      <c r="M378" s="30">
        <f t="shared" si="53"/>
        <v>5.0000000000000044E-2</v>
      </c>
      <c r="N378" s="1" t="str">
        <f t="shared" si="54"/>
        <v/>
      </c>
      <c r="O378" s="1" t="str">
        <f t="shared" si="55"/>
        <v/>
      </c>
    </row>
    <row r="379" spans="1:15" x14ac:dyDescent="0.25">
      <c r="A379" s="1">
        <f t="shared" si="50"/>
        <v>368</v>
      </c>
      <c r="B379" s="3">
        <f t="shared" ca="1" si="57"/>
        <v>120000</v>
      </c>
      <c r="C379" s="26">
        <f t="shared" ca="1" si="58"/>
        <v>0.54839046315187512</v>
      </c>
      <c r="D379" s="26" t="str">
        <f t="shared" ca="1" si="56"/>
        <v>Win</v>
      </c>
      <c r="E379" s="3">
        <f t="shared" ca="1" si="59"/>
        <v>500</v>
      </c>
      <c r="F379" s="42">
        <f t="shared" si="52"/>
        <v>5.2730857532609142E-20</v>
      </c>
      <c r="G379" s="41">
        <f>SUM(F$11:F379)</f>
        <v>1.1865893658920886E-19</v>
      </c>
      <c r="I379" s="1">
        <f t="shared" si="51"/>
        <v>369</v>
      </c>
      <c r="J379" s="3">
        <v>110000</v>
      </c>
      <c r="K379" s="3">
        <v>85500</v>
      </c>
      <c r="L379" s="3">
        <v>112000</v>
      </c>
      <c r="M379" s="30">
        <f t="shared" si="53"/>
        <v>0.10000000000000009</v>
      </c>
      <c r="N379" s="1" t="str">
        <f t="shared" si="54"/>
        <v/>
      </c>
      <c r="O379" s="1" t="str">
        <f t="shared" si="55"/>
        <v/>
      </c>
    </row>
    <row r="380" spans="1:15" x14ac:dyDescent="0.25">
      <c r="A380" s="1">
        <f t="shared" si="50"/>
        <v>369</v>
      </c>
      <c r="B380" s="3">
        <f t="shared" ca="1" si="57"/>
        <v>119500</v>
      </c>
      <c r="C380" s="26">
        <f t="shared" ca="1" si="58"/>
        <v>0.26404383426379541</v>
      </c>
      <c r="D380" s="26" t="str">
        <f t="shared" ca="1" si="56"/>
        <v>Lose</v>
      </c>
      <c r="E380" s="3">
        <f t="shared" ca="1" si="59"/>
        <v>-500</v>
      </c>
      <c r="F380" s="42">
        <f t="shared" si="52"/>
        <v>9.400038714622976E-20</v>
      </c>
      <c r="G380" s="41">
        <f>SUM(F$11:F380)</f>
        <v>2.1265932373543862E-19</v>
      </c>
      <c r="I380" s="1">
        <f t="shared" si="51"/>
        <v>370</v>
      </c>
      <c r="J380" s="3">
        <v>104000</v>
      </c>
      <c r="K380" s="3">
        <v>90500</v>
      </c>
      <c r="L380" s="3">
        <v>111500</v>
      </c>
      <c r="M380" s="30">
        <f t="shared" si="53"/>
        <v>4.0000000000000036E-2</v>
      </c>
      <c r="N380" s="1" t="str">
        <f t="shared" si="54"/>
        <v/>
      </c>
      <c r="O380" s="1" t="str">
        <f t="shared" si="55"/>
        <v/>
      </c>
    </row>
    <row r="381" spans="1:15" x14ac:dyDescent="0.25">
      <c r="A381" s="1">
        <f t="shared" si="50"/>
        <v>370</v>
      </c>
      <c r="B381" s="3">
        <f t="shared" ca="1" si="57"/>
        <v>120000</v>
      </c>
      <c r="C381" s="26">
        <f t="shared" ca="1" si="58"/>
        <v>0.94303185519363819</v>
      </c>
      <c r="D381" s="26" t="str">
        <f t="shared" ca="1" si="56"/>
        <v>Win</v>
      </c>
      <c r="E381" s="3">
        <f t="shared" ca="1" si="59"/>
        <v>500</v>
      </c>
      <c r="F381" s="42">
        <f t="shared" si="52"/>
        <v>1.6685198338405615E-19</v>
      </c>
      <c r="G381" s="41">
        <f>SUM(F$11:F381)</f>
        <v>3.795113071194948E-19</v>
      </c>
      <c r="I381" s="1">
        <f t="shared" si="51"/>
        <v>371</v>
      </c>
      <c r="J381" s="3">
        <v>75000</v>
      </c>
      <c r="K381" s="3">
        <v>74500</v>
      </c>
      <c r="L381" s="3">
        <v>104000</v>
      </c>
      <c r="M381" s="30">
        <f t="shared" si="53"/>
        <v>-0.25</v>
      </c>
      <c r="N381" s="1" t="str">
        <f t="shared" si="54"/>
        <v/>
      </c>
      <c r="O381" s="1" t="str">
        <f t="shared" si="55"/>
        <v/>
      </c>
    </row>
    <row r="382" spans="1:15" x14ac:dyDescent="0.25">
      <c r="A382" s="1">
        <f t="shared" si="50"/>
        <v>371</v>
      </c>
      <c r="B382" s="3">
        <f t="shared" ca="1" si="57"/>
        <v>120500</v>
      </c>
      <c r="C382" s="26">
        <f t="shared" ca="1" si="58"/>
        <v>0.86352447881037253</v>
      </c>
      <c r="D382" s="26" t="str">
        <f t="shared" ca="1" si="56"/>
        <v>Win</v>
      </c>
      <c r="E382" s="3">
        <f t="shared" ca="1" si="59"/>
        <v>500</v>
      </c>
      <c r="F382" s="42">
        <f t="shared" si="52"/>
        <v>2.9489819165683887E-19</v>
      </c>
      <c r="G382" s="41">
        <f>SUM(F$11:F382)</f>
        <v>6.7440949877633367E-19</v>
      </c>
      <c r="I382" s="1">
        <f t="shared" si="51"/>
        <v>372</v>
      </c>
      <c r="J382" s="3">
        <v>103000</v>
      </c>
      <c r="K382" s="3">
        <v>89500</v>
      </c>
      <c r="L382" s="3">
        <v>112000</v>
      </c>
      <c r="M382" s="30">
        <f t="shared" si="53"/>
        <v>3.0000000000000027E-2</v>
      </c>
      <c r="N382" s="1" t="str">
        <f t="shared" si="54"/>
        <v/>
      </c>
      <c r="O382" s="1" t="str">
        <f t="shared" si="55"/>
        <v/>
      </c>
    </row>
    <row r="383" spans="1:15" x14ac:dyDescent="0.25">
      <c r="A383" s="1">
        <f t="shared" si="50"/>
        <v>372</v>
      </c>
      <c r="B383" s="3">
        <f t="shared" ca="1" si="57"/>
        <v>120000</v>
      </c>
      <c r="C383" s="26">
        <f t="shared" ca="1" si="58"/>
        <v>0.46396510840884475</v>
      </c>
      <c r="D383" s="26" t="str">
        <f t="shared" ca="1" si="56"/>
        <v>Lose</v>
      </c>
      <c r="E383" s="3">
        <f t="shared" ca="1" si="59"/>
        <v>-500</v>
      </c>
      <c r="F383" s="42">
        <f t="shared" si="52"/>
        <v>5.1898393077461685E-19</v>
      </c>
      <c r="G383" s="41">
        <f>SUM(F$11:F383)</f>
        <v>1.1933934295509504E-18</v>
      </c>
      <c r="I383" s="1">
        <f t="shared" si="51"/>
        <v>373</v>
      </c>
      <c r="J383" s="3">
        <v>114000</v>
      </c>
      <c r="K383" s="3">
        <v>97500</v>
      </c>
      <c r="L383" s="3">
        <v>121500</v>
      </c>
      <c r="M383" s="30">
        <f t="shared" si="53"/>
        <v>0.1399999999999999</v>
      </c>
      <c r="N383" s="1" t="str">
        <f t="shared" si="54"/>
        <v/>
      </c>
      <c r="O383" s="1" t="str">
        <f t="shared" si="55"/>
        <v/>
      </c>
    </row>
    <row r="384" spans="1:15" x14ac:dyDescent="0.25">
      <c r="A384" s="1">
        <f t="shared" si="50"/>
        <v>373</v>
      </c>
      <c r="B384" s="3">
        <f t="shared" ca="1" si="57"/>
        <v>119500</v>
      </c>
      <c r="C384" s="26">
        <f t="shared" ca="1" si="58"/>
        <v>0.27253391758703238</v>
      </c>
      <c r="D384" s="26" t="str">
        <f t="shared" ca="1" si="56"/>
        <v>Lose</v>
      </c>
      <c r="E384" s="3">
        <f t="shared" ca="1" si="59"/>
        <v>-500</v>
      </c>
      <c r="F384" s="42">
        <f t="shared" si="52"/>
        <v>9.0944998275698743E-19</v>
      </c>
      <c r="G384" s="41">
        <f>SUM(F$11:F384)</f>
        <v>2.102843412307938E-18</v>
      </c>
      <c r="I384" s="1">
        <f t="shared" si="51"/>
        <v>374</v>
      </c>
      <c r="J384" s="3">
        <v>124000</v>
      </c>
      <c r="K384" s="3">
        <v>97000</v>
      </c>
      <c r="L384" s="3">
        <v>125000</v>
      </c>
      <c r="M384" s="30">
        <f t="shared" si="53"/>
        <v>0.24</v>
      </c>
      <c r="N384" s="1" t="str">
        <f t="shared" si="54"/>
        <v/>
      </c>
      <c r="O384" s="1" t="str">
        <f t="shared" si="55"/>
        <v/>
      </c>
    </row>
    <row r="385" spans="1:15" x14ac:dyDescent="0.25">
      <c r="A385" s="1">
        <f t="shared" si="50"/>
        <v>374</v>
      </c>
      <c r="B385" s="3">
        <f t="shared" ca="1" si="57"/>
        <v>119000</v>
      </c>
      <c r="C385" s="26">
        <f t="shared" ca="1" si="58"/>
        <v>6.7601998400716456E-2</v>
      </c>
      <c r="D385" s="26" t="str">
        <f t="shared" ca="1" si="56"/>
        <v>Lose</v>
      </c>
      <c r="E385" s="3">
        <f t="shared" ca="1" si="59"/>
        <v>-500</v>
      </c>
      <c r="F385" s="42">
        <f t="shared" si="52"/>
        <v>1.5868974188923241E-18</v>
      </c>
      <c r="G385" s="41">
        <f>SUM(F$11:F385)</f>
        <v>3.689740831200262E-18</v>
      </c>
      <c r="I385" s="1">
        <f t="shared" si="51"/>
        <v>375</v>
      </c>
      <c r="J385" s="3">
        <v>123000</v>
      </c>
      <c r="K385" s="3">
        <v>94000</v>
      </c>
      <c r="L385" s="3">
        <v>123000</v>
      </c>
      <c r="M385" s="30">
        <f t="shared" si="53"/>
        <v>0.22999999999999998</v>
      </c>
      <c r="N385" s="1" t="str">
        <f t="shared" si="54"/>
        <v/>
      </c>
      <c r="O385" s="1" t="str">
        <f t="shared" si="55"/>
        <v/>
      </c>
    </row>
    <row r="386" spans="1:15" x14ac:dyDescent="0.25">
      <c r="A386" s="1">
        <f t="shared" si="50"/>
        <v>375</v>
      </c>
      <c r="B386" s="3">
        <f t="shared" ca="1" si="57"/>
        <v>119500</v>
      </c>
      <c r="C386" s="26">
        <f t="shared" ca="1" si="58"/>
        <v>0.60635880018359323</v>
      </c>
      <c r="D386" s="26" t="str">
        <f t="shared" ca="1" si="56"/>
        <v>Win</v>
      </c>
      <c r="E386" s="3">
        <f t="shared" ca="1" si="59"/>
        <v>500</v>
      </c>
      <c r="F386" s="42">
        <f t="shared" si="52"/>
        <v>2.7571856868329859E-18</v>
      </c>
      <c r="G386" s="41">
        <f>SUM(F$11:F386)</f>
        <v>6.4469265180332479E-18</v>
      </c>
      <c r="I386" s="1">
        <f t="shared" si="51"/>
        <v>376</v>
      </c>
      <c r="J386" s="3">
        <v>104000</v>
      </c>
      <c r="K386" s="3">
        <v>94000</v>
      </c>
      <c r="L386" s="3">
        <v>107000</v>
      </c>
      <c r="M386" s="30">
        <f t="shared" si="53"/>
        <v>4.0000000000000036E-2</v>
      </c>
      <c r="N386" s="1" t="str">
        <f t="shared" si="54"/>
        <v/>
      </c>
      <c r="O386" s="1" t="str">
        <f t="shared" si="55"/>
        <v/>
      </c>
    </row>
    <row r="387" spans="1:15" x14ac:dyDescent="0.25">
      <c r="A387" s="1">
        <f t="shared" si="50"/>
        <v>376</v>
      </c>
      <c r="B387" s="3">
        <f t="shared" ca="1" si="57"/>
        <v>119000</v>
      </c>
      <c r="C387" s="26">
        <f t="shared" ca="1" si="58"/>
        <v>9.2035627848641166E-3</v>
      </c>
      <c r="D387" s="26" t="str">
        <f t="shared" ca="1" si="56"/>
        <v>Lose</v>
      </c>
      <c r="E387" s="3">
        <f t="shared" ca="1" si="59"/>
        <v>-500</v>
      </c>
      <c r="F387" s="42">
        <f t="shared" si="52"/>
        <v>4.7701527229592254E-18</v>
      </c>
      <c r="G387" s="41">
        <f>SUM(F$11:F387)</f>
        <v>1.1217079240992473E-17</v>
      </c>
      <c r="I387" s="1">
        <f t="shared" si="51"/>
        <v>377</v>
      </c>
      <c r="J387" s="3">
        <v>138000</v>
      </c>
      <c r="K387" s="3">
        <v>93500</v>
      </c>
      <c r="L387" s="3">
        <v>140000</v>
      </c>
      <c r="M387" s="30">
        <f t="shared" si="53"/>
        <v>0.37999999999999989</v>
      </c>
      <c r="N387" s="1" t="str">
        <f t="shared" si="54"/>
        <v/>
      </c>
      <c r="O387" s="1" t="str">
        <f t="shared" si="55"/>
        <v/>
      </c>
    </row>
    <row r="388" spans="1:15" x14ac:dyDescent="0.25">
      <c r="A388" s="1">
        <f t="shared" si="50"/>
        <v>377</v>
      </c>
      <c r="B388" s="3">
        <f t="shared" ca="1" si="57"/>
        <v>118500</v>
      </c>
      <c r="C388" s="26">
        <f t="shared" ca="1" si="58"/>
        <v>0.24933936341448826</v>
      </c>
      <c r="D388" s="26" t="str">
        <f t="shared" ca="1" si="56"/>
        <v>Lose</v>
      </c>
      <c r="E388" s="3">
        <f t="shared" ca="1" si="59"/>
        <v>-500</v>
      </c>
      <c r="F388" s="42">
        <f t="shared" si="52"/>
        <v>8.2176874495456026E-18</v>
      </c>
      <c r="G388" s="41">
        <f>SUM(F$11:F388)</f>
        <v>1.9434766690538076E-17</v>
      </c>
      <c r="I388" s="1">
        <f t="shared" si="51"/>
        <v>378</v>
      </c>
      <c r="J388" s="3">
        <v>85000</v>
      </c>
      <c r="K388" s="3">
        <v>70500</v>
      </c>
      <c r="L388" s="3">
        <v>103500</v>
      </c>
      <c r="M388" s="30">
        <f t="shared" si="53"/>
        <v>-0.15000000000000002</v>
      </c>
      <c r="N388" s="1" t="str">
        <f t="shared" si="54"/>
        <v/>
      </c>
      <c r="O388" s="1" t="str">
        <f t="shared" si="55"/>
        <v/>
      </c>
    </row>
    <row r="389" spans="1:15" x14ac:dyDescent="0.25">
      <c r="A389" s="1">
        <f t="shared" ref="A389:A452" si="60">A388+1</f>
        <v>378</v>
      </c>
      <c r="B389" s="3">
        <f t="shared" ca="1" si="57"/>
        <v>118000</v>
      </c>
      <c r="C389" s="26">
        <f t="shared" ca="1" si="58"/>
        <v>0.48148327850746531</v>
      </c>
      <c r="D389" s="26" t="str">
        <f t="shared" ca="1" si="56"/>
        <v>Lose</v>
      </c>
      <c r="E389" s="3">
        <f t="shared" ca="1" si="59"/>
        <v>-500</v>
      </c>
      <c r="F389" s="42">
        <f t="shared" si="52"/>
        <v>1.4096781305172347E-17</v>
      </c>
      <c r="G389" s="41">
        <f>SUM(F$11:F389)</f>
        <v>3.3531547995710423E-17</v>
      </c>
      <c r="I389" s="1">
        <f t="shared" si="51"/>
        <v>379</v>
      </c>
      <c r="J389" s="3">
        <v>109000</v>
      </c>
      <c r="K389" s="3">
        <v>90000</v>
      </c>
      <c r="L389" s="3">
        <v>109500</v>
      </c>
      <c r="M389" s="30">
        <f t="shared" si="53"/>
        <v>9.000000000000008E-2</v>
      </c>
      <c r="N389" s="1" t="str">
        <f t="shared" si="54"/>
        <v/>
      </c>
      <c r="O389" s="1" t="str">
        <f t="shared" si="55"/>
        <v/>
      </c>
    </row>
    <row r="390" spans="1:15" x14ac:dyDescent="0.25">
      <c r="A390" s="1">
        <f t="shared" si="60"/>
        <v>379</v>
      </c>
      <c r="B390" s="3">
        <f t="shared" ca="1" si="57"/>
        <v>118500</v>
      </c>
      <c r="C390" s="26">
        <f t="shared" ca="1" si="58"/>
        <v>0.56579912858634673</v>
      </c>
      <c r="D390" s="26" t="str">
        <f t="shared" ca="1" si="56"/>
        <v>Win</v>
      </c>
      <c r="E390" s="3">
        <f t="shared" ca="1" si="59"/>
        <v>500</v>
      </c>
      <c r="F390" s="42">
        <f t="shared" si="52"/>
        <v>2.4079376262058071E-17</v>
      </c>
      <c r="G390" s="41">
        <f>SUM(F$11:F390)</f>
        <v>5.7610924257768497E-17</v>
      </c>
      <c r="I390" s="1">
        <f t="shared" si="51"/>
        <v>380</v>
      </c>
      <c r="J390" s="3">
        <v>90000</v>
      </c>
      <c r="K390" s="3">
        <v>76500</v>
      </c>
      <c r="L390" s="3">
        <v>109000</v>
      </c>
      <c r="M390" s="30">
        <f t="shared" si="53"/>
        <v>-9.9999999999999978E-2</v>
      </c>
      <c r="N390" s="1" t="str">
        <f t="shared" si="54"/>
        <v/>
      </c>
      <c r="O390" s="1" t="str">
        <f t="shared" si="55"/>
        <v/>
      </c>
    </row>
    <row r="391" spans="1:15" x14ac:dyDescent="0.25">
      <c r="A391" s="1">
        <f t="shared" si="60"/>
        <v>380</v>
      </c>
      <c r="B391" s="3">
        <f t="shared" ca="1" si="57"/>
        <v>119000</v>
      </c>
      <c r="C391" s="26">
        <f t="shared" ca="1" si="58"/>
        <v>0.90784229483333978</v>
      </c>
      <c r="D391" s="26" t="str">
        <f t="shared" ca="1" si="56"/>
        <v>Win</v>
      </c>
      <c r="E391" s="3">
        <f t="shared" ca="1" si="59"/>
        <v>500</v>
      </c>
      <c r="F391" s="42">
        <f t="shared" si="52"/>
        <v>4.0956924038434951E-17</v>
      </c>
      <c r="G391" s="41">
        <f>SUM(F$11:F391)</f>
        <v>9.8567848296203448E-17</v>
      </c>
      <c r="I391" s="1">
        <f t="shared" ref="I391:I454" si="61">I390+1</f>
        <v>381</v>
      </c>
      <c r="J391" s="3">
        <v>113000</v>
      </c>
      <c r="K391" s="3">
        <v>92500</v>
      </c>
      <c r="L391" s="3">
        <v>123500</v>
      </c>
      <c r="M391" s="30">
        <f t="shared" si="53"/>
        <v>0.12999999999999989</v>
      </c>
      <c r="N391" s="1" t="str">
        <f t="shared" si="54"/>
        <v/>
      </c>
      <c r="O391" s="1" t="str">
        <f t="shared" si="55"/>
        <v/>
      </c>
    </row>
    <row r="392" spans="1:15" x14ac:dyDescent="0.25">
      <c r="A392" s="1">
        <f t="shared" si="60"/>
        <v>381</v>
      </c>
      <c r="B392" s="3">
        <f t="shared" ca="1" si="57"/>
        <v>118500</v>
      </c>
      <c r="C392" s="26">
        <f t="shared" ca="1" si="58"/>
        <v>3.9561785729304022E-3</v>
      </c>
      <c r="D392" s="26" t="str">
        <f t="shared" ca="1" si="56"/>
        <v>Lose</v>
      </c>
      <c r="E392" s="3">
        <f t="shared" ca="1" si="59"/>
        <v>-500</v>
      </c>
      <c r="F392" s="42">
        <f t="shared" si="52"/>
        <v>6.9369432647451228E-17</v>
      </c>
      <c r="G392" s="41">
        <f>SUM(F$11:F392)</f>
        <v>1.6793728094365466E-16</v>
      </c>
      <c r="I392" s="1">
        <f t="shared" si="61"/>
        <v>382</v>
      </c>
      <c r="J392" s="3">
        <v>120000</v>
      </c>
      <c r="K392" s="3">
        <v>93500</v>
      </c>
      <c r="L392" s="3">
        <v>122000</v>
      </c>
      <c r="M392" s="30">
        <f t="shared" si="53"/>
        <v>0.19999999999999996</v>
      </c>
      <c r="N392" s="1" t="str">
        <f t="shared" si="54"/>
        <v/>
      </c>
      <c r="O392" s="1" t="str">
        <f t="shared" si="55"/>
        <v/>
      </c>
    </row>
    <row r="393" spans="1:15" x14ac:dyDescent="0.25">
      <c r="A393" s="1">
        <f t="shared" si="60"/>
        <v>382</v>
      </c>
      <c r="B393" s="3">
        <f t="shared" ca="1" si="57"/>
        <v>118000</v>
      </c>
      <c r="C393" s="26">
        <f t="shared" ca="1" si="58"/>
        <v>0.23373576716393352</v>
      </c>
      <c r="D393" s="26" t="str">
        <f t="shared" ca="1" si="56"/>
        <v>Lose</v>
      </c>
      <c r="E393" s="3">
        <f t="shared" ca="1" si="59"/>
        <v>-500</v>
      </c>
      <c r="F393" s="42">
        <f t="shared" si="52"/>
        <v>1.1699559884856652E-16</v>
      </c>
      <c r="G393" s="41">
        <f>SUM(F$11:F393)</f>
        <v>2.8493287979222119E-16</v>
      </c>
      <c r="I393" s="1">
        <f t="shared" si="61"/>
        <v>383</v>
      </c>
      <c r="J393" s="3">
        <v>125000</v>
      </c>
      <c r="K393" s="3">
        <v>97500</v>
      </c>
      <c r="L393" s="3">
        <v>139000</v>
      </c>
      <c r="M393" s="30">
        <f t="shared" si="53"/>
        <v>0.25</v>
      </c>
      <c r="N393" s="1" t="str">
        <f t="shared" si="54"/>
        <v/>
      </c>
      <c r="O393" s="1" t="str">
        <f t="shared" si="55"/>
        <v/>
      </c>
    </row>
    <row r="394" spans="1:15" x14ac:dyDescent="0.25">
      <c r="A394" s="1">
        <f t="shared" si="60"/>
        <v>383</v>
      </c>
      <c r="B394" s="3">
        <f t="shared" ca="1" si="57"/>
        <v>117500</v>
      </c>
      <c r="C394" s="26">
        <f t="shared" ca="1" si="58"/>
        <v>3.7261973901868028E-2</v>
      </c>
      <c r="D394" s="26" t="str">
        <f t="shared" ca="1" si="56"/>
        <v>Lose</v>
      </c>
      <c r="E394" s="3">
        <f t="shared" ca="1" si="59"/>
        <v>-500</v>
      </c>
      <c r="F394" s="42">
        <f t="shared" si="52"/>
        <v>1.964867738322055E-16</v>
      </c>
      <c r="G394" s="41">
        <f>SUM(F$11:F394)</f>
        <v>4.8141965362442666E-16</v>
      </c>
      <c r="I394" s="1">
        <f t="shared" si="61"/>
        <v>384</v>
      </c>
      <c r="J394" s="3">
        <v>126000</v>
      </c>
      <c r="K394" s="3">
        <v>100000</v>
      </c>
      <c r="L394" s="3">
        <v>128500</v>
      </c>
      <c r="M394" s="30">
        <f t="shared" si="53"/>
        <v>0.26</v>
      </c>
      <c r="N394" s="1" t="str">
        <f t="shared" si="54"/>
        <v/>
      </c>
      <c r="O394" s="1" t="str">
        <f t="shared" si="55"/>
        <v/>
      </c>
    </row>
    <row r="395" spans="1:15" x14ac:dyDescent="0.25">
      <c r="A395" s="1">
        <f t="shared" si="60"/>
        <v>384</v>
      </c>
      <c r="B395" s="3">
        <f t="shared" ca="1" si="57"/>
        <v>117000</v>
      </c>
      <c r="C395" s="26">
        <f t="shared" ca="1" si="58"/>
        <v>0.45327745856658408</v>
      </c>
      <c r="D395" s="26" t="str">
        <f t="shared" ca="1" si="56"/>
        <v>Lose</v>
      </c>
      <c r="E395" s="3">
        <f t="shared" ca="1" si="59"/>
        <v>-500</v>
      </c>
      <c r="F395" s="42">
        <f t="shared" si="52"/>
        <v>3.2859530783260329E-16</v>
      </c>
      <c r="G395" s="41">
        <f>SUM(F$11:F395)</f>
        <v>8.1001496145702995E-16</v>
      </c>
      <c r="I395" s="1">
        <f t="shared" si="61"/>
        <v>385</v>
      </c>
      <c r="J395" s="3">
        <v>107000</v>
      </c>
      <c r="K395" s="3">
        <v>90000</v>
      </c>
      <c r="L395" s="3">
        <v>110500</v>
      </c>
      <c r="M395" s="30">
        <f t="shared" si="53"/>
        <v>7.0000000000000062E-2</v>
      </c>
      <c r="N395" s="1" t="str">
        <f t="shared" si="54"/>
        <v/>
      </c>
      <c r="O395" s="1" t="str">
        <f t="shared" si="55"/>
        <v/>
      </c>
    </row>
    <row r="396" spans="1:15" x14ac:dyDescent="0.25">
      <c r="A396" s="1">
        <f t="shared" si="60"/>
        <v>385</v>
      </c>
      <c r="B396" s="3">
        <f t="shared" ca="1" si="57"/>
        <v>117500</v>
      </c>
      <c r="C396" s="26">
        <f t="shared" ca="1" si="58"/>
        <v>0.94449661893353065</v>
      </c>
      <c r="D396" s="26" t="str">
        <f t="shared" ca="1" si="56"/>
        <v>Win</v>
      </c>
      <c r="E396" s="3">
        <f t="shared" ca="1" si="59"/>
        <v>500</v>
      </c>
      <c r="F396" s="42">
        <f t="shared" ref="F396:F459" si="62">_xlfn.BINOM.DIST(A396,$A$1011,$B$1,FALSE)</f>
        <v>5.4721177794163958E-16</v>
      </c>
      <c r="G396" s="41">
        <f>SUM(F$11:F396)</f>
        <v>1.3572267393986694E-15</v>
      </c>
      <c r="I396" s="1">
        <f t="shared" si="61"/>
        <v>386</v>
      </c>
      <c r="J396" s="3">
        <v>128000</v>
      </c>
      <c r="K396" s="3">
        <v>98000</v>
      </c>
      <c r="L396" s="3">
        <v>129000</v>
      </c>
      <c r="M396" s="30">
        <f t="shared" ref="M396:M459" si="63">J396/$B$3-1</f>
        <v>0.28000000000000003</v>
      </c>
      <c r="N396" s="1" t="str">
        <f t="shared" ref="N396:N459" si="64">IF(K396&lt;=0,1,"")</f>
        <v/>
      </c>
      <c r="O396" s="1" t="str">
        <f t="shared" ref="O396:O459" si="65">IF(J396&lt;=0,1,"")</f>
        <v/>
      </c>
    </row>
    <row r="397" spans="1:15" x14ac:dyDescent="0.25">
      <c r="A397" s="1">
        <f t="shared" si="60"/>
        <v>386</v>
      </c>
      <c r="B397" s="3">
        <f t="shared" ca="1" si="57"/>
        <v>118000</v>
      </c>
      <c r="C397" s="26">
        <f t="shared" ca="1" si="58"/>
        <v>0.79721976058469013</v>
      </c>
      <c r="D397" s="26" t="str">
        <f t="shared" ref="D397:D460" ca="1" si="66">IF(C397&gt;$B$2,"Win","Lose")</f>
        <v>Win</v>
      </c>
      <c r="E397" s="3">
        <f t="shared" ca="1" si="59"/>
        <v>500</v>
      </c>
      <c r="F397" s="42">
        <f t="shared" si="62"/>
        <v>9.0743879745896782E-16</v>
      </c>
      <c r="G397" s="41">
        <f>SUM(F$11:F397)</f>
        <v>2.2646655368576371E-15</v>
      </c>
      <c r="I397" s="1">
        <f t="shared" si="61"/>
        <v>387</v>
      </c>
      <c r="J397" s="3">
        <v>127000</v>
      </c>
      <c r="K397" s="3">
        <v>93000</v>
      </c>
      <c r="L397" s="3">
        <v>127000</v>
      </c>
      <c r="M397" s="30">
        <f t="shared" si="63"/>
        <v>0.27</v>
      </c>
      <c r="N397" s="1" t="str">
        <f t="shared" si="64"/>
        <v/>
      </c>
      <c r="O397" s="1" t="str">
        <f t="shared" si="65"/>
        <v/>
      </c>
    </row>
    <row r="398" spans="1:15" x14ac:dyDescent="0.25">
      <c r="A398" s="1">
        <f t="shared" si="60"/>
        <v>387</v>
      </c>
      <c r="B398" s="3">
        <f t="shared" ref="B398:B461" ca="1" si="67">B397+E398</f>
        <v>117500</v>
      </c>
      <c r="C398" s="26">
        <f t="shared" ref="C398:C461" ca="1" si="68">RAND()</f>
        <v>0.32730248909554494</v>
      </c>
      <c r="D398" s="26" t="str">
        <f t="shared" ca="1" si="66"/>
        <v>Lose</v>
      </c>
      <c r="E398" s="3">
        <f t="shared" ref="E398:E461" ca="1" si="69">IF(D398="Win",$B$4,-$B$4)</f>
        <v>-500</v>
      </c>
      <c r="F398" s="42">
        <f t="shared" si="62"/>
        <v>1.4984727365728446E-15</v>
      </c>
      <c r="G398" s="41">
        <f>SUM(F$11:F398)</f>
        <v>3.7631382734304817E-15</v>
      </c>
      <c r="I398" s="1">
        <f t="shared" si="61"/>
        <v>388</v>
      </c>
      <c r="J398" s="3">
        <v>97000</v>
      </c>
      <c r="K398" s="3">
        <v>87000</v>
      </c>
      <c r="L398" s="3">
        <v>101500</v>
      </c>
      <c r="M398" s="30">
        <f t="shared" si="63"/>
        <v>-3.0000000000000027E-2</v>
      </c>
      <c r="N398" s="1" t="str">
        <f t="shared" si="64"/>
        <v/>
      </c>
      <c r="O398" s="1" t="str">
        <f t="shared" si="65"/>
        <v/>
      </c>
    </row>
    <row r="399" spans="1:15" x14ac:dyDescent="0.25">
      <c r="A399" s="1">
        <f t="shared" si="60"/>
        <v>388</v>
      </c>
      <c r="B399" s="3">
        <f t="shared" ca="1" si="67"/>
        <v>117000</v>
      </c>
      <c r="C399" s="26">
        <f t="shared" ca="1" si="68"/>
        <v>4.0692370871691419E-2</v>
      </c>
      <c r="D399" s="26" t="str">
        <f t="shared" ca="1" si="66"/>
        <v>Lose</v>
      </c>
      <c r="E399" s="3">
        <f t="shared" ca="1" si="69"/>
        <v>-500</v>
      </c>
      <c r="F399" s="42">
        <f t="shared" si="62"/>
        <v>2.4640623376538721E-15</v>
      </c>
      <c r="G399" s="41">
        <f>SUM(F$11:F399)</f>
        <v>6.2272006110843538E-15</v>
      </c>
      <c r="I399" s="1">
        <f t="shared" si="61"/>
        <v>389</v>
      </c>
      <c r="J399" s="3">
        <v>127000</v>
      </c>
      <c r="K399" s="3">
        <v>97500</v>
      </c>
      <c r="L399" s="3">
        <v>133500</v>
      </c>
      <c r="M399" s="30">
        <f t="shared" si="63"/>
        <v>0.27</v>
      </c>
      <c r="N399" s="1" t="str">
        <f t="shared" si="64"/>
        <v/>
      </c>
      <c r="O399" s="1" t="str">
        <f t="shared" si="65"/>
        <v/>
      </c>
    </row>
    <row r="400" spans="1:15" x14ac:dyDescent="0.25">
      <c r="A400" s="1">
        <f t="shared" si="60"/>
        <v>389</v>
      </c>
      <c r="B400" s="3">
        <f t="shared" ca="1" si="67"/>
        <v>117500</v>
      </c>
      <c r="C400" s="26">
        <f t="shared" ca="1" si="68"/>
        <v>0.98550471147021679</v>
      </c>
      <c r="D400" s="26" t="str">
        <f t="shared" ca="1" si="66"/>
        <v>Win</v>
      </c>
      <c r="E400" s="3">
        <f t="shared" ca="1" si="69"/>
        <v>500</v>
      </c>
      <c r="F400" s="42">
        <f t="shared" si="62"/>
        <v>4.0348519848304936E-15</v>
      </c>
      <c r="G400" s="41">
        <f>SUM(F$11:F400)</f>
        <v>1.0262052595914847E-14</v>
      </c>
      <c r="I400" s="1">
        <f t="shared" si="61"/>
        <v>390</v>
      </c>
      <c r="J400" s="3">
        <v>120000</v>
      </c>
      <c r="K400" s="3">
        <v>100000</v>
      </c>
      <c r="L400" s="3">
        <v>129500</v>
      </c>
      <c r="M400" s="30">
        <f t="shared" si="63"/>
        <v>0.19999999999999996</v>
      </c>
      <c r="N400" s="1" t="str">
        <f t="shared" si="64"/>
        <v/>
      </c>
      <c r="O400" s="1" t="str">
        <f t="shared" si="65"/>
        <v/>
      </c>
    </row>
    <row r="401" spans="1:15" x14ac:dyDescent="0.25">
      <c r="A401" s="1">
        <f t="shared" si="60"/>
        <v>390</v>
      </c>
      <c r="B401" s="3">
        <f t="shared" ca="1" si="67"/>
        <v>118000</v>
      </c>
      <c r="C401" s="26">
        <f t="shared" ca="1" si="68"/>
        <v>0.85882629428111457</v>
      </c>
      <c r="D401" s="26" t="str">
        <f t="shared" ca="1" si="66"/>
        <v>Win</v>
      </c>
      <c r="E401" s="3">
        <f t="shared" ca="1" si="69"/>
        <v>500</v>
      </c>
      <c r="F401" s="42">
        <f t="shared" si="62"/>
        <v>6.579279052815436E-15</v>
      </c>
      <c r="G401" s="41">
        <f>SUM(F$11:F401)</f>
        <v>1.6841331648730283E-14</v>
      </c>
      <c r="I401" s="1">
        <f t="shared" si="61"/>
        <v>391</v>
      </c>
      <c r="J401" s="3">
        <v>106000</v>
      </c>
      <c r="K401" s="3">
        <v>89500</v>
      </c>
      <c r="L401" s="3">
        <v>112000</v>
      </c>
      <c r="M401" s="30">
        <f t="shared" si="63"/>
        <v>6.0000000000000053E-2</v>
      </c>
      <c r="N401" s="1" t="str">
        <f t="shared" si="64"/>
        <v/>
      </c>
      <c r="O401" s="1" t="str">
        <f t="shared" si="65"/>
        <v/>
      </c>
    </row>
    <row r="402" spans="1:15" x14ac:dyDescent="0.25">
      <c r="A402" s="1">
        <f t="shared" si="60"/>
        <v>391</v>
      </c>
      <c r="B402" s="3">
        <f t="shared" ca="1" si="67"/>
        <v>118500</v>
      </c>
      <c r="C402" s="26">
        <f t="shared" ca="1" si="68"/>
        <v>0.97754761033647464</v>
      </c>
      <c r="D402" s="26" t="str">
        <f t="shared" ca="1" si="66"/>
        <v>Win</v>
      </c>
      <c r="E402" s="3">
        <f t="shared" ca="1" si="69"/>
        <v>500</v>
      </c>
      <c r="F402" s="42">
        <f t="shared" si="62"/>
        <v>1.0683301390108489E-14</v>
      </c>
      <c r="G402" s="41">
        <f>SUM(F$11:F402)</f>
        <v>2.7524633038838773E-14</v>
      </c>
      <c r="I402" s="1">
        <f t="shared" si="61"/>
        <v>392</v>
      </c>
      <c r="J402" s="3">
        <v>111000</v>
      </c>
      <c r="K402" s="3">
        <v>97500</v>
      </c>
      <c r="L402" s="3">
        <v>115000</v>
      </c>
      <c r="M402" s="30">
        <f t="shared" si="63"/>
        <v>0.1100000000000001</v>
      </c>
      <c r="N402" s="1" t="str">
        <f t="shared" si="64"/>
        <v/>
      </c>
      <c r="O402" s="1" t="str">
        <f t="shared" si="65"/>
        <v/>
      </c>
    </row>
    <row r="403" spans="1:15" x14ac:dyDescent="0.25">
      <c r="A403" s="1">
        <f t="shared" si="60"/>
        <v>392</v>
      </c>
      <c r="B403" s="3">
        <f t="shared" ca="1" si="67"/>
        <v>119000</v>
      </c>
      <c r="C403" s="26">
        <f t="shared" ca="1" si="68"/>
        <v>0.82111780627429554</v>
      </c>
      <c r="D403" s="26" t="str">
        <f t="shared" ca="1" si="66"/>
        <v>Win</v>
      </c>
      <c r="E403" s="3">
        <f t="shared" ca="1" si="69"/>
        <v>500</v>
      </c>
      <c r="F403" s="42">
        <f t="shared" si="62"/>
        <v>1.7274711467897724E-14</v>
      </c>
      <c r="G403" s="41">
        <f>SUM(F$11:F403)</f>
        <v>4.4799344506736497E-14</v>
      </c>
      <c r="I403" s="1">
        <f t="shared" si="61"/>
        <v>393</v>
      </c>
      <c r="J403" s="3">
        <v>136000</v>
      </c>
      <c r="K403" s="3">
        <v>99000</v>
      </c>
      <c r="L403" s="3">
        <v>146000</v>
      </c>
      <c r="M403" s="30">
        <f t="shared" si="63"/>
        <v>0.3600000000000001</v>
      </c>
      <c r="N403" s="1" t="str">
        <f t="shared" si="64"/>
        <v/>
      </c>
      <c r="O403" s="1" t="str">
        <f t="shared" si="65"/>
        <v/>
      </c>
    </row>
    <row r="404" spans="1:15" x14ac:dyDescent="0.25">
      <c r="A404" s="1">
        <f t="shared" si="60"/>
        <v>393</v>
      </c>
      <c r="B404" s="3">
        <f t="shared" ca="1" si="67"/>
        <v>118500</v>
      </c>
      <c r="C404" s="26">
        <f t="shared" ca="1" si="68"/>
        <v>1.5799431920314855E-2</v>
      </c>
      <c r="D404" s="26" t="str">
        <f t="shared" ca="1" si="66"/>
        <v>Lose</v>
      </c>
      <c r="E404" s="3">
        <f t="shared" ca="1" si="69"/>
        <v>-500</v>
      </c>
      <c r="F404" s="42">
        <f t="shared" si="62"/>
        <v>2.7816080033056141E-14</v>
      </c>
      <c r="G404" s="41">
        <f>SUM(F$11:F404)</f>
        <v>7.2615424539792641E-14</v>
      </c>
      <c r="I404" s="1">
        <f t="shared" si="61"/>
        <v>394</v>
      </c>
      <c r="J404" s="3">
        <v>100000</v>
      </c>
      <c r="K404" s="3">
        <v>85500</v>
      </c>
      <c r="L404" s="3">
        <v>105500</v>
      </c>
      <c r="M404" s="30">
        <f t="shared" si="63"/>
        <v>0</v>
      </c>
      <c r="N404" s="1" t="str">
        <f t="shared" si="64"/>
        <v/>
      </c>
      <c r="O404" s="1" t="str">
        <f t="shared" si="65"/>
        <v/>
      </c>
    </row>
    <row r="405" spans="1:15" x14ac:dyDescent="0.25">
      <c r="A405" s="1">
        <f t="shared" si="60"/>
        <v>394</v>
      </c>
      <c r="B405" s="3">
        <f t="shared" ca="1" si="67"/>
        <v>118000</v>
      </c>
      <c r="C405" s="26">
        <f t="shared" ca="1" si="68"/>
        <v>0.3263157829520178</v>
      </c>
      <c r="D405" s="26" t="str">
        <f t="shared" ca="1" si="66"/>
        <v>Lose</v>
      </c>
      <c r="E405" s="3">
        <f t="shared" ca="1" si="69"/>
        <v>-500</v>
      </c>
      <c r="F405" s="42">
        <f t="shared" si="62"/>
        <v>4.4602837956248222E-14</v>
      </c>
      <c r="G405" s="41">
        <f>SUM(F$11:F405)</f>
        <v>1.1721826249604086E-13</v>
      </c>
      <c r="I405" s="1">
        <f t="shared" si="61"/>
        <v>395</v>
      </c>
      <c r="J405" s="3">
        <v>113000</v>
      </c>
      <c r="K405" s="3">
        <v>92500</v>
      </c>
      <c r="L405" s="3">
        <v>116000</v>
      </c>
      <c r="M405" s="30">
        <f t="shared" si="63"/>
        <v>0.12999999999999989</v>
      </c>
      <c r="N405" s="1" t="str">
        <f t="shared" si="64"/>
        <v/>
      </c>
      <c r="O405" s="1" t="str">
        <f t="shared" si="65"/>
        <v/>
      </c>
    </row>
    <row r="406" spans="1:15" x14ac:dyDescent="0.25">
      <c r="A406" s="1">
        <f t="shared" si="60"/>
        <v>395</v>
      </c>
      <c r="B406" s="3">
        <f t="shared" ca="1" si="67"/>
        <v>117500</v>
      </c>
      <c r="C406" s="26">
        <f t="shared" ca="1" si="68"/>
        <v>3.0448007162652946E-2</v>
      </c>
      <c r="D406" s="26" t="str">
        <f t="shared" ca="1" si="66"/>
        <v>Lose</v>
      </c>
      <c r="E406" s="3">
        <f t="shared" ca="1" si="69"/>
        <v>-500</v>
      </c>
      <c r="F406" s="42">
        <f t="shared" si="62"/>
        <v>7.1221664163050104E-14</v>
      </c>
      <c r="G406" s="41">
        <f>SUM(F$11:F406)</f>
        <v>1.8843992665909097E-13</v>
      </c>
      <c r="I406" s="1">
        <f t="shared" si="61"/>
        <v>396</v>
      </c>
      <c r="J406" s="3">
        <v>124000</v>
      </c>
      <c r="K406" s="3">
        <v>99500</v>
      </c>
      <c r="L406" s="3">
        <v>132500</v>
      </c>
      <c r="M406" s="30">
        <f t="shared" si="63"/>
        <v>0.24</v>
      </c>
      <c r="N406" s="1" t="str">
        <f t="shared" si="64"/>
        <v/>
      </c>
      <c r="O406" s="1" t="str">
        <f t="shared" si="65"/>
        <v/>
      </c>
    </row>
    <row r="407" spans="1:15" x14ac:dyDescent="0.25">
      <c r="A407" s="1">
        <f t="shared" si="60"/>
        <v>396</v>
      </c>
      <c r="B407" s="3">
        <f t="shared" ca="1" si="67"/>
        <v>117000</v>
      </c>
      <c r="C407" s="26">
        <f t="shared" ca="1" si="68"/>
        <v>0.10340367848999688</v>
      </c>
      <c r="D407" s="26" t="str">
        <f t="shared" ca="1" si="66"/>
        <v>Lose</v>
      </c>
      <c r="E407" s="3">
        <f t="shared" ca="1" si="69"/>
        <v>-500</v>
      </c>
      <c r="F407" s="42">
        <f t="shared" si="62"/>
        <v>1.1325213604158196E-13</v>
      </c>
      <c r="G407" s="41">
        <f>SUM(F$11:F407)</f>
        <v>3.0169206270067291E-13</v>
      </c>
      <c r="I407" s="1">
        <f t="shared" si="61"/>
        <v>397</v>
      </c>
      <c r="J407" s="3">
        <v>99000</v>
      </c>
      <c r="K407" s="3">
        <v>97500</v>
      </c>
      <c r="L407" s="3">
        <v>109000</v>
      </c>
      <c r="M407" s="30">
        <f t="shared" si="63"/>
        <v>-1.0000000000000009E-2</v>
      </c>
      <c r="N407" s="1" t="str">
        <f t="shared" si="64"/>
        <v/>
      </c>
      <c r="O407" s="1" t="str">
        <f t="shared" si="65"/>
        <v/>
      </c>
    </row>
    <row r="408" spans="1:15" x14ac:dyDescent="0.25">
      <c r="A408" s="1">
        <f t="shared" si="60"/>
        <v>397</v>
      </c>
      <c r="B408" s="3">
        <f t="shared" ca="1" si="67"/>
        <v>117500</v>
      </c>
      <c r="C408" s="26">
        <f t="shared" ca="1" si="68"/>
        <v>0.92942383192245992</v>
      </c>
      <c r="D408" s="26" t="str">
        <f t="shared" ca="1" si="66"/>
        <v>Win</v>
      </c>
      <c r="E408" s="3">
        <f t="shared" ca="1" si="69"/>
        <v>500</v>
      </c>
      <c r="F408" s="42">
        <f t="shared" si="62"/>
        <v>1.7933577333187365E-13</v>
      </c>
      <c r="G408" s="41">
        <f>SUM(F$11:F408)</f>
        <v>4.8102783603254654E-13</v>
      </c>
      <c r="I408" s="1">
        <f t="shared" si="61"/>
        <v>398</v>
      </c>
      <c r="J408" s="3">
        <v>116000</v>
      </c>
      <c r="K408" s="3">
        <v>90500</v>
      </c>
      <c r="L408" s="3">
        <v>116500</v>
      </c>
      <c r="M408" s="30">
        <f t="shared" si="63"/>
        <v>0.15999999999999992</v>
      </c>
      <c r="N408" s="1" t="str">
        <f t="shared" si="64"/>
        <v/>
      </c>
      <c r="O408" s="1" t="str">
        <f t="shared" si="65"/>
        <v/>
      </c>
    </row>
    <row r="409" spans="1:15" x14ac:dyDescent="0.25">
      <c r="A409" s="1">
        <f t="shared" si="60"/>
        <v>398</v>
      </c>
      <c r="B409" s="3">
        <f t="shared" ca="1" si="67"/>
        <v>117000</v>
      </c>
      <c r="C409" s="26">
        <f t="shared" ca="1" si="68"/>
        <v>2.9357946286309167E-2</v>
      </c>
      <c r="D409" s="26" t="str">
        <f t="shared" ca="1" si="66"/>
        <v>Lose</v>
      </c>
      <c r="E409" s="3">
        <f t="shared" ca="1" si="69"/>
        <v>-500</v>
      </c>
      <c r="F409" s="42">
        <f t="shared" si="62"/>
        <v>2.8279730475207833E-13</v>
      </c>
      <c r="G409" s="41">
        <f>SUM(F$11:F409)</f>
        <v>7.6382514078462487E-13</v>
      </c>
      <c r="I409" s="1">
        <f t="shared" si="61"/>
        <v>399</v>
      </c>
      <c r="J409" s="3">
        <v>120000</v>
      </c>
      <c r="K409" s="3">
        <v>94000</v>
      </c>
      <c r="L409" s="3">
        <v>122500</v>
      </c>
      <c r="M409" s="30">
        <f t="shared" si="63"/>
        <v>0.19999999999999996</v>
      </c>
      <c r="N409" s="1" t="str">
        <f t="shared" si="64"/>
        <v/>
      </c>
      <c r="O409" s="1" t="str">
        <f t="shared" si="65"/>
        <v/>
      </c>
    </row>
    <row r="410" spans="1:15" x14ac:dyDescent="0.25">
      <c r="A410" s="1">
        <f t="shared" si="60"/>
        <v>399</v>
      </c>
      <c r="B410" s="3">
        <f t="shared" ca="1" si="67"/>
        <v>117500</v>
      </c>
      <c r="C410" s="26">
        <f t="shared" ca="1" si="68"/>
        <v>0.90289469185938831</v>
      </c>
      <c r="D410" s="26" t="str">
        <f t="shared" ca="1" si="66"/>
        <v>Win</v>
      </c>
      <c r="E410" s="3">
        <f t="shared" ca="1" si="69"/>
        <v>500</v>
      </c>
      <c r="F410" s="42">
        <f t="shared" si="62"/>
        <v>4.4409200810692564E-13</v>
      </c>
      <c r="G410" s="41">
        <f>SUM(F$11:F410)</f>
        <v>1.2079171488915505E-12</v>
      </c>
      <c r="I410" s="1">
        <f t="shared" si="61"/>
        <v>400</v>
      </c>
      <c r="J410" s="3">
        <v>83000</v>
      </c>
      <c r="K410" s="3">
        <v>64500</v>
      </c>
      <c r="L410" s="3">
        <v>106500</v>
      </c>
      <c r="M410" s="30">
        <f t="shared" si="63"/>
        <v>-0.17000000000000004</v>
      </c>
      <c r="N410" s="1" t="str">
        <f t="shared" si="64"/>
        <v/>
      </c>
      <c r="O410" s="1" t="str">
        <f t="shared" si="65"/>
        <v/>
      </c>
    </row>
    <row r="411" spans="1:15" x14ac:dyDescent="0.25">
      <c r="A411" s="1">
        <f t="shared" si="60"/>
        <v>400</v>
      </c>
      <c r="B411" s="3">
        <f t="shared" ca="1" si="67"/>
        <v>117000</v>
      </c>
      <c r="C411" s="26">
        <f t="shared" ca="1" si="68"/>
        <v>0.40254336134242086</v>
      </c>
      <c r="D411" s="26" t="str">
        <f t="shared" ca="1" si="66"/>
        <v>Lose</v>
      </c>
      <c r="E411" s="3">
        <f t="shared" ca="1" si="69"/>
        <v>-500</v>
      </c>
      <c r="F411" s="42">
        <f t="shared" si="62"/>
        <v>6.9448286431047563E-13</v>
      </c>
      <c r="G411" s="41">
        <f>SUM(F$11:F411)</f>
        <v>1.902400013202026E-12</v>
      </c>
      <c r="I411" s="1">
        <f t="shared" si="61"/>
        <v>401</v>
      </c>
      <c r="J411" s="3">
        <v>94000</v>
      </c>
      <c r="K411" s="3">
        <v>94000</v>
      </c>
      <c r="L411" s="3">
        <v>114500</v>
      </c>
      <c r="M411" s="30">
        <f t="shared" si="63"/>
        <v>-6.0000000000000053E-2</v>
      </c>
      <c r="N411" s="1" t="str">
        <f t="shared" si="64"/>
        <v/>
      </c>
      <c r="O411" s="1" t="str">
        <f t="shared" si="65"/>
        <v/>
      </c>
    </row>
    <row r="412" spans="1:15" x14ac:dyDescent="0.25">
      <c r="A412" s="1">
        <f t="shared" si="60"/>
        <v>401</v>
      </c>
      <c r="B412" s="3">
        <f t="shared" ca="1" si="67"/>
        <v>117500</v>
      </c>
      <c r="C412" s="26">
        <f t="shared" ca="1" si="68"/>
        <v>0.80384540229185897</v>
      </c>
      <c r="D412" s="26" t="str">
        <f t="shared" ca="1" si="66"/>
        <v>Win</v>
      </c>
      <c r="E412" s="3">
        <f t="shared" ca="1" si="69"/>
        <v>500</v>
      </c>
      <c r="F412" s="42">
        <f t="shared" si="62"/>
        <v>1.0815398059901568E-12</v>
      </c>
      <c r="G412" s="41">
        <f>SUM(F$11:F412)</f>
        <v>2.9839398191921826E-12</v>
      </c>
      <c r="I412" s="1">
        <f t="shared" si="61"/>
        <v>402</v>
      </c>
      <c r="J412" s="3">
        <v>130000</v>
      </c>
      <c r="K412" s="3">
        <v>99000</v>
      </c>
      <c r="L412" s="3">
        <v>133500</v>
      </c>
      <c r="M412" s="30">
        <f t="shared" si="63"/>
        <v>0.30000000000000004</v>
      </c>
      <c r="N412" s="1" t="str">
        <f t="shared" si="64"/>
        <v/>
      </c>
      <c r="O412" s="1" t="str">
        <f t="shared" si="65"/>
        <v/>
      </c>
    </row>
    <row r="413" spans="1:15" x14ac:dyDescent="0.25">
      <c r="A413" s="1">
        <f t="shared" si="60"/>
        <v>402</v>
      </c>
      <c r="B413" s="3">
        <f t="shared" ca="1" si="67"/>
        <v>118000</v>
      </c>
      <c r="C413" s="26">
        <f t="shared" ca="1" si="68"/>
        <v>0.57611798269863856</v>
      </c>
      <c r="D413" s="26" t="str">
        <f t="shared" ca="1" si="66"/>
        <v>Win</v>
      </c>
      <c r="E413" s="3">
        <f t="shared" ca="1" si="69"/>
        <v>500</v>
      </c>
      <c r="F413" s="42">
        <f t="shared" si="62"/>
        <v>1.6773255931157308E-12</v>
      </c>
      <c r="G413" s="41">
        <f>SUM(F$11:F413)</f>
        <v>4.6612654123079129E-12</v>
      </c>
      <c r="I413" s="1">
        <f t="shared" si="61"/>
        <v>403</v>
      </c>
      <c r="J413" s="3">
        <v>100000</v>
      </c>
      <c r="K413" s="3">
        <v>89000</v>
      </c>
      <c r="L413" s="3">
        <v>110500</v>
      </c>
      <c r="M413" s="30">
        <f t="shared" si="63"/>
        <v>0</v>
      </c>
      <c r="N413" s="1" t="str">
        <f t="shared" si="64"/>
        <v/>
      </c>
      <c r="O413" s="1" t="str">
        <f t="shared" si="65"/>
        <v/>
      </c>
    </row>
    <row r="414" spans="1:15" x14ac:dyDescent="0.25">
      <c r="A414" s="1">
        <f t="shared" si="60"/>
        <v>403</v>
      </c>
      <c r="B414" s="3">
        <f t="shared" ca="1" si="67"/>
        <v>118500</v>
      </c>
      <c r="C414" s="26">
        <f t="shared" ca="1" si="68"/>
        <v>0.92246810840371007</v>
      </c>
      <c r="D414" s="26" t="str">
        <f t="shared" ca="1" si="66"/>
        <v>Win</v>
      </c>
      <c r="E414" s="3">
        <f t="shared" ca="1" si="69"/>
        <v>500</v>
      </c>
      <c r="F414" s="42">
        <f t="shared" si="62"/>
        <v>2.5905239245881957E-12</v>
      </c>
      <c r="G414" s="41">
        <f>SUM(F$11:F414)</f>
        <v>7.2517893368961082E-12</v>
      </c>
      <c r="I414" s="1">
        <f t="shared" si="61"/>
        <v>404</v>
      </c>
      <c r="J414" s="3">
        <v>110000</v>
      </c>
      <c r="K414" s="3">
        <v>95000</v>
      </c>
      <c r="L414" s="3">
        <v>117000</v>
      </c>
      <c r="M414" s="30">
        <f t="shared" si="63"/>
        <v>0.10000000000000009</v>
      </c>
      <c r="N414" s="1" t="str">
        <f t="shared" si="64"/>
        <v/>
      </c>
      <c r="O414" s="1" t="str">
        <f t="shared" si="65"/>
        <v/>
      </c>
    </row>
    <row r="415" spans="1:15" x14ac:dyDescent="0.25">
      <c r="A415" s="1">
        <f t="shared" si="60"/>
        <v>404</v>
      </c>
      <c r="B415" s="3">
        <f t="shared" ca="1" si="67"/>
        <v>118000</v>
      </c>
      <c r="C415" s="26">
        <f t="shared" ca="1" si="68"/>
        <v>0.26486388807755579</v>
      </c>
      <c r="D415" s="26" t="str">
        <f t="shared" ca="1" si="66"/>
        <v>Lose</v>
      </c>
      <c r="E415" s="3">
        <f t="shared" ca="1" si="69"/>
        <v>-500</v>
      </c>
      <c r="F415" s="42">
        <f t="shared" si="62"/>
        <v>3.9843242034722285E-12</v>
      </c>
      <c r="G415" s="41">
        <f>SUM(F$11:F415)</f>
        <v>1.1236113540368337E-11</v>
      </c>
      <c r="I415" s="1">
        <f t="shared" si="61"/>
        <v>405</v>
      </c>
      <c r="J415" s="3">
        <v>125000</v>
      </c>
      <c r="K415" s="3">
        <v>98000</v>
      </c>
      <c r="L415" s="3">
        <v>129000</v>
      </c>
      <c r="M415" s="30">
        <f t="shared" si="63"/>
        <v>0.25</v>
      </c>
      <c r="N415" s="1" t="str">
        <f t="shared" si="64"/>
        <v/>
      </c>
      <c r="O415" s="1" t="str">
        <f t="shared" si="65"/>
        <v/>
      </c>
    </row>
    <row r="416" spans="1:15" x14ac:dyDescent="0.25">
      <c r="A416" s="1">
        <f t="shared" si="60"/>
        <v>405</v>
      </c>
      <c r="B416" s="3">
        <f t="shared" ca="1" si="67"/>
        <v>117500</v>
      </c>
      <c r="C416" s="26">
        <f t="shared" ca="1" si="68"/>
        <v>2.0657731986463923E-2</v>
      </c>
      <c r="D416" s="26" t="str">
        <f t="shared" ca="1" si="66"/>
        <v>Lose</v>
      </c>
      <c r="E416" s="3">
        <f t="shared" ca="1" si="69"/>
        <v>-500</v>
      </c>
      <c r="F416" s="42">
        <f t="shared" si="62"/>
        <v>6.1026716295663298E-12</v>
      </c>
      <c r="G416" s="41">
        <f>SUM(F$11:F416)</f>
        <v>1.7338785169934665E-11</v>
      </c>
      <c r="I416" s="1">
        <f t="shared" si="61"/>
        <v>406</v>
      </c>
      <c r="J416" s="3">
        <v>83000</v>
      </c>
      <c r="K416" s="3">
        <v>75000</v>
      </c>
      <c r="L416" s="3">
        <v>104000</v>
      </c>
      <c r="M416" s="30">
        <f t="shared" si="63"/>
        <v>-0.17000000000000004</v>
      </c>
      <c r="N416" s="1" t="str">
        <f t="shared" si="64"/>
        <v/>
      </c>
      <c r="O416" s="1" t="str">
        <f t="shared" si="65"/>
        <v/>
      </c>
    </row>
    <row r="417" spans="1:15" x14ac:dyDescent="0.25">
      <c r="A417" s="1">
        <f t="shared" si="60"/>
        <v>406</v>
      </c>
      <c r="B417" s="3">
        <f t="shared" ca="1" si="67"/>
        <v>118000</v>
      </c>
      <c r="C417" s="26">
        <f t="shared" ca="1" si="68"/>
        <v>0.65714983945506933</v>
      </c>
      <c r="D417" s="26" t="str">
        <f t="shared" ca="1" si="66"/>
        <v>Win</v>
      </c>
      <c r="E417" s="3">
        <f t="shared" ca="1" si="69"/>
        <v>500</v>
      </c>
      <c r="F417" s="42">
        <f t="shared" si="62"/>
        <v>9.3086141851406239E-12</v>
      </c>
      <c r="G417" s="41">
        <f>SUM(F$11:F417)</f>
        <v>2.6647399355075289E-11</v>
      </c>
      <c r="I417" s="1">
        <f t="shared" si="61"/>
        <v>407</v>
      </c>
      <c r="J417" s="3">
        <v>118000</v>
      </c>
      <c r="K417" s="3">
        <v>91500</v>
      </c>
      <c r="L417" s="3">
        <v>125000</v>
      </c>
      <c r="M417" s="30">
        <f t="shared" si="63"/>
        <v>0.17999999999999994</v>
      </c>
      <c r="N417" s="1" t="str">
        <f t="shared" si="64"/>
        <v/>
      </c>
      <c r="O417" s="1" t="str">
        <f t="shared" si="65"/>
        <v/>
      </c>
    </row>
    <row r="418" spans="1:15" x14ac:dyDescent="0.25">
      <c r="A418" s="1">
        <f t="shared" si="60"/>
        <v>407</v>
      </c>
      <c r="B418" s="3">
        <f t="shared" ca="1" si="67"/>
        <v>117500</v>
      </c>
      <c r="C418" s="26">
        <f t="shared" ca="1" si="68"/>
        <v>0.19416700619134075</v>
      </c>
      <c r="D418" s="26" t="str">
        <f t="shared" ca="1" si="66"/>
        <v>Lose</v>
      </c>
      <c r="E418" s="3">
        <f t="shared" ca="1" si="69"/>
        <v>-500</v>
      </c>
      <c r="F418" s="42">
        <f t="shared" si="62"/>
        <v>1.414005706887884E-11</v>
      </c>
      <c r="G418" s="41">
        <f>SUM(F$11:F418)</f>
        <v>4.078745642395413E-11</v>
      </c>
      <c r="I418" s="1">
        <f t="shared" si="61"/>
        <v>408</v>
      </c>
      <c r="J418" s="3">
        <v>96000</v>
      </c>
      <c r="K418" s="3">
        <v>89500</v>
      </c>
      <c r="L418" s="3">
        <v>107000</v>
      </c>
      <c r="M418" s="30">
        <f t="shared" si="63"/>
        <v>-4.0000000000000036E-2</v>
      </c>
      <c r="N418" s="1" t="str">
        <f t="shared" si="64"/>
        <v/>
      </c>
      <c r="O418" s="1" t="str">
        <f t="shared" si="65"/>
        <v/>
      </c>
    </row>
    <row r="419" spans="1:15" x14ac:dyDescent="0.25">
      <c r="A419" s="1">
        <f t="shared" si="60"/>
        <v>408</v>
      </c>
      <c r="B419" s="3">
        <f t="shared" ca="1" si="67"/>
        <v>117000</v>
      </c>
      <c r="C419" s="26">
        <f t="shared" ca="1" si="68"/>
        <v>0.27894167685511828</v>
      </c>
      <c r="D419" s="26" t="str">
        <f t="shared" ca="1" si="66"/>
        <v>Lose</v>
      </c>
      <c r="E419" s="3">
        <f t="shared" ca="1" si="69"/>
        <v>-500</v>
      </c>
      <c r="F419" s="42">
        <f t="shared" si="62"/>
        <v>2.1390443474094704E-11</v>
      </c>
      <c r="G419" s="41">
        <f>SUM(F$11:F419)</f>
        <v>6.2177899898048841E-11</v>
      </c>
      <c r="I419" s="1">
        <f t="shared" si="61"/>
        <v>409</v>
      </c>
      <c r="J419" s="3">
        <v>100000</v>
      </c>
      <c r="K419" s="3">
        <v>94500</v>
      </c>
      <c r="L419" s="3">
        <v>113000</v>
      </c>
      <c r="M419" s="30">
        <f t="shared" si="63"/>
        <v>0</v>
      </c>
      <c r="N419" s="1" t="str">
        <f t="shared" si="64"/>
        <v/>
      </c>
      <c r="O419" s="1" t="str">
        <f t="shared" si="65"/>
        <v/>
      </c>
    </row>
    <row r="420" spans="1:15" x14ac:dyDescent="0.25">
      <c r="A420" s="1">
        <f t="shared" si="60"/>
        <v>409</v>
      </c>
      <c r="B420" s="3">
        <f t="shared" ca="1" si="67"/>
        <v>117500</v>
      </c>
      <c r="C420" s="26">
        <f t="shared" ca="1" si="68"/>
        <v>0.90064057259880836</v>
      </c>
      <c r="D420" s="26" t="str">
        <f t="shared" ca="1" si="66"/>
        <v>Win</v>
      </c>
      <c r="E420" s="3">
        <f t="shared" ca="1" si="69"/>
        <v>500</v>
      </c>
      <c r="F420" s="42">
        <f t="shared" si="62"/>
        <v>3.2224952316245076E-11</v>
      </c>
      <c r="G420" s="41">
        <f>SUM(F$11:F420)</f>
        <v>9.4402852214293917E-11</v>
      </c>
      <c r="I420" s="1">
        <f t="shared" si="61"/>
        <v>410</v>
      </c>
      <c r="J420" s="3">
        <v>140000</v>
      </c>
      <c r="K420" s="3">
        <v>98500</v>
      </c>
      <c r="L420" s="3">
        <v>141000</v>
      </c>
      <c r="M420" s="30">
        <f t="shared" si="63"/>
        <v>0.39999999999999991</v>
      </c>
      <c r="N420" s="1" t="str">
        <f t="shared" si="64"/>
        <v/>
      </c>
      <c r="O420" s="1" t="str">
        <f t="shared" si="65"/>
        <v/>
      </c>
    </row>
    <row r="421" spans="1:15" x14ac:dyDescent="0.25">
      <c r="A421" s="1">
        <f t="shared" si="60"/>
        <v>410</v>
      </c>
      <c r="B421" s="3">
        <f t="shared" ca="1" si="67"/>
        <v>117000</v>
      </c>
      <c r="C421" s="26">
        <f t="shared" ca="1" si="68"/>
        <v>0.33066448140437099</v>
      </c>
      <c r="D421" s="26" t="str">
        <f t="shared" ca="1" si="66"/>
        <v>Lose</v>
      </c>
      <c r="E421" s="3">
        <f t="shared" ca="1" si="69"/>
        <v>-500</v>
      </c>
      <c r="F421" s="42">
        <f t="shared" si="62"/>
        <v>4.8347052651266054E-11</v>
      </c>
      <c r="G421" s="41">
        <f>SUM(F$11:F421)</f>
        <v>1.4274990486555998E-10</v>
      </c>
      <c r="I421" s="1">
        <f t="shared" si="61"/>
        <v>411</v>
      </c>
      <c r="J421" s="3">
        <v>116000</v>
      </c>
      <c r="K421" s="3">
        <v>100000</v>
      </c>
      <c r="L421" s="3">
        <v>134500</v>
      </c>
      <c r="M421" s="30">
        <f t="shared" si="63"/>
        <v>0.15999999999999992</v>
      </c>
      <c r="N421" s="1" t="str">
        <f t="shared" si="64"/>
        <v/>
      </c>
      <c r="O421" s="1" t="str">
        <f t="shared" si="65"/>
        <v/>
      </c>
    </row>
    <row r="422" spans="1:15" x14ac:dyDescent="0.25">
      <c r="A422" s="1">
        <f t="shared" si="60"/>
        <v>411</v>
      </c>
      <c r="B422" s="3">
        <f t="shared" ca="1" si="67"/>
        <v>117500</v>
      </c>
      <c r="C422" s="26">
        <f t="shared" ca="1" si="68"/>
        <v>0.82002163476739864</v>
      </c>
      <c r="D422" s="26" t="str">
        <f t="shared" ca="1" si="66"/>
        <v>Win</v>
      </c>
      <c r="E422" s="3">
        <f t="shared" ca="1" si="69"/>
        <v>500</v>
      </c>
      <c r="F422" s="42">
        <f t="shared" si="62"/>
        <v>7.2236099820079297E-11</v>
      </c>
      <c r="G422" s="41">
        <f>SUM(F$11:F422)</f>
        <v>2.1498600468563928E-10</v>
      </c>
      <c r="I422" s="1">
        <f t="shared" si="61"/>
        <v>412</v>
      </c>
      <c r="J422" s="3">
        <v>101000</v>
      </c>
      <c r="K422" s="3">
        <v>93500</v>
      </c>
      <c r="L422" s="3">
        <v>108000</v>
      </c>
      <c r="M422" s="30">
        <f t="shared" si="63"/>
        <v>1.0000000000000009E-2</v>
      </c>
      <c r="N422" s="1" t="str">
        <f t="shared" si="64"/>
        <v/>
      </c>
      <c r="O422" s="1" t="str">
        <f t="shared" si="65"/>
        <v/>
      </c>
    </row>
    <row r="423" spans="1:15" x14ac:dyDescent="0.25">
      <c r="A423" s="1">
        <f t="shared" si="60"/>
        <v>412</v>
      </c>
      <c r="B423" s="3">
        <f t="shared" ca="1" si="67"/>
        <v>117000</v>
      </c>
      <c r="C423" s="26">
        <f t="shared" ca="1" si="68"/>
        <v>0.10734934326230083</v>
      </c>
      <c r="D423" s="26" t="str">
        <f t="shared" ca="1" si="66"/>
        <v>Lose</v>
      </c>
      <c r="E423" s="3">
        <f t="shared" ca="1" si="69"/>
        <v>-500</v>
      </c>
      <c r="F423" s="42">
        <f t="shared" si="62"/>
        <v>1.0748465437365733E-10</v>
      </c>
      <c r="G423" s="41">
        <f>SUM(F$11:F423)</f>
        <v>3.2247065905929662E-10</v>
      </c>
      <c r="I423" s="1">
        <f t="shared" si="61"/>
        <v>413</v>
      </c>
      <c r="J423" s="3">
        <v>113000</v>
      </c>
      <c r="K423" s="3">
        <v>94000</v>
      </c>
      <c r="L423" s="3">
        <v>115000</v>
      </c>
      <c r="M423" s="30">
        <f t="shared" si="63"/>
        <v>0.12999999999999989</v>
      </c>
      <c r="N423" s="1" t="str">
        <f t="shared" si="64"/>
        <v/>
      </c>
      <c r="O423" s="1" t="str">
        <f t="shared" si="65"/>
        <v/>
      </c>
    </row>
    <row r="424" spans="1:15" x14ac:dyDescent="0.25">
      <c r="A424" s="1">
        <f t="shared" si="60"/>
        <v>413</v>
      </c>
      <c r="B424" s="3">
        <f t="shared" ca="1" si="67"/>
        <v>117500</v>
      </c>
      <c r="C424" s="26">
        <f t="shared" ca="1" si="68"/>
        <v>0.66254053644092104</v>
      </c>
      <c r="D424" s="26" t="str">
        <f t="shared" ca="1" si="66"/>
        <v>Win</v>
      </c>
      <c r="E424" s="3">
        <f t="shared" ca="1" si="69"/>
        <v>500</v>
      </c>
      <c r="F424" s="42">
        <f t="shared" si="62"/>
        <v>1.5927508105733056E-10</v>
      </c>
      <c r="G424" s="41">
        <f>SUM(F$11:F424)</f>
        <v>4.8174574011662715E-10</v>
      </c>
      <c r="I424" s="1">
        <f t="shared" si="61"/>
        <v>414</v>
      </c>
      <c r="J424" s="3">
        <v>121000</v>
      </c>
      <c r="K424" s="3">
        <v>93500</v>
      </c>
      <c r="L424" s="3">
        <v>125000</v>
      </c>
      <c r="M424" s="30">
        <f t="shared" si="63"/>
        <v>0.20999999999999996</v>
      </c>
      <c r="N424" s="1" t="str">
        <f t="shared" si="64"/>
        <v/>
      </c>
      <c r="O424" s="1" t="str">
        <f t="shared" si="65"/>
        <v/>
      </c>
    </row>
    <row r="425" spans="1:15" x14ac:dyDescent="0.25">
      <c r="A425" s="1">
        <f t="shared" si="60"/>
        <v>414</v>
      </c>
      <c r="B425" s="3">
        <f t="shared" ca="1" si="67"/>
        <v>118000</v>
      </c>
      <c r="C425" s="26">
        <f t="shared" ca="1" si="68"/>
        <v>0.88865480109628403</v>
      </c>
      <c r="D425" s="26" t="str">
        <f t="shared" ca="1" si="66"/>
        <v>Win</v>
      </c>
      <c r="E425" s="3">
        <f t="shared" ca="1" si="69"/>
        <v>500</v>
      </c>
      <c r="F425" s="42">
        <f t="shared" si="62"/>
        <v>2.3504969445003348E-10</v>
      </c>
      <c r="G425" s="41">
        <f>SUM(F$11:F425)</f>
        <v>7.1679543456666063E-10</v>
      </c>
      <c r="I425" s="1">
        <f t="shared" si="61"/>
        <v>415</v>
      </c>
      <c r="J425" s="3">
        <v>88000</v>
      </c>
      <c r="K425" s="3">
        <v>77000</v>
      </c>
      <c r="L425" s="3">
        <v>101000</v>
      </c>
      <c r="M425" s="30">
        <f t="shared" si="63"/>
        <v>-0.12</v>
      </c>
      <c r="N425" s="1" t="str">
        <f t="shared" si="64"/>
        <v/>
      </c>
      <c r="O425" s="1" t="str">
        <f t="shared" si="65"/>
        <v/>
      </c>
    </row>
    <row r="426" spans="1:15" x14ac:dyDescent="0.25">
      <c r="A426" s="1">
        <f t="shared" si="60"/>
        <v>415</v>
      </c>
      <c r="B426" s="3">
        <f t="shared" ca="1" si="67"/>
        <v>118500</v>
      </c>
      <c r="C426" s="26">
        <f t="shared" ca="1" si="68"/>
        <v>0.65302903041586169</v>
      </c>
      <c r="D426" s="26" t="str">
        <f t="shared" ca="1" si="66"/>
        <v>Win</v>
      </c>
      <c r="E426" s="3">
        <f t="shared" ca="1" si="69"/>
        <v>500</v>
      </c>
      <c r="F426" s="42">
        <f t="shared" si="62"/>
        <v>3.454484961068953E-10</v>
      </c>
      <c r="G426" s="41">
        <f>SUM(F$11:F426)</f>
        <v>1.062243930673556E-9</v>
      </c>
      <c r="I426" s="1">
        <f t="shared" si="61"/>
        <v>416</v>
      </c>
      <c r="J426" s="3">
        <v>104000</v>
      </c>
      <c r="K426" s="3">
        <v>95500</v>
      </c>
      <c r="L426" s="3">
        <v>111500</v>
      </c>
      <c r="M426" s="30">
        <f t="shared" si="63"/>
        <v>4.0000000000000036E-2</v>
      </c>
      <c r="N426" s="1" t="str">
        <f t="shared" si="64"/>
        <v/>
      </c>
      <c r="O426" s="1" t="str">
        <f t="shared" si="65"/>
        <v/>
      </c>
    </row>
    <row r="427" spans="1:15" x14ac:dyDescent="0.25">
      <c r="A427" s="1">
        <f t="shared" si="60"/>
        <v>416</v>
      </c>
      <c r="B427" s="3">
        <f t="shared" ca="1" si="67"/>
        <v>119000</v>
      </c>
      <c r="C427" s="26">
        <f t="shared" ca="1" si="68"/>
        <v>0.68126180748656562</v>
      </c>
      <c r="D427" s="26" t="str">
        <f t="shared" ca="1" si="66"/>
        <v>Win</v>
      </c>
      <c r="E427" s="3">
        <f t="shared" ca="1" si="69"/>
        <v>500</v>
      </c>
      <c r="F427" s="42">
        <f t="shared" si="62"/>
        <v>5.0561498632991612E-10</v>
      </c>
      <c r="G427" s="41">
        <f>SUM(F$11:F427)</f>
        <v>1.5678589170034722E-9</v>
      </c>
      <c r="I427" s="1">
        <f t="shared" si="61"/>
        <v>417</v>
      </c>
      <c r="J427" s="3">
        <v>121000</v>
      </c>
      <c r="K427" s="3">
        <v>90500</v>
      </c>
      <c r="L427" s="3">
        <v>121000</v>
      </c>
      <c r="M427" s="30">
        <f t="shared" si="63"/>
        <v>0.20999999999999996</v>
      </c>
      <c r="N427" s="1" t="str">
        <f t="shared" si="64"/>
        <v/>
      </c>
      <c r="O427" s="1" t="str">
        <f t="shared" si="65"/>
        <v/>
      </c>
    </row>
    <row r="428" spans="1:15" x14ac:dyDescent="0.25">
      <c r="A428" s="1">
        <f t="shared" si="60"/>
        <v>417</v>
      </c>
      <c r="B428" s="3">
        <f t="shared" ca="1" si="67"/>
        <v>119500</v>
      </c>
      <c r="C428" s="26">
        <f t="shared" ca="1" si="68"/>
        <v>0.59044888291367592</v>
      </c>
      <c r="D428" s="26" t="str">
        <f t="shared" ca="1" si="66"/>
        <v>Win</v>
      </c>
      <c r="E428" s="3">
        <f t="shared" ca="1" si="69"/>
        <v>500</v>
      </c>
      <c r="F428" s="42">
        <f t="shared" si="62"/>
        <v>7.3700566499537983E-10</v>
      </c>
      <c r="G428" s="41">
        <f>SUM(F$11:F428)</f>
        <v>2.3048645819988521E-9</v>
      </c>
      <c r="I428" s="1">
        <f t="shared" si="61"/>
        <v>418</v>
      </c>
      <c r="J428" s="3">
        <v>134000</v>
      </c>
      <c r="K428" s="3">
        <v>99500</v>
      </c>
      <c r="L428" s="3">
        <v>134500</v>
      </c>
      <c r="M428" s="30">
        <f t="shared" si="63"/>
        <v>0.34000000000000008</v>
      </c>
      <c r="N428" s="1" t="str">
        <f t="shared" si="64"/>
        <v/>
      </c>
      <c r="O428" s="1" t="str">
        <f t="shared" si="65"/>
        <v/>
      </c>
    </row>
    <row r="429" spans="1:15" x14ac:dyDescent="0.25">
      <c r="A429" s="1">
        <f t="shared" si="60"/>
        <v>418</v>
      </c>
      <c r="B429" s="3">
        <f t="shared" ca="1" si="67"/>
        <v>120000</v>
      </c>
      <c r="C429" s="26">
        <f t="shared" ca="1" si="68"/>
        <v>0.93492488738076618</v>
      </c>
      <c r="D429" s="26" t="str">
        <f t="shared" ca="1" si="66"/>
        <v>Win</v>
      </c>
      <c r="E429" s="3">
        <f t="shared" ca="1" si="69"/>
        <v>500</v>
      </c>
      <c r="F429" s="42">
        <f t="shared" si="62"/>
        <v>1.0698852376383073E-9</v>
      </c>
      <c r="G429" s="41">
        <f>SUM(F$11:F429)</f>
        <v>3.3747498196371595E-9</v>
      </c>
      <c r="I429" s="1">
        <f t="shared" si="61"/>
        <v>419</v>
      </c>
      <c r="J429" s="3">
        <v>118000</v>
      </c>
      <c r="K429" s="3">
        <v>98000</v>
      </c>
      <c r="L429" s="3">
        <v>119500</v>
      </c>
      <c r="M429" s="30">
        <f t="shared" si="63"/>
        <v>0.17999999999999994</v>
      </c>
      <c r="N429" s="1" t="str">
        <f t="shared" si="64"/>
        <v/>
      </c>
      <c r="O429" s="1" t="str">
        <f t="shared" si="65"/>
        <v/>
      </c>
    </row>
    <row r="430" spans="1:15" x14ac:dyDescent="0.25">
      <c r="A430" s="1">
        <f t="shared" si="60"/>
        <v>419</v>
      </c>
      <c r="B430" s="3">
        <f t="shared" ca="1" si="67"/>
        <v>120500</v>
      </c>
      <c r="C430" s="26">
        <f t="shared" ca="1" si="68"/>
        <v>0.89197688565140731</v>
      </c>
      <c r="D430" s="26" t="str">
        <f t="shared" ca="1" si="66"/>
        <v>Win</v>
      </c>
      <c r="E430" s="3">
        <f t="shared" ca="1" si="69"/>
        <v>500</v>
      </c>
      <c r="F430" s="42">
        <f t="shared" si="62"/>
        <v>1.5467504565574009E-9</v>
      </c>
      <c r="G430" s="41">
        <f>SUM(F$11:F430)</f>
        <v>4.9215002761945606E-9</v>
      </c>
      <c r="I430" s="1">
        <f t="shared" si="61"/>
        <v>420</v>
      </c>
      <c r="J430" s="3">
        <v>117000</v>
      </c>
      <c r="K430" s="3">
        <v>92000</v>
      </c>
      <c r="L430" s="3">
        <v>117500</v>
      </c>
      <c r="M430" s="30">
        <f t="shared" si="63"/>
        <v>0.16999999999999993</v>
      </c>
      <c r="N430" s="1" t="str">
        <f t="shared" si="64"/>
        <v/>
      </c>
      <c r="O430" s="1" t="str">
        <f t="shared" si="65"/>
        <v/>
      </c>
    </row>
    <row r="431" spans="1:15" x14ac:dyDescent="0.25">
      <c r="A431" s="1">
        <f t="shared" si="60"/>
        <v>420</v>
      </c>
      <c r="B431" s="3">
        <f t="shared" ca="1" si="67"/>
        <v>121000</v>
      </c>
      <c r="C431" s="26">
        <f t="shared" ca="1" si="68"/>
        <v>0.87964691913246063</v>
      </c>
      <c r="D431" s="26" t="str">
        <f t="shared" ca="1" si="66"/>
        <v>Win</v>
      </c>
      <c r="E431" s="3">
        <f t="shared" ca="1" si="69"/>
        <v>500</v>
      </c>
      <c r="F431" s="42">
        <f t="shared" si="62"/>
        <v>2.2270049940841649E-9</v>
      </c>
      <c r="G431" s="41">
        <f>SUM(F$11:F431)</f>
        <v>7.1485052702787251E-9</v>
      </c>
      <c r="I431" s="1">
        <f t="shared" si="61"/>
        <v>421</v>
      </c>
      <c r="J431" s="3">
        <v>89000</v>
      </c>
      <c r="K431" s="3">
        <v>75500</v>
      </c>
      <c r="L431" s="3">
        <v>103500</v>
      </c>
      <c r="M431" s="30">
        <f t="shared" si="63"/>
        <v>-0.10999999999999999</v>
      </c>
      <c r="N431" s="1" t="str">
        <f t="shared" si="64"/>
        <v/>
      </c>
      <c r="O431" s="1" t="str">
        <f t="shared" si="65"/>
        <v/>
      </c>
    </row>
    <row r="432" spans="1:15" x14ac:dyDescent="0.25">
      <c r="A432" s="1">
        <f t="shared" si="60"/>
        <v>421</v>
      </c>
      <c r="B432" s="3">
        <f t="shared" ca="1" si="67"/>
        <v>121500</v>
      </c>
      <c r="C432" s="26">
        <f t="shared" ca="1" si="68"/>
        <v>0.62178558498954262</v>
      </c>
      <c r="D432" s="26" t="str">
        <f t="shared" ca="1" si="66"/>
        <v>Win</v>
      </c>
      <c r="E432" s="3">
        <f t="shared" ca="1" si="69"/>
        <v>500</v>
      </c>
      <c r="F432" s="42">
        <f t="shared" si="62"/>
        <v>3.1933107627615967E-9</v>
      </c>
      <c r="G432" s="41">
        <f>SUM(F$11:F432)</f>
        <v>1.0341816033040322E-8</v>
      </c>
      <c r="I432" s="1">
        <f t="shared" si="61"/>
        <v>422</v>
      </c>
      <c r="J432" s="3">
        <v>112000</v>
      </c>
      <c r="K432" s="3">
        <v>96000</v>
      </c>
      <c r="L432" s="3">
        <v>120000</v>
      </c>
      <c r="M432" s="30">
        <f t="shared" si="63"/>
        <v>0.12000000000000011</v>
      </c>
      <c r="N432" s="1" t="str">
        <f t="shared" si="64"/>
        <v/>
      </c>
      <c r="O432" s="1" t="str">
        <f t="shared" si="65"/>
        <v/>
      </c>
    </row>
    <row r="433" spans="1:15" x14ac:dyDescent="0.25">
      <c r="A433" s="1">
        <f t="shared" si="60"/>
        <v>422</v>
      </c>
      <c r="B433" s="3">
        <f t="shared" ca="1" si="67"/>
        <v>121000</v>
      </c>
      <c r="C433" s="26">
        <f t="shared" ca="1" si="68"/>
        <v>2.9057319306969864E-2</v>
      </c>
      <c r="D433" s="26" t="str">
        <f t="shared" ca="1" si="66"/>
        <v>Lose</v>
      </c>
      <c r="E433" s="3">
        <f t="shared" ca="1" si="69"/>
        <v>-500</v>
      </c>
      <c r="F433" s="42">
        <f t="shared" si="62"/>
        <v>4.5601737843886078E-9</v>
      </c>
      <c r="G433" s="41">
        <f>SUM(F$11:F433)</f>
        <v>1.4901989817428931E-8</v>
      </c>
      <c r="I433" s="1">
        <f t="shared" si="61"/>
        <v>423</v>
      </c>
      <c r="J433" s="3">
        <v>112000</v>
      </c>
      <c r="K433" s="3">
        <v>89000</v>
      </c>
      <c r="L433" s="3">
        <v>114000</v>
      </c>
      <c r="M433" s="30">
        <f t="shared" si="63"/>
        <v>0.12000000000000011</v>
      </c>
      <c r="N433" s="1" t="str">
        <f t="shared" si="64"/>
        <v/>
      </c>
      <c r="O433" s="1" t="str">
        <f t="shared" si="65"/>
        <v/>
      </c>
    </row>
    <row r="434" spans="1:15" x14ac:dyDescent="0.25">
      <c r="A434" s="1">
        <f t="shared" si="60"/>
        <v>423</v>
      </c>
      <c r="B434" s="3">
        <f t="shared" ca="1" si="67"/>
        <v>120500</v>
      </c>
      <c r="C434" s="26">
        <f t="shared" ca="1" si="68"/>
        <v>0.36682586735356959</v>
      </c>
      <c r="D434" s="26" t="str">
        <f t="shared" ca="1" si="66"/>
        <v>Lose</v>
      </c>
      <c r="E434" s="3">
        <f t="shared" ca="1" si="69"/>
        <v>-500</v>
      </c>
      <c r="F434" s="42">
        <f t="shared" si="62"/>
        <v>6.4854924888409866E-9</v>
      </c>
      <c r="G434" s="41">
        <f>SUM(F$11:F434)</f>
        <v>2.1387482306269918E-8</v>
      </c>
      <c r="I434" s="1">
        <f t="shared" si="61"/>
        <v>424</v>
      </c>
      <c r="J434" s="3">
        <v>109000</v>
      </c>
      <c r="K434" s="3">
        <v>91500</v>
      </c>
      <c r="L434" s="3">
        <v>112000</v>
      </c>
      <c r="M434" s="30">
        <f t="shared" si="63"/>
        <v>9.000000000000008E-2</v>
      </c>
      <c r="N434" s="1" t="str">
        <f t="shared" si="64"/>
        <v/>
      </c>
      <c r="O434" s="1" t="str">
        <f t="shared" si="65"/>
        <v/>
      </c>
    </row>
    <row r="435" spans="1:15" x14ac:dyDescent="0.25">
      <c r="A435" s="1">
        <f t="shared" si="60"/>
        <v>424</v>
      </c>
      <c r="B435" s="3">
        <f t="shared" ca="1" si="67"/>
        <v>120000</v>
      </c>
      <c r="C435" s="26">
        <f t="shared" ca="1" si="68"/>
        <v>0.17313377398394425</v>
      </c>
      <c r="D435" s="26" t="str">
        <f t="shared" ca="1" si="66"/>
        <v>Lose</v>
      </c>
      <c r="E435" s="3">
        <f t="shared" ca="1" si="69"/>
        <v>-500</v>
      </c>
      <c r="F435" s="42">
        <f t="shared" si="62"/>
        <v>9.1860121038277362E-9</v>
      </c>
      <c r="G435" s="41">
        <f>SUM(F$11:F435)</f>
        <v>3.0573494410097656E-8</v>
      </c>
      <c r="I435" s="1">
        <f t="shared" si="61"/>
        <v>425</v>
      </c>
      <c r="J435" s="3">
        <v>85000</v>
      </c>
      <c r="K435" s="3">
        <v>81000</v>
      </c>
      <c r="L435" s="3">
        <v>105500</v>
      </c>
      <c r="M435" s="30">
        <f t="shared" si="63"/>
        <v>-0.15000000000000002</v>
      </c>
      <c r="N435" s="1" t="str">
        <f t="shared" si="64"/>
        <v/>
      </c>
      <c r="O435" s="1" t="str">
        <f t="shared" si="65"/>
        <v/>
      </c>
    </row>
    <row r="436" spans="1:15" x14ac:dyDescent="0.25">
      <c r="A436" s="1">
        <f t="shared" si="60"/>
        <v>425</v>
      </c>
      <c r="B436" s="3">
        <f t="shared" ca="1" si="67"/>
        <v>120500</v>
      </c>
      <c r="C436" s="26">
        <f t="shared" ca="1" si="68"/>
        <v>0.97839631626699775</v>
      </c>
      <c r="D436" s="26" t="str">
        <f t="shared" ca="1" si="66"/>
        <v>Win</v>
      </c>
      <c r="E436" s="3">
        <f t="shared" ca="1" si="69"/>
        <v>500</v>
      </c>
      <c r="F436" s="42">
        <f t="shared" si="62"/>
        <v>1.2957901155439872E-8</v>
      </c>
      <c r="G436" s="41">
        <f>SUM(F$11:F436)</f>
        <v>4.3531395565537526E-8</v>
      </c>
      <c r="I436" s="1">
        <f t="shared" si="61"/>
        <v>426</v>
      </c>
      <c r="J436" s="3">
        <v>123000</v>
      </c>
      <c r="K436" s="3">
        <v>99500</v>
      </c>
      <c r="L436" s="3">
        <v>124000</v>
      </c>
      <c r="M436" s="30">
        <f t="shared" si="63"/>
        <v>0.22999999999999998</v>
      </c>
      <c r="N436" s="1" t="str">
        <f t="shared" si="64"/>
        <v/>
      </c>
      <c r="O436" s="1" t="str">
        <f t="shared" si="65"/>
        <v/>
      </c>
    </row>
    <row r="437" spans="1:15" x14ac:dyDescent="0.25">
      <c r="A437" s="1">
        <f t="shared" si="60"/>
        <v>426</v>
      </c>
      <c r="B437" s="3">
        <f t="shared" ca="1" si="67"/>
        <v>121000</v>
      </c>
      <c r="C437" s="26">
        <f t="shared" ca="1" si="68"/>
        <v>0.53368766036539583</v>
      </c>
      <c r="D437" s="26" t="str">
        <f t="shared" ca="1" si="66"/>
        <v>Win</v>
      </c>
      <c r="E437" s="3">
        <f t="shared" ca="1" si="69"/>
        <v>500</v>
      </c>
      <c r="F437" s="42">
        <f t="shared" si="62"/>
        <v>1.8204007443867285E-8</v>
      </c>
      <c r="G437" s="41">
        <f>SUM(F$11:F437)</f>
        <v>6.1735403009404815E-8</v>
      </c>
      <c r="I437" s="1">
        <f t="shared" si="61"/>
        <v>427</v>
      </c>
      <c r="J437" s="3">
        <v>97000</v>
      </c>
      <c r="K437" s="3">
        <v>90000</v>
      </c>
      <c r="L437" s="3">
        <v>105000</v>
      </c>
      <c r="M437" s="30">
        <f t="shared" si="63"/>
        <v>-3.0000000000000027E-2</v>
      </c>
      <c r="N437" s="1" t="str">
        <f t="shared" si="64"/>
        <v/>
      </c>
      <c r="O437" s="1" t="str">
        <f t="shared" si="65"/>
        <v/>
      </c>
    </row>
    <row r="438" spans="1:15" x14ac:dyDescent="0.25">
      <c r="A438" s="1">
        <f t="shared" si="60"/>
        <v>427</v>
      </c>
      <c r="B438" s="3">
        <f t="shared" ca="1" si="67"/>
        <v>121500</v>
      </c>
      <c r="C438" s="26">
        <f t="shared" ca="1" si="68"/>
        <v>0.56595311565849182</v>
      </c>
      <c r="D438" s="26" t="str">
        <f t="shared" ca="1" si="66"/>
        <v>Win</v>
      </c>
      <c r="E438" s="3">
        <f t="shared" ca="1" si="69"/>
        <v>500</v>
      </c>
      <c r="F438" s="42">
        <f t="shared" si="62"/>
        <v>2.5469775553780863E-8</v>
      </c>
      <c r="G438" s="41">
        <f>SUM(F$11:F438)</f>
        <v>8.7205178563185671E-8</v>
      </c>
      <c r="I438" s="1">
        <f t="shared" si="61"/>
        <v>428</v>
      </c>
      <c r="J438" s="3">
        <v>118000</v>
      </c>
      <c r="K438" s="3">
        <v>95000</v>
      </c>
      <c r="L438" s="3">
        <v>119000</v>
      </c>
      <c r="M438" s="30">
        <f t="shared" si="63"/>
        <v>0.17999999999999994</v>
      </c>
      <c r="N438" s="1" t="str">
        <f t="shared" si="64"/>
        <v/>
      </c>
      <c r="O438" s="1" t="str">
        <f t="shared" si="65"/>
        <v/>
      </c>
    </row>
    <row r="439" spans="1:15" x14ac:dyDescent="0.25">
      <c r="A439" s="1">
        <f t="shared" si="60"/>
        <v>428</v>
      </c>
      <c r="B439" s="3">
        <f t="shared" ca="1" si="67"/>
        <v>121000</v>
      </c>
      <c r="C439" s="26">
        <f t="shared" ca="1" si="68"/>
        <v>0.30535696089843145</v>
      </c>
      <c r="D439" s="26" t="str">
        <f t="shared" ca="1" si="66"/>
        <v>Lose</v>
      </c>
      <c r="E439" s="3">
        <f t="shared" ca="1" si="69"/>
        <v>-500</v>
      </c>
      <c r="F439" s="42">
        <f t="shared" si="62"/>
        <v>3.5490332395964307E-8</v>
      </c>
      <c r="G439" s="41">
        <f>SUM(F$11:F439)</f>
        <v>1.2269551095914999E-7</v>
      </c>
      <c r="I439" s="1">
        <f t="shared" si="61"/>
        <v>429</v>
      </c>
      <c r="J439" s="3">
        <v>109000</v>
      </c>
      <c r="K439" s="3">
        <v>97000</v>
      </c>
      <c r="L439" s="3">
        <v>120500</v>
      </c>
      <c r="M439" s="30">
        <f t="shared" si="63"/>
        <v>9.000000000000008E-2</v>
      </c>
      <c r="N439" s="1" t="str">
        <f t="shared" si="64"/>
        <v/>
      </c>
      <c r="O439" s="1" t="str">
        <f t="shared" si="65"/>
        <v/>
      </c>
    </row>
    <row r="440" spans="1:15" x14ac:dyDescent="0.25">
      <c r="A440" s="1">
        <f t="shared" si="60"/>
        <v>429</v>
      </c>
      <c r="B440" s="3">
        <f t="shared" ca="1" si="67"/>
        <v>121500</v>
      </c>
      <c r="C440" s="26">
        <f t="shared" ca="1" si="68"/>
        <v>0.96172937378808798</v>
      </c>
      <c r="D440" s="26" t="str">
        <f t="shared" ca="1" si="66"/>
        <v>Win</v>
      </c>
      <c r="E440" s="3">
        <f t="shared" ca="1" si="69"/>
        <v>500</v>
      </c>
      <c r="F440" s="42">
        <f t="shared" si="62"/>
        <v>4.9251889855622421E-8</v>
      </c>
      <c r="G440" s="41">
        <f>SUM(F$11:F440)</f>
        <v>1.7194740081477242E-7</v>
      </c>
      <c r="I440" s="1">
        <f t="shared" si="61"/>
        <v>430</v>
      </c>
      <c r="J440" s="3">
        <v>119000</v>
      </c>
      <c r="K440" s="3">
        <v>100000</v>
      </c>
      <c r="L440" s="3">
        <v>125000</v>
      </c>
      <c r="M440" s="30">
        <f t="shared" si="63"/>
        <v>0.18999999999999995</v>
      </c>
      <c r="N440" s="1" t="str">
        <f t="shared" si="64"/>
        <v/>
      </c>
      <c r="O440" s="1" t="str">
        <f t="shared" si="65"/>
        <v/>
      </c>
    </row>
    <row r="441" spans="1:15" x14ac:dyDescent="0.25">
      <c r="A441" s="1">
        <f t="shared" si="60"/>
        <v>430</v>
      </c>
      <c r="B441" s="3">
        <f t="shared" ca="1" si="67"/>
        <v>121000</v>
      </c>
      <c r="C441" s="26">
        <f t="shared" ca="1" si="68"/>
        <v>0.28616833207995573</v>
      </c>
      <c r="D441" s="26" t="str">
        <f t="shared" ca="1" si="66"/>
        <v>Lose</v>
      </c>
      <c r="E441" s="3">
        <f t="shared" ca="1" si="69"/>
        <v>-500</v>
      </c>
      <c r="F441" s="42">
        <f t="shared" si="62"/>
        <v>6.8071394612511164E-8</v>
      </c>
      <c r="G441" s="41">
        <f>SUM(F$11:F441)</f>
        <v>2.4001879542728357E-7</v>
      </c>
      <c r="I441" s="1">
        <f t="shared" si="61"/>
        <v>431</v>
      </c>
      <c r="J441" s="3">
        <v>115000</v>
      </c>
      <c r="K441" s="3">
        <v>98500</v>
      </c>
      <c r="L441" s="3">
        <v>132500</v>
      </c>
      <c r="M441" s="30">
        <f t="shared" si="63"/>
        <v>0.14999999999999991</v>
      </c>
      <c r="N441" s="1" t="str">
        <f t="shared" si="64"/>
        <v/>
      </c>
      <c r="O441" s="1" t="str">
        <f t="shared" si="65"/>
        <v/>
      </c>
    </row>
    <row r="442" spans="1:15" x14ac:dyDescent="0.25">
      <c r="A442" s="1">
        <f t="shared" si="60"/>
        <v>431</v>
      </c>
      <c r="B442" s="3">
        <f t="shared" ca="1" si="67"/>
        <v>120500</v>
      </c>
      <c r="C442" s="26">
        <f t="shared" ca="1" si="68"/>
        <v>1.0380870320853774E-2</v>
      </c>
      <c r="D442" s="26" t="str">
        <f t="shared" ca="1" si="66"/>
        <v>Lose</v>
      </c>
      <c r="E442" s="3">
        <f t="shared" ca="1" si="69"/>
        <v>-500</v>
      </c>
      <c r="F442" s="42">
        <f t="shared" si="62"/>
        <v>9.3699296433813667E-8</v>
      </c>
      <c r="G442" s="41">
        <f>SUM(F$11:F442)</f>
        <v>3.3371809186109725E-7</v>
      </c>
      <c r="I442" s="1">
        <f t="shared" si="61"/>
        <v>432</v>
      </c>
      <c r="J442" s="3">
        <v>107000</v>
      </c>
      <c r="K442" s="3">
        <v>96500</v>
      </c>
      <c r="L442" s="3">
        <v>110000</v>
      </c>
      <c r="M442" s="30">
        <f t="shared" si="63"/>
        <v>7.0000000000000062E-2</v>
      </c>
      <c r="N442" s="1" t="str">
        <f t="shared" si="64"/>
        <v/>
      </c>
      <c r="O442" s="1" t="str">
        <f t="shared" si="65"/>
        <v/>
      </c>
    </row>
    <row r="443" spans="1:15" x14ac:dyDescent="0.25">
      <c r="A443" s="1">
        <f t="shared" si="60"/>
        <v>432</v>
      </c>
      <c r="B443" s="3">
        <f t="shared" ca="1" si="67"/>
        <v>121000</v>
      </c>
      <c r="C443" s="26">
        <f t="shared" ca="1" si="68"/>
        <v>0.72201038593340416</v>
      </c>
      <c r="D443" s="26" t="str">
        <f t="shared" ca="1" si="66"/>
        <v>Win</v>
      </c>
      <c r="E443" s="3">
        <f t="shared" ca="1" si="69"/>
        <v>500</v>
      </c>
      <c r="F443" s="42">
        <f t="shared" si="62"/>
        <v>1.2845143061285072E-7</v>
      </c>
      <c r="G443" s="41">
        <f>SUM(F$11:F443)</f>
        <v>4.6216952247394794E-7</v>
      </c>
      <c r="I443" s="1">
        <f t="shared" si="61"/>
        <v>433</v>
      </c>
      <c r="J443" s="3">
        <v>84000</v>
      </c>
      <c r="K443" s="3">
        <v>83500</v>
      </c>
      <c r="L443" s="3">
        <v>104000</v>
      </c>
      <c r="M443" s="30">
        <f t="shared" si="63"/>
        <v>-0.16000000000000003</v>
      </c>
      <c r="N443" s="1" t="str">
        <f t="shared" si="64"/>
        <v/>
      </c>
      <c r="O443" s="1" t="str">
        <f t="shared" si="65"/>
        <v/>
      </c>
    </row>
    <row r="444" spans="1:15" x14ac:dyDescent="0.25">
      <c r="A444" s="1">
        <f t="shared" si="60"/>
        <v>433</v>
      </c>
      <c r="B444" s="3">
        <f t="shared" ca="1" si="67"/>
        <v>120500</v>
      </c>
      <c r="C444" s="26">
        <f t="shared" ca="1" si="68"/>
        <v>0.2595055288504623</v>
      </c>
      <c r="D444" s="26" t="str">
        <f t="shared" ca="1" si="66"/>
        <v>Lose</v>
      </c>
      <c r="E444" s="3">
        <f t="shared" ca="1" si="69"/>
        <v>-500</v>
      </c>
      <c r="F444" s="42">
        <f t="shared" si="62"/>
        <v>1.7537734090555031E-7</v>
      </c>
      <c r="G444" s="41">
        <f>SUM(F$11:F444)</f>
        <v>6.3754686337949828E-7</v>
      </c>
      <c r="I444" s="1">
        <f t="shared" si="61"/>
        <v>434</v>
      </c>
      <c r="J444" s="3">
        <v>128000</v>
      </c>
      <c r="K444" s="3">
        <v>86500</v>
      </c>
      <c r="L444" s="3">
        <v>130000</v>
      </c>
      <c r="M444" s="30">
        <f t="shared" si="63"/>
        <v>0.28000000000000003</v>
      </c>
      <c r="N444" s="1" t="str">
        <f t="shared" si="64"/>
        <v/>
      </c>
      <c r="O444" s="1" t="str">
        <f t="shared" si="65"/>
        <v/>
      </c>
    </row>
    <row r="445" spans="1:15" x14ac:dyDescent="0.25">
      <c r="A445" s="1">
        <f t="shared" si="60"/>
        <v>434</v>
      </c>
      <c r="B445" s="3">
        <f t="shared" ca="1" si="67"/>
        <v>120000</v>
      </c>
      <c r="C445" s="26">
        <f t="shared" ca="1" si="68"/>
        <v>0.22362966952529917</v>
      </c>
      <c r="D445" s="26" t="str">
        <f t="shared" ca="1" si="66"/>
        <v>Lose</v>
      </c>
      <c r="E445" s="3">
        <f t="shared" ca="1" si="69"/>
        <v>-500</v>
      </c>
      <c r="F445" s="42">
        <f t="shared" si="62"/>
        <v>2.3847392866386302E-7</v>
      </c>
      <c r="G445" s="41">
        <f>SUM(F$11:F445)</f>
        <v>8.760207920433613E-7</v>
      </c>
      <c r="I445" s="1">
        <f t="shared" si="61"/>
        <v>435</v>
      </c>
      <c r="J445" s="3">
        <v>110000</v>
      </c>
      <c r="K445" s="3">
        <v>92000</v>
      </c>
      <c r="L445" s="3">
        <v>119500</v>
      </c>
      <c r="M445" s="30">
        <f t="shared" si="63"/>
        <v>0.10000000000000009</v>
      </c>
      <c r="N445" s="1" t="str">
        <f t="shared" si="64"/>
        <v/>
      </c>
      <c r="O445" s="1" t="str">
        <f t="shared" si="65"/>
        <v/>
      </c>
    </row>
    <row r="446" spans="1:15" x14ac:dyDescent="0.25">
      <c r="A446" s="1">
        <f t="shared" si="60"/>
        <v>435</v>
      </c>
      <c r="B446" s="3">
        <f t="shared" ca="1" si="67"/>
        <v>119500</v>
      </c>
      <c r="C446" s="26">
        <f t="shared" ca="1" si="68"/>
        <v>0.4885727118080162</v>
      </c>
      <c r="D446" s="26" t="str">
        <f t="shared" ca="1" si="66"/>
        <v>Lose</v>
      </c>
      <c r="E446" s="3">
        <f t="shared" ca="1" si="69"/>
        <v>-500</v>
      </c>
      <c r="F446" s="42">
        <f t="shared" si="62"/>
        <v>3.229551219709713E-7</v>
      </c>
      <c r="G446" s="41">
        <f>SUM(F$11:F446)</f>
        <v>1.1989759140143326E-6</v>
      </c>
      <c r="I446" s="1">
        <f t="shared" si="61"/>
        <v>436</v>
      </c>
      <c r="J446" s="3">
        <v>116000</v>
      </c>
      <c r="K446" s="3">
        <v>88500</v>
      </c>
      <c r="L446" s="3">
        <v>116000</v>
      </c>
      <c r="M446" s="30">
        <f t="shared" si="63"/>
        <v>0.15999999999999992</v>
      </c>
      <c r="N446" s="1" t="str">
        <f t="shared" si="64"/>
        <v/>
      </c>
      <c r="O446" s="1" t="str">
        <f t="shared" si="65"/>
        <v/>
      </c>
    </row>
    <row r="447" spans="1:15" x14ac:dyDescent="0.25">
      <c r="A447" s="1">
        <f t="shared" si="60"/>
        <v>436</v>
      </c>
      <c r="B447" s="3">
        <f t="shared" ca="1" si="67"/>
        <v>120000</v>
      </c>
      <c r="C447" s="26">
        <f t="shared" ca="1" si="68"/>
        <v>0.8175275541429543</v>
      </c>
      <c r="D447" s="26" t="str">
        <f t="shared" ca="1" si="66"/>
        <v>Win</v>
      </c>
      <c r="E447" s="3">
        <f t="shared" ca="1" si="69"/>
        <v>500</v>
      </c>
      <c r="F447" s="42">
        <f t="shared" si="62"/>
        <v>4.3559033137958562E-7</v>
      </c>
      <c r="G447" s="41">
        <f>SUM(F$11:F447)</f>
        <v>1.6345662453939182E-6</v>
      </c>
      <c r="I447" s="1">
        <f t="shared" si="61"/>
        <v>437</v>
      </c>
      <c r="J447" s="3">
        <v>86000</v>
      </c>
      <c r="K447" s="3">
        <v>85500</v>
      </c>
      <c r="L447" s="3">
        <v>104500</v>
      </c>
      <c r="M447" s="30">
        <f t="shared" si="63"/>
        <v>-0.14000000000000001</v>
      </c>
      <c r="N447" s="1" t="str">
        <f t="shared" si="64"/>
        <v/>
      </c>
      <c r="O447" s="1" t="str">
        <f t="shared" si="65"/>
        <v/>
      </c>
    </row>
    <row r="448" spans="1:15" x14ac:dyDescent="0.25">
      <c r="A448" s="1">
        <f t="shared" si="60"/>
        <v>437</v>
      </c>
      <c r="B448" s="3">
        <f t="shared" ca="1" si="67"/>
        <v>120500</v>
      </c>
      <c r="C448" s="26">
        <f t="shared" ca="1" si="68"/>
        <v>0.60443258145457845</v>
      </c>
      <c r="D448" s="26" t="str">
        <f t="shared" ca="1" si="66"/>
        <v>Win</v>
      </c>
      <c r="E448" s="3">
        <f t="shared" ca="1" si="69"/>
        <v>500</v>
      </c>
      <c r="F448" s="42">
        <f t="shared" si="62"/>
        <v>5.8512680576295852E-7</v>
      </c>
      <c r="G448" s="41">
        <f>SUM(F$11:F448)</f>
        <v>2.2196930511568769E-6</v>
      </c>
      <c r="I448" s="1">
        <f t="shared" si="61"/>
        <v>438</v>
      </c>
      <c r="J448" s="3">
        <v>78000</v>
      </c>
      <c r="K448" s="3">
        <v>73000</v>
      </c>
      <c r="L448" s="3">
        <v>106000</v>
      </c>
      <c r="M448" s="30">
        <f t="shared" si="63"/>
        <v>-0.21999999999999997</v>
      </c>
      <c r="N448" s="1" t="str">
        <f t="shared" si="64"/>
        <v/>
      </c>
      <c r="O448" s="1" t="str">
        <f t="shared" si="65"/>
        <v/>
      </c>
    </row>
    <row r="449" spans="1:15" x14ac:dyDescent="0.25">
      <c r="A449" s="1">
        <f t="shared" si="60"/>
        <v>438</v>
      </c>
      <c r="B449" s="3">
        <f t="shared" ca="1" si="67"/>
        <v>120000</v>
      </c>
      <c r="C449" s="26">
        <f t="shared" ca="1" si="68"/>
        <v>0.37773432705730847</v>
      </c>
      <c r="D449" s="26" t="str">
        <f t="shared" ca="1" si="66"/>
        <v>Lose</v>
      </c>
      <c r="E449" s="3">
        <f t="shared" ca="1" si="69"/>
        <v>-500</v>
      </c>
      <c r="F449" s="42">
        <f t="shared" si="62"/>
        <v>7.8281362286237538E-7</v>
      </c>
      <c r="G449" s="41">
        <f>SUM(F$11:F449)</f>
        <v>3.0025066740192521E-6</v>
      </c>
      <c r="I449" s="1">
        <f t="shared" si="61"/>
        <v>439</v>
      </c>
      <c r="J449" s="3">
        <v>115000</v>
      </c>
      <c r="K449" s="3">
        <v>89500</v>
      </c>
      <c r="L449" s="3">
        <v>118500</v>
      </c>
      <c r="M449" s="30">
        <f t="shared" si="63"/>
        <v>0.14999999999999991</v>
      </c>
      <c r="N449" s="1" t="str">
        <f t="shared" si="64"/>
        <v/>
      </c>
      <c r="O449" s="1" t="str">
        <f t="shared" si="65"/>
        <v/>
      </c>
    </row>
    <row r="450" spans="1:15" x14ac:dyDescent="0.25">
      <c r="A450" s="1">
        <f t="shared" si="60"/>
        <v>439</v>
      </c>
      <c r="B450" s="3">
        <f t="shared" ca="1" si="67"/>
        <v>120500</v>
      </c>
      <c r="C450" s="26">
        <f t="shared" ca="1" si="68"/>
        <v>0.95386559600142251</v>
      </c>
      <c r="D450" s="26" t="str">
        <f t="shared" ca="1" si="66"/>
        <v>Win</v>
      </c>
      <c r="E450" s="3">
        <f t="shared" ca="1" si="69"/>
        <v>500</v>
      </c>
      <c r="F450" s="42">
        <f t="shared" si="62"/>
        <v>1.0430479316852242E-6</v>
      </c>
      <c r="G450" s="41">
        <f>SUM(F$11:F450)</f>
        <v>4.0455546057044767E-6</v>
      </c>
      <c r="I450" s="1">
        <f t="shared" si="61"/>
        <v>440</v>
      </c>
      <c r="J450" s="3">
        <v>93000</v>
      </c>
      <c r="K450" s="3">
        <v>91500</v>
      </c>
      <c r="L450" s="3">
        <v>109000</v>
      </c>
      <c r="M450" s="30">
        <f t="shared" si="63"/>
        <v>-6.9999999999999951E-2</v>
      </c>
      <c r="N450" s="1" t="str">
        <f t="shared" si="64"/>
        <v/>
      </c>
      <c r="O450" s="1" t="str">
        <f t="shared" si="65"/>
        <v/>
      </c>
    </row>
    <row r="451" spans="1:15" x14ac:dyDescent="0.25">
      <c r="A451" s="1">
        <f t="shared" si="60"/>
        <v>440</v>
      </c>
      <c r="B451" s="3">
        <f t="shared" ca="1" si="67"/>
        <v>120000</v>
      </c>
      <c r="C451" s="26">
        <f t="shared" ca="1" si="68"/>
        <v>0.20738810731837343</v>
      </c>
      <c r="D451" s="26" t="str">
        <f t="shared" ca="1" si="66"/>
        <v>Lose</v>
      </c>
      <c r="E451" s="3">
        <f t="shared" ca="1" si="69"/>
        <v>-500</v>
      </c>
      <c r="F451" s="42">
        <f t="shared" si="62"/>
        <v>1.3841671787312674E-6</v>
      </c>
      <c r="G451" s="41">
        <f>SUM(F$11:F451)</f>
        <v>5.4297217844357444E-6</v>
      </c>
      <c r="I451" s="1">
        <f t="shared" si="61"/>
        <v>441</v>
      </c>
      <c r="J451" s="3">
        <v>119000</v>
      </c>
      <c r="K451" s="3">
        <v>93000</v>
      </c>
      <c r="L451" s="3">
        <v>121000</v>
      </c>
      <c r="M451" s="30">
        <f t="shared" si="63"/>
        <v>0.18999999999999995</v>
      </c>
      <c r="N451" s="1" t="str">
        <f t="shared" si="64"/>
        <v/>
      </c>
      <c r="O451" s="1" t="str">
        <f t="shared" si="65"/>
        <v/>
      </c>
    </row>
    <row r="452" spans="1:15" x14ac:dyDescent="0.25">
      <c r="A452" s="1">
        <f t="shared" si="60"/>
        <v>441</v>
      </c>
      <c r="B452" s="3">
        <f t="shared" ca="1" si="67"/>
        <v>120500</v>
      </c>
      <c r="C452" s="26">
        <f t="shared" ca="1" si="68"/>
        <v>0.8276953325859846</v>
      </c>
      <c r="D452" s="26" t="str">
        <f t="shared" ca="1" si="66"/>
        <v>Win</v>
      </c>
      <c r="E452" s="3">
        <f t="shared" ca="1" si="69"/>
        <v>500</v>
      </c>
      <c r="F452" s="42">
        <f t="shared" si="62"/>
        <v>1.8294143470111904E-6</v>
      </c>
      <c r="G452" s="41">
        <f>SUM(F$11:F452)</f>
        <v>7.2591361314469348E-6</v>
      </c>
      <c r="I452" s="1">
        <f t="shared" si="61"/>
        <v>442</v>
      </c>
      <c r="J452" s="3">
        <v>97000</v>
      </c>
      <c r="K452" s="3">
        <v>89500</v>
      </c>
      <c r="L452" s="3">
        <v>106000</v>
      </c>
      <c r="M452" s="30">
        <f t="shared" si="63"/>
        <v>-3.0000000000000027E-2</v>
      </c>
      <c r="N452" s="1" t="str">
        <f t="shared" si="64"/>
        <v/>
      </c>
      <c r="O452" s="1" t="str">
        <f t="shared" si="65"/>
        <v/>
      </c>
    </row>
    <row r="453" spans="1:15" x14ac:dyDescent="0.25">
      <c r="A453" s="1">
        <f t="shared" ref="A453:A516" si="70">A452+1</f>
        <v>442</v>
      </c>
      <c r="B453" s="3">
        <f t="shared" ca="1" si="67"/>
        <v>120000</v>
      </c>
      <c r="C453" s="26">
        <f t="shared" ca="1" si="68"/>
        <v>0.24465270963017427</v>
      </c>
      <c r="D453" s="26" t="str">
        <f t="shared" ca="1" si="66"/>
        <v>Lose</v>
      </c>
      <c r="E453" s="3">
        <f t="shared" ca="1" si="69"/>
        <v>-500</v>
      </c>
      <c r="F453" s="42">
        <f t="shared" si="62"/>
        <v>2.4081066404535182E-6</v>
      </c>
      <c r="G453" s="41">
        <f>SUM(F$11:F453)</f>
        <v>9.6672427719004534E-6</v>
      </c>
      <c r="I453" s="1">
        <f t="shared" si="61"/>
        <v>443</v>
      </c>
      <c r="J453" s="3">
        <v>126000</v>
      </c>
      <c r="K453" s="3">
        <v>97500</v>
      </c>
      <c r="L453" s="3">
        <v>126000</v>
      </c>
      <c r="M453" s="30">
        <f t="shared" si="63"/>
        <v>0.26</v>
      </c>
      <c r="N453" s="1" t="str">
        <f t="shared" si="64"/>
        <v/>
      </c>
      <c r="O453" s="1" t="str">
        <f t="shared" si="65"/>
        <v/>
      </c>
    </row>
    <row r="454" spans="1:15" x14ac:dyDescent="0.25">
      <c r="A454" s="1">
        <f t="shared" si="70"/>
        <v>443</v>
      </c>
      <c r="B454" s="3">
        <f t="shared" ca="1" si="67"/>
        <v>119500</v>
      </c>
      <c r="C454" s="26">
        <f t="shared" ca="1" si="68"/>
        <v>0.32682897305415026</v>
      </c>
      <c r="D454" s="26" t="str">
        <f t="shared" ca="1" si="66"/>
        <v>Lose</v>
      </c>
      <c r="E454" s="3">
        <f t="shared" ca="1" si="69"/>
        <v>-500</v>
      </c>
      <c r="F454" s="42">
        <f t="shared" si="62"/>
        <v>3.1570414508695592E-6</v>
      </c>
      <c r="G454" s="41">
        <f>SUM(F$11:F454)</f>
        <v>1.2824284222770012E-5</v>
      </c>
      <c r="I454" s="1">
        <f t="shared" si="61"/>
        <v>444</v>
      </c>
      <c r="J454" s="3">
        <v>127000</v>
      </c>
      <c r="K454" s="3">
        <v>99000</v>
      </c>
      <c r="L454" s="3">
        <v>129000</v>
      </c>
      <c r="M454" s="30">
        <f t="shared" si="63"/>
        <v>0.27</v>
      </c>
      <c r="N454" s="1" t="str">
        <f t="shared" si="64"/>
        <v/>
      </c>
      <c r="O454" s="1" t="str">
        <f t="shared" si="65"/>
        <v/>
      </c>
    </row>
    <row r="455" spans="1:15" x14ac:dyDescent="0.25">
      <c r="A455" s="1">
        <f t="shared" si="70"/>
        <v>444</v>
      </c>
      <c r="B455" s="3">
        <f t="shared" ca="1" si="67"/>
        <v>120000</v>
      </c>
      <c r="C455" s="26">
        <f t="shared" ca="1" si="68"/>
        <v>0.60091165593200979</v>
      </c>
      <c r="D455" s="26" t="str">
        <f t="shared" ca="1" si="66"/>
        <v>Win</v>
      </c>
      <c r="E455" s="3">
        <f t="shared" ca="1" si="69"/>
        <v>500</v>
      </c>
      <c r="F455" s="42">
        <f t="shared" si="62"/>
        <v>4.1221767096365268E-6</v>
      </c>
      <c r="G455" s="41">
        <f>SUM(F$11:F455)</f>
        <v>1.6946460932406538E-5</v>
      </c>
      <c r="I455" s="1">
        <f t="shared" ref="I455:I510" si="71">I454+1</f>
        <v>445</v>
      </c>
      <c r="J455" s="3">
        <v>73000</v>
      </c>
      <c r="K455" s="3">
        <v>69000</v>
      </c>
      <c r="L455" s="3">
        <v>100000</v>
      </c>
      <c r="M455" s="30">
        <f t="shared" si="63"/>
        <v>-0.27</v>
      </c>
      <c r="N455" s="1" t="str">
        <f t="shared" si="64"/>
        <v/>
      </c>
      <c r="O455" s="1" t="str">
        <f t="shared" si="65"/>
        <v/>
      </c>
    </row>
    <row r="456" spans="1:15" x14ac:dyDescent="0.25">
      <c r="A456" s="1">
        <f t="shared" si="70"/>
        <v>445</v>
      </c>
      <c r="B456" s="3">
        <f t="shared" ca="1" si="67"/>
        <v>120500</v>
      </c>
      <c r="C456" s="26">
        <f t="shared" ca="1" si="68"/>
        <v>0.79688487109127148</v>
      </c>
      <c r="D456" s="26" t="str">
        <f t="shared" ca="1" si="66"/>
        <v>Win</v>
      </c>
      <c r="E456" s="3">
        <f t="shared" ca="1" si="69"/>
        <v>500</v>
      </c>
      <c r="F456" s="42">
        <f t="shared" si="62"/>
        <v>5.3606256720226267E-6</v>
      </c>
      <c r="G456" s="41">
        <f>SUM(F$11:F456)</f>
        <v>2.2307086604429166E-5</v>
      </c>
      <c r="I456" s="1">
        <f t="shared" si="71"/>
        <v>446</v>
      </c>
      <c r="J456" s="3">
        <v>125000</v>
      </c>
      <c r="K456" s="3">
        <v>95500</v>
      </c>
      <c r="L456" s="3">
        <v>125500</v>
      </c>
      <c r="M456" s="30">
        <f t="shared" si="63"/>
        <v>0.25</v>
      </c>
      <c r="N456" s="1" t="str">
        <f t="shared" si="64"/>
        <v/>
      </c>
      <c r="O456" s="1" t="str">
        <f t="shared" si="65"/>
        <v/>
      </c>
    </row>
    <row r="457" spans="1:15" x14ac:dyDescent="0.25">
      <c r="A457" s="1">
        <f t="shared" si="70"/>
        <v>446</v>
      </c>
      <c r="B457" s="3">
        <f t="shared" ca="1" si="67"/>
        <v>120000</v>
      </c>
      <c r="C457" s="26">
        <f t="shared" ca="1" si="68"/>
        <v>0.44445563269759281</v>
      </c>
      <c r="D457" s="26" t="str">
        <f t="shared" ca="1" si="66"/>
        <v>Lose</v>
      </c>
      <c r="E457" s="3">
        <f t="shared" ca="1" si="69"/>
        <v>-500</v>
      </c>
      <c r="F457" s="42">
        <f t="shared" si="62"/>
        <v>6.9430085863732102E-6</v>
      </c>
      <c r="G457" s="41">
        <f>SUM(F$11:F457)</f>
        <v>2.9250095190802377E-5</v>
      </c>
      <c r="I457" s="1">
        <f t="shared" si="71"/>
        <v>447</v>
      </c>
      <c r="J457" s="3">
        <v>75000</v>
      </c>
      <c r="K457" s="3">
        <v>74500</v>
      </c>
      <c r="L457" s="3">
        <v>110000</v>
      </c>
      <c r="M457" s="30">
        <f t="shared" si="63"/>
        <v>-0.25</v>
      </c>
      <c r="N457" s="1" t="str">
        <f t="shared" si="64"/>
        <v/>
      </c>
      <c r="O457" s="1" t="str">
        <f t="shared" si="65"/>
        <v/>
      </c>
    </row>
    <row r="458" spans="1:15" x14ac:dyDescent="0.25">
      <c r="A458" s="1">
        <f t="shared" si="70"/>
        <v>447</v>
      </c>
      <c r="B458" s="3">
        <f t="shared" ca="1" si="67"/>
        <v>119500</v>
      </c>
      <c r="C458" s="26">
        <f t="shared" ca="1" si="68"/>
        <v>0.26628983123534178</v>
      </c>
      <c r="D458" s="26" t="str">
        <f t="shared" ca="1" si="66"/>
        <v>Lose</v>
      </c>
      <c r="E458" s="3">
        <f t="shared" ca="1" si="69"/>
        <v>-500</v>
      </c>
      <c r="F458" s="42">
        <f t="shared" si="62"/>
        <v>8.9562052960502592E-6</v>
      </c>
      <c r="G458" s="41">
        <f>SUM(F$11:F458)</f>
        <v>3.8206300486852638E-5</v>
      </c>
      <c r="I458" s="1">
        <f t="shared" si="71"/>
        <v>448</v>
      </c>
      <c r="J458" s="3">
        <v>107000</v>
      </c>
      <c r="K458" s="3">
        <v>95000</v>
      </c>
      <c r="L458" s="3">
        <v>116000</v>
      </c>
      <c r="M458" s="30">
        <f t="shared" si="63"/>
        <v>7.0000000000000062E-2</v>
      </c>
      <c r="N458" s="1" t="str">
        <f t="shared" si="64"/>
        <v/>
      </c>
      <c r="O458" s="1" t="str">
        <f t="shared" si="65"/>
        <v/>
      </c>
    </row>
    <row r="459" spans="1:15" x14ac:dyDescent="0.25">
      <c r="A459" s="1">
        <f t="shared" si="70"/>
        <v>448</v>
      </c>
      <c r="B459" s="3">
        <f t="shared" ca="1" si="67"/>
        <v>120000</v>
      </c>
      <c r="C459" s="26">
        <f t="shared" ca="1" si="68"/>
        <v>0.54498773252480404</v>
      </c>
      <c r="D459" s="26" t="str">
        <f t="shared" ca="1" si="66"/>
        <v>Win</v>
      </c>
      <c r="E459" s="3">
        <f t="shared" ca="1" si="69"/>
        <v>500</v>
      </c>
      <c r="F459" s="42">
        <f t="shared" si="62"/>
        <v>1.1506553296488055E-5</v>
      </c>
      <c r="G459" s="41">
        <f>SUM(F$11:F459)</f>
        <v>4.9712853783340692E-5</v>
      </c>
      <c r="I459" s="1">
        <f t="shared" si="71"/>
        <v>449</v>
      </c>
      <c r="J459" s="3">
        <v>68000</v>
      </c>
      <c r="K459" s="3">
        <v>65500</v>
      </c>
      <c r="L459" s="3">
        <v>103000</v>
      </c>
      <c r="M459" s="30">
        <f t="shared" si="63"/>
        <v>-0.31999999999999995</v>
      </c>
      <c r="N459" s="1" t="str">
        <f t="shared" si="64"/>
        <v/>
      </c>
      <c r="O459" s="1" t="str">
        <f t="shared" si="65"/>
        <v/>
      </c>
    </row>
    <row r="460" spans="1:15" x14ac:dyDescent="0.25">
      <c r="A460" s="1">
        <f t="shared" si="70"/>
        <v>449</v>
      </c>
      <c r="B460" s="3">
        <f t="shared" ca="1" si="67"/>
        <v>119500</v>
      </c>
      <c r="C460" s="26">
        <f t="shared" ca="1" si="68"/>
        <v>5.2890728177548585E-2</v>
      </c>
      <c r="D460" s="26" t="str">
        <f t="shared" ca="1" si="66"/>
        <v>Lose</v>
      </c>
      <c r="E460" s="3">
        <f t="shared" ca="1" si="69"/>
        <v>-500</v>
      </c>
      <c r="F460" s="42">
        <f t="shared" ref="F460:F523" si="72">_xlfn.BINOM.DIST(A460,$A$1011,$B$1,FALSE)</f>
        <v>1.4723534766725872E-5</v>
      </c>
      <c r="G460" s="41">
        <f>SUM(F$11:F460)</f>
        <v>6.443638855006657E-5</v>
      </c>
      <c r="I460" s="1">
        <f t="shared" si="71"/>
        <v>450</v>
      </c>
      <c r="J460" s="3">
        <v>116000</v>
      </c>
      <c r="K460" s="3">
        <v>95000</v>
      </c>
      <c r="L460" s="3">
        <v>117500</v>
      </c>
      <c r="M460" s="30">
        <f t="shared" ref="M460:M510" si="73">J460/$B$3-1</f>
        <v>0.15999999999999992</v>
      </c>
      <c r="N460" s="1" t="str">
        <f t="shared" ref="N460:N510" si="74">IF(K460&lt;=0,1,"")</f>
        <v/>
      </c>
      <c r="O460" s="1" t="str">
        <f t="shared" ref="O460:O510" si="75">IF(J460&lt;=0,1,"")</f>
        <v/>
      </c>
    </row>
    <row r="461" spans="1:15" x14ac:dyDescent="0.25">
      <c r="A461" s="1">
        <f t="shared" si="70"/>
        <v>450</v>
      </c>
      <c r="B461" s="3">
        <f t="shared" ca="1" si="67"/>
        <v>119000</v>
      </c>
      <c r="C461" s="26">
        <f t="shared" ca="1" si="68"/>
        <v>0.1456016818491791</v>
      </c>
      <c r="D461" s="26" t="str">
        <f t="shared" ref="D461:D524" ca="1" si="76">IF(C461&gt;$B$2,"Win","Lose")</f>
        <v>Lose</v>
      </c>
      <c r="E461" s="3">
        <f t="shared" ca="1" si="69"/>
        <v>-500</v>
      </c>
      <c r="F461" s="42">
        <f t="shared" si="72"/>
        <v>1.8763993219036584E-5</v>
      </c>
      <c r="G461" s="41">
        <f>SUM(F$11:F461)</f>
        <v>8.320038176910315E-5</v>
      </c>
      <c r="I461" s="1">
        <f t="shared" si="71"/>
        <v>451</v>
      </c>
      <c r="J461" s="3">
        <v>111000</v>
      </c>
      <c r="K461" s="3">
        <v>96000</v>
      </c>
      <c r="L461" s="3">
        <v>122000</v>
      </c>
      <c r="M461" s="30">
        <f t="shared" si="73"/>
        <v>0.1100000000000001</v>
      </c>
      <c r="N461" s="1" t="str">
        <f t="shared" si="74"/>
        <v/>
      </c>
      <c r="O461" s="1" t="str">
        <f t="shared" si="75"/>
        <v/>
      </c>
    </row>
    <row r="462" spans="1:15" x14ac:dyDescent="0.25">
      <c r="A462" s="1">
        <f t="shared" si="70"/>
        <v>451</v>
      </c>
      <c r="B462" s="3">
        <f t="shared" ref="B462:B525" ca="1" si="77">B461+E462</f>
        <v>119500</v>
      </c>
      <c r="C462" s="26">
        <f t="shared" ref="C462:C525" ca="1" si="78">RAND()</f>
        <v>0.53099178117486046</v>
      </c>
      <c r="D462" s="26" t="str">
        <f t="shared" ca="1" si="76"/>
        <v>Win</v>
      </c>
      <c r="E462" s="3">
        <f t="shared" ref="E462:E525" ca="1" si="79">IF(D462="Win",$B$4,-$B$4)</f>
        <v>500</v>
      </c>
      <c r="F462" s="42">
        <f t="shared" si="72"/>
        <v>2.3816915235711136E-5</v>
      </c>
      <c r="G462" s="41">
        <f>SUM(F$11:F462)</f>
        <v>1.0701729700481429E-4</v>
      </c>
      <c r="I462" s="1">
        <f t="shared" si="71"/>
        <v>452</v>
      </c>
      <c r="J462" s="3">
        <v>104000</v>
      </c>
      <c r="K462" s="3">
        <v>84500</v>
      </c>
      <c r="L462" s="3">
        <v>107500</v>
      </c>
      <c r="M462" s="30">
        <f t="shared" si="73"/>
        <v>4.0000000000000036E-2</v>
      </c>
      <c r="N462" s="1" t="str">
        <f t="shared" si="74"/>
        <v/>
      </c>
      <c r="O462" s="1" t="str">
        <f t="shared" si="75"/>
        <v/>
      </c>
    </row>
    <row r="463" spans="1:15" x14ac:dyDescent="0.25">
      <c r="A463" s="1">
        <f t="shared" si="70"/>
        <v>452</v>
      </c>
      <c r="B463" s="3">
        <f t="shared" ca="1" si="77"/>
        <v>119000</v>
      </c>
      <c r="C463" s="26">
        <f t="shared" ca="1" si="78"/>
        <v>9.4954468704006145E-2</v>
      </c>
      <c r="D463" s="26" t="str">
        <f t="shared" ca="1" si="76"/>
        <v>Lose</v>
      </c>
      <c r="E463" s="3">
        <f t="shared" ca="1" si="79"/>
        <v>-500</v>
      </c>
      <c r="F463" s="42">
        <f t="shared" si="72"/>
        <v>3.0108804843989358E-5</v>
      </c>
      <c r="G463" s="41">
        <f>SUM(F$11:F463)</f>
        <v>1.3712610184880364E-4</v>
      </c>
      <c r="I463" s="1">
        <f t="shared" si="71"/>
        <v>453</v>
      </c>
      <c r="J463" s="3">
        <v>117000</v>
      </c>
      <c r="K463" s="3">
        <v>92000</v>
      </c>
      <c r="L463" s="3">
        <v>118500</v>
      </c>
      <c r="M463" s="30">
        <f t="shared" si="73"/>
        <v>0.16999999999999993</v>
      </c>
      <c r="N463" s="1" t="str">
        <f t="shared" si="74"/>
        <v/>
      </c>
      <c r="O463" s="1" t="str">
        <f t="shared" si="75"/>
        <v/>
      </c>
    </row>
    <row r="464" spans="1:15" x14ac:dyDescent="0.25">
      <c r="A464" s="1">
        <f t="shared" si="70"/>
        <v>453</v>
      </c>
      <c r="B464" s="3">
        <f t="shared" ca="1" si="77"/>
        <v>118500</v>
      </c>
      <c r="C464" s="26">
        <f t="shared" ca="1" si="78"/>
        <v>0.16201743197687624</v>
      </c>
      <c r="D464" s="26" t="str">
        <f t="shared" ca="1" si="76"/>
        <v>Lose</v>
      </c>
      <c r="E464" s="3">
        <f t="shared" ca="1" si="79"/>
        <v>-500</v>
      </c>
      <c r="F464" s="42">
        <f t="shared" si="72"/>
        <v>3.7909666972104763E-5</v>
      </c>
      <c r="G464" s="41">
        <f>SUM(F$11:F464)</f>
        <v>1.7503576882090839E-4</v>
      </c>
      <c r="I464" s="1">
        <f t="shared" si="71"/>
        <v>454</v>
      </c>
      <c r="J464" s="3">
        <v>154000</v>
      </c>
      <c r="K464" s="3">
        <v>98500</v>
      </c>
      <c r="L464" s="3">
        <v>155500</v>
      </c>
      <c r="M464" s="30">
        <f t="shared" si="73"/>
        <v>0.54</v>
      </c>
      <c r="N464" s="1" t="str">
        <f t="shared" si="74"/>
        <v/>
      </c>
      <c r="O464" s="1" t="str">
        <f t="shared" si="75"/>
        <v/>
      </c>
    </row>
    <row r="465" spans="1:15" x14ac:dyDescent="0.25">
      <c r="A465" s="1">
        <f t="shared" si="70"/>
        <v>454</v>
      </c>
      <c r="B465" s="3">
        <f t="shared" ca="1" si="77"/>
        <v>118000</v>
      </c>
      <c r="C465" s="26">
        <f t="shared" ca="1" si="78"/>
        <v>0.48242614206671308</v>
      </c>
      <c r="D465" s="26" t="str">
        <f t="shared" ca="1" si="76"/>
        <v>Lose</v>
      </c>
      <c r="E465" s="3">
        <f t="shared" ca="1" si="79"/>
        <v>-500</v>
      </c>
      <c r="F465" s="42">
        <f t="shared" si="72"/>
        <v>4.7539601704612493E-5</v>
      </c>
      <c r="G465" s="41">
        <f>SUM(F$11:F465)</f>
        <v>2.2257537052552089E-4</v>
      </c>
      <c r="I465" s="1">
        <f t="shared" si="71"/>
        <v>455</v>
      </c>
      <c r="J465" s="3">
        <v>129000</v>
      </c>
      <c r="K465" s="3">
        <v>99500</v>
      </c>
      <c r="L465" s="3">
        <v>130500</v>
      </c>
      <c r="M465" s="30">
        <f t="shared" si="73"/>
        <v>0.29000000000000004</v>
      </c>
      <c r="N465" s="1" t="str">
        <f t="shared" si="74"/>
        <v/>
      </c>
      <c r="O465" s="1" t="str">
        <f t="shared" si="75"/>
        <v/>
      </c>
    </row>
    <row r="466" spans="1:15" x14ac:dyDescent="0.25">
      <c r="A466" s="1">
        <f t="shared" si="70"/>
        <v>455</v>
      </c>
      <c r="B466" s="3">
        <f t="shared" ca="1" si="77"/>
        <v>118500</v>
      </c>
      <c r="C466" s="26">
        <f t="shared" ca="1" si="78"/>
        <v>0.77575103139337542</v>
      </c>
      <c r="D466" s="26" t="str">
        <f t="shared" ca="1" si="76"/>
        <v>Win</v>
      </c>
      <c r="E466" s="3">
        <f t="shared" ca="1" si="79"/>
        <v>500</v>
      </c>
      <c r="F466" s="42">
        <f t="shared" si="72"/>
        <v>5.9375992333107829E-5</v>
      </c>
      <c r="G466" s="41">
        <f>SUM(F$11:F466)</f>
        <v>2.8195136285862874E-4</v>
      </c>
      <c r="I466" s="1">
        <f t="shared" si="71"/>
        <v>456</v>
      </c>
      <c r="J466" s="3">
        <v>113000</v>
      </c>
      <c r="K466" s="3">
        <v>100000</v>
      </c>
      <c r="L466" s="3">
        <v>118500</v>
      </c>
      <c r="M466" s="30">
        <f t="shared" si="73"/>
        <v>0.12999999999999989</v>
      </c>
      <c r="N466" s="1" t="str">
        <f t="shared" si="74"/>
        <v/>
      </c>
      <c r="O466" s="1" t="str">
        <f t="shared" si="75"/>
        <v/>
      </c>
    </row>
    <row r="467" spans="1:15" x14ac:dyDescent="0.25">
      <c r="A467" s="1">
        <f t="shared" si="70"/>
        <v>456</v>
      </c>
      <c r="B467" s="3">
        <f t="shared" ca="1" si="77"/>
        <v>119000</v>
      </c>
      <c r="C467" s="26">
        <f t="shared" ca="1" si="78"/>
        <v>0.94361141448688957</v>
      </c>
      <c r="D467" s="26" t="str">
        <f t="shared" ca="1" si="76"/>
        <v>Win</v>
      </c>
      <c r="E467" s="3">
        <f t="shared" ca="1" si="79"/>
        <v>500</v>
      </c>
      <c r="F467" s="42">
        <f t="shared" si="72"/>
        <v>7.3861247175918652E-5</v>
      </c>
      <c r="G467" s="41">
        <f>SUM(F$11:F467)</f>
        <v>3.558126100345474E-4</v>
      </c>
      <c r="I467" s="1">
        <f t="shared" si="71"/>
        <v>457</v>
      </c>
      <c r="J467" s="3">
        <v>128000</v>
      </c>
      <c r="K467" s="3">
        <v>94500</v>
      </c>
      <c r="L467" s="3">
        <v>130500</v>
      </c>
      <c r="M467" s="30">
        <f t="shared" si="73"/>
        <v>0.28000000000000003</v>
      </c>
      <c r="N467" s="1" t="str">
        <f t="shared" si="74"/>
        <v/>
      </c>
      <c r="O467" s="1" t="str">
        <f t="shared" si="75"/>
        <v/>
      </c>
    </row>
    <row r="468" spans="1:15" x14ac:dyDescent="0.25">
      <c r="A468" s="1">
        <f t="shared" si="70"/>
        <v>457</v>
      </c>
      <c r="B468" s="3">
        <f t="shared" ca="1" si="77"/>
        <v>118500</v>
      </c>
      <c r="C468" s="26">
        <f t="shared" ca="1" si="78"/>
        <v>0.42846050834568394</v>
      </c>
      <c r="D468" s="26" t="str">
        <f t="shared" ca="1" si="76"/>
        <v>Lose</v>
      </c>
      <c r="E468" s="3">
        <f t="shared" ca="1" si="79"/>
        <v>-500</v>
      </c>
      <c r="F468" s="42">
        <f t="shared" si="72"/>
        <v>9.1511027626878282E-5</v>
      </c>
      <c r="G468" s="41">
        <f>SUM(F$11:F468)</f>
        <v>4.4732363766142568E-4</v>
      </c>
      <c r="I468" s="1">
        <f t="shared" si="71"/>
        <v>458</v>
      </c>
      <c r="J468" s="3">
        <v>97000</v>
      </c>
      <c r="K468" s="3">
        <v>91000</v>
      </c>
      <c r="L468" s="3">
        <v>110500</v>
      </c>
      <c r="M468" s="30">
        <f t="shared" si="73"/>
        <v>-3.0000000000000027E-2</v>
      </c>
      <c r="N468" s="1" t="str">
        <f t="shared" si="74"/>
        <v/>
      </c>
      <c r="O468" s="1" t="str">
        <f t="shared" si="75"/>
        <v/>
      </c>
    </row>
    <row r="469" spans="1:15" x14ac:dyDescent="0.25">
      <c r="A469" s="1">
        <f t="shared" si="70"/>
        <v>458</v>
      </c>
      <c r="B469" s="3">
        <f t="shared" ca="1" si="77"/>
        <v>119000</v>
      </c>
      <c r="C469" s="26">
        <f t="shared" ca="1" si="78"/>
        <v>0.88032985296644628</v>
      </c>
      <c r="D469" s="26" t="str">
        <f t="shared" ca="1" si="76"/>
        <v>Win</v>
      </c>
      <c r="E469" s="3">
        <f t="shared" ca="1" si="79"/>
        <v>500</v>
      </c>
      <c r="F469" s="42">
        <f t="shared" si="72"/>
        <v>1.1292286284961873E-4</v>
      </c>
      <c r="G469" s="41">
        <f>SUM(F$11:F469)</f>
        <v>5.6024650051104442E-4</v>
      </c>
      <c r="I469" s="1">
        <f t="shared" si="71"/>
        <v>459</v>
      </c>
      <c r="J469" s="3">
        <v>108000</v>
      </c>
      <c r="K469" s="3">
        <v>98500</v>
      </c>
      <c r="L469" s="3">
        <v>119500</v>
      </c>
      <c r="M469" s="30">
        <f t="shared" si="73"/>
        <v>8.0000000000000071E-2</v>
      </c>
      <c r="N469" s="1" t="str">
        <f t="shared" si="74"/>
        <v/>
      </c>
      <c r="O469" s="1" t="str">
        <f t="shared" si="75"/>
        <v/>
      </c>
    </row>
    <row r="470" spans="1:15" x14ac:dyDescent="0.25">
      <c r="A470" s="1">
        <f t="shared" si="70"/>
        <v>459</v>
      </c>
      <c r="B470" s="3">
        <f t="shared" ca="1" si="77"/>
        <v>119500</v>
      </c>
      <c r="C470" s="26">
        <f t="shared" ca="1" si="78"/>
        <v>0.80658342499873792</v>
      </c>
      <c r="D470" s="26" t="str">
        <f t="shared" ca="1" si="76"/>
        <v>Win</v>
      </c>
      <c r="E470" s="3">
        <f t="shared" ca="1" si="79"/>
        <v>500</v>
      </c>
      <c r="F470" s="42">
        <f t="shared" si="72"/>
        <v>1.3878501511223042E-4</v>
      </c>
      <c r="G470" s="41">
        <f>SUM(F$11:F470)</f>
        <v>6.9903151562327489E-4</v>
      </c>
      <c r="I470" s="1">
        <f t="shared" si="71"/>
        <v>460</v>
      </c>
      <c r="J470" s="3">
        <v>108000</v>
      </c>
      <c r="K470" s="3">
        <v>99000</v>
      </c>
      <c r="L470" s="3">
        <v>120500</v>
      </c>
      <c r="M470" s="30">
        <f t="shared" si="73"/>
        <v>8.0000000000000071E-2</v>
      </c>
      <c r="N470" s="1" t="str">
        <f t="shared" si="74"/>
        <v/>
      </c>
      <c r="O470" s="1" t="str">
        <f t="shared" si="75"/>
        <v/>
      </c>
    </row>
    <row r="471" spans="1:15" x14ac:dyDescent="0.25">
      <c r="A471" s="1">
        <f t="shared" si="70"/>
        <v>460</v>
      </c>
      <c r="B471" s="3">
        <f t="shared" ca="1" si="77"/>
        <v>120000</v>
      </c>
      <c r="C471" s="26">
        <f t="shared" ca="1" si="78"/>
        <v>0.84376625782775649</v>
      </c>
      <c r="D471" s="26" t="str">
        <f t="shared" ca="1" si="76"/>
        <v>Win</v>
      </c>
      <c r="E471" s="3">
        <f t="shared" ca="1" si="79"/>
        <v>500</v>
      </c>
      <c r="F471" s="42">
        <f t="shared" si="72"/>
        <v>1.6988541934168352E-4</v>
      </c>
      <c r="G471" s="41">
        <f>SUM(F$11:F471)</f>
        <v>8.6891693496495839E-4</v>
      </c>
      <c r="I471" s="1">
        <f t="shared" si="71"/>
        <v>461</v>
      </c>
      <c r="J471" s="3">
        <v>108000</v>
      </c>
      <c r="K471" s="3">
        <v>98500</v>
      </c>
      <c r="L471" s="3">
        <v>116500</v>
      </c>
      <c r="M471" s="30">
        <f t="shared" si="73"/>
        <v>8.0000000000000071E-2</v>
      </c>
      <c r="N471" s="1" t="str">
        <f t="shared" si="74"/>
        <v/>
      </c>
      <c r="O471" s="1" t="str">
        <f t="shared" si="75"/>
        <v/>
      </c>
    </row>
    <row r="472" spans="1:15" x14ac:dyDescent="0.25">
      <c r="A472" s="1">
        <f t="shared" si="70"/>
        <v>461</v>
      </c>
      <c r="B472" s="3">
        <f t="shared" ca="1" si="77"/>
        <v>119500</v>
      </c>
      <c r="C472" s="26">
        <f t="shared" ca="1" si="78"/>
        <v>2.5923039690363692E-2</v>
      </c>
      <c r="D472" s="26" t="str">
        <f t="shared" ca="1" si="76"/>
        <v>Lose</v>
      </c>
      <c r="E472" s="3">
        <f t="shared" ca="1" si="79"/>
        <v>-500</v>
      </c>
      <c r="F472" s="42">
        <f t="shared" si="72"/>
        <v>2.0712047672185585E-4</v>
      </c>
      <c r="G472" s="41">
        <f>SUM(F$11:F472)</f>
        <v>1.0760374116868142E-3</v>
      </c>
      <c r="I472" s="1">
        <f t="shared" si="71"/>
        <v>462</v>
      </c>
      <c r="J472" s="3">
        <v>132000</v>
      </c>
      <c r="K472" s="3">
        <v>93500</v>
      </c>
      <c r="L472" s="3">
        <v>139000</v>
      </c>
      <c r="M472" s="30">
        <f t="shared" si="73"/>
        <v>0.32000000000000006</v>
      </c>
      <c r="N472" s="1" t="str">
        <f t="shared" si="74"/>
        <v/>
      </c>
      <c r="O472" s="1" t="str">
        <f t="shared" si="75"/>
        <v/>
      </c>
    </row>
    <row r="473" spans="1:15" x14ac:dyDescent="0.25">
      <c r="A473" s="1">
        <f t="shared" si="70"/>
        <v>462</v>
      </c>
      <c r="B473" s="3">
        <f t="shared" ca="1" si="77"/>
        <v>120000</v>
      </c>
      <c r="C473" s="26">
        <f t="shared" ca="1" si="78"/>
        <v>0.60989542616775905</v>
      </c>
      <c r="D473" s="26" t="str">
        <f t="shared" ca="1" si="76"/>
        <v>Win</v>
      </c>
      <c r="E473" s="3">
        <f t="shared" ca="1" si="79"/>
        <v>500</v>
      </c>
      <c r="F473" s="42">
        <f t="shared" si="72"/>
        <v>2.5150343601939429E-4</v>
      </c>
      <c r="G473" s="41">
        <f>SUM(F$11:F473)</f>
        <v>1.3275408477062085E-3</v>
      </c>
      <c r="I473" s="1">
        <f t="shared" si="71"/>
        <v>463</v>
      </c>
      <c r="J473" s="3">
        <v>114000</v>
      </c>
      <c r="K473" s="3">
        <v>99500</v>
      </c>
      <c r="L473" s="3">
        <v>121500</v>
      </c>
      <c r="M473" s="30">
        <f t="shared" si="73"/>
        <v>0.1399999999999999</v>
      </c>
      <c r="N473" s="1" t="str">
        <f t="shared" si="74"/>
        <v/>
      </c>
      <c r="O473" s="1" t="str">
        <f t="shared" si="75"/>
        <v/>
      </c>
    </row>
    <row r="474" spans="1:15" x14ac:dyDescent="0.25">
      <c r="A474" s="1">
        <f t="shared" si="70"/>
        <v>463</v>
      </c>
      <c r="B474" s="3">
        <f t="shared" ca="1" si="77"/>
        <v>119500</v>
      </c>
      <c r="C474" s="26">
        <f t="shared" ca="1" si="78"/>
        <v>6.2401094559484838E-2</v>
      </c>
      <c r="D474" s="26" t="str">
        <f t="shared" ca="1" si="76"/>
        <v>Lose</v>
      </c>
      <c r="E474" s="3">
        <f t="shared" ca="1" si="79"/>
        <v>-500</v>
      </c>
      <c r="F474" s="42">
        <f t="shared" si="72"/>
        <v>3.0417204908097774E-4</v>
      </c>
      <c r="G474" s="41">
        <f>SUM(F$11:F474)</f>
        <v>1.6317128967871862E-3</v>
      </c>
      <c r="I474" s="1">
        <f t="shared" si="71"/>
        <v>464</v>
      </c>
      <c r="J474" s="3">
        <v>107000</v>
      </c>
      <c r="K474" s="3">
        <v>93000</v>
      </c>
      <c r="L474" s="3">
        <v>110500</v>
      </c>
      <c r="M474" s="30">
        <f t="shared" si="73"/>
        <v>7.0000000000000062E-2</v>
      </c>
      <c r="N474" s="1" t="str">
        <f t="shared" si="74"/>
        <v/>
      </c>
      <c r="O474" s="1" t="str">
        <f t="shared" si="75"/>
        <v/>
      </c>
    </row>
    <row r="475" spans="1:15" x14ac:dyDescent="0.25">
      <c r="A475" s="1">
        <f t="shared" si="70"/>
        <v>464</v>
      </c>
      <c r="B475" s="3">
        <f t="shared" ca="1" si="77"/>
        <v>119000</v>
      </c>
      <c r="C475" s="26">
        <f t="shared" ca="1" si="78"/>
        <v>0.3422158229468597</v>
      </c>
      <c r="D475" s="26" t="str">
        <f t="shared" ca="1" si="76"/>
        <v>Lose</v>
      </c>
      <c r="E475" s="3">
        <f t="shared" ca="1" si="79"/>
        <v>-500</v>
      </c>
      <c r="F475" s="42">
        <f t="shared" si="72"/>
        <v>3.6639514022610399E-4</v>
      </c>
      <c r="G475" s="41">
        <f>SUM(F$11:F475)</f>
        <v>1.9981080370132902E-3</v>
      </c>
      <c r="I475" s="1">
        <f t="shared" si="71"/>
        <v>465</v>
      </c>
      <c r="J475" s="3">
        <v>134000</v>
      </c>
      <c r="K475" s="3">
        <v>94500</v>
      </c>
      <c r="L475" s="3">
        <v>135500</v>
      </c>
      <c r="M475" s="30">
        <f t="shared" si="73"/>
        <v>0.34000000000000008</v>
      </c>
      <c r="N475" s="1" t="str">
        <f t="shared" si="74"/>
        <v/>
      </c>
      <c r="O475" s="1" t="str">
        <f t="shared" si="75"/>
        <v/>
      </c>
    </row>
    <row r="476" spans="1:15" x14ac:dyDescent="0.25">
      <c r="A476" s="1">
        <f t="shared" si="70"/>
        <v>465</v>
      </c>
      <c r="B476" s="3">
        <f t="shared" ca="1" si="77"/>
        <v>118500</v>
      </c>
      <c r="C476" s="26">
        <f t="shared" ca="1" si="78"/>
        <v>0.25764901259138762</v>
      </c>
      <c r="D476" s="26" t="str">
        <f t="shared" ca="1" si="76"/>
        <v>Lose</v>
      </c>
      <c r="E476" s="3">
        <f t="shared" ca="1" si="79"/>
        <v>-500</v>
      </c>
      <c r="F476" s="42">
        <f t="shared" si="72"/>
        <v>4.395776850217608E-4</v>
      </c>
      <c r="G476" s="41">
        <f>SUM(F$11:F476)</f>
        <v>2.4376857220350509E-3</v>
      </c>
      <c r="I476" s="1">
        <f t="shared" si="71"/>
        <v>466</v>
      </c>
      <c r="J476" s="3">
        <v>96000</v>
      </c>
      <c r="K476" s="3">
        <v>90000</v>
      </c>
      <c r="L476" s="3">
        <v>107000</v>
      </c>
      <c r="M476" s="30">
        <f t="shared" si="73"/>
        <v>-4.0000000000000036E-2</v>
      </c>
      <c r="N476" s="1" t="str">
        <f t="shared" si="74"/>
        <v/>
      </c>
      <c r="O476" s="1" t="str">
        <f t="shared" si="75"/>
        <v/>
      </c>
    </row>
    <row r="477" spans="1:15" x14ac:dyDescent="0.25">
      <c r="A477" s="1">
        <f t="shared" si="70"/>
        <v>466</v>
      </c>
      <c r="B477" s="3">
        <f t="shared" ca="1" si="77"/>
        <v>118000</v>
      </c>
      <c r="C477" s="26">
        <f t="shared" ca="1" si="78"/>
        <v>0.27277328772155196</v>
      </c>
      <c r="D477" s="26" t="str">
        <f t="shared" ca="1" si="76"/>
        <v>Lose</v>
      </c>
      <c r="E477" s="3">
        <f t="shared" ca="1" si="79"/>
        <v>-500</v>
      </c>
      <c r="F477" s="42">
        <f t="shared" si="72"/>
        <v>5.2526395444595119E-4</v>
      </c>
      <c r="G477" s="41">
        <f>SUM(F$11:F477)</f>
        <v>2.9629496764810022E-3</v>
      </c>
      <c r="I477" s="1">
        <f t="shared" si="71"/>
        <v>467</v>
      </c>
      <c r="J477" s="3">
        <v>139000</v>
      </c>
      <c r="K477" s="3">
        <v>98500</v>
      </c>
      <c r="L477" s="3">
        <v>139000</v>
      </c>
      <c r="M477" s="30">
        <f t="shared" si="73"/>
        <v>0.3899999999999999</v>
      </c>
      <c r="N477" s="1" t="str">
        <f t="shared" si="74"/>
        <v/>
      </c>
      <c r="O477" s="1" t="str">
        <f t="shared" si="75"/>
        <v/>
      </c>
    </row>
    <row r="478" spans="1:15" x14ac:dyDescent="0.25">
      <c r="A478" s="1">
        <f t="shared" si="70"/>
        <v>467</v>
      </c>
      <c r="B478" s="3">
        <f t="shared" ca="1" si="77"/>
        <v>117500</v>
      </c>
      <c r="C478" s="26">
        <f t="shared" ca="1" si="78"/>
        <v>0.32180595943407819</v>
      </c>
      <c r="D478" s="26" t="str">
        <f t="shared" ca="1" si="76"/>
        <v>Lose</v>
      </c>
      <c r="E478" s="3">
        <f t="shared" ca="1" si="79"/>
        <v>-500</v>
      </c>
      <c r="F478" s="42">
        <f t="shared" si="72"/>
        <v>6.2513824827955221E-4</v>
      </c>
      <c r="G478" s="41">
        <f>SUM(F$11:F478)</f>
        <v>3.5880879247605544E-3</v>
      </c>
      <c r="I478" s="1">
        <f t="shared" si="71"/>
        <v>468</v>
      </c>
      <c r="J478" s="3">
        <v>106000</v>
      </c>
      <c r="K478" s="3">
        <v>96500</v>
      </c>
      <c r="L478" s="3">
        <v>112500</v>
      </c>
      <c r="M478" s="30">
        <f t="shared" si="73"/>
        <v>6.0000000000000053E-2</v>
      </c>
      <c r="N478" s="1" t="str">
        <f t="shared" si="74"/>
        <v/>
      </c>
      <c r="O478" s="1" t="str">
        <f t="shared" si="75"/>
        <v/>
      </c>
    </row>
    <row r="479" spans="1:15" x14ac:dyDescent="0.25">
      <c r="A479" s="1">
        <f t="shared" si="70"/>
        <v>468</v>
      </c>
      <c r="B479" s="3">
        <f t="shared" ca="1" si="77"/>
        <v>118000</v>
      </c>
      <c r="C479" s="26">
        <f t="shared" ca="1" si="78"/>
        <v>0.86754737585396924</v>
      </c>
      <c r="D479" s="26" t="str">
        <f t="shared" ca="1" si="76"/>
        <v>Win</v>
      </c>
      <c r="E479" s="3">
        <f t="shared" ca="1" si="79"/>
        <v>500</v>
      </c>
      <c r="F479" s="42">
        <f t="shared" si="72"/>
        <v>7.4102271947422708E-4</v>
      </c>
      <c r="G479" s="41">
        <f>SUM(F$11:F479)</f>
        <v>4.3291106442347816E-3</v>
      </c>
      <c r="I479" s="1">
        <f t="shared" si="71"/>
        <v>469</v>
      </c>
      <c r="J479" s="3">
        <v>94000</v>
      </c>
      <c r="K479" s="3">
        <v>84500</v>
      </c>
      <c r="L479" s="3">
        <v>103500</v>
      </c>
      <c r="M479" s="30">
        <f t="shared" si="73"/>
        <v>-6.0000000000000053E-2</v>
      </c>
      <c r="N479" s="1" t="str">
        <f t="shared" si="74"/>
        <v/>
      </c>
      <c r="O479" s="1" t="str">
        <f t="shared" si="75"/>
        <v/>
      </c>
    </row>
    <row r="480" spans="1:15" x14ac:dyDescent="0.25">
      <c r="A480" s="1">
        <f t="shared" si="70"/>
        <v>469</v>
      </c>
      <c r="B480" s="3">
        <f t="shared" ca="1" si="77"/>
        <v>117500</v>
      </c>
      <c r="C480" s="26">
        <f t="shared" ca="1" si="78"/>
        <v>9.8681265197437584E-2</v>
      </c>
      <c r="D480" s="26" t="str">
        <f t="shared" ca="1" si="76"/>
        <v>Lose</v>
      </c>
      <c r="E480" s="3">
        <f t="shared" ca="1" si="79"/>
        <v>-500</v>
      </c>
      <c r="F480" s="42">
        <f t="shared" si="72"/>
        <v>8.7487178211455708E-4</v>
      </c>
      <c r="G480" s="41">
        <f>SUM(F$11:F480)</f>
        <v>5.2039824263493389E-3</v>
      </c>
      <c r="I480" s="1">
        <f t="shared" si="71"/>
        <v>470</v>
      </c>
      <c r="J480" s="3">
        <v>90000</v>
      </c>
      <c r="K480" s="3">
        <v>89000</v>
      </c>
      <c r="L480" s="3">
        <v>103500</v>
      </c>
      <c r="M480" s="30">
        <f t="shared" si="73"/>
        <v>-9.9999999999999978E-2</v>
      </c>
      <c r="N480" s="1" t="str">
        <f t="shared" si="74"/>
        <v/>
      </c>
      <c r="O480" s="1" t="str">
        <f t="shared" si="75"/>
        <v/>
      </c>
    </row>
    <row r="481" spans="1:15" x14ac:dyDescent="0.25">
      <c r="A481" s="1">
        <f t="shared" si="70"/>
        <v>470</v>
      </c>
      <c r="B481" s="3">
        <f t="shared" ca="1" si="77"/>
        <v>118000</v>
      </c>
      <c r="C481" s="26">
        <f t="shared" ca="1" si="78"/>
        <v>0.9100465087887647</v>
      </c>
      <c r="D481" s="26" t="str">
        <f t="shared" ca="1" si="76"/>
        <v>Win</v>
      </c>
      <c r="E481" s="3">
        <f t="shared" ca="1" si="79"/>
        <v>500</v>
      </c>
      <c r="F481" s="42">
        <f t="shared" si="72"/>
        <v>1.028762602320647E-3</v>
      </c>
      <c r="G481" s="41">
        <f>SUM(F$11:F481)</f>
        <v>6.2327450286699861E-3</v>
      </c>
      <c r="I481" s="1">
        <f t="shared" si="71"/>
        <v>471</v>
      </c>
      <c r="J481" s="3">
        <v>92000</v>
      </c>
      <c r="K481" s="3">
        <v>91000</v>
      </c>
      <c r="L481" s="3">
        <v>120500</v>
      </c>
      <c r="M481" s="30">
        <f t="shared" si="73"/>
        <v>-7.999999999999996E-2</v>
      </c>
      <c r="N481" s="1" t="str">
        <f t="shared" si="74"/>
        <v/>
      </c>
      <c r="O481" s="1" t="str">
        <f t="shared" si="75"/>
        <v/>
      </c>
    </row>
    <row r="482" spans="1:15" x14ac:dyDescent="0.25">
      <c r="A482" s="1">
        <f t="shared" si="70"/>
        <v>471</v>
      </c>
      <c r="B482" s="3">
        <f t="shared" ca="1" si="77"/>
        <v>117500</v>
      </c>
      <c r="C482" s="26">
        <f t="shared" ca="1" si="78"/>
        <v>0.33315552697695183</v>
      </c>
      <c r="D482" s="26" t="str">
        <f t="shared" ca="1" si="76"/>
        <v>Lose</v>
      </c>
      <c r="E482" s="3">
        <f t="shared" ca="1" si="79"/>
        <v>-500</v>
      </c>
      <c r="F482" s="42">
        <f t="shared" si="72"/>
        <v>1.2048811967904547E-3</v>
      </c>
      <c r="G482" s="41">
        <f>SUM(F$11:F482)</f>
        <v>7.4376262254604412E-3</v>
      </c>
      <c r="I482" s="1">
        <f t="shared" si="71"/>
        <v>472</v>
      </c>
      <c r="J482" s="3">
        <v>90000</v>
      </c>
      <c r="K482" s="3">
        <v>78000</v>
      </c>
      <c r="L482" s="3">
        <v>104500</v>
      </c>
      <c r="M482" s="30">
        <f t="shared" si="73"/>
        <v>-9.9999999999999978E-2</v>
      </c>
      <c r="N482" s="1" t="str">
        <f t="shared" si="74"/>
        <v/>
      </c>
      <c r="O482" s="1" t="str">
        <f t="shared" si="75"/>
        <v/>
      </c>
    </row>
    <row r="483" spans="1:15" x14ac:dyDescent="0.25">
      <c r="A483" s="1">
        <f t="shared" si="70"/>
        <v>472</v>
      </c>
      <c r="B483" s="3">
        <f t="shared" ca="1" si="77"/>
        <v>117000</v>
      </c>
      <c r="C483" s="26">
        <f t="shared" ca="1" si="78"/>
        <v>0.22031284159551945</v>
      </c>
      <c r="D483" s="26" t="str">
        <f t="shared" ca="1" si="76"/>
        <v>Lose</v>
      </c>
      <c r="E483" s="3">
        <f t="shared" ca="1" si="79"/>
        <v>-500</v>
      </c>
      <c r="F483" s="42">
        <f t="shared" si="72"/>
        <v>1.4055037101439805E-3</v>
      </c>
      <c r="G483" s="41">
        <f>SUM(F$11:F483)</f>
        <v>8.843129935604422E-3</v>
      </c>
      <c r="I483" s="1">
        <f t="shared" si="71"/>
        <v>473</v>
      </c>
      <c r="J483" s="3">
        <v>76000</v>
      </c>
      <c r="K483" s="3">
        <v>73000</v>
      </c>
      <c r="L483" s="3">
        <v>100500</v>
      </c>
      <c r="M483" s="30">
        <f t="shared" si="73"/>
        <v>-0.24</v>
      </c>
      <c r="N483" s="1" t="str">
        <f t="shared" si="74"/>
        <v/>
      </c>
      <c r="O483" s="1" t="str">
        <f t="shared" si="75"/>
        <v/>
      </c>
    </row>
    <row r="484" spans="1:15" x14ac:dyDescent="0.25">
      <c r="A484" s="1">
        <f t="shared" si="70"/>
        <v>473</v>
      </c>
      <c r="B484" s="3">
        <f t="shared" ca="1" si="77"/>
        <v>116500</v>
      </c>
      <c r="C484" s="26">
        <f t="shared" ca="1" si="78"/>
        <v>0.21964009704119691</v>
      </c>
      <c r="D484" s="26" t="str">
        <f t="shared" ca="1" si="76"/>
        <v>Lose</v>
      </c>
      <c r="E484" s="3">
        <f t="shared" ca="1" si="79"/>
        <v>-500</v>
      </c>
      <c r="F484" s="42">
        <f t="shared" si="72"/>
        <v>1.632972511833148E-3</v>
      </c>
      <c r="G484" s="41">
        <f>SUM(F$11:F484)</f>
        <v>1.0476102447437571E-2</v>
      </c>
      <c r="I484" s="1">
        <f t="shared" si="71"/>
        <v>474</v>
      </c>
      <c r="J484" s="3">
        <v>90000</v>
      </c>
      <c r="K484" s="3">
        <v>82500</v>
      </c>
      <c r="L484" s="3">
        <v>102000</v>
      </c>
      <c r="M484" s="30">
        <f t="shared" si="73"/>
        <v>-9.9999999999999978E-2</v>
      </c>
      <c r="N484" s="1" t="str">
        <f t="shared" si="74"/>
        <v/>
      </c>
      <c r="O484" s="1" t="str">
        <f t="shared" si="75"/>
        <v/>
      </c>
    </row>
    <row r="485" spans="1:15" x14ac:dyDescent="0.25">
      <c r="A485" s="1">
        <f t="shared" si="70"/>
        <v>474</v>
      </c>
      <c r="B485" s="3">
        <f t="shared" ca="1" si="77"/>
        <v>117000</v>
      </c>
      <c r="C485" s="26">
        <f t="shared" ca="1" si="78"/>
        <v>0.50585615888863222</v>
      </c>
      <c r="D485" s="26" t="str">
        <f t="shared" ca="1" si="76"/>
        <v>Win</v>
      </c>
      <c r="E485" s="3">
        <f t="shared" ca="1" si="79"/>
        <v>500</v>
      </c>
      <c r="F485" s="42">
        <f t="shared" si="72"/>
        <v>1.8896668475217411E-3</v>
      </c>
      <c r="G485" s="41">
        <f>SUM(F$11:F485)</f>
        <v>1.2365769294959313E-2</v>
      </c>
      <c r="I485" s="1">
        <f t="shared" si="71"/>
        <v>475</v>
      </c>
      <c r="J485" s="3">
        <v>98000</v>
      </c>
      <c r="K485" s="3">
        <v>89500</v>
      </c>
      <c r="L485" s="3">
        <v>110000</v>
      </c>
      <c r="M485" s="30">
        <f t="shared" si="73"/>
        <v>-2.0000000000000018E-2</v>
      </c>
      <c r="N485" s="1" t="str">
        <f t="shared" si="74"/>
        <v/>
      </c>
      <c r="O485" s="1" t="str">
        <f t="shared" si="75"/>
        <v/>
      </c>
    </row>
    <row r="486" spans="1:15" x14ac:dyDescent="0.25">
      <c r="A486" s="1">
        <f t="shared" si="70"/>
        <v>475</v>
      </c>
      <c r="B486" s="3">
        <f t="shared" ca="1" si="77"/>
        <v>117500</v>
      </c>
      <c r="C486" s="26">
        <f t="shared" ca="1" si="78"/>
        <v>0.89398624334055188</v>
      </c>
      <c r="D486" s="26" t="str">
        <f t="shared" ca="1" si="76"/>
        <v>Win</v>
      </c>
      <c r="E486" s="3">
        <f t="shared" ca="1" si="79"/>
        <v>500</v>
      </c>
      <c r="F486" s="42">
        <f t="shared" si="72"/>
        <v>2.1779678991027964E-3</v>
      </c>
      <c r="G486" s="41">
        <f>SUM(F$11:F486)</f>
        <v>1.4543737194062109E-2</v>
      </c>
      <c r="I486" s="1">
        <f t="shared" si="71"/>
        <v>476</v>
      </c>
      <c r="J486" s="3">
        <v>122000</v>
      </c>
      <c r="K486" s="3">
        <v>99500</v>
      </c>
      <c r="L486" s="3">
        <v>122500</v>
      </c>
      <c r="M486" s="30">
        <f t="shared" si="73"/>
        <v>0.21999999999999997</v>
      </c>
      <c r="N486" s="1" t="str">
        <f t="shared" si="74"/>
        <v/>
      </c>
      <c r="O486" s="1" t="str">
        <f t="shared" si="75"/>
        <v/>
      </c>
    </row>
    <row r="487" spans="1:15" x14ac:dyDescent="0.25">
      <c r="A487" s="1">
        <f t="shared" si="70"/>
        <v>476</v>
      </c>
      <c r="B487" s="3">
        <f t="shared" ca="1" si="77"/>
        <v>117000</v>
      </c>
      <c r="C487" s="26">
        <f t="shared" ca="1" si="78"/>
        <v>9.9836695888753102E-2</v>
      </c>
      <c r="D487" s="26" t="str">
        <f t="shared" ca="1" si="76"/>
        <v>Lose</v>
      </c>
      <c r="E487" s="3">
        <f t="shared" ca="1" si="79"/>
        <v>-500</v>
      </c>
      <c r="F487" s="42">
        <f t="shared" si="72"/>
        <v>2.5002182515210776E-3</v>
      </c>
      <c r="G487" s="41">
        <f>SUM(F$11:F487)</f>
        <v>1.7043955445583188E-2</v>
      </c>
      <c r="I487" s="1">
        <f t="shared" si="71"/>
        <v>477</v>
      </c>
      <c r="J487" s="3">
        <v>128000</v>
      </c>
      <c r="K487" s="3">
        <v>100000</v>
      </c>
      <c r="L487" s="3">
        <v>130000</v>
      </c>
      <c r="M487" s="30">
        <f t="shared" si="73"/>
        <v>0.28000000000000003</v>
      </c>
      <c r="N487" s="1" t="str">
        <f t="shared" si="74"/>
        <v/>
      </c>
      <c r="O487" s="1" t="str">
        <f t="shared" si="75"/>
        <v/>
      </c>
    </row>
    <row r="488" spans="1:15" x14ac:dyDescent="0.25">
      <c r="A488" s="1">
        <f t="shared" si="70"/>
        <v>477</v>
      </c>
      <c r="B488" s="3">
        <f t="shared" ca="1" si="77"/>
        <v>117500</v>
      </c>
      <c r="C488" s="26">
        <f t="shared" ca="1" si="78"/>
        <v>0.72877070074919748</v>
      </c>
      <c r="D488" s="26" t="str">
        <f t="shared" ca="1" si="76"/>
        <v>Win</v>
      </c>
      <c r="E488" s="3">
        <f t="shared" ca="1" si="79"/>
        <v>500</v>
      </c>
      <c r="F488" s="42">
        <f t="shared" si="72"/>
        <v>2.8586759317866472E-3</v>
      </c>
      <c r="G488" s="41">
        <f>SUM(F$11:F488)</f>
        <v>1.9902631377369834E-2</v>
      </c>
      <c r="I488" s="1">
        <f t="shared" si="71"/>
        <v>478</v>
      </c>
      <c r="J488" s="3">
        <v>115000</v>
      </c>
      <c r="K488" s="3">
        <v>96000</v>
      </c>
      <c r="L488" s="3">
        <v>118500</v>
      </c>
      <c r="M488" s="30">
        <f t="shared" si="73"/>
        <v>0.14999999999999991</v>
      </c>
      <c r="N488" s="1" t="str">
        <f t="shared" si="74"/>
        <v/>
      </c>
      <c r="O488" s="1" t="str">
        <f t="shared" si="75"/>
        <v/>
      </c>
    </row>
    <row r="489" spans="1:15" x14ac:dyDescent="0.25">
      <c r="A489" s="1">
        <f t="shared" si="70"/>
        <v>478</v>
      </c>
      <c r="B489" s="3">
        <f t="shared" ca="1" si="77"/>
        <v>117000</v>
      </c>
      <c r="C489" s="26">
        <f t="shared" ca="1" si="78"/>
        <v>0.28997092946027081</v>
      </c>
      <c r="D489" s="26" t="str">
        <f t="shared" ca="1" si="76"/>
        <v>Lose</v>
      </c>
      <c r="E489" s="3">
        <f t="shared" ca="1" si="79"/>
        <v>-500</v>
      </c>
      <c r="F489" s="42">
        <f t="shared" si="72"/>
        <v>3.2554633732621288E-3</v>
      </c>
      <c r="G489" s="41">
        <f>SUM(F$11:F489)</f>
        <v>2.3158094750631963E-2</v>
      </c>
      <c r="I489" s="1">
        <f t="shared" si="71"/>
        <v>479</v>
      </c>
      <c r="J489" s="3">
        <v>95000</v>
      </c>
      <c r="K489" s="3">
        <v>95000</v>
      </c>
      <c r="L489" s="3">
        <v>118500</v>
      </c>
      <c r="M489" s="30">
        <f t="shared" si="73"/>
        <v>-5.0000000000000044E-2</v>
      </c>
      <c r="N489" s="1" t="str">
        <f t="shared" si="74"/>
        <v/>
      </c>
      <c r="O489" s="1" t="str">
        <f t="shared" si="75"/>
        <v/>
      </c>
    </row>
    <row r="490" spans="1:15" x14ac:dyDescent="0.25">
      <c r="A490" s="1">
        <f t="shared" si="70"/>
        <v>479</v>
      </c>
      <c r="B490" s="3">
        <f t="shared" ca="1" si="77"/>
        <v>116500</v>
      </c>
      <c r="C490" s="26">
        <f t="shared" ca="1" si="78"/>
        <v>0.31048141715382205</v>
      </c>
      <c r="D490" s="26" t="str">
        <f t="shared" ca="1" si="76"/>
        <v>Lose</v>
      </c>
      <c r="E490" s="3">
        <f t="shared" ca="1" si="79"/>
        <v>-500</v>
      </c>
      <c r="F490" s="42">
        <f t="shared" si="72"/>
        <v>3.6925118624252891E-3</v>
      </c>
      <c r="G490" s="41">
        <f>SUM(F$11:F490)</f>
        <v>2.6850606613057253E-2</v>
      </c>
      <c r="I490" s="1">
        <f t="shared" si="71"/>
        <v>480</v>
      </c>
      <c r="J490" s="3">
        <v>123000</v>
      </c>
      <c r="K490" s="3">
        <v>99500</v>
      </c>
      <c r="L490" s="3">
        <v>126500</v>
      </c>
      <c r="M490" s="30">
        <f t="shared" si="73"/>
        <v>0.22999999999999998</v>
      </c>
      <c r="N490" s="1" t="str">
        <f t="shared" si="74"/>
        <v/>
      </c>
      <c r="O490" s="1" t="str">
        <f t="shared" si="75"/>
        <v/>
      </c>
    </row>
    <row r="491" spans="1:15" x14ac:dyDescent="0.25">
      <c r="A491" s="1">
        <f t="shared" si="70"/>
        <v>480</v>
      </c>
      <c r="B491" s="3">
        <f t="shared" ca="1" si="77"/>
        <v>116000</v>
      </c>
      <c r="C491" s="26">
        <f t="shared" ca="1" si="78"/>
        <v>0.2450162562818583</v>
      </c>
      <c r="D491" s="26" t="str">
        <f t="shared" ca="1" si="76"/>
        <v>Lose</v>
      </c>
      <c r="E491" s="3">
        <f t="shared" ca="1" si="79"/>
        <v>-500</v>
      </c>
      <c r="F491" s="42">
        <f t="shared" si="72"/>
        <v>4.1715022404975478E-3</v>
      </c>
      <c r="G491" s="41">
        <f>SUM(F$11:F491)</f>
        <v>3.1022108853554803E-2</v>
      </c>
      <c r="I491" s="1">
        <f t="shared" si="71"/>
        <v>481</v>
      </c>
      <c r="J491" s="3">
        <v>124000</v>
      </c>
      <c r="K491" s="3">
        <v>91500</v>
      </c>
      <c r="L491" s="3">
        <v>127500</v>
      </c>
      <c r="M491" s="30">
        <f t="shared" si="73"/>
        <v>0.24</v>
      </c>
      <c r="N491" s="1" t="str">
        <f t="shared" si="74"/>
        <v/>
      </c>
      <c r="O491" s="1" t="str">
        <f t="shared" si="75"/>
        <v/>
      </c>
    </row>
    <row r="492" spans="1:15" x14ac:dyDescent="0.25">
      <c r="A492" s="1">
        <f t="shared" si="70"/>
        <v>481</v>
      </c>
      <c r="B492" s="3">
        <f t="shared" ca="1" si="77"/>
        <v>115500</v>
      </c>
      <c r="C492" s="26">
        <f t="shared" ca="1" si="78"/>
        <v>0.14325982564037232</v>
      </c>
      <c r="D492" s="26" t="str">
        <f t="shared" ca="1" si="76"/>
        <v>Lose</v>
      </c>
      <c r="E492" s="3">
        <f t="shared" ca="1" si="79"/>
        <v>-500</v>
      </c>
      <c r="F492" s="42">
        <f t="shared" si="72"/>
        <v>4.6938028519663486E-3</v>
      </c>
      <c r="G492" s="41">
        <f>SUM(F$11:F492)</f>
        <v>3.5715911705521151E-2</v>
      </c>
      <c r="I492" s="1">
        <f t="shared" si="71"/>
        <v>482</v>
      </c>
      <c r="J492" s="3">
        <v>110000</v>
      </c>
      <c r="K492" s="3">
        <v>83500</v>
      </c>
      <c r="L492" s="3">
        <v>110500</v>
      </c>
      <c r="M492" s="30">
        <f t="shared" si="73"/>
        <v>0.10000000000000009</v>
      </c>
      <c r="N492" s="1" t="str">
        <f t="shared" si="74"/>
        <v/>
      </c>
      <c r="O492" s="1" t="str">
        <f t="shared" si="75"/>
        <v/>
      </c>
    </row>
    <row r="493" spans="1:15" x14ac:dyDescent="0.25">
      <c r="A493" s="1">
        <f t="shared" si="70"/>
        <v>482</v>
      </c>
      <c r="B493" s="3">
        <f t="shared" ca="1" si="77"/>
        <v>116000</v>
      </c>
      <c r="C493" s="26">
        <f t="shared" ca="1" si="78"/>
        <v>0.82482545587739875</v>
      </c>
      <c r="D493" s="26" t="str">
        <f t="shared" ca="1" si="76"/>
        <v>Win</v>
      </c>
      <c r="E493" s="3">
        <f t="shared" ca="1" si="79"/>
        <v>500</v>
      </c>
      <c r="F493" s="42">
        <f t="shared" si="72"/>
        <v>5.2604059483740027E-3</v>
      </c>
      <c r="G493" s="41">
        <f>SUM(F$11:F493)</f>
        <v>4.0976317653895152E-2</v>
      </c>
      <c r="I493" s="1">
        <f t="shared" si="71"/>
        <v>483</v>
      </c>
      <c r="J493" s="3">
        <v>90000</v>
      </c>
      <c r="K493" s="3">
        <v>81500</v>
      </c>
      <c r="L493" s="3">
        <v>100500</v>
      </c>
      <c r="M493" s="30">
        <f t="shared" si="73"/>
        <v>-9.9999999999999978E-2</v>
      </c>
      <c r="N493" s="1" t="str">
        <f t="shared" si="74"/>
        <v/>
      </c>
      <c r="O493" s="1" t="str">
        <f t="shared" si="75"/>
        <v/>
      </c>
    </row>
    <row r="494" spans="1:15" x14ac:dyDescent="0.25">
      <c r="A494" s="1">
        <f t="shared" si="70"/>
        <v>483</v>
      </c>
      <c r="B494" s="3">
        <f t="shared" ca="1" si="77"/>
        <v>115500</v>
      </c>
      <c r="C494" s="26">
        <f t="shared" ca="1" si="78"/>
        <v>7.7957868056457658E-2</v>
      </c>
      <c r="D494" s="26" t="str">
        <f t="shared" ca="1" si="76"/>
        <v>Lose</v>
      </c>
      <c r="E494" s="3">
        <f t="shared" ca="1" si="79"/>
        <v>-500</v>
      </c>
      <c r="F494" s="42">
        <f t="shared" si="72"/>
        <v>5.8718639601193353E-3</v>
      </c>
      <c r="G494" s="41">
        <f>SUM(F$11:F494)</f>
        <v>4.6848181614014488E-2</v>
      </c>
      <c r="I494" s="1">
        <f t="shared" si="71"/>
        <v>484</v>
      </c>
      <c r="J494" s="3">
        <v>112000</v>
      </c>
      <c r="K494" s="3">
        <v>95000</v>
      </c>
      <c r="L494" s="3">
        <v>121000</v>
      </c>
      <c r="M494" s="30">
        <f t="shared" si="73"/>
        <v>0.12000000000000011</v>
      </c>
      <c r="N494" s="1" t="str">
        <f t="shared" si="74"/>
        <v/>
      </c>
      <c r="O494" s="1" t="str">
        <f t="shared" si="75"/>
        <v/>
      </c>
    </row>
    <row r="495" spans="1:15" x14ac:dyDescent="0.25">
      <c r="A495" s="1">
        <f t="shared" si="70"/>
        <v>484</v>
      </c>
      <c r="B495" s="3">
        <f t="shared" ca="1" si="77"/>
        <v>116000</v>
      </c>
      <c r="C495" s="26">
        <f t="shared" ca="1" si="78"/>
        <v>0.81386240293068934</v>
      </c>
      <c r="D495" s="26" t="str">
        <f t="shared" ca="1" si="76"/>
        <v>Win</v>
      </c>
      <c r="E495" s="3">
        <f t="shared" ca="1" si="79"/>
        <v>500</v>
      </c>
      <c r="F495" s="42">
        <f t="shared" si="72"/>
        <v>6.5282272320992887E-3</v>
      </c>
      <c r="G495" s="41">
        <f>SUM(F$11:F495)</f>
        <v>5.3376408846113776E-2</v>
      </c>
      <c r="I495" s="1">
        <f t="shared" si="71"/>
        <v>485</v>
      </c>
      <c r="J495" s="3">
        <v>114000</v>
      </c>
      <c r="K495" s="3">
        <v>98000</v>
      </c>
      <c r="L495" s="3">
        <v>120500</v>
      </c>
      <c r="M495" s="30">
        <f t="shared" si="73"/>
        <v>0.1399999999999999</v>
      </c>
      <c r="N495" s="1" t="str">
        <f t="shared" si="74"/>
        <v/>
      </c>
      <c r="O495" s="1" t="str">
        <f t="shared" si="75"/>
        <v/>
      </c>
    </row>
    <row r="496" spans="1:15" x14ac:dyDescent="0.25">
      <c r="A496" s="1">
        <f t="shared" si="70"/>
        <v>485</v>
      </c>
      <c r="B496" s="3">
        <f t="shared" ca="1" si="77"/>
        <v>115500</v>
      </c>
      <c r="C496" s="26">
        <f t="shared" ca="1" si="78"/>
        <v>0.17308243252755839</v>
      </c>
      <c r="D496" s="26" t="str">
        <f t="shared" ca="1" si="76"/>
        <v>Lose</v>
      </c>
      <c r="E496" s="3">
        <f t="shared" ca="1" si="79"/>
        <v>-500</v>
      </c>
      <c r="F496" s="42">
        <f t="shared" si="72"/>
        <v>7.2289849711729215E-3</v>
      </c>
      <c r="G496" s="41">
        <f>SUM(F$11:F496)</f>
        <v>6.0605393817286697E-2</v>
      </c>
      <c r="I496" s="1">
        <f t="shared" si="71"/>
        <v>486</v>
      </c>
      <c r="J496" s="3">
        <v>92000</v>
      </c>
      <c r="K496" s="3">
        <v>82000</v>
      </c>
      <c r="L496" s="3">
        <v>106500</v>
      </c>
      <c r="M496" s="30">
        <f t="shared" si="73"/>
        <v>-7.999999999999996E-2</v>
      </c>
      <c r="N496" s="1" t="str">
        <f t="shared" si="74"/>
        <v/>
      </c>
      <c r="O496" s="1" t="str">
        <f t="shared" si="75"/>
        <v/>
      </c>
    </row>
    <row r="497" spans="1:15" x14ac:dyDescent="0.25">
      <c r="A497" s="1">
        <f t="shared" si="70"/>
        <v>486</v>
      </c>
      <c r="B497" s="3">
        <f t="shared" ca="1" si="77"/>
        <v>115000</v>
      </c>
      <c r="C497" s="26">
        <f t="shared" ca="1" si="78"/>
        <v>2.0941239828545788E-2</v>
      </c>
      <c r="D497" s="26" t="str">
        <f t="shared" ca="1" si="76"/>
        <v>Lose</v>
      </c>
      <c r="E497" s="3">
        <f t="shared" ca="1" si="79"/>
        <v>-500</v>
      </c>
      <c r="F497" s="42">
        <f t="shared" si="72"/>
        <v>7.9730112651321614E-3</v>
      </c>
      <c r="G497" s="41">
        <f>SUM(F$11:F497)</f>
        <v>6.8578405082418858E-2</v>
      </c>
      <c r="I497" s="1">
        <f t="shared" si="71"/>
        <v>487</v>
      </c>
      <c r="J497" s="3">
        <v>77000</v>
      </c>
      <c r="K497" s="3">
        <v>71500</v>
      </c>
      <c r="L497" s="3">
        <v>103000</v>
      </c>
      <c r="M497" s="30">
        <f t="shared" si="73"/>
        <v>-0.22999999999999998</v>
      </c>
      <c r="N497" s="1" t="str">
        <f t="shared" si="74"/>
        <v/>
      </c>
      <c r="O497" s="1" t="str">
        <f t="shared" si="75"/>
        <v/>
      </c>
    </row>
    <row r="498" spans="1:15" x14ac:dyDescent="0.25">
      <c r="A498" s="1">
        <f t="shared" si="70"/>
        <v>487</v>
      </c>
      <c r="B498" s="3">
        <f t="shared" ca="1" si="77"/>
        <v>115500</v>
      </c>
      <c r="C498" s="26">
        <f t="shared" ca="1" si="78"/>
        <v>0.98505998979567422</v>
      </c>
      <c r="D498" s="26" t="str">
        <f t="shared" ca="1" si="76"/>
        <v>Win</v>
      </c>
      <c r="E498" s="3">
        <f t="shared" ca="1" si="79"/>
        <v>500</v>
      </c>
      <c r="F498" s="42">
        <f t="shared" si="72"/>
        <v>8.758518095133604E-3</v>
      </c>
      <c r="G498" s="41">
        <f>SUM(F$11:F498)</f>
        <v>7.7336923177552461E-2</v>
      </c>
      <c r="I498" s="1">
        <f t="shared" si="71"/>
        <v>488</v>
      </c>
      <c r="J498" s="3">
        <v>122000</v>
      </c>
      <c r="K498" s="3">
        <v>95000</v>
      </c>
      <c r="L498" s="3">
        <v>126500</v>
      </c>
      <c r="M498" s="30">
        <f t="shared" si="73"/>
        <v>0.21999999999999997</v>
      </c>
      <c r="N498" s="1" t="str">
        <f t="shared" si="74"/>
        <v/>
      </c>
      <c r="O498" s="1" t="str">
        <f t="shared" si="75"/>
        <v/>
      </c>
    </row>
    <row r="499" spans="1:15" x14ac:dyDescent="0.25">
      <c r="A499" s="1">
        <f t="shared" si="70"/>
        <v>488</v>
      </c>
      <c r="B499" s="3">
        <f t="shared" ca="1" si="77"/>
        <v>115000</v>
      </c>
      <c r="C499" s="26">
        <f t="shared" ca="1" si="78"/>
        <v>0.34026180825800212</v>
      </c>
      <c r="D499" s="26" t="str">
        <f t="shared" ca="1" si="76"/>
        <v>Lose</v>
      </c>
      <c r="E499" s="3">
        <f t="shared" ca="1" si="79"/>
        <v>-500</v>
      </c>
      <c r="F499" s="42">
        <f t="shared" si="72"/>
        <v>9.5830172684418756E-3</v>
      </c>
      <c r="G499" s="41">
        <f>SUM(F$11:F499)</f>
        <v>8.691994044599434E-2</v>
      </c>
      <c r="I499" s="1">
        <f t="shared" si="71"/>
        <v>489</v>
      </c>
      <c r="J499" s="3">
        <v>108000</v>
      </c>
      <c r="K499" s="3">
        <v>80000</v>
      </c>
      <c r="L499" s="3">
        <v>109500</v>
      </c>
      <c r="M499" s="30">
        <f t="shared" si="73"/>
        <v>8.0000000000000071E-2</v>
      </c>
      <c r="N499" s="1" t="str">
        <f t="shared" si="74"/>
        <v/>
      </c>
      <c r="O499" s="1" t="str">
        <f t="shared" si="75"/>
        <v/>
      </c>
    </row>
    <row r="500" spans="1:15" x14ac:dyDescent="0.25">
      <c r="A500" s="1">
        <f t="shared" si="70"/>
        <v>489</v>
      </c>
      <c r="B500" s="3">
        <f t="shared" ca="1" si="77"/>
        <v>115500</v>
      </c>
      <c r="C500" s="26">
        <f t="shared" ca="1" si="78"/>
        <v>0.79736347930599549</v>
      </c>
      <c r="D500" s="26" t="str">
        <f t="shared" ca="1" si="76"/>
        <v>Win</v>
      </c>
      <c r="E500" s="3">
        <f t="shared" ca="1" si="79"/>
        <v>500</v>
      </c>
      <c r="F500" s="42">
        <f t="shared" si="72"/>
        <v>1.0443293139416237E-2</v>
      </c>
      <c r="G500" s="41">
        <f>SUM(F$11:F500)</f>
        <v>9.7363233585410575E-2</v>
      </c>
      <c r="I500" s="1">
        <f t="shared" si="71"/>
        <v>490</v>
      </c>
      <c r="J500" s="3">
        <v>130000</v>
      </c>
      <c r="K500" s="3">
        <v>96500</v>
      </c>
      <c r="L500" s="3">
        <v>132000</v>
      </c>
      <c r="M500" s="30">
        <f t="shared" si="73"/>
        <v>0.30000000000000004</v>
      </c>
      <c r="N500" s="1" t="str">
        <f t="shared" si="74"/>
        <v/>
      </c>
      <c r="O500" s="1" t="str">
        <f t="shared" si="75"/>
        <v/>
      </c>
    </row>
    <row r="501" spans="1:15" x14ac:dyDescent="0.25">
      <c r="A501" s="1">
        <f t="shared" si="70"/>
        <v>490</v>
      </c>
      <c r="B501" s="3">
        <f t="shared" ca="1" si="77"/>
        <v>115000</v>
      </c>
      <c r="C501" s="26">
        <f t="shared" ca="1" si="78"/>
        <v>2.5245956524308277E-2</v>
      </c>
      <c r="D501" s="26" t="str">
        <f t="shared" ca="1" si="76"/>
        <v>Lose</v>
      </c>
      <c r="E501" s="3">
        <f t="shared" ca="1" si="79"/>
        <v>-500</v>
      </c>
      <c r="F501" s="42">
        <f t="shared" si="72"/>
        <v>1.1335387859488904E-2</v>
      </c>
      <c r="G501" s="41">
        <f>SUM(F$11:F501)</f>
        <v>0.10869862144489947</v>
      </c>
      <c r="I501" s="1">
        <f t="shared" si="71"/>
        <v>491</v>
      </c>
      <c r="J501" s="3">
        <v>141000</v>
      </c>
      <c r="K501" s="3">
        <v>100000</v>
      </c>
      <c r="L501" s="3">
        <v>141500</v>
      </c>
      <c r="M501" s="30">
        <f t="shared" si="73"/>
        <v>0.40999999999999992</v>
      </c>
      <c r="N501" s="1" t="str">
        <f t="shared" si="74"/>
        <v/>
      </c>
      <c r="O501" s="1" t="str">
        <f t="shared" si="75"/>
        <v/>
      </c>
    </row>
    <row r="502" spans="1:15" x14ac:dyDescent="0.25">
      <c r="A502" s="1">
        <f t="shared" si="70"/>
        <v>491</v>
      </c>
      <c r="B502" s="3">
        <f t="shared" ca="1" si="77"/>
        <v>115500</v>
      </c>
      <c r="C502" s="26">
        <f t="shared" ca="1" si="78"/>
        <v>0.70710662281986847</v>
      </c>
      <c r="D502" s="26" t="str">
        <f t="shared" ca="1" si="76"/>
        <v>Win</v>
      </c>
      <c r="E502" s="3">
        <f t="shared" ca="1" si="79"/>
        <v>500</v>
      </c>
      <c r="F502" s="42">
        <f t="shared" si="72"/>
        <v>1.2254600699335236E-2</v>
      </c>
      <c r="G502" s="41">
        <f>SUM(F$11:F502)</f>
        <v>0.12095322214423471</v>
      </c>
      <c r="I502" s="1">
        <f t="shared" si="71"/>
        <v>492</v>
      </c>
      <c r="J502" s="3">
        <v>95000</v>
      </c>
      <c r="K502" s="3">
        <v>86000</v>
      </c>
      <c r="L502" s="3">
        <v>104000</v>
      </c>
      <c r="M502" s="30">
        <f t="shared" si="73"/>
        <v>-5.0000000000000044E-2</v>
      </c>
      <c r="N502" s="1" t="str">
        <f t="shared" si="74"/>
        <v/>
      </c>
      <c r="O502" s="1" t="str">
        <f t="shared" si="75"/>
        <v/>
      </c>
    </row>
    <row r="503" spans="1:15" x14ac:dyDescent="0.25">
      <c r="A503" s="1">
        <f t="shared" si="70"/>
        <v>492</v>
      </c>
      <c r="B503" s="3">
        <f t="shared" ca="1" si="77"/>
        <v>116000</v>
      </c>
      <c r="C503" s="26">
        <f t="shared" ca="1" si="78"/>
        <v>0.8293761940297445</v>
      </c>
      <c r="D503" s="26" t="str">
        <f t="shared" ca="1" si="76"/>
        <v>Win</v>
      </c>
      <c r="E503" s="3">
        <f t="shared" ca="1" si="79"/>
        <v>500</v>
      </c>
      <c r="F503" s="42">
        <f t="shared" si="72"/>
        <v>1.3195502719182108E-2</v>
      </c>
      <c r="G503" s="41">
        <f>SUM(F$11:F503)</f>
        <v>0.13414872486341681</v>
      </c>
      <c r="I503" s="1">
        <f t="shared" si="71"/>
        <v>493</v>
      </c>
      <c r="J503" s="3">
        <v>92000</v>
      </c>
      <c r="K503" s="3">
        <v>79500</v>
      </c>
      <c r="L503" s="3">
        <v>102000</v>
      </c>
      <c r="M503" s="30">
        <f t="shared" si="73"/>
        <v>-7.999999999999996E-2</v>
      </c>
      <c r="N503" s="1" t="str">
        <f t="shared" si="74"/>
        <v/>
      </c>
      <c r="O503" s="1" t="str">
        <f t="shared" si="75"/>
        <v/>
      </c>
    </row>
    <row r="504" spans="1:15" x14ac:dyDescent="0.25">
      <c r="A504" s="1">
        <f t="shared" si="70"/>
        <v>493</v>
      </c>
      <c r="B504" s="3">
        <f t="shared" ca="1" si="77"/>
        <v>116500</v>
      </c>
      <c r="C504" s="26">
        <f t="shared" ca="1" si="78"/>
        <v>0.91031490274349325</v>
      </c>
      <c r="D504" s="26" t="str">
        <f t="shared" ca="1" si="76"/>
        <v>Win</v>
      </c>
      <c r="E504" s="3">
        <f t="shared" ca="1" si="79"/>
        <v>500</v>
      </c>
      <c r="F504" s="42">
        <f t="shared" si="72"/>
        <v>1.4151967729791378E-2</v>
      </c>
      <c r="G504" s="41">
        <f>SUM(F$11:F504)</f>
        <v>0.14830069259320819</v>
      </c>
      <c r="I504" s="1">
        <f t="shared" si="71"/>
        <v>494</v>
      </c>
      <c r="J504" s="3">
        <v>112000</v>
      </c>
      <c r="K504" s="3">
        <v>91000</v>
      </c>
      <c r="L504" s="3">
        <v>115000</v>
      </c>
      <c r="M504" s="30">
        <f t="shared" si="73"/>
        <v>0.12000000000000011</v>
      </c>
      <c r="N504" s="1" t="str">
        <f t="shared" si="74"/>
        <v/>
      </c>
      <c r="O504" s="1" t="str">
        <f t="shared" si="75"/>
        <v/>
      </c>
    </row>
    <row r="505" spans="1:15" x14ac:dyDescent="0.25">
      <c r="A505" s="1">
        <f t="shared" si="70"/>
        <v>494</v>
      </c>
      <c r="B505" s="3">
        <f t="shared" ca="1" si="77"/>
        <v>117000</v>
      </c>
      <c r="C505" s="26">
        <f t="shared" ca="1" si="78"/>
        <v>0.71670722891175209</v>
      </c>
      <c r="D505" s="26" t="str">
        <f t="shared" ca="1" si="76"/>
        <v>Win</v>
      </c>
      <c r="E505" s="3">
        <f t="shared" ca="1" si="79"/>
        <v>500</v>
      </c>
      <c r="F505" s="42">
        <f t="shared" si="72"/>
        <v>1.5117220093746036E-2</v>
      </c>
      <c r="G505" s="41">
        <f>SUM(F$11:F505)</f>
        <v>0.16341791268695421</v>
      </c>
      <c r="I505" s="1">
        <f t="shared" si="71"/>
        <v>495</v>
      </c>
      <c r="J505" s="3">
        <v>101000</v>
      </c>
      <c r="K505" s="3">
        <v>82500</v>
      </c>
      <c r="L505" s="3">
        <v>107000</v>
      </c>
      <c r="M505" s="30">
        <f t="shared" si="73"/>
        <v>1.0000000000000009E-2</v>
      </c>
      <c r="N505" s="1" t="str">
        <f t="shared" si="74"/>
        <v/>
      </c>
      <c r="O505" s="1" t="str">
        <f t="shared" si="75"/>
        <v/>
      </c>
    </row>
    <row r="506" spans="1:15" x14ac:dyDescent="0.25">
      <c r="A506" s="1">
        <f t="shared" si="70"/>
        <v>495</v>
      </c>
      <c r="B506" s="3">
        <f t="shared" ca="1" si="77"/>
        <v>116500</v>
      </c>
      <c r="C506" s="26">
        <f t="shared" ca="1" si="78"/>
        <v>4.4641033923011664E-2</v>
      </c>
      <c r="D506" s="26" t="str">
        <f t="shared" ca="1" si="76"/>
        <v>Lose</v>
      </c>
      <c r="E506" s="3">
        <f t="shared" ca="1" si="79"/>
        <v>-500</v>
      </c>
      <c r="F506" s="42">
        <f t="shared" si="72"/>
        <v>1.6083899473890276E-2</v>
      </c>
      <c r="G506" s="41">
        <f>SUM(F$11:F506)</f>
        <v>0.17950181216084449</v>
      </c>
      <c r="I506" s="1">
        <f t="shared" si="71"/>
        <v>496</v>
      </c>
      <c r="J506" s="3">
        <v>107000</v>
      </c>
      <c r="K506" s="3">
        <v>97000</v>
      </c>
      <c r="L506" s="3">
        <v>121500</v>
      </c>
      <c r="M506" s="30">
        <f t="shared" si="73"/>
        <v>7.0000000000000062E-2</v>
      </c>
      <c r="N506" s="1" t="str">
        <f t="shared" si="74"/>
        <v/>
      </c>
      <c r="O506" s="1" t="str">
        <f t="shared" si="75"/>
        <v/>
      </c>
    </row>
    <row r="507" spans="1:15" x14ac:dyDescent="0.25">
      <c r="A507" s="1">
        <f t="shared" si="70"/>
        <v>496</v>
      </c>
      <c r="B507" s="3">
        <f t="shared" ca="1" si="77"/>
        <v>117000</v>
      </c>
      <c r="C507" s="26">
        <f t="shared" ca="1" si="78"/>
        <v>0.63111667953133532</v>
      </c>
      <c r="D507" s="26" t="str">
        <f t="shared" ca="1" si="76"/>
        <v>Win</v>
      </c>
      <c r="E507" s="3">
        <f t="shared" ca="1" si="79"/>
        <v>500</v>
      </c>
      <c r="F507" s="42">
        <f t="shared" si="72"/>
        <v>1.7044142155614114E-2</v>
      </c>
      <c r="G507" s="41">
        <f>SUM(F$11:F507)</f>
        <v>0.1965459543164586</v>
      </c>
      <c r="I507" s="1">
        <f t="shared" si="71"/>
        <v>497</v>
      </c>
      <c r="J507" s="3">
        <v>103000</v>
      </c>
      <c r="K507" s="3">
        <v>83500</v>
      </c>
      <c r="L507" s="3">
        <v>105000</v>
      </c>
      <c r="M507" s="30">
        <f t="shared" si="73"/>
        <v>3.0000000000000027E-2</v>
      </c>
      <c r="N507" s="1" t="str">
        <f t="shared" si="74"/>
        <v/>
      </c>
      <c r="O507" s="1" t="str">
        <f t="shared" si="75"/>
        <v/>
      </c>
    </row>
    <row r="508" spans="1:15" x14ac:dyDescent="0.25">
      <c r="A508" s="1">
        <f t="shared" si="70"/>
        <v>497</v>
      </c>
      <c r="B508" s="3">
        <f t="shared" ca="1" si="77"/>
        <v>117500</v>
      </c>
      <c r="C508" s="26">
        <f t="shared" ca="1" si="78"/>
        <v>0.68775379223979138</v>
      </c>
      <c r="D508" s="26" t="str">
        <f t="shared" ca="1" si="76"/>
        <v>Win</v>
      </c>
      <c r="E508" s="3">
        <f t="shared" ca="1" si="79"/>
        <v>500</v>
      </c>
      <c r="F508" s="42">
        <f t="shared" si="72"/>
        <v>1.7989678067092531E-2</v>
      </c>
      <c r="G508" s="41">
        <f>SUM(F$11:F508)</f>
        <v>0.21453563238355114</v>
      </c>
      <c r="I508" s="1">
        <f t="shared" si="71"/>
        <v>498</v>
      </c>
      <c r="J508" s="3">
        <v>99000</v>
      </c>
      <c r="K508" s="3">
        <v>96000</v>
      </c>
      <c r="L508" s="3">
        <v>117000</v>
      </c>
      <c r="M508" s="30">
        <f t="shared" si="73"/>
        <v>-1.0000000000000009E-2</v>
      </c>
      <c r="N508" s="1" t="str">
        <f t="shared" si="74"/>
        <v/>
      </c>
      <c r="O508" s="1" t="str">
        <f t="shared" si="75"/>
        <v/>
      </c>
    </row>
    <row r="509" spans="1:15" x14ac:dyDescent="0.25">
      <c r="A509" s="1">
        <f t="shared" si="70"/>
        <v>498</v>
      </c>
      <c r="B509" s="3">
        <f t="shared" ca="1" si="77"/>
        <v>118000</v>
      </c>
      <c r="C509" s="26">
        <f t="shared" ca="1" si="78"/>
        <v>0.63346355073737037</v>
      </c>
      <c r="D509" s="26" t="str">
        <f t="shared" ca="1" si="76"/>
        <v>Win</v>
      </c>
      <c r="E509" s="3">
        <f t="shared" ca="1" si="79"/>
        <v>500</v>
      </c>
      <c r="F509" s="42">
        <f t="shared" si="72"/>
        <v>1.8911942113561397E-2</v>
      </c>
      <c r="G509" s="41">
        <f>SUM(F$11:F509)</f>
        <v>0.23344757449711254</v>
      </c>
      <c r="I509" s="1">
        <f t="shared" si="71"/>
        <v>499</v>
      </c>
      <c r="J509" s="3">
        <v>87000</v>
      </c>
      <c r="K509" s="3">
        <v>77000</v>
      </c>
      <c r="L509" s="3">
        <v>101000</v>
      </c>
      <c r="M509" s="30">
        <f t="shared" si="73"/>
        <v>-0.13</v>
      </c>
      <c r="N509" s="1" t="str">
        <f t="shared" si="74"/>
        <v/>
      </c>
      <c r="O509" s="1" t="str">
        <f t="shared" si="75"/>
        <v/>
      </c>
    </row>
    <row r="510" spans="1:15" x14ac:dyDescent="0.25">
      <c r="A510" s="1">
        <f t="shared" si="70"/>
        <v>499</v>
      </c>
      <c r="B510" s="3">
        <f t="shared" ca="1" si="77"/>
        <v>118500</v>
      </c>
      <c r="C510" s="26">
        <f t="shared" ca="1" si="78"/>
        <v>0.79182433061600022</v>
      </c>
      <c r="D510" s="26" t="str">
        <f t="shared" ca="1" si="76"/>
        <v>Win</v>
      </c>
      <c r="E510" s="3">
        <f t="shared" ca="1" si="79"/>
        <v>500</v>
      </c>
      <c r="F510" s="42">
        <f t="shared" si="72"/>
        <v>1.9802197946562485E-2</v>
      </c>
      <c r="G510" s="41">
        <f>SUM(F$11:F510)</f>
        <v>0.25324977244367503</v>
      </c>
      <c r="I510" s="1">
        <f t="shared" si="71"/>
        <v>500</v>
      </c>
      <c r="J510" s="3">
        <v>103000</v>
      </c>
      <c r="K510" s="3">
        <v>91000</v>
      </c>
      <c r="L510" s="3">
        <v>114500</v>
      </c>
      <c r="M510" s="30">
        <f t="shared" si="73"/>
        <v>3.0000000000000027E-2</v>
      </c>
      <c r="N510" s="1" t="str">
        <f t="shared" si="74"/>
        <v/>
      </c>
      <c r="O510" s="1" t="str">
        <f t="shared" si="75"/>
        <v/>
      </c>
    </row>
    <row r="511" spans="1:15" x14ac:dyDescent="0.25">
      <c r="A511" s="1">
        <f t="shared" si="70"/>
        <v>500</v>
      </c>
      <c r="B511" s="3">
        <f t="shared" ca="1" si="77"/>
        <v>119000</v>
      </c>
      <c r="C511" s="26">
        <f t="shared" ca="1" si="78"/>
        <v>0.99132048203426015</v>
      </c>
      <c r="D511" s="26" t="str">
        <f t="shared" ca="1" si="76"/>
        <v>Win</v>
      </c>
      <c r="E511" s="3">
        <f t="shared" ca="1" si="79"/>
        <v>500</v>
      </c>
      <c r="F511" s="42">
        <f t="shared" si="72"/>
        <v>2.065167182582113E-2</v>
      </c>
      <c r="G511" s="41">
        <f>SUM(F$11:F511)</f>
        <v>0.27390144426949614</v>
      </c>
    </row>
    <row r="512" spans="1:15" x14ac:dyDescent="0.25">
      <c r="A512" s="1">
        <f t="shared" si="70"/>
        <v>501</v>
      </c>
      <c r="B512" s="3">
        <f t="shared" ca="1" si="77"/>
        <v>119500</v>
      </c>
      <c r="C512" s="26">
        <f t="shared" ca="1" si="78"/>
        <v>0.94594594927381059</v>
      </c>
      <c r="D512" s="26" t="str">
        <f t="shared" ca="1" si="76"/>
        <v>Win</v>
      </c>
      <c r="E512" s="3">
        <f t="shared" ca="1" si="79"/>
        <v>500</v>
      </c>
      <c r="F512" s="42">
        <f t="shared" si="72"/>
        <v>2.1451693818829214E-2</v>
      </c>
      <c r="G512" s="41">
        <f>SUM(F$11:F512)</f>
        <v>0.29535313808832536</v>
      </c>
    </row>
    <row r="513" spans="1:7" x14ac:dyDescent="0.25">
      <c r="A513" s="1">
        <f t="shared" si="70"/>
        <v>502</v>
      </c>
      <c r="B513" s="3">
        <f t="shared" ca="1" si="77"/>
        <v>119000</v>
      </c>
      <c r="C513" s="26">
        <f t="shared" ca="1" si="78"/>
        <v>0.39935204421662984</v>
      </c>
      <c r="D513" s="26" t="str">
        <f t="shared" ca="1" si="76"/>
        <v>Lose</v>
      </c>
      <c r="E513" s="3">
        <f t="shared" ca="1" si="79"/>
        <v>-500</v>
      </c>
      <c r="F513" s="42">
        <f t="shared" si="72"/>
        <v>2.219384323910013E-2</v>
      </c>
      <c r="G513" s="41">
        <f>SUM(F$11:F513)</f>
        <v>0.31754698132742548</v>
      </c>
    </row>
    <row r="514" spans="1:7" x14ac:dyDescent="0.25">
      <c r="A514" s="1">
        <f t="shared" si="70"/>
        <v>503</v>
      </c>
      <c r="B514" s="3">
        <f t="shared" ca="1" si="77"/>
        <v>118500</v>
      </c>
      <c r="C514" s="26">
        <f t="shared" ca="1" si="78"/>
        <v>0.19156604077812001</v>
      </c>
      <c r="D514" s="26" t="str">
        <f t="shared" ca="1" si="76"/>
        <v>Lose</v>
      </c>
      <c r="E514" s="3">
        <f t="shared" ca="1" si="79"/>
        <v>-500</v>
      </c>
      <c r="F514" s="42">
        <f t="shared" si="72"/>
        <v>2.2870094964363413E-2</v>
      </c>
      <c r="G514" s="41">
        <f>SUM(F$11:F514)</f>
        <v>0.34041707629178891</v>
      </c>
    </row>
    <row r="515" spans="1:7" x14ac:dyDescent="0.25">
      <c r="A515" s="1">
        <f t="shared" si="70"/>
        <v>504</v>
      </c>
      <c r="B515" s="3">
        <f t="shared" ca="1" si="77"/>
        <v>119000</v>
      </c>
      <c r="C515" s="26">
        <f t="shared" ca="1" si="78"/>
        <v>0.90246273598437787</v>
      </c>
      <c r="D515" s="26" t="str">
        <f t="shared" ca="1" si="76"/>
        <v>Win</v>
      </c>
      <c r="E515" s="3">
        <f t="shared" ca="1" si="79"/>
        <v>500</v>
      </c>
      <c r="F515" s="42">
        <f t="shared" si="72"/>
        <v>2.3472963113934191E-2</v>
      </c>
      <c r="G515" s="41">
        <f>SUM(F$11:F515)</f>
        <v>0.36389003940572312</v>
      </c>
    </row>
    <row r="516" spans="1:7" x14ac:dyDescent="0.25">
      <c r="A516" s="1">
        <f t="shared" si="70"/>
        <v>505</v>
      </c>
      <c r="B516" s="3">
        <f t="shared" ca="1" si="77"/>
        <v>119500</v>
      </c>
      <c r="C516" s="26">
        <f t="shared" ca="1" si="78"/>
        <v>0.63412243524827461</v>
      </c>
      <c r="D516" s="26" t="str">
        <f t="shared" ca="1" si="76"/>
        <v>Win</v>
      </c>
      <c r="E516" s="3">
        <f t="shared" ca="1" si="79"/>
        <v>500</v>
      </c>
      <c r="F516" s="42">
        <f t="shared" si="72"/>
        <v>2.3995638510005229E-2</v>
      </c>
      <c r="G516" s="41">
        <f>SUM(F$11:F516)</f>
        <v>0.38788567791572837</v>
      </c>
    </row>
    <row r="517" spans="1:7" x14ac:dyDescent="0.25">
      <c r="A517" s="1">
        <f t="shared" ref="A517:A580" si="80">A516+1</f>
        <v>506</v>
      </c>
      <c r="B517" s="3">
        <f t="shared" ca="1" si="77"/>
        <v>120000</v>
      </c>
      <c r="C517" s="26">
        <f t="shared" ca="1" si="78"/>
        <v>0.69473272344729697</v>
      </c>
      <c r="D517" s="26" t="str">
        <f t="shared" ca="1" si="76"/>
        <v>Win</v>
      </c>
      <c r="E517" s="3">
        <f t="shared" ca="1" si="79"/>
        <v>500</v>
      </c>
      <c r="F517" s="42">
        <f t="shared" si="72"/>
        <v>2.443211640659361E-2</v>
      </c>
      <c r="G517" s="41">
        <f>SUM(F$11:F517)</f>
        <v>0.41231779432232196</v>
      </c>
    </row>
    <row r="518" spans="1:7" x14ac:dyDescent="0.25">
      <c r="A518" s="1">
        <f t="shared" si="80"/>
        <v>507</v>
      </c>
      <c r="B518" s="3">
        <f t="shared" ca="1" si="77"/>
        <v>120500</v>
      </c>
      <c r="C518" s="26">
        <f t="shared" ca="1" si="78"/>
        <v>0.83930182477183557</v>
      </c>
      <c r="D518" s="26" t="str">
        <f t="shared" ca="1" si="76"/>
        <v>Win</v>
      </c>
      <c r="E518" s="3">
        <f t="shared" ca="1" si="79"/>
        <v>500</v>
      </c>
      <c r="F518" s="42">
        <f t="shared" si="72"/>
        <v>2.4777311143892432E-2</v>
      </c>
      <c r="G518" s="41">
        <f>SUM(F$11:F518)</f>
        <v>0.43709510546621438</v>
      </c>
    </row>
    <row r="519" spans="1:7" x14ac:dyDescent="0.25">
      <c r="A519" s="1">
        <f t="shared" si="80"/>
        <v>508</v>
      </c>
      <c r="B519" s="3">
        <f t="shared" ca="1" si="77"/>
        <v>121000</v>
      </c>
      <c r="C519" s="26">
        <f t="shared" ca="1" si="78"/>
        <v>0.54384571920519109</v>
      </c>
      <c r="D519" s="26" t="str">
        <f t="shared" ca="1" si="76"/>
        <v>Win</v>
      </c>
      <c r="E519" s="3">
        <f t="shared" ca="1" si="79"/>
        <v>500</v>
      </c>
      <c r="F519" s="42">
        <f t="shared" si="72"/>
        <v>2.5027154671817757E-2</v>
      </c>
      <c r="G519" s="41">
        <f>SUM(F$11:F519)</f>
        <v>0.46212226013803215</v>
      </c>
    </row>
    <row r="520" spans="1:7" x14ac:dyDescent="0.25">
      <c r="A520" s="1">
        <f t="shared" si="80"/>
        <v>509</v>
      </c>
      <c r="B520" s="3">
        <f t="shared" ca="1" si="77"/>
        <v>121500</v>
      </c>
      <c r="C520" s="26">
        <f t="shared" ca="1" si="78"/>
        <v>0.99812008008095865</v>
      </c>
      <c r="D520" s="26" t="str">
        <f t="shared" ca="1" si="76"/>
        <v>Win</v>
      </c>
      <c r="E520" s="3">
        <f t="shared" ca="1" si="79"/>
        <v>500</v>
      </c>
      <c r="F520" s="42">
        <f t="shared" si="72"/>
        <v>2.5178676277023811E-2</v>
      </c>
      <c r="G520" s="41">
        <f>SUM(F$11:F520)</f>
        <v>0.48730093641505595</v>
      </c>
    </row>
    <row r="521" spans="1:7" x14ac:dyDescent="0.25">
      <c r="A521" s="1">
        <f t="shared" si="80"/>
        <v>510</v>
      </c>
      <c r="B521" s="3">
        <f t="shared" ca="1" si="77"/>
        <v>122000</v>
      </c>
      <c r="C521" s="26">
        <f t="shared" ca="1" si="78"/>
        <v>0.89738103947593417</v>
      </c>
      <c r="D521" s="26" t="str">
        <f t="shared" ca="1" si="76"/>
        <v>Win</v>
      </c>
      <c r="E521" s="3">
        <f t="shared" ca="1" si="79"/>
        <v>500</v>
      </c>
      <c r="F521" s="42">
        <f t="shared" si="72"/>
        <v>2.5230061330650394E-2</v>
      </c>
      <c r="G521" s="41">
        <f>SUM(F$11:F521)</f>
        <v>0.51253099774570632</v>
      </c>
    </row>
    <row r="522" spans="1:7" x14ac:dyDescent="0.25">
      <c r="A522" s="1">
        <f t="shared" si="80"/>
        <v>511</v>
      </c>
      <c r="B522" s="3">
        <f t="shared" ca="1" si="77"/>
        <v>121500</v>
      </c>
      <c r="C522" s="26">
        <f t="shared" ca="1" si="78"/>
        <v>0.2090144603393751</v>
      </c>
      <c r="D522" s="26" t="str">
        <f t="shared" ca="1" si="76"/>
        <v>Lose</v>
      </c>
      <c r="E522" s="3">
        <f t="shared" ca="1" si="79"/>
        <v>-500</v>
      </c>
      <c r="F522" s="42">
        <f t="shared" si="72"/>
        <v>2.5180687433721524E-2</v>
      </c>
      <c r="G522" s="41">
        <f>SUM(F$11:F522)</f>
        <v>0.5377116851794278</v>
      </c>
    </row>
    <row r="523" spans="1:7" x14ac:dyDescent="0.25">
      <c r="A523" s="1">
        <f t="shared" si="80"/>
        <v>512</v>
      </c>
      <c r="B523" s="3">
        <f t="shared" ca="1" si="77"/>
        <v>121000</v>
      </c>
      <c r="C523" s="26">
        <f t="shared" ca="1" si="78"/>
        <v>0.144322514318724</v>
      </c>
      <c r="D523" s="26" t="str">
        <f t="shared" ca="1" si="76"/>
        <v>Lose</v>
      </c>
      <c r="E523" s="3">
        <f t="shared" ca="1" si="79"/>
        <v>-500</v>
      </c>
      <c r="F523" s="42">
        <f t="shared" si="72"/>
        <v>2.5031136954304093E-2</v>
      </c>
      <c r="G523" s="41">
        <f>SUM(F$11:F523)</f>
        <v>0.56274282213373195</v>
      </c>
    </row>
    <row r="524" spans="1:7" x14ac:dyDescent="0.25">
      <c r="A524" s="1">
        <f t="shared" si="80"/>
        <v>513</v>
      </c>
      <c r="B524" s="3">
        <f t="shared" ca="1" si="77"/>
        <v>120500</v>
      </c>
      <c r="C524" s="26">
        <f t="shared" ca="1" si="78"/>
        <v>0.15612345560798002</v>
      </c>
      <c r="D524" s="26" t="str">
        <f t="shared" ca="1" si="76"/>
        <v>Lose</v>
      </c>
      <c r="E524" s="3">
        <f t="shared" ca="1" si="79"/>
        <v>-500</v>
      </c>
      <c r="F524" s="42">
        <f t="shared" ref="F524:F587" si="81">_xlfn.BINOM.DIST(A524,$A$1011,$B$1,FALSE)</f>
        <v>2.4783185603640862E-2</v>
      </c>
      <c r="G524" s="41">
        <f>SUM(F$11:F524)</f>
        <v>0.58752600773737285</v>
      </c>
    </row>
    <row r="525" spans="1:7" x14ac:dyDescent="0.25">
      <c r="A525" s="1">
        <f t="shared" si="80"/>
        <v>514</v>
      </c>
      <c r="B525" s="3">
        <f t="shared" ca="1" si="77"/>
        <v>121000</v>
      </c>
      <c r="C525" s="26">
        <f t="shared" ca="1" si="78"/>
        <v>0.94304092925476712</v>
      </c>
      <c r="D525" s="26" t="str">
        <f t="shared" ref="D525:D588" ca="1" si="82">IF(C525&gt;$B$2,"Win","Lose")</f>
        <v>Win</v>
      </c>
      <c r="E525" s="3">
        <f t="shared" ca="1" si="79"/>
        <v>500</v>
      </c>
      <c r="F525" s="42">
        <f t="shared" si="81"/>
        <v>2.4439767364314604E-2</v>
      </c>
      <c r="G525" s="41">
        <f>SUM(F$11:F525)</f>
        <v>0.61196577510168748</v>
      </c>
    </row>
    <row r="526" spans="1:7" x14ac:dyDescent="0.25">
      <c r="A526" s="1">
        <f t="shared" si="80"/>
        <v>515</v>
      </c>
      <c r="B526" s="3">
        <f t="shared" ref="B526:B589" ca="1" si="83">B525+E526</f>
        <v>121500</v>
      </c>
      <c r="C526" s="26">
        <f t="shared" ref="C526:C589" ca="1" si="84">RAND()</f>
        <v>0.55440951036823738</v>
      </c>
      <c r="D526" s="26" t="str">
        <f t="shared" ca="1" si="82"/>
        <v>Win</v>
      </c>
      <c r="E526" s="3">
        <f t="shared" ref="E526:E589" ca="1" si="85">IF(D526="Win",$B$4,-$B$4)</f>
        <v>500</v>
      </c>
      <c r="F526" s="42">
        <f t="shared" si="81"/>
        <v>2.4004916738335727E-2</v>
      </c>
      <c r="G526" s="41">
        <f>SUM(F$11:F526)</f>
        <v>0.63597069184002319</v>
      </c>
    </row>
    <row r="527" spans="1:7" x14ac:dyDescent="0.25">
      <c r="A527" s="1">
        <f t="shared" si="80"/>
        <v>516</v>
      </c>
      <c r="B527" s="3">
        <f t="shared" ca="1" si="83"/>
        <v>121000</v>
      </c>
      <c r="C527" s="26">
        <f t="shared" ca="1" si="84"/>
        <v>0.35664493849139034</v>
      </c>
      <c r="D527" s="26" t="str">
        <f t="shared" ca="1" si="82"/>
        <v>Lose</v>
      </c>
      <c r="E527" s="3">
        <f t="shared" ca="1" si="85"/>
        <v>-500</v>
      </c>
      <c r="F527" s="42">
        <f t="shared" si="81"/>
        <v>2.3483689903604402E-2</v>
      </c>
      <c r="G527" s="41">
        <f>SUM(F$11:F527)</f>
        <v>0.65945438174362758</v>
      </c>
    </row>
    <row r="528" spans="1:7" x14ac:dyDescent="0.25">
      <c r="A528" s="1">
        <f t="shared" si="80"/>
        <v>517</v>
      </c>
      <c r="B528" s="3">
        <f t="shared" ca="1" si="83"/>
        <v>120500</v>
      </c>
      <c r="C528" s="26">
        <f t="shared" ca="1" si="84"/>
        <v>5.6148849645940357E-2</v>
      </c>
      <c r="D528" s="26" t="str">
        <f t="shared" ca="1" si="82"/>
        <v>Lose</v>
      </c>
      <c r="E528" s="3">
        <f t="shared" ca="1" si="85"/>
        <v>-500</v>
      </c>
      <c r="F528" s="42">
        <f t="shared" si="81"/>
        <v>2.2882066931692702E-2</v>
      </c>
      <c r="G528" s="41">
        <f>SUM(F$11:F528)</f>
        <v>0.68233644867532028</v>
      </c>
    </row>
    <row r="529" spans="1:7" x14ac:dyDescent="0.25">
      <c r="A529" s="1">
        <f t="shared" si="80"/>
        <v>518</v>
      </c>
      <c r="B529" s="3">
        <f t="shared" ca="1" si="83"/>
        <v>121000</v>
      </c>
      <c r="C529" s="26">
        <f t="shared" ca="1" si="84"/>
        <v>0.78388676137539093</v>
      </c>
      <c r="D529" s="26" t="str">
        <f t="shared" ca="1" si="82"/>
        <v>Win</v>
      </c>
      <c r="E529" s="3">
        <f t="shared" ca="1" si="85"/>
        <v>500</v>
      </c>
      <c r="F529" s="42">
        <f t="shared" si="81"/>
        <v>2.2206837708942821E-2</v>
      </c>
      <c r="G529" s="41">
        <f>SUM(F$11:F529)</f>
        <v>0.70454328638426311</v>
      </c>
    </row>
    <row r="530" spans="1:7" x14ac:dyDescent="0.25">
      <c r="A530" s="1">
        <f t="shared" si="80"/>
        <v>519</v>
      </c>
      <c r="B530" s="3">
        <f t="shared" ca="1" si="83"/>
        <v>121500</v>
      </c>
      <c r="C530" s="26">
        <f t="shared" ca="1" si="84"/>
        <v>0.74973768887563264</v>
      </c>
      <c r="D530" s="26" t="str">
        <f t="shared" ca="1" si="82"/>
        <v>Win</v>
      </c>
      <c r="E530" s="3">
        <f t="shared" ca="1" si="85"/>
        <v>500</v>
      </c>
      <c r="F530" s="42">
        <f t="shared" si="81"/>
        <v>2.1465474600339523E-2</v>
      </c>
      <c r="G530" s="41">
        <f>SUM(F$11:F530)</f>
        <v>0.72600876098460265</v>
      </c>
    </row>
    <row r="531" spans="1:7" x14ac:dyDescent="0.25">
      <c r="A531" s="1">
        <f t="shared" si="80"/>
        <v>520</v>
      </c>
      <c r="B531" s="3">
        <f t="shared" ca="1" si="83"/>
        <v>121000</v>
      </c>
      <c r="C531" s="26">
        <f t="shared" ca="1" si="84"/>
        <v>0.4128762094309556</v>
      </c>
      <c r="D531" s="26" t="str">
        <f t="shared" ca="1" si="82"/>
        <v>Lose</v>
      </c>
      <c r="E531" s="3">
        <f t="shared" ca="1" si="85"/>
        <v>-500</v>
      </c>
      <c r="F531" s="42">
        <f t="shared" si="81"/>
        <v>2.0665995189204336E-2</v>
      </c>
      <c r="G531" s="41">
        <f>SUM(F$11:F531)</f>
        <v>0.74667475617380696</v>
      </c>
    </row>
    <row r="532" spans="1:7" x14ac:dyDescent="0.25">
      <c r="A532" s="1">
        <f t="shared" si="80"/>
        <v>521</v>
      </c>
      <c r="B532" s="3">
        <f t="shared" ca="1" si="83"/>
        <v>121500</v>
      </c>
      <c r="C532" s="26">
        <f t="shared" ca="1" si="84"/>
        <v>0.51577162475970351</v>
      </c>
      <c r="D532" s="26" t="str">
        <f t="shared" ca="1" si="82"/>
        <v>Win</v>
      </c>
      <c r="E532" s="3">
        <f t="shared" ca="1" si="85"/>
        <v>500</v>
      </c>
      <c r="F532" s="42">
        <f t="shared" si="81"/>
        <v>1.9816818607533496E-2</v>
      </c>
      <c r="G532" s="41">
        <f>SUM(F$11:F532)</f>
        <v>0.76649157478134045</v>
      </c>
    </row>
    <row r="533" spans="1:7" x14ac:dyDescent="0.25">
      <c r="A533" s="1">
        <f t="shared" si="80"/>
        <v>522</v>
      </c>
      <c r="B533" s="3">
        <f t="shared" ca="1" si="83"/>
        <v>122000</v>
      </c>
      <c r="C533" s="26">
        <f t="shared" ca="1" si="84"/>
        <v>0.75589375948714188</v>
      </c>
      <c r="D533" s="26" t="str">
        <f t="shared" ca="1" si="82"/>
        <v>Win</v>
      </c>
      <c r="E533" s="3">
        <f t="shared" ca="1" si="85"/>
        <v>500</v>
      </c>
      <c r="F533" s="42">
        <f t="shared" si="81"/>
        <v>1.8926619038370302E-2</v>
      </c>
      <c r="G533" s="41">
        <f>SUM(F$11:F533)</f>
        <v>0.78541819381971079</v>
      </c>
    </row>
    <row r="534" spans="1:7" x14ac:dyDescent="0.25">
      <c r="A534" s="1">
        <f t="shared" si="80"/>
        <v>523</v>
      </c>
      <c r="B534" s="3">
        <f t="shared" ca="1" si="83"/>
        <v>121500</v>
      </c>
      <c r="C534" s="26">
        <f t="shared" ca="1" si="84"/>
        <v>0.36647731994471533</v>
      </c>
      <c r="D534" s="26" t="str">
        <f t="shared" ca="1" si="82"/>
        <v>Lose</v>
      </c>
      <c r="E534" s="3">
        <f t="shared" ca="1" si="85"/>
        <v>-500</v>
      </c>
      <c r="F534" s="42">
        <f t="shared" si="81"/>
        <v>1.8004179924196818E-2</v>
      </c>
      <c r="G534" s="41">
        <f>SUM(F$11:F534)</f>
        <v>0.80342237374390757</v>
      </c>
    </row>
    <row r="535" spans="1:7" x14ac:dyDescent="0.25">
      <c r="A535" s="1">
        <f t="shared" si="80"/>
        <v>524</v>
      </c>
      <c r="B535" s="3">
        <f t="shared" ca="1" si="83"/>
        <v>122000</v>
      </c>
      <c r="C535" s="26">
        <f t="shared" ca="1" si="84"/>
        <v>0.85380515537018564</v>
      </c>
      <c r="D535" s="26" t="str">
        <f t="shared" ca="1" si="82"/>
        <v>Win</v>
      </c>
      <c r="E535" s="3">
        <f t="shared" ca="1" si="85"/>
        <v>500</v>
      </c>
      <c r="F535" s="42">
        <f t="shared" si="81"/>
        <v>1.7058252259539473E-2</v>
      </c>
      <c r="G535" s="41">
        <f>SUM(F$11:F535)</f>
        <v>0.82048062600344707</v>
      </c>
    </row>
    <row r="536" spans="1:7" x14ac:dyDescent="0.25">
      <c r="A536" s="1">
        <f t="shared" si="80"/>
        <v>525</v>
      </c>
      <c r="B536" s="3">
        <f t="shared" ca="1" si="83"/>
        <v>122500</v>
      </c>
      <c r="C536" s="26">
        <f t="shared" ca="1" si="84"/>
        <v>0.6222829469126776</v>
      </c>
      <c r="D536" s="26" t="str">
        <f t="shared" ca="1" si="82"/>
        <v>Win</v>
      </c>
      <c r="E536" s="3">
        <f t="shared" ca="1" si="85"/>
        <v>500</v>
      </c>
      <c r="F536" s="42">
        <f t="shared" si="81"/>
        <v>1.6097420091451136E-2</v>
      </c>
      <c r="G536" s="41">
        <f>SUM(F$11:F536)</f>
        <v>0.83657804609489816</v>
      </c>
    </row>
    <row r="537" spans="1:7" x14ac:dyDescent="0.25">
      <c r="A537" s="1">
        <f t="shared" si="80"/>
        <v>526</v>
      </c>
      <c r="B537" s="3">
        <f t="shared" ca="1" si="83"/>
        <v>123000</v>
      </c>
      <c r="C537" s="26">
        <f t="shared" ca="1" si="84"/>
        <v>0.51447979973216817</v>
      </c>
      <c r="D537" s="26" t="str">
        <f t="shared" ca="1" si="82"/>
        <v>Win</v>
      </c>
      <c r="E537" s="3">
        <f t="shared" ca="1" si="85"/>
        <v>500</v>
      </c>
      <c r="F537" s="42">
        <f t="shared" si="81"/>
        <v>1.5129976011306093E-2</v>
      </c>
      <c r="G537" s="41">
        <f>SUM(F$11:F537)</f>
        <v>0.85170802210620422</v>
      </c>
    </row>
    <row r="538" spans="1:7" x14ac:dyDescent="0.25">
      <c r="A538" s="1">
        <f t="shared" si="80"/>
        <v>527</v>
      </c>
      <c r="B538" s="3">
        <f t="shared" ca="1" si="83"/>
        <v>122500</v>
      </c>
      <c r="C538" s="26">
        <f t="shared" ca="1" si="84"/>
        <v>0.45617886280901532</v>
      </c>
      <c r="D538" s="26" t="str">
        <f t="shared" ca="1" si="82"/>
        <v>Lose</v>
      </c>
      <c r="E538" s="3">
        <f t="shared" ca="1" si="85"/>
        <v>-500</v>
      </c>
      <c r="F538" s="42">
        <f t="shared" si="81"/>
        <v>1.4163809011242524E-2</v>
      </c>
      <c r="G538" s="41">
        <f>SUM(F$11:F538)</f>
        <v>0.8658718311174467</v>
      </c>
    </row>
    <row r="539" spans="1:7" x14ac:dyDescent="0.25">
      <c r="A539" s="1">
        <f t="shared" si="80"/>
        <v>528</v>
      </c>
      <c r="B539" s="3">
        <f t="shared" ca="1" si="83"/>
        <v>123000</v>
      </c>
      <c r="C539" s="26">
        <f t="shared" ca="1" si="84"/>
        <v>0.71452848663933111</v>
      </c>
      <c r="D539" s="26" t="str">
        <f t="shared" ca="1" si="82"/>
        <v>Win</v>
      </c>
      <c r="E539" s="3">
        <f t="shared" ca="1" si="85"/>
        <v>500</v>
      </c>
      <c r="F539" s="42">
        <f t="shared" si="81"/>
        <v>1.3206306616349835E-2</v>
      </c>
      <c r="G539" s="41">
        <f>SUM(F$11:F539)</f>
        <v>0.87907813773379651</v>
      </c>
    </row>
    <row r="540" spans="1:7" x14ac:dyDescent="0.25">
      <c r="A540" s="1">
        <f t="shared" si="80"/>
        <v>529</v>
      </c>
      <c r="B540" s="3">
        <f t="shared" ca="1" si="83"/>
        <v>123500</v>
      </c>
      <c r="C540" s="26">
        <f t="shared" ca="1" si="84"/>
        <v>0.71800404510499727</v>
      </c>
      <c r="D540" s="26" t="str">
        <f t="shared" ca="1" si="82"/>
        <v>Win</v>
      </c>
      <c r="E540" s="3">
        <f t="shared" ca="1" si="85"/>
        <v>500</v>
      </c>
      <c r="F540" s="42">
        <f t="shared" si="81"/>
        <v>1.2264272708181491E-2</v>
      </c>
      <c r="G540" s="41">
        <f>SUM(F$11:F540)</f>
        <v>0.89134241044197804</v>
      </c>
    </row>
    <row r="541" spans="1:7" x14ac:dyDescent="0.25">
      <c r="A541" s="1">
        <f t="shared" si="80"/>
        <v>530</v>
      </c>
      <c r="B541" s="3">
        <f t="shared" ca="1" si="83"/>
        <v>123000</v>
      </c>
      <c r="C541" s="26">
        <f t="shared" ca="1" si="84"/>
        <v>0.33552645552401394</v>
      </c>
      <c r="D541" s="26" t="str">
        <f t="shared" ca="1" si="82"/>
        <v>Lose</v>
      </c>
      <c r="E541" s="3">
        <f t="shared" ca="1" si="85"/>
        <v>-500</v>
      </c>
      <c r="F541" s="42">
        <f t="shared" si="81"/>
        <v>1.134386194544579E-2</v>
      </c>
      <c r="G541" s="41">
        <f>SUM(F$11:F541)</f>
        <v>0.90268627238742383</v>
      </c>
    </row>
    <row r="542" spans="1:7" x14ac:dyDescent="0.25">
      <c r="A542" s="1">
        <f t="shared" si="80"/>
        <v>531</v>
      </c>
      <c r="B542" s="3">
        <f t="shared" ca="1" si="83"/>
        <v>122500</v>
      </c>
      <c r="C542" s="26">
        <f t="shared" ca="1" si="84"/>
        <v>7.765589384720073E-2</v>
      </c>
      <c r="D542" s="26" t="str">
        <f t="shared" ca="1" si="82"/>
        <v>Lose</v>
      </c>
      <c r="E542" s="3">
        <f t="shared" ca="1" si="85"/>
        <v>-500</v>
      </c>
      <c r="F542" s="42">
        <f t="shared" si="81"/>
        <v>1.0450531182302684E-2</v>
      </c>
      <c r="G542" s="41">
        <f>SUM(F$11:F542)</f>
        <v>0.91313680356972649</v>
      </c>
    </row>
    <row r="543" spans="1:7" x14ac:dyDescent="0.25">
      <c r="A543" s="1">
        <f t="shared" si="80"/>
        <v>532</v>
      </c>
      <c r="B543" s="3">
        <f t="shared" ca="1" si="83"/>
        <v>122000</v>
      </c>
      <c r="C543" s="26">
        <f t="shared" ca="1" si="84"/>
        <v>5.115415247958921E-2</v>
      </c>
      <c r="D543" s="26" t="str">
        <f t="shared" ca="1" si="82"/>
        <v>Lose</v>
      </c>
      <c r="E543" s="3">
        <f t="shared" ca="1" si="85"/>
        <v>-500</v>
      </c>
      <c r="F543" s="42">
        <f t="shared" si="81"/>
        <v>9.5890078007327198E-3</v>
      </c>
      <c r="G543" s="41">
        <f>SUM(F$11:F543)</f>
        <v>0.92272581137045917</v>
      </c>
    </row>
    <row r="544" spans="1:7" x14ac:dyDescent="0.25">
      <c r="A544" s="1">
        <f t="shared" si="80"/>
        <v>533</v>
      </c>
      <c r="B544" s="3">
        <f t="shared" ca="1" si="83"/>
        <v>122500</v>
      </c>
      <c r="C544" s="26">
        <f t="shared" ca="1" si="84"/>
        <v>0.72692017807856502</v>
      </c>
      <c r="D544" s="26" t="str">
        <f t="shared" ca="1" si="82"/>
        <v>Win</v>
      </c>
      <c r="E544" s="3">
        <f t="shared" ca="1" si="85"/>
        <v>500</v>
      </c>
      <c r="F544" s="42">
        <f t="shared" si="81"/>
        <v>8.7632744261549184E-3</v>
      </c>
      <c r="G544" s="41">
        <f>SUM(F$11:F544)</f>
        <v>0.93148908579661405</v>
      </c>
    </row>
    <row r="545" spans="1:7" x14ac:dyDescent="0.25">
      <c r="A545" s="1">
        <f t="shared" si="80"/>
        <v>534</v>
      </c>
      <c r="B545" s="3">
        <f t="shared" ca="1" si="83"/>
        <v>122000</v>
      </c>
      <c r="C545" s="26">
        <f t="shared" ca="1" si="84"/>
        <v>0.1730971802228688</v>
      </c>
      <c r="D545" s="26" t="str">
        <f t="shared" ca="1" si="82"/>
        <v>Lose</v>
      </c>
      <c r="E545" s="3">
        <f t="shared" ca="1" si="85"/>
        <v>-500</v>
      </c>
      <c r="F545" s="42">
        <f t="shared" si="81"/>
        <v>7.9765690975973393E-3</v>
      </c>
      <c r="G545" s="41">
        <f>SUM(F$11:F545)</f>
        <v>0.93946565489421141</v>
      </c>
    </row>
    <row r="546" spans="1:7" x14ac:dyDescent="0.25">
      <c r="A546" s="1">
        <f t="shared" si="80"/>
        <v>535</v>
      </c>
      <c r="B546" s="3">
        <f t="shared" ca="1" si="83"/>
        <v>122500</v>
      </c>
      <c r="C546" s="26">
        <f t="shared" ca="1" si="84"/>
        <v>0.79982916529998294</v>
      </c>
      <c r="D546" s="26" t="str">
        <f t="shared" ca="1" si="82"/>
        <v>Win</v>
      </c>
      <c r="E546" s="3">
        <f t="shared" ca="1" si="85"/>
        <v>500</v>
      </c>
      <c r="F546" s="42">
        <f t="shared" si="81"/>
        <v>7.2313996251572813E-3</v>
      </c>
      <c r="G546" s="41">
        <f>SUM(F$11:F546)</f>
        <v>0.9466970545193687</v>
      </c>
    </row>
    <row r="547" spans="1:7" x14ac:dyDescent="0.25">
      <c r="A547" s="1">
        <f t="shared" si="80"/>
        <v>536</v>
      </c>
      <c r="B547" s="3">
        <f t="shared" ca="1" si="83"/>
        <v>122000</v>
      </c>
      <c r="C547" s="26">
        <f t="shared" ca="1" si="84"/>
        <v>1.1918742884514E-2</v>
      </c>
      <c r="D547" s="26" t="str">
        <f t="shared" ca="1" si="82"/>
        <v>Lose</v>
      </c>
      <c r="E547" s="3">
        <f t="shared" ca="1" si="85"/>
        <v>-500</v>
      </c>
      <c r="F547" s="42">
        <f t="shared" si="81"/>
        <v>6.5295705951342094E-3</v>
      </c>
      <c r="G547" s="41">
        <f>SUM(F$11:F547)</f>
        <v>0.95322662511450296</v>
      </c>
    </row>
    <row r="548" spans="1:7" x14ac:dyDescent="0.25">
      <c r="A548" s="1">
        <f t="shared" si="80"/>
        <v>537</v>
      </c>
      <c r="B548" s="3">
        <f t="shared" ca="1" si="83"/>
        <v>122500</v>
      </c>
      <c r="C548" s="26">
        <f t="shared" ca="1" si="84"/>
        <v>0.51227388260497508</v>
      </c>
      <c r="D548" s="26" t="str">
        <f t="shared" ca="1" si="82"/>
        <v>Win</v>
      </c>
      <c r="E548" s="3">
        <f t="shared" ca="1" si="85"/>
        <v>500</v>
      </c>
      <c r="F548" s="42">
        <f t="shared" si="81"/>
        <v>5.8722212808594697E-3</v>
      </c>
      <c r="G548" s="41">
        <f>SUM(F$11:F548)</f>
        <v>0.95909884639536247</v>
      </c>
    </row>
    <row r="549" spans="1:7" x14ac:dyDescent="0.25">
      <c r="A549" s="1">
        <f t="shared" si="80"/>
        <v>538</v>
      </c>
      <c r="B549" s="3">
        <f t="shared" ca="1" si="83"/>
        <v>123000</v>
      </c>
      <c r="C549" s="26">
        <f t="shared" ca="1" si="84"/>
        <v>0.51514204860295476</v>
      </c>
      <c r="D549" s="26" t="str">
        <f t="shared" ca="1" si="82"/>
        <v>Win</v>
      </c>
      <c r="E549" s="3">
        <f t="shared" ca="1" si="85"/>
        <v>500</v>
      </c>
      <c r="F549" s="42">
        <f t="shared" si="81"/>
        <v>5.2598725857270186E-3</v>
      </c>
      <c r="G549" s="41">
        <f>SUM(F$11:F549)</f>
        <v>0.96435871898108949</v>
      </c>
    </row>
    <row r="550" spans="1:7" x14ac:dyDescent="0.25">
      <c r="A550" s="1">
        <f t="shared" si="80"/>
        <v>539</v>
      </c>
      <c r="B550" s="3">
        <f t="shared" ca="1" si="83"/>
        <v>123500</v>
      </c>
      <c r="C550" s="26">
        <f t="shared" ca="1" si="84"/>
        <v>0.8346133409196681</v>
      </c>
      <c r="D550" s="26" t="str">
        <f t="shared" ca="1" si="82"/>
        <v>Win</v>
      </c>
      <c r="E550" s="3">
        <f t="shared" ca="1" si="85"/>
        <v>500</v>
      </c>
      <c r="F550" s="42">
        <f t="shared" si="81"/>
        <v>4.6924810823103747E-3</v>
      </c>
      <c r="G550" s="41">
        <f>SUM(F$11:F550)</f>
        <v>0.96905120006339984</v>
      </c>
    </row>
    <row r="551" spans="1:7" x14ac:dyDescent="0.25">
      <c r="A551" s="1">
        <f t="shared" si="80"/>
        <v>540</v>
      </c>
      <c r="B551" s="3">
        <f t="shared" ca="1" si="83"/>
        <v>123000</v>
      </c>
      <c r="C551" s="26">
        <f t="shared" ca="1" si="84"/>
        <v>0.25919886217089882</v>
      </c>
      <c r="D551" s="26" t="str">
        <f t="shared" ca="1" si="82"/>
        <v>Lose</v>
      </c>
      <c r="E551" s="3">
        <f t="shared" ca="1" si="85"/>
        <v>-500</v>
      </c>
      <c r="F551" s="42">
        <f t="shared" si="81"/>
        <v>4.1694982133862303E-3</v>
      </c>
      <c r="G551" s="41">
        <f>SUM(F$11:F551)</f>
        <v>0.97322069827678603</v>
      </c>
    </row>
    <row r="552" spans="1:7" x14ac:dyDescent="0.25">
      <c r="A552" s="1">
        <f t="shared" si="80"/>
        <v>541</v>
      </c>
      <c r="B552" s="3">
        <f t="shared" ca="1" si="83"/>
        <v>122500</v>
      </c>
      <c r="C552" s="26">
        <f t="shared" ca="1" si="84"/>
        <v>0.21736844551649226</v>
      </c>
      <c r="D552" s="26" t="str">
        <f t="shared" ca="1" si="82"/>
        <v>Lose</v>
      </c>
      <c r="E552" s="3">
        <f t="shared" ca="1" si="85"/>
        <v>-500</v>
      </c>
      <c r="F552" s="42">
        <f t="shared" si="81"/>
        <v>3.6899327807929732E-3</v>
      </c>
      <c r="G552" s="41">
        <f>SUM(F$11:F552)</f>
        <v>0.97691063105757903</v>
      </c>
    </row>
    <row r="553" spans="1:7" x14ac:dyDescent="0.25">
      <c r="A553" s="1">
        <f t="shared" si="80"/>
        <v>542</v>
      </c>
      <c r="B553" s="3">
        <f t="shared" ca="1" si="83"/>
        <v>123000</v>
      </c>
      <c r="C553" s="26">
        <f t="shared" ca="1" si="84"/>
        <v>0.54034917011057815</v>
      </c>
      <c r="D553" s="26" t="str">
        <f t="shared" ca="1" si="82"/>
        <v>Win</v>
      </c>
      <c r="E553" s="3">
        <f t="shared" ca="1" si="85"/>
        <v>500</v>
      </c>
      <c r="F553" s="42">
        <f t="shared" si="81"/>
        <v>3.252414958414886E-3</v>
      </c>
      <c r="G553" s="41">
        <f>SUM(F$11:F553)</f>
        <v>0.98016304601599391</v>
      </c>
    </row>
    <row r="554" spans="1:7" x14ac:dyDescent="0.25">
      <c r="A554" s="1">
        <f t="shared" si="80"/>
        <v>543</v>
      </c>
      <c r="B554" s="3">
        <f t="shared" ca="1" si="83"/>
        <v>122500</v>
      </c>
      <c r="C554" s="26">
        <f t="shared" ca="1" si="84"/>
        <v>6.0372596163797421E-2</v>
      </c>
      <c r="D554" s="26" t="str">
        <f t="shared" ca="1" si="82"/>
        <v>Lose</v>
      </c>
      <c r="E554" s="3">
        <f t="shared" ca="1" si="85"/>
        <v>-500</v>
      </c>
      <c r="F554" s="42">
        <f t="shared" si="81"/>
        <v>2.8552602171855027E-3</v>
      </c>
      <c r="G554" s="41">
        <f>SUM(F$11:F554)</f>
        <v>0.98301830623317943</v>
      </c>
    </row>
    <row r="555" spans="1:7" x14ac:dyDescent="0.25">
      <c r="A555" s="1">
        <f t="shared" si="80"/>
        <v>544</v>
      </c>
      <c r="B555" s="3">
        <f t="shared" ca="1" si="83"/>
        <v>123000</v>
      </c>
      <c r="C555" s="26">
        <f t="shared" ca="1" si="84"/>
        <v>0.85149295633002997</v>
      </c>
      <c r="D555" s="26" t="str">
        <f t="shared" ca="1" si="82"/>
        <v>Win</v>
      </c>
      <c r="E555" s="3">
        <f t="shared" ca="1" si="85"/>
        <v>500</v>
      </c>
      <c r="F555" s="42">
        <f t="shared" si="81"/>
        <v>2.4965317332661711E-3</v>
      </c>
      <c r="G555" s="41">
        <f>SUM(F$11:F555)</f>
        <v>0.98551483796644557</v>
      </c>
    </row>
    <row r="556" spans="1:7" x14ac:dyDescent="0.25">
      <c r="A556" s="1">
        <f t="shared" si="80"/>
        <v>545</v>
      </c>
      <c r="B556" s="3">
        <f t="shared" ca="1" si="83"/>
        <v>122500</v>
      </c>
      <c r="C556" s="26">
        <f t="shared" ca="1" si="84"/>
        <v>0.37558090517317078</v>
      </c>
      <c r="D556" s="26" t="str">
        <f t="shared" ca="1" si="82"/>
        <v>Lose</v>
      </c>
      <c r="E556" s="3">
        <f t="shared" ca="1" si="85"/>
        <v>-500</v>
      </c>
      <c r="F556" s="42">
        <f t="shared" si="81"/>
        <v>2.1741000557512881E-3</v>
      </c>
      <c r="G556" s="41">
        <f>SUM(F$11:F556)</f>
        <v>0.98768893802219682</v>
      </c>
    </row>
    <row r="557" spans="1:7" x14ac:dyDescent="0.25">
      <c r="A557" s="1">
        <f t="shared" si="80"/>
        <v>546</v>
      </c>
      <c r="B557" s="3">
        <f t="shared" ca="1" si="83"/>
        <v>123000</v>
      </c>
      <c r="C557" s="26">
        <f t="shared" ca="1" si="84"/>
        <v>0.92786305751967313</v>
      </c>
      <c r="D557" s="26" t="str">
        <f t="shared" ca="1" si="82"/>
        <v>Win</v>
      </c>
      <c r="E557" s="3">
        <f t="shared" ca="1" si="85"/>
        <v>500</v>
      </c>
      <c r="F557" s="42">
        <f t="shared" si="81"/>
        <v>1.8856990279475488E-3</v>
      </c>
      <c r="G557" s="41">
        <f>SUM(F$11:F557)</f>
        <v>0.98957463705014437</v>
      </c>
    </row>
    <row r="558" spans="1:7" x14ac:dyDescent="0.25">
      <c r="A558" s="1">
        <f t="shared" si="80"/>
        <v>547</v>
      </c>
      <c r="B558" s="3">
        <f t="shared" ca="1" si="83"/>
        <v>123500</v>
      </c>
      <c r="C558" s="26">
        <f t="shared" ca="1" si="84"/>
        <v>0.76903029194579253</v>
      </c>
      <c r="D558" s="26" t="str">
        <f t="shared" ca="1" si="82"/>
        <v>Win</v>
      </c>
      <c r="E558" s="3">
        <f t="shared" ca="1" si="85"/>
        <v>500</v>
      </c>
      <c r="F558" s="42">
        <f t="shared" si="81"/>
        <v>1.6289771776703003E-3</v>
      </c>
      <c r="G558" s="41">
        <f>SUM(F$11:F558)</f>
        <v>0.99120361422781467</v>
      </c>
    </row>
    <row r="559" spans="1:7" x14ac:dyDescent="0.25">
      <c r="A559" s="1">
        <f t="shared" si="80"/>
        <v>548</v>
      </c>
      <c r="B559" s="3">
        <f t="shared" ca="1" si="83"/>
        <v>123000</v>
      </c>
      <c r="C559" s="26">
        <f t="shared" ca="1" si="84"/>
        <v>3.0773244166193092E-2</v>
      </c>
      <c r="D559" s="26" t="str">
        <f t="shared" ca="1" si="82"/>
        <v>Lose</v>
      </c>
      <c r="E559" s="3">
        <f t="shared" ca="1" si="85"/>
        <v>-500</v>
      </c>
      <c r="F559" s="42">
        <f t="shared" si="81"/>
        <v>1.4015440092252707E-3</v>
      </c>
      <c r="G559" s="41">
        <f>SUM(F$11:F559)</f>
        <v>0.99260515823703999</v>
      </c>
    </row>
    <row r="560" spans="1:7" x14ac:dyDescent="0.25">
      <c r="A560" s="1">
        <f t="shared" si="80"/>
        <v>549</v>
      </c>
      <c r="B560" s="3">
        <f t="shared" ca="1" si="83"/>
        <v>123500</v>
      </c>
      <c r="C560" s="26">
        <f t="shared" ca="1" si="84"/>
        <v>0.82527915283355768</v>
      </c>
      <c r="D560" s="26" t="str">
        <f t="shared" ca="1" si="82"/>
        <v>Win</v>
      </c>
      <c r="E560" s="3">
        <f t="shared" ca="1" si="85"/>
        <v>500</v>
      </c>
      <c r="F560" s="42">
        <f t="shared" si="81"/>
        <v>1.2010108360529792E-3</v>
      </c>
      <c r="G560" s="41">
        <f>SUM(F$11:F560)</f>
        <v>0.99380616907309294</v>
      </c>
    </row>
    <row r="561" spans="1:7" x14ac:dyDescent="0.25">
      <c r="A561" s="1">
        <f t="shared" si="80"/>
        <v>550</v>
      </c>
      <c r="B561" s="3">
        <f t="shared" ca="1" si="83"/>
        <v>124000</v>
      </c>
      <c r="C561" s="26">
        <f t="shared" ca="1" si="84"/>
        <v>0.96368003315816464</v>
      </c>
      <c r="D561" s="26" t="str">
        <f t="shared" ca="1" si="82"/>
        <v>Win</v>
      </c>
      <c r="E561" s="3">
        <f t="shared" ca="1" si="85"/>
        <v>500</v>
      </c>
      <c r="F561" s="42">
        <f t="shared" si="81"/>
        <v>1.025025982933377E-3</v>
      </c>
      <c r="G561" s="41">
        <f>SUM(F$11:F561)</f>
        <v>0.99483119505602635</v>
      </c>
    </row>
    <row r="562" spans="1:7" x14ac:dyDescent="0.25">
      <c r="A562" s="1">
        <f t="shared" si="80"/>
        <v>551</v>
      </c>
      <c r="B562" s="3">
        <f t="shared" ca="1" si="83"/>
        <v>123500</v>
      </c>
      <c r="C562" s="26">
        <f t="shared" ca="1" si="84"/>
        <v>0.29412302728559681</v>
      </c>
      <c r="D562" s="26" t="str">
        <f t="shared" ca="1" si="82"/>
        <v>Lose</v>
      </c>
      <c r="E562" s="3">
        <f t="shared" ca="1" si="85"/>
        <v>-500</v>
      </c>
      <c r="F562" s="42">
        <f t="shared" si="81"/>
        <v>8.7130435602507036E-4</v>
      </c>
      <c r="G562" s="41">
        <f>SUM(F$11:F562)</f>
        <v>0.99570249941205147</v>
      </c>
    </row>
    <row r="563" spans="1:7" x14ac:dyDescent="0.25">
      <c r="A563" s="1">
        <f t="shared" si="80"/>
        <v>552</v>
      </c>
      <c r="B563" s="3">
        <f t="shared" ca="1" si="83"/>
        <v>123000</v>
      </c>
      <c r="C563" s="26">
        <f t="shared" ca="1" si="84"/>
        <v>0.43903426172274485</v>
      </c>
      <c r="D563" s="26" t="str">
        <f t="shared" ca="1" si="82"/>
        <v>Lose</v>
      </c>
      <c r="E563" s="3">
        <f t="shared" ca="1" si="85"/>
        <v>-500</v>
      </c>
      <c r="F563" s="42">
        <f t="shared" si="81"/>
        <v>7.3765152501546706E-4</v>
      </c>
      <c r="G563" s="41">
        <f>SUM(F$11:F563)</f>
        <v>0.99644015093706695</v>
      </c>
    </row>
    <row r="564" spans="1:7" x14ac:dyDescent="0.25">
      <c r="A564" s="1">
        <f t="shared" si="80"/>
        <v>553</v>
      </c>
      <c r="B564" s="3">
        <f t="shared" ca="1" si="83"/>
        <v>123500</v>
      </c>
      <c r="C564" s="26">
        <f t="shared" ca="1" si="84"/>
        <v>0.91209656761596158</v>
      </c>
      <c r="D564" s="26" t="str">
        <f t="shared" ca="1" si="82"/>
        <v>Win</v>
      </c>
      <c r="E564" s="3">
        <f t="shared" ca="1" si="85"/>
        <v>500</v>
      </c>
      <c r="F564" s="42">
        <f t="shared" si="81"/>
        <v>6.2198258270485343E-4</v>
      </c>
      <c r="G564" s="41">
        <f>SUM(F$11:F564)</f>
        <v>0.9970621335197718</v>
      </c>
    </row>
    <row r="565" spans="1:7" x14ac:dyDescent="0.25">
      <c r="A565" s="1">
        <f t="shared" si="80"/>
        <v>554</v>
      </c>
      <c r="B565" s="3">
        <f t="shared" ca="1" si="83"/>
        <v>124000</v>
      </c>
      <c r="C565" s="26">
        <f t="shared" ca="1" si="84"/>
        <v>0.62312648530668358</v>
      </c>
      <c r="D565" s="26" t="str">
        <f t="shared" ca="1" si="82"/>
        <v>Win</v>
      </c>
      <c r="E565" s="3">
        <f t="shared" ca="1" si="85"/>
        <v>500</v>
      </c>
      <c r="F565" s="42">
        <f t="shared" si="81"/>
        <v>5.2233614300163699E-4</v>
      </c>
      <c r="G565" s="41">
        <f>SUM(F$11:F565)</f>
        <v>0.99758446966277348</v>
      </c>
    </row>
    <row r="566" spans="1:7" x14ac:dyDescent="0.25">
      <c r="A566" s="1">
        <f t="shared" si="80"/>
        <v>555</v>
      </c>
      <c r="B566" s="3">
        <f t="shared" ca="1" si="83"/>
        <v>124500</v>
      </c>
      <c r="C566" s="26">
        <f t="shared" ca="1" si="84"/>
        <v>0.70387486567754365</v>
      </c>
      <c r="D566" s="26" t="str">
        <f t="shared" ca="1" si="82"/>
        <v>Win</v>
      </c>
      <c r="E566" s="3">
        <f t="shared" ca="1" si="85"/>
        <v>500</v>
      </c>
      <c r="F566" s="42">
        <f t="shared" si="81"/>
        <v>4.3688390912723774E-4</v>
      </c>
      <c r="G566" s="41">
        <f>SUM(F$11:F566)</f>
        <v>0.99802135357190069</v>
      </c>
    </row>
    <row r="567" spans="1:7" x14ac:dyDescent="0.25">
      <c r="A567" s="1">
        <f t="shared" si="80"/>
        <v>556</v>
      </c>
      <c r="B567" s="3">
        <f t="shared" ca="1" si="83"/>
        <v>125000</v>
      </c>
      <c r="C567" s="26">
        <f t="shared" ca="1" si="84"/>
        <v>0.6055395227792143</v>
      </c>
      <c r="D567" s="26" t="str">
        <f t="shared" ca="1" si="82"/>
        <v>Win</v>
      </c>
      <c r="E567" s="3">
        <f t="shared" ca="1" si="85"/>
        <v>500</v>
      </c>
      <c r="F567" s="42">
        <f t="shared" si="81"/>
        <v>3.6393629120696732E-4</v>
      </c>
      <c r="G567" s="41">
        <f>SUM(F$11:F567)</f>
        <v>0.99838528986310771</v>
      </c>
    </row>
    <row r="568" spans="1:7" x14ac:dyDescent="0.25">
      <c r="A568" s="1">
        <f t="shared" si="80"/>
        <v>557</v>
      </c>
      <c r="B568" s="3">
        <f t="shared" ca="1" si="83"/>
        <v>124500</v>
      </c>
      <c r="C568" s="26">
        <f t="shared" ca="1" si="84"/>
        <v>7.5471375276096486E-2</v>
      </c>
      <c r="D568" s="26" t="str">
        <f t="shared" ca="1" si="82"/>
        <v>Lose</v>
      </c>
      <c r="E568" s="3">
        <f t="shared" ca="1" si="85"/>
        <v>-500</v>
      </c>
      <c r="F568" s="42">
        <f t="shared" si="81"/>
        <v>3.0194457839338311E-4</v>
      </c>
      <c r="G568" s="41">
        <f>SUM(F$11:F568)</f>
        <v>0.99868723444150109</v>
      </c>
    </row>
    <row r="569" spans="1:7" x14ac:dyDescent="0.25">
      <c r="A569" s="1">
        <f t="shared" si="80"/>
        <v>558</v>
      </c>
      <c r="B569" s="3">
        <f t="shared" ca="1" si="83"/>
        <v>124000</v>
      </c>
      <c r="C569" s="26">
        <f t="shared" ca="1" si="84"/>
        <v>0.20682163898570349</v>
      </c>
      <c r="D569" s="26" t="str">
        <f t="shared" ca="1" si="82"/>
        <v>Lose</v>
      </c>
      <c r="E569" s="3">
        <f t="shared" ca="1" si="85"/>
        <v>-500</v>
      </c>
      <c r="F569" s="42">
        <f t="shared" si="81"/>
        <v>2.4950017773541405E-4</v>
      </c>
      <c r="G569" s="41">
        <f>SUM(F$11:F569)</f>
        <v>0.99893673461923649</v>
      </c>
    </row>
    <row r="570" spans="1:7" x14ac:dyDescent="0.25">
      <c r="A570" s="1">
        <f t="shared" si="80"/>
        <v>559</v>
      </c>
      <c r="B570" s="3">
        <f t="shared" ca="1" si="83"/>
        <v>124500</v>
      </c>
      <c r="C570" s="26">
        <f t="shared" ca="1" si="84"/>
        <v>0.49361467435660178</v>
      </c>
      <c r="D570" s="26" t="str">
        <f t="shared" ca="1" si="82"/>
        <v>Win</v>
      </c>
      <c r="E570" s="3">
        <f t="shared" ca="1" si="85"/>
        <v>500</v>
      </c>
      <c r="F570" s="42">
        <f t="shared" si="81"/>
        <v>2.0533142296782469E-4</v>
      </c>
      <c r="G570" s="41">
        <f>SUM(F$11:F570)</f>
        <v>0.99914206604220435</v>
      </c>
    </row>
    <row r="571" spans="1:7" x14ac:dyDescent="0.25">
      <c r="A571" s="1">
        <f t="shared" si="80"/>
        <v>560</v>
      </c>
      <c r="B571" s="3">
        <f t="shared" ca="1" si="83"/>
        <v>124000</v>
      </c>
      <c r="C571" s="26">
        <f t="shared" ca="1" si="84"/>
        <v>0.28174110663375107</v>
      </c>
      <c r="D571" s="26" t="str">
        <f t="shared" ca="1" si="82"/>
        <v>Lose</v>
      </c>
      <c r="E571" s="3">
        <f t="shared" ca="1" si="85"/>
        <v>-500</v>
      </c>
      <c r="F571" s="42">
        <f t="shared" si="81"/>
        <v>1.6829843418255535E-4</v>
      </c>
      <c r="G571" s="41">
        <f>SUM(F$11:F571)</f>
        <v>0.99931036447638688</v>
      </c>
    </row>
    <row r="572" spans="1:7" x14ac:dyDescent="0.25">
      <c r="A572" s="1">
        <f t="shared" si="80"/>
        <v>561</v>
      </c>
      <c r="B572" s="3">
        <f t="shared" ca="1" si="83"/>
        <v>123500</v>
      </c>
      <c r="C572" s="26">
        <f t="shared" ca="1" si="84"/>
        <v>1.3934719172533305E-2</v>
      </c>
      <c r="D572" s="26" t="str">
        <f t="shared" ca="1" si="82"/>
        <v>Lose</v>
      </c>
      <c r="E572" s="3">
        <f t="shared" ca="1" si="85"/>
        <v>-500</v>
      </c>
      <c r="F572" s="42">
        <f t="shared" si="81"/>
        <v>1.3738647688372004E-4</v>
      </c>
      <c r="G572" s="41">
        <f>SUM(F$11:F572)</f>
        <v>0.99944775095327065</v>
      </c>
    </row>
    <row r="573" spans="1:7" x14ac:dyDescent="0.25">
      <c r="A573" s="1">
        <f t="shared" si="80"/>
        <v>562</v>
      </c>
      <c r="B573" s="3">
        <f t="shared" ca="1" si="83"/>
        <v>123000</v>
      </c>
      <c r="C573" s="26">
        <f t="shared" ca="1" si="84"/>
        <v>0.21742827358424544</v>
      </c>
      <c r="D573" s="26" t="str">
        <f t="shared" ca="1" si="82"/>
        <v>Lose</v>
      </c>
      <c r="E573" s="3">
        <f t="shared" ca="1" si="85"/>
        <v>-500</v>
      </c>
      <c r="F573" s="42">
        <f t="shared" si="81"/>
        <v>1.116982290271474E-4</v>
      </c>
      <c r="G573" s="41">
        <f>SUM(F$11:F573)</f>
        <v>0.99955944918229778</v>
      </c>
    </row>
    <row r="574" spans="1:7" x14ac:dyDescent="0.25">
      <c r="A574" s="1">
        <f t="shared" si="80"/>
        <v>563</v>
      </c>
      <c r="B574" s="3">
        <f t="shared" ca="1" si="83"/>
        <v>122500</v>
      </c>
      <c r="C574" s="26">
        <f t="shared" ca="1" si="84"/>
        <v>0.48135647103190882</v>
      </c>
      <c r="D574" s="26" t="str">
        <f t="shared" ca="1" si="82"/>
        <v>Lose</v>
      </c>
      <c r="E574" s="3">
        <f t="shared" ca="1" si="85"/>
        <v>-500</v>
      </c>
      <c r="F574" s="42">
        <f t="shared" si="81"/>
        <v>9.04453198973585E-5</v>
      </c>
      <c r="G574" s="41">
        <f>SUM(F$11:F574)</f>
        <v>0.9996498945021951</v>
      </c>
    </row>
    <row r="575" spans="1:7" x14ac:dyDescent="0.25">
      <c r="A575" s="1">
        <f t="shared" si="80"/>
        <v>564</v>
      </c>
      <c r="B575" s="3">
        <f t="shared" ca="1" si="83"/>
        <v>122000</v>
      </c>
      <c r="C575" s="26">
        <f t="shared" ca="1" si="84"/>
        <v>0.46932524082272864</v>
      </c>
      <c r="D575" s="26" t="str">
        <f t="shared" ca="1" si="82"/>
        <v>Lose</v>
      </c>
      <c r="E575" s="3">
        <f t="shared" ca="1" si="85"/>
        <v>-500</v>
      </c>
      <c r="F575" s="42">
        <f t="shared" si="81"/>
        <v>7.2939457394428567E-5</v>
      </c>
      <c r="G575" s="41">
        <f>SUM(F$11:F575)</f>
        <v>0.9997228339595895</v>
      </c>
    </row>
    <row r="576" spans="1:7" x14ac:dyDescent="0.25">
      <c r="A576" s="1">
        <f t="shared" si="80"/>
        <v>565</v>
      </c>
      <c r="B576" s="3">
        <f t="shared" ca="1" si="83"/>
        <v>122500</v>
      </c>
      <c r="C576" s="26">
        <f t="shared" ca="1" si="84"/>
        <v>0.93895767340686354</v>
      </c>
      <c r="D576" s="26" t="str">
        <f t="shared" ca="1" si="82"/>
        <v>Win</v>
      </c>
      <c r="E576" s="3">
        <f t="shared" ca="1" si="85"/>
        <v>500</v>
      </c>
      <c r="F576" s="42">
        <f t="shared" si="81"/>
        <v>5.8583412484107293E-5</v>
      </c>
      <c r="G576" s="41">
        <f>SUM(F$11:F576)</f>
        <v>0.9997814173720736</v>
      </c>
    </row>
    <row r="577" spans="1:7" x14ac:dyDescent="0.25">
      <c r="A577" s="1">
        <f t="shared" si="80"/>
        <v>566</v>
      </c>
      <c r="B577" s="3">
        <f t="shared" ca="1" si="83"/>
        <v>123000</v>
      </c>
      <c r="C577" s="26">
        <f t="shared" ca="1" si="84"/>
        <v>0.9277662885497987</v>
      </c>
      <c r="D577" s="26" t="str">
        <f t="shared" ca="1" si="82"/>
        <v>Win</v>
      </c>
      <c r="E577" s="3">
        <f t="shared" ca="1" si="85"/>
        <v>500</v>
      </c>
      <c r="F577" s="42">
        <f t="shared" si="81"/>
        <v>4.6862082857140046E-5</v>
      </c>
      <c r="G577" s="41">
        <f>SUM(F$11:F577)</f>
        <v>0.99982827945493069</v>
      </c>
    </row>
    <row r="578" spans="1:7" x14ac:dyDescent="0.25">
      <c r="A578" s="1">
        <f t="shared" si="80"/>
        <v>567</v>
      </c>
      <c r="B578" s="3">
        <f t="shared" ca="1" si="83"/>
        <v>123500</v>
      </c>
      <c r="C578" s="26">
        <f t="shared" ca="1" si="84"/>
        <v>0.90194006657364401</v>
      </c>
      <c r="D578" s="26" t="str">
        <f t="shared" ca="1" si="82"/>
        <v>Win</v>
      </c>
      <c r="E578" s="3">
        <f t="shared" ca="1" si="85"/>
        <v>500</v>
      </c>
      <c r="F578" s="42">
        <f t="shared" si="81"/>
        <v>3.7333813553610123E-5</v>
      </c>
      <c r="G578" s="41">
        <f>SUM(F$11:F578)</f>
        <v>0.99986561326848433</v>
      </c>
    </row>
    <row r="579" spans="1:7" x14ac:dyDescent="0.25">
      <c r="A579" s="1">
        <f t="shared" si="80"/>
        <v>568</v>
      </c>
      <c r="B579" s="3">
        <f t="shared" ca="1" si="83"/>
        <v>124000</v>
      </c>
      <c r="C579" s="26">
        <f t="shared" ca="1" si="84"/>
        <v>0.84496851904928638</v>
      </c>
      <c r="D579" s="26" t="str">
        <f t="shared" ca="1" si="82"/>
        <v>Win</v>
      </c>
      <c r="E579" s="3">
        <f t="shared" ca="1" si="85"/>
        <v>500</v>
      </c>
      <c r="F579" s="42">
        <f t="shared" si="81"/>
        <v>2.9622111407888389E-5</v>
      </c>
      <c r="G579" s="41">
        <f>SUM(F$11:F579)</f>
        <v>0.99989523537989222</v>
      </c>
    </row>
    <row r="580" spans="1:7" x14ac:dyDescent="0.25">
      <c r="A580" s="1">
        <f t="shared" si="80"/>
        <v>569</v>
      </c>
      <c r="B580" s="3">
        <f t="shared" ca="1" si="83"/>
        <v>123500</v>
      </c>
      <c r="C580" s="26">
        <f t="shared" ca="1" si="84"/>
        <v>0.35220890407957939</v>
      </c>
      <c r="D580" s="26" t="str">
        <f t="shared" ca="1" si="82"/>
        <v>Lose</v>
      </c>
      <c r="E580" s="3">
        <f t="shared" ca="1" si="85"/>
        <v>-500</v>
      </c>
      <c r="F580" s="42">
        <f t="shared" si="81"/>
        <v>2.3407853324436327E-5</v>
      </c>
      <c r="G580" s="41">
        <f>SUM(F$11:F580)</f>
        <v>0.99991864323321666</v>
      </c>
    </row>
    <row r="581" spans="1:7" x14ac:dyDescent="0.25">
      <c r="A581" s="1">
        <f t="shared" ref="A581:A634" si="86">A580+1</f>
        <v>570</v>
      </c>
      <c r="B581" s="3">
        <f t="shared" ca="1" si="83"/>
        <v>123000</v>
      </c>
      <c r="C581" s="26">
        <f t="shared" ca="1" si="84"/>
        <v>0.26279436366946807</v>
      </c>
      <c r="D581" s="26" t="str">
        <f t="shared" ca="1" si="82"/>
        <v>Lose</v>
      </c>
      <c r="E581" s="3">
        <f t="shared" ca="1" si="85"/>
        <v>-500</v>
      </c>
      <c r="F581" s="42">
        <f t="shared" si="81"/>
        <v>1.8422055994430176E-5</v>
      </c>
      <c r="G581" s="41">
        <f>SUM(F$11:F581)</f>
        <v>0.99993706528921111</v>
      </c>
    </row>
    <row r="582" spans="1:7" x14ac:dyDescent="0.25">
      <c r="A582" s="1">
        <f t="shared" si="86"/>
        <v>571</v>
      </c>
      <c r="B582" s="3">
        <f t="shared" ca="1" si="83"/>
        <v>123500</v>
      </c>
      <c r="C582" s="26">
        <f t="shared" ca="1" si="84"/>
        <v>0.79366147500362516</v>
      </c>
      <c r="D582" s="26" t="str">
        <f t="shared" ca="1" si="82"/>
        <v>Win</v>
      </c>
      <c r="E582" s="3">
        <f t="shared" ca="1" si="85"/>
        <v>500</v>
      </c>
      <c r="F582" s="42">
        <f t="shared" si="81"/>
        <v>1.443924686221297E-5</v>
      </c>
      <c r="G582" s="41">
        <f>SUM(F$11:F582)</f>
        <v>0.99995150453607329</v>
      </c>
    </row>
    <row r="583" spans="1:7" x14ac:dyDescent="0.25">
      <c r="A583" s="1">
        <f t="shared" si="86"/>
        <v>572</v>
      </c>
      <c r="B583" s="3">
        <f t="shared" ca="1" si="83"/>
        <v>124000</v>
      </c>
      <c r="C583" s="26">
        <f t="shared" ca="1" si="84"/>
        <v>0.77677550367367532</v>
      </c>
      <c r="D583" s="26" t="str">
        <f t="shared" ca="1" si="82"/>
        <v>Win</v>
      </c>
      <c r="E583" s="3">
        <f t="shared" ca="1" si="85"/>
        <v>500</v>
      </c>
      <c r="F583" s="42">
        <f t="shared" si="81"/>
        <v>1.1271452907747916E-5</v>
      </c>
      <c r="G583" s="41">
        <f>SUM(F$11:F583)</f>
        <v>0.99996277598898109</v>
      </c>
    </row>
    <row r="584" spans="1:7" x14ac:dyDescent="0.25">
      <c r="A584" s="1">
        <f t="shared" si="86"/>
        <v>573</v>
      </c>
      <c r="B584" s="3">
        <f t="shared" ca="1" si="83"/>
        <v>124500</v>
      </c>
      <c r="C584" s="26">
        <f t="shared" ca="1" si="84"/>
        <v>0.87433712875936853</v>
      </c>
      <c r="D584" s="26" t="str">
        <f t="shared" ca="1" si="82"/>
        <v>Win</v>
      </c>
      <c r="E584" s="3">
        <f t="shared" ca="1" si="85"/>
        <v>500</v>
      </c>
      <c r="F584" s="42">
        <f t="shared" si="81"/>
        <v>8.7628049318060488E-6</v>
      </c>
      <c r="G584" s="41">
        <f>SUM(F$11:F584)</f>
        <v>0.99997153879391287</v>
      </c>
    </row>
    <row r="585" spans="1:7" x14ac:dyDescent="0.25">
      <c r="A585" s="1">
        <f t="shared" si="86"/>
        <v>574</v>
      </c>
      <c r="B585" s="3">
        <f t="shared" ca="1" si="83"/>
        <v>125000</v>
      </c>
      <c r="C585" s="26">
        <f t="shared" ca="1" si="84"/>
        <v>0.68334197422981868</v>
      </c>
      <c r="D585" s="26" t="str">
        <f t="shared" ca="1" si="82"/>
        <v>Win</v>
      </c>
      <c r="E585" s="3">
        <f t="shared" ca="1" si="85"/>
        <v>500</v>
      </c>
      <c r="F585" s="42">
        <f t="shared" si="81"/>
        <v>6.7847402047905708E-6</v>
      </c>
      <c r="G585" s="41">
        <f>SUM(F$11:F585)</f>
        <v>0.99997832353411764</v>
      </c>
    </row>
    <row r="586" spans="1:7" x14ac:dyDescent="0.25">
      <c r="A586" s="1">
        <f t="shared" si="86"/>
        <v>575</v>
      </c>
      <c r="B586" s="3">
        <f t="shared" ca="1" si="83"/>
        <v>124500</v>
      </c>
      <c r="C586" s="26">
        <f t="shared" ca="1" si="84"/>
        <v>0.36032522776201747</v>
      </c>
      <c r="D586" s="26" t="str">
        <f t="shared" ca="1" si="82"/>
        <v>Lose</v>
      </c>
      <c r="E586" s="3">
        <f t="shared" ca="1" si="85"/>
        <v>-500</v>
      </c>
      <c r="F586" s="42">
        <f t="shared" si="81"/>
        <v>5.2317751797438553E-6</v>
      </c>
      <c r="G586" s="41">
        <f>SUM(F$11:F586)</f>
        <v>0.99998355530929739</v>
      </c>
    </row>
    <row r="587" spans="1:7" x14ac:dyDescent="0.25">
      <c r="A587" s="1">
        <f t="shared" si="86"/>
        <v>576</v>
      </c>
      <c r="B587" s="3">
        <f t="shared" ca="1" si="83"/>
        <v>125000</v>
      </c>
      <c r="C587" s="26">
        <f t="shared" ca="1" si="84"/>
        <v>0.56582746972320419</v>
      </c>
      <c r="D587" s="26" t="str">
        <f t="shared" ca="1" si="82"/>
        <v>Win</v>
      </c>
      <c r="E587" s="3">
        <f t="shared" ca="1" si="85"/>
        <v>500</v>
      </c>
      <c r="F587" s="42">
        <f t="shared" si="81"/>
        <v>4.0178120401412092E-6</v>
      </c>
      <c r="G587" s="41">
        <f>SUM(F$11:F587)</f>
        <v>0.99998757312133757</v>
      </c>
    </row>
    <row r="588" spans="1:7" x14ac:dyDescent="0.25">
      <c r="A588" s="1">
        <f t="shared" si="86"/>
        <v>577</v>
      </c>
      <c r="B588" s="3">
        <f t="shared" ca="1" si="83"/>
        <v>124500</v>
      </c>
      <c r="C588" s="26">
        <f t="shared" ca="1" si="84"/>
        <v>0.14378285606065944</v>
      </c>
      <c r="D588" s="26" t="str">
        <f t="shared" ca="1" si="82"/>
        <v>Lose</v>
      </c>
      <c r="E588" s="3">
        <f t="shared" ca="1" si="85"/>
        <v>-500</v>
      </c>
      <c r="F588" s="42">
        <f t="shared" ref="F588:F651" si="87">_xlfn.BINOM.DIST(A588,$A$1011,$B$1,FALSE)</f>
        <v>3.0729376987236808E-6</v>
      </c>
      <c r="G588" s="41">
        <f>SUM(F$11:F588)</f>
        <v>0.99999064605903631</v>
      </c>
    </row>
    <row r="589" spans="1:7" x14ac:dyDescent="0.25">
      <c r="A589" s="1">
        <f t="shared" si="86"/>
        <v>578</v>
      </c>
      <c r="B589" s="3">
        <f t="shared" ca="1" si="83"/>
        <v>125000</v>
      </c>
      <c r="C589" s="26">
        <f t="shared" ca="1" si="84"/>
        <v>0.7626610834281955</v>
      </c>
      <c r="D589" s="26" t="str">
        <f t="shared" ref="D589:D652" ca="1" si="88">IF(C589&gt;$B$2,"Win","Lose")</f>
        <v>Win</v>
      </c>
      <c r="E589" s="3">
        <f t="shared" ca="1" si="85"/>
        <v>500</v>
      </c>
      <c r="F589" s="42">
        <f t="shared" si="87"/>
        <v>2.3406710322210869E-6</v>
      </c>
      <c r="G589" s="41">
        <f>SUM(F$11:F589)</f>
        <v>0.99999298673006853</v>
      </c>
    </row>
    <row r="590" spans="1:7" x14ac:dyDescent="0.25">
      <c r="A590" s="1">
        <f t="shared" si="86"/>
        <v>579</v>
      </c>
      <c r="B590" s="3">
        <f t="shared" ref="B590:B653" ca="1" si="89">B589+E590</f>
        <v>124500</v>
      </c>
      <c r="C590" s="26">
        <f t="shared" ref="C590:C653" ca="1" si="90">RAND()</f>
        <v>0.47264486059164357</v>
      </c>
      <c r="D590" s="26" t="str">
        <f t="shared" ca="1" si="88"/>
        <v>Lose</v>
      </c>
      <c r="E590" s="3">
        <f t="shared" ref="E590:E653" ca="1" si="91">IF(D590="Win",$B$4,-$B$4)</f>
        <v>-500</v>
      </c>
      <c r="F590" s="42">
        <f t="shared" si="87"/>
        <v>1.7756131950041434E-6</v>
      </c>
      <c r="G590" s="41">
        <f>SUM(F$11:F590)</f>
        <v>0.99999476234326357</v>
      </c>
    </row>
    <row r="591" spans="1:7" x14ac:dyDescent="0.25">
      <c r="A591" s="1">
        <f t="shared" si="86"/>
        <v>580</v>
      </c>
      <c r="B591" s="3">
        <f t="shared" ca="1" si="89"/>
        <v>125000</v>
      </c>
      <c r="C591" s="26">
        <f t="shared" ca="1" si="90"/>
        <v>0.7755217902472169</v>
      </c>
      <c r="D591" s="26" t="str">
        <f t="shared" ca="1" si="88"/>
        <v>Win</v>
      </c>
      <c r="E591" s="3">
        <f t="shared" ca="1" si="91"/>
        <v>500</v>
      </c>
      <c r="F591" s="42">
        <f t="shared" si="87"/>
        <v>1.3414564007717967E-6</v>
      </c>
      <c r="G591" s="41">
        <f>SUM(F$11:F591)</f>
        <v>0.9999961037996643</v>
      </c>
    </row>
    <row r="592" spans="1:7" x14ac:dyDescent="0.25">
      <c r="A592" s="1">
        <f t="shared" si="86"/>
        <v>581</v>
      </c>
      <c r="B592" s="3">
        <f t="shared" ca="1" si="89"/>
        <v>124500</v>
      </c>
      <c r="C592" s="26">
        <f t="shared" ca="1" si="90"/>
        <v>0.14575582213673033</v>
      </c>
      <c r="D592" s="26" t="str">
        <f t="shared" ca="1" si="88"/>
        <v>Lose</v>
      </c>
      <c r="E592" s="3">
        <f t="shared" ca="1" si="91"/>
        <v>-500</v>
      </c>
      <c r="F592" s="42">
        <f t="shared" si="87"/>
        <v>1.009308233676317E-6</v>
      </c>
      <c r="G592" s="41">
        <f>SUM(F$11:F592)</f>
        <v>0.99999711310789796</v>
      </c>
    </row>
    <row r="593" spans="1:7" x14ac:dyDescent="0.25">
      <c r="A593" s="1">
        <f t="shared" si="86"/>
        <v>582</v>
      </c>
      <c r="B593" s="3">
        <f t="shared" ca="1" si="89"/>
        <v>124000</v>
      </c>
      <c r="C593" s="26">
        <f t="shared" ca="1" si="90"/>
        <v>0.35035155456018674</v>
      </c>
      <c r="D593" s="26" t="str">
        <f t="shared" ca="1" si="88"/>
        <v>Lose</v>
      </c>
      <c r="E593" s="3">
        <f t="shared" ca="1" si="91"/>
        <v>-500</v>
      </c>
      <c r="F593" s="42">
        <f t="shared" si="87"/>
        <v>7.5629103181952972E-7</v>
      </c>
      <c r="G593" s="41">
        <f>SUM(F$11:F593)</f>
        <v>0.99999786939892976</v>
      </c>
    </row>
    <row r="594" spans="1:7" x14ac:dyDescent="0.25">
      <c r="A594" s="1">
        <f t="shared" si="86"/>
        <v>583</v>
      </c>
      <c r="B594" s="3">
        <f t="shared" ca="1" si="89"/>
        <v>124500</v>
      </c>
      <c r="C594" s="26">
        <f t="shared" ca="1" si="90"/>
        <v>0.84252756605988477</v>
      </c>
      <c r="D594" s="26" t="str">
        <f t="shared" ca="1" si="88"/>
        <v>Win</v>
      </c>
      <c r="E594" s="3">
        <f t="shared" ca="1" si="91"/>
        <v>500</v>
      </c>
      <c r="F594" s="42">
        <f t="shared" si="87"/>
        <v>5.6437890630198289E-7</v>
      </c>
      <c r="G594" s="41">
        <f>SUM(F$11:F594)</f>
        <v>0.99999843377783604</v>
      </c>
    </row>
    <row r="595" spans="1:7" x14ac:dyDescent="0.25">
      <c r="A595" s="1">
        <f t="shared" si="86"/>
        <v>584</v>
      </c>
      <c r="B595" s="3">
        <f t="shared" ca="1" si="89"/>
        <v>124000</v>
      </c>
      <c r="C595" s="26">
        <f t="shared" ca="1" si="90"/>
        <v>0.13215563427189325</v>
      </c>
      <c r="D595" s="26" t="str">
        <f t="shared" ca="1" si="88"/>
        <v>Lose</v>
      </c>
      <c r="E595" s="3">
        <f t="shared" ca="1" si="91"/>
        <v>-500</v>
      </c>
      <c r="F595" s="42">
        <f t="shared" si="87"/>
        <v>4.1943829327384385E-7</v>
      </c>
      <c r="G595" s="41">
        <f>SUM(F$11:F595)</f>
        <v>0.99999885321612936</v>
      </c>
    </row>
    <row r="596" spans="1:7" x14ac:dyDescent="0.25">
      <c r="A596" s="1">
        <f t="shared" si="86"/>
        <v>585</v>
      </c>
      <c r="B596" s="3">
        <f t="shared" ca="1" si="89"/>
        <v>124500</v>
      </c>
      <c r="C596" s="26">
        <f t="shared" ca="1" si="90"/>
        <v>0.5316827447200656</v>
      </c>
      <c r="D596" s="26" t="str">
        <f t="shared" ca="1" si="88"/>
        <v>Win</v>
      </c>
      <c r="E596" s="3">
        <f t="shared" ca="1" si="91"/>
        <v>500</v>
      </c>
      <c r="F596" s="42">
        <f t="shared" si="87"/>
        <v>3.1044140345709887E-7</v>
      </c>
      <c r="G596" s="41">
        <f>SUM(F$11:F596)</f>
        <v>0.99999916365753283</v>
      </c>
    </row>
    <row r="597" spans="1:7" x14ac:dyDescent="0.25">
      <c r="A597" s="1">
        <f t="shared" si="86"/>
        <v>586</v>
      </c>
      <c r="B597" s="3">
        <f t="shared" ca="1" si="89"/>
        <v>124000</v>
      </c>
      <c r="C597" s="26">
        <f t="shared" ca="1" si="90"/>
        <v>0.37900753536888565</v>
      </c>
      <c r="D597" s="26" t="str">
        <f t="shared" ca="1" si="88"/>
        <v>Lose</v>
      </c>
      <c r="E597" s="3">
        <f t="shared" ca="1" si="91"/>
        <v>-500</v>
      </c>
      <c r="F597" s="42">
        <f t="shared" si="87"/>
        <v>2.2882539194015186E-7</v>
      </c>
      <c r="G597" s="41">
        <f>SUM(F$11:F597)</f>
        <v>0.9999993924829248</v>
      </c>
    </row>
    <row r="598" spans="1:7" x14ac:dyDescent="0.25">
      <c r="A598" s="1">
        <f t="shared" si="86"/>
        <v>587</v>
      </c>
      <c r="B598" s="3">
        <f t="shared" ca="1" si="89"/>
        <v>124500</v>
      </c>
      <c r="C598" s="26">
        <f t="shared" ca="1" si="90"/>
        <v>0.54084143754341441</v>
      </c>
      <c r="D598" s="26" t="str">
        <f t="shared" ca="1" si="88"/>
        <v>Win</v>
      </c>
      <c r="E598" s="3">
        <f t="shared" ca="1" si="91"/>
        <v>500</v>
      </c>
      <c r="F598" s="42">
        <f t="shared" si="87"/>
        <v>1.679734146446608E-7</v>
      </c>
      <c r="G598" s="41">
        <f>SUM(F$11:F598)</f>
        <v>0.99999956045633942</v>
      </c>
    </row>
    <row r="599" spans="1:7" x14ac:dyDescent="0.25">
      <c r="A599" s="1">
        <f t="shared" si="86"/>
        <v>588</v>
      </c>
      <c r="B599" s="3">
        <f t="shared" ca="1" si="89"/>
        <v>125000</v>
      </c>
      <c r="C599" s="26">
        <f t="shared" ca="1" si="90"/>
        <v>0.67470256874309098</v>
      </c>
      <c r="D599" s="26" t="str">
        <f t="shared" ca="1" si="88"/>
        <v>Win</v>
      </c>
      <c r="E599" s="3">
        <f t="shared" ca="1" si="91"/>
        <v>500</v>
      </c>
      <c r="F599" s="42">
        <f t="shared" si="87"/>
        <v>1.2279689131821872E-7</v>
      </c>
      <c r="G599" s="41">
        <f>SUM(F$11:F599)</f>
        <v>0.99999968325323074</v>
      </c>
    </row>
    <row r="600" spans="1:7" x14ac:dyDescent="0.25">
      <c r="A600" s="1">
        <f t="shared" si="86"/>
        <v>589</v>
      </c>
      <c r="B600" s="3">
        <f t="shared" ca="1" si="89"/>
        <v>125500</v>
      </c>
      <c r="C600" s="26">
        <f t="shared" ca="1" si="90"/>
        <v>0.73340408369911048</v>
      </c>
      <c r="D600" s="26" t="str">
        <f t="shared" ca="1" si="88"/>
        <v>Win</v>
      </c>
      <c r="E600" s="3">
        <f t="shared" ca="1" si="91"/>
        <v>500</v>
      </c>
      <c r="F600" s="42">
        <f t="shared" si="87"/>
        <v>8.9401208564443295E-8</v>
      </c>
      <c r="G600" s="41">
        <f>SUM(F$11:F600)</f>
        <v>0.99999977265443929</v>
      </c>
    </row>
    <row r="601" spans="1:7" x14ac:dyDescent="0.25">
      <c r="A601" s="1">
        <f t="shared" si="86"/>
        <v>590</v>
      </c>
      <c r="B601" s="3">
        <f t="shared" ca="1" si="89"/>
        <v>126000</v>
      </c>
      <c r="C601" s="26">
        <f t="shared" ca="1" si="90"/>
        <v>0.72786021015381741</v>
      </c>
      <c r="D601" s="26" t="str">
        <f t="shared" ca="1" si="88"/>
        <v>Win</v>
      </c>
      <c r="E601" s="3">
        <f t="shared" ca="1" si="91"/>
        <v>500</v>
      </c>
      <c r="F601" s="42">
        <f t="shared" si="87"/>
        <v>6.4819741705959763E-8</v>
      </c>
      <c r="G601" s="41">
        <f>SUM(F$11:F601)</f>
        <v>0.99999983747418097</v>
      </c>
    </row>
    <row r="602" spans="1:7" x14ac:dyDescent="0.25">
      <c r="A602" s="1">
        <f t="shared" si="86"/>
        <v>591</v>
      </c>
      <c r="B602" s="3">
        <f t="shared" ca="1" si="89"/>
        <v>125500</v>
      </c>
      <c r="C602" s="26">
        <f t="shared" ca="1" si="90"/>
        <v>0.19624209687915173</v>
      </c>
      <c r="D602" s="26" t="str">
        <f t="shared" ca="1" si="88"/>
        <v>Lose</v>
      </c>
      <c r="E602" s="3">
        <f t="shared" ca="1" si="91"/>
        <v>-500</v>
      </c>
      <c r="F602" s="42">
        <f t="shared" si="87"/>
        <v>4.6803439313223675E-8</v>
      </c>
      <c r="G602" s="41">
        <f>SUM(F$11:F602)</f>
        <v>0.99999988427762032</v>
      </c>
    </row>
    <row r="603" spans="1:7" x14ac:dyDescent="0.25">
      <c r="A603" s="1">
        <f t="shared" si="86"/>
        <v>592</v>
      </c>
      <c r="B603" s="3">
        <f t="shared" ca="1" si="89"/>
        <v>126000</v>
      </c>
      <c r="C603" s="26">
        <f t="shared" ca="1" si="90"/>
        <v>0.79241483473864227</v>
      </c>
      <c r="D603" s="26" t="str">
        <f t="shared" ca="1" si="88"/>
        <v>Win</v>
      </c>
      <c r="E603" s="3">
        <f t="shared" ca="1" si="91"/>
        <v>500</v>
      </c>
      <c r="F603" s="42">
        <f t="shared" si="87"/>
        <v>3.3655299939137634E-8</v>
      </c>
      <c r="G603" s="41">
        <f>SUM(F$11:F603)</f>
        <v>0.99999991793292031</v>
      </c>
    </row>
    <row r="604" spans="1:7" x14ac:dyDescent="0.25">
      <c r="A604" s="1">
        <f t="shared" si="86"/>
        <v>593</v>
      </c>
      <c r="B604" s="3">
        <f t="shared" ca="1" si="89"/>
        <v>125500</v>
      </c>
      <c r="C604" s="26">
        <f t="shared" ca="1" si="90"/>
        <v>0.15893445036652232</v>
      </c>
      <c r="D604" s="26" t="str">
        <f t="shared" ca="1" si="88"/>
        <v>Lose</v>
      </c>
      <c r="E604" s="3">
        <f t="shared" ca="1" si="91"/>
        <v>-500</v>
      </c>
      <c r="F604" s="42">
        <f t="shared" si="87"/>
        <v>2.4100887260680503E-8</v>
      </c>
      <c r="G604" s="41">
        <f>SUM(F$11:F604)</f>
        <v>0.9999999420338076</v>
      </c>
    </row>
    <row r="605" spans="1:7" x14ac:dyDescent="0.25">
      <c r="A605" s="1">
        <f t="shared" si="86"/>
        <v>594</v>
      </c>
      <c r="B605" s="3">
        <f t="shared" ca="1" si="89"/>
        <v>125000</v>
      </c>
      <c r="C605" s="26">
        <f t="shared" ca="1" si="90"/>
        <v>0.25261684708025145</v>
      </c>
      <c r="D605" s="26" t="str">
        <f t="shared" ca="1" si="88"/>
        <v>Lose</v>
      </c>
      <c r="E605" s="3">
        <f t="shared" ca="1" si="91"/>
        <v>-500</v>
      </c>
      <c r="F605" s="42">
        <f t="shared" si="87"/>
        <v>1.7187594202911389E-8</v>
      </c>
      <c r="G605" s="41">
        <f>SUM(F$11:F605)</f>
        <v>0.99999995922140184</v>
      </c>
    </row>
    <row r="606" spans="1:7" x14ac:dyDescent="0.25">
      <c r="A606" s="1">
        <f t="shared" si="86"/>
        <v>595</v>
      </c>
      <c r="B606" s="3">
        <f t="shared" ca="1" si="89"/>
        <v>125500</v>
      </c>
      <c r="C606" s="26">
        <f t="shared" ca="1" si="90"/>
        <v>0.92114349263180662</v>
      </c>
      <c r="D606" s="26" t="str">
        <f t="shared" ca="1" si="88"/>
        <v>Win</v>
      </c>
      <c r="E606" s="3">
        <f t="shared" ca="1" si="91"/>
        <v>500</v>
      </c>
      <c r="F606" s="42">
        <f t="shared" si="87"/>
        <v>1.2206699556353706E-8</v>
      </c>
      <c r="G606" s="41">
        <f>SUM(F$11:F606)</f>
        <v>0.99999997142810138</v>
      </c>
    </row>
    <row r="607" spans="1:7" x14ac:dyDescent="0.25">
      <c r="A607" s="1">
        <f t="shared" si="86"/>
        <v>596</v>
      </c>
      <c r="B607" s="3">
        <f t="shared" ca="1" si="89"/>
        <v>125000</v>
      </c>
      <c r="C607" s="26">
        <f t="shared" ca="1" si="90"/>
        <v>2.0372796795914305E-2</v>
      </c>
      <c r="D607" s="26" t="str">
        <f t="shared" ca="1" si="88"/>
        <v>Lose</v>
      </c>
      <c r="E607" s="3">
        <f t="shared" ca="1" si="91"/>
        <v>-500</v>
      </c>
      <c r="F607" s="42">
        <f t="shared" si="87"/>
        <v>8.6333851299985377E-9</v>
      </c>
      <c r="G607" s="41">
        <f>SUM(F$11:F607)</f>
        <v>0.99999998006148649</v>
      </c>
    </row>
    <row r="608" spans="1:7" x14ac:dyDescent="0.25">
      <c r="A608" s="1">
        <f t="shared" si="86"/>
        <v>597</v>
      </c>
      <c r="B608" s="3">
        <f t="shared" ca="1" si="89"/>
        <v>124500</v>
      </c>
      <c r="C608" s="26">
        <f t="shared" ca="1" si="90"/>
        <v>7.1897506101857744E-2</v>
      </c>
      <c r="D608" s="26" t="str">
        <f t="shared" ca="1" si="88"/>
        <v>Lose</v>
      </c>
      <c r="E608" s="3">
        <f t="shared" ca="1" si="91"/>
        <v>-500</v>
      </c>
      <c r="F608" s="42">
        <f t="shared" si="87"/>
        <v>6.0808213591252895E-9</v>
      </c>
      <c r="G608" s="41">
        <f>SUM(F$11:F608)</f>
        <v>0.9999999861423079</v>
      </c>
    </row>
    <row r="609" spans="1:7" x14ac:dyDescent="0.25">
      <c r="A609" s="1">
        <f t="shared" si="86"/>
        <v>598</v>
      </c>
      <c r="B609" s="3">
        <f t="shared" ca="1" si="89"/>
        <v>125000</v>
      </c>
      <c r="C609" s="26">
        <f t="shared" ca="1" si="90"/>
        <v>0.85356156938656613</v>
      </c>
      <c r="D609" s="26" t="str">
        <f t="shared" ca="1" si="88"/>
        <v>Win</v>
      </c>
      <c r="E609" s="3">
        <f t="shared" ca="1" si="91"/>
        <v>500</v>
      </c>
      <c r="F609" s="42">
        <f t="shared" si="87"/>
        <v>4.2652078832195715E-9</v>
      </c>
      <c r="G609" s="41">
        <f>SUM(F$11:F609)</f>
        <v>0.99999999040751575</v>
      </c>
    </row>
    <row r="610" spans="1:7" x14ac:dyDescent="0.25">
      <c r="A610" s="1">
        <f t="shared" si="86"/>
        <v>599</v>
      </c>
      <c r="B610" s="3">
        <f t="shared" ca="1" si="89"/>
        <v>125500</v>
      </c>
      <c r="C610" s="26">
        <f t="shared" ca="1" si="90"/>
        <v>0.83472959856641549</v>
      </c>
      <c r="D610" s="26" t="str">
        <f t="shared" ca="1" si="88"/>
        <v>Win</v>
      </c>
      <c r="E610" s="3">
        <f t="shared" ca="1" si="91"/>
        <v>500</v>
      </c>
      <c r="F610" s="42">
        <f t="shared" si="87"/>
        <v>2.979295152525312E-9</v>
      </c>
      <c r="G610" s="41">
        <f>SUM(F$11:F610)</f>
        <v>0.99999999338681089</v>
      </c>
    </row>
    <row r="611" spans="1:7" x14ac:dyDescent="0.25">
      <c r="A611" s="1">
        <f t="shared" si="86"/>
        <v>600</v>
      </c>
      <c r="B611" s="3">
        <f t="shared" ca="1" si="89"/>
        <v>126000</v>
      </c>
      <c r="C611" s="26">
        <f t="shared" ca="1" si="90"/>
        <v>0.81105176525170131</v>
      </c>
      <c r="D611" s="26" t="str">
        <f t="shared" ca="1" si="88"/>
        <v>Win</v>
      </c>
      <c r="E611" s="3">
        <f t="shared" ca="1" si="91"/>
        <v>500</v>
      </c>
      <c r="F611" s="42">
        <f t="shared" si="87"/>
        <v>2.0724341892617073E-9</v>
      </c>
      <c r="G611" s="41">
        <f>SUM(F$11:F611)</f>
        <v>0.99999999545924512</v>
      </c>
    </row>
    <row r="612" spans="1:7" x14ac:dyDescent="0.25">
      <c r="A612" s="1">
        <f t="shared" si="86"/>
        <v>601</v>
      </c>
      <c r="B612" s="3">
        <f t="shared" ca="1" si="89"/>
        <v>126500</v>
      </c>
      <c r="C612" s="26">
        <f t="shared" ca="1" si="90"/>
        <v>0.89831335167910442</v>
      </c>
      <c r="D612" s="26" t="str">
        <f t="shared" ca="1" si="88"/>
        <v>Win</v>
      </c>
      <c r="E612" s="3">
        <f t="shared" ca="1" si="91"/>
        <v>500</v>
      </c>
      <c r="F612" s="42">
        <f t="shared" si="87"/>
        <v>1.4356228551372971E-9</v>
      </c>
      <c r="G612" s="41">
        <f>SUM(F$11:F612)</f>
        <v>0.99999999689486796</v>
      </c>
    </row>
    <row r="613" spans="1:7" x14ac:dyDescent="0.25">
      <c r="A613" s="1">
        <f t="shared" si="86"/>
        <v>602</v>
      </c>
      <c r="B613" s="3">
        <f t="shared" ca="1" si="89"/>
        <v>126000</v>
      </c>
      <c r="C613" s="26">
        <f t="shared" ca="1" si="90"/>
        <v>0.16422210270023363</v>
      </c>
      <c r="D613" s="26" t="str">
        <f t="shared" ca="1" si="88"/>
        <v>Lose</v>
      </c>
      <c r="E613" s="3">
        <f t="shared" ca="1" si="91"/>
        <v>-500</v>
      </c>
      <c r="F613" s="42">
        <f t="shared" si="87"/>
        <v>9.9035492166212121E-10</v>
      </c>
      <c r="G613" s="41">
        <f>SUM(F$11:F613)</f>
        <v>0.99999999788522287</v>
      </c>
    </row>
    <row r="614" spans="1:7" x14ac:dyDescent="0.25">
      <c r="A614" s="1">
        <f t="shared" si="86"/>
        <v>603</v>
      </c>
      <c r="B614" s="3">
        <f t="shared" ca="1" si="89"/>
        <v>125500</v>
      </c>
      <c r="C614" s="26">
        <f t="shared" ca="1" si="90"/>
        <v>0.19024805005824708</v>
      </c>
      <c r="D614" s="26" t="str">
        <f t="shared" ca="1" si="88"/>
        <v>Lose</v>
      </c>
      <c r="E614" s="3">
        <f t="shared" ca="1" si="91"/>
        <v>-500</v>
      </c>
      <c r="F614" s="42">
        <f t="shared" si="87"/>
        <v>6.8034738551790199E-10</v>
      </c>
      <c r="G614" s="41">
        <f>SUM(F$11:F614)</f>
        <v>0.9999999985655702</v>
      </c>
    </row>
    <row r="615" spans="1:7" x14ac:dyDescent="0.25">
      <c r="A615" s="1">
        <f t="shared" si="86"/>
        <v>604</v>
      </c>
      <c r="B615" s="3">
        <f t="shared" ca="1" si="89"/>
        <v>126000</v>
      </c>
      <c r="C615" s="26">
        <f t="shared" ca="1" si="90"/>
        <v>0.64841710161211341</v>
      </c>
      <c r="D615" s="26" t="str">
        <f t="shared" ca="1" si="88"/>
        <v>Win</v>
      </c>
      <c r="E615" s="3">
        <f t="shared" ca="1" si="91"/>
        <v>500</v>
      </c>
      <c r="F615" s="42">
        <f t="shared" si="87"/>
        <v>4.654342990465257E-10</v>
      </c>
      <c r="G615" s="41">
        <f>SUM(F$11:F615)</f>
        <v>0.99999999903100445</v>
      </c>
    </row>
    <row r="616" spans="1:7" x14ac:dyDescent="0.25">
      <c r="A616" s="1">
        <f t="shared" si="86"/>
        <v>605</v>
      </c>
      <c r="B616" s="3">
        <f t="shared" ca="1" si="89"/>
        <v>125500</v>
      </c>
      <c r="C616" s="26">
        <f t="shared" ca="1" si="90"/>
        <v>2.3783241704643854E-2</v>
      </c>
      <c r="D616" s="26" t="str">
        <f t="shared" ca="1" si="88"/>
        <v>Lose</v>
      </c>
      <c r="E616" s="3">
        <f t="shared" ca="1" si="91"/>
        <v>-500</v>
      </c>
      <c r="F616" s="42">
        <f t="shared" si="87"/>
        <v>3.1708251319088325E-10</v>
      </c>
      <c r="G616" s="41">
        <f>SUM(F$11:F616)</f>
        <v>0.99999999934808692</v>
      </c>
    </row>
    <row r="617" spans="1:7" x14ac:dyDescent="0.25">
      <c r="A617" s="1">
        <f t="shared" si="86"/>
        <v>606</v>
      </c>
      <c r="B617" s="3">
        <f t="shared" ca="1" si="89"/>
        <v>126000</v>
      </c>
      <c r="C617" s="26">
        <f t="shared" ca="1" si="90"/>
        <v>0.9476946880301983</v>
      </c>
      <c r="D617" s="26" t="str">
        <f t="shared" ca="1" si="88"/>
        <v>Win</v>
      </c>
      <c r="E617" s="3">
        <f t="shared" ca="1" si="91"/>
        <v>500</v>
      </c>
      <c r="F617" s="42">
        <f t="shared" si="87"/>
        <v>2.1511508143834816E-10</v>
      </c>
      <c r="G617" s="41">
        <f>SUM(F$11:F617)</f>
        <v>0.99999999956320196</v>
      </c>
    </row>
    <row r="618" spans="1:7" x14ac:dyDescent="0.25">
      <c r="A618" s="1">
        <f t="shared" si="86"/>
        <v>607</v>
      </c>
      <c r="B618" s="3">
        <f t="shared" ca="1" si="89"/>
        <v>125500</v>
      </c>
      <c r="C618" s="26">
        <f t="shared" ca="1" si="90"/>
        <v>0.29887326037834416</v>
      </c>
      <c r="D618" s="26" t="str">
        <f t="shared" ca="1" si="88"/>
        <v>Lose</v>
      </c>
      <c r="E618" s="3">
        <f t="shared" ca="1" si="91"/>
        <v>-500</v>
      </c>
      <c r="F618" s="42">
        <f t="shared" si="87"/>
        <v>1.4532906722328662E-10</v>
      </c>
      <c r="G618" s="41">
        <f>SUM(F$11:F618)</f>
        <v>0.99999999970853104</v>
      </c>
    </row>
    <row r="619" spans="1:7" x14ac:dyDescent="0.25">
      <c r="A619" s="1">
        <f t="shared" si="86"/>
        <v>608</v>
      </c>
      <c r="B619" s="3">
        <f t="shared" ca="1" si="89"/>
        <v>125000</v>
      </c>
      <c r="C619" s="26">
        <f t="shared" ca="1" si="90"/>
        <v>0.10835471052860957</v>
      </c>
      <c r="D619" s="26" t="str">
        <f t="shared" ca="1" si="88"/>
        <v>Lose</v>
      </c>
      <c r="E619" s="3">
        <f t="shared" ca="1" si="91"/>
        <v>-500</v>
      </c>
      <c r="F619" s="42">
        <f t="shared" si="87"/>
        <v>9.7772237323989968E-11</v>
      </c>
      <c r="G619" s="41">
        <f>SUM(F$11:F619)</f>
        <v>0.99999999980630327</v>
      </c>
    </row>
    <row r="620" spans="1:7" x14ac:dyDescent="0.25">
      <c r="A620" s="1">
        <f t="shared" si="86"/>
        <v>609</v>
      </c>
      <c r="B620" s="3">
        <f t="shared" ca="1" si="89"/>
        <v>125500</v>
      </c>
      <c r="C620" s="26">
        <f t="shared" ca="1" si="90"/>
        <v>0.61891266666798239</v>
      </c>
      <c r="D620" s="26" t="str">
        <f t="shared" ca="1" si="88"/>
        <v>Win</v>
      </c>
      <c r="E620" s="3">
        <f t="shared" ca="1" si="91"/>
        <v>500</v>
      </c>
      <c r="F620" s="42">
        <f t="shared" si="87"/>
        <v>6.5502582640703146E-11</v>
      </c>
      <c r="G620" s="41">
        <f>SUM(F$11:F620)</f>
        <v>0.99999999987180588</v>
      </c>
    </row>
    <row r="621" spans="1:7" x14ac:dyDescent="0.25">
      <c r="A621" s="1">
        <f t="shared" si="86"/>
        <v>610</v>
      </c>
      <c r="B621" s="3">
        <f t="shared" ca="1" si="89"/>
        <v>125000</v>
      </c>
      <c r="C621" s="26">
        <f t="shared" ca="1" si="90"/>
        <v>0.28764215364815271</v>
      </c>
      <c r="D621" s="26" t="str">
        <f t="shared" ca="1" si="88"/>
        <v>Lose</v>
      </c>
      <c r="E621" s="3">
        <f t="shared" ca="1" si="91"/>
        <v>-500</v>
      </c>
      <c r="F621" s="42">
        <f t="shared" si="87"/>
        <v>4.3699799278629045E-11</v>
      </c>
      <c r="G621" s="41">
        <f>SUM(F$11:F621)</f>
        <v>0.9999999999155057</v>
      </c>
    </row>
    <row r="622" spans="1:7" x14ac:dyDescent="0.25">
      <c r="A622" s="1">
        <f t="shared" si="86"/>
        <v>611</v>
      </c>
      <c r="B622" s="3">
        <f t="shared" ca="1" si="89"/>
        <v>125500</v>
      </c>
      <c r="C622" s="26">
        <f t="shared" ca="1" si="90"/>
        <v>0.91564727371596921</v>
      </c>
      <c r="D622" s="26" t="str">
        <f t="shared" ca="1" si="88"/>
        <v>Win</v>
      </c>
      <c r="E622" s="3">
        <f t="shared" ca="1" si="91"/>
        <v>500</v>
      </c>
      <c r="F622" s="42">
        <f t="shared" si="87"/>
        <v>2.9031998652324743E-11</v>
      </c>
      <c r="G622" s="41">
        <f>SUM(F$11:F622)</f>
        <v>0.9999999999445377</v>
      </c>
    </row>
    <row r="623" spans="1:7" x14ac:dyDescent="0.25">
      <c r="A623" s="1">
        <f t="shared" si="86"/>
        <v>612</v>
      </c>
      <c r="B623" s="3">
        <f t="shared" ca="1" si="89"/>
        <v>126000</v>
      </c>
      <c r="C623" s="26">
        <f t="shared" ca="1" si="90"/>
        <v>0.66078505340933069</v>
      </c>
      <c r="D623" s="26" t="str">
        <f t="shared" ca="1" si="88"/>
        <v>Win</v>
      </c>
      <c r="E623" s="3">
        <f t="shared" ca="1" si="91"/>
        <v>500</v>
      </c>
      <c r="F623" s="42">
        <f t="shared" si="87"/>
        <v>1.9206543326113144E-11</v>
      </c>
      <c r="G623" s="41">
        <f>SUM(F$11:F623)</f>
        <v>0.99999999996374422</v>
      </c>
    </row>
    <row r="624" spans="1:7" x14ac:dyDescent="0.25">
      <c r="A624" s="1">
        <f t="shared" si="86"/>
        <v>613</v>
      </c>
      <c r="B624" s="3">
        <f t="shared" ca="1" si="89"/>
        <v>126500</v>
      </c>
      <c r="C624" s="26">
        <f t="shared" ca="1" si="90"/>
        <v>0.4982514610482055</v>
      </c>
      <c r="D624" s="26" t="str">
        <f t="shared" ca="1" si="88"/>
        <v>Win</v>
      </c>
      <c r="E624" s="3">
        <f t="shared" ca="1" si="91"/>
        <v>500</v>
      </c>
      <c r="F624" s="42">
        <f t="shared" si="87"/>
        <v>1.2653030573529968E-11</v>
      </c>
      <c r="G624" s="41">
        <f>SUM(F$11:F624)</f>
        <v>0.99999999997639721</v>
      </c>
    </row>
    <row r="625" spans="1:7" x14ac:dyDescent="0.25">
      <c r="A625" s="1">
        <f t="shared" si="86"/>
        <v>614</v>
      </c>
      <c r="B625" s="3">
        <f t="shared" ca="1" si="89"/>
        <v>127000</v>
      </c>
      <c r="C625" s="26">
        <f t="shared" ca="1" si="90"/>
        <v>0.58121360981157677</v>
      </c>
      <c r="D625" s="26" t="str">
        <f t="shared" ca="1" si="88"/>
        <v>Win</v>
      </c>
      <c r="E625" s="3">
        <f t="shared" ca="1" si="91"/>
        <v>500</v>
      </c>
      <c r="F625" s="42">
        <f t="shared" si="87"/>
        <v>8.30063366448719E-12</v>
      </c>
      <c r="G625" s="41">
        <f>SUM(F$11:F625)</f>
        <v>0.9999999999846978</v>
      </c>
    </row>
    <row r="626" spans="1:7" x14ac:dyDescent="0.25">
      <c r="A626" s="1">
        <f t="shared" si="86"/>
        <v>615</v>
      </c>
      <c r="B626" s="3">
        <f t="shared" ca="1" si="89"/>
        <v>126500</v>
      </c>
      <c r="C626" s="26">
        <f t="shared" ca="1" si="90"/>
        <v>0.2961836457614514</v>
      </c>
      <c r="D626" s="26" t="str">
        <f t="shared" ca="1" si="88"/>
        <v>Lose</v>
      </c>
      <c r="E626" s="3">
        <f t="shared" ca="1" si="91"/>
        <v>-500</v>
      </c>
      <c r="F626" s="42">
        <f t="shared" si="87"/>
        <v>5.4224746746009462E-12</v>
      </c>
      <c r="G626" s="41">
        <f>SUM(F$11:F626)</f>
        <v>0.99999999999012024</v>
      </c>
    </row>
    <row r="627" spans="1:7" x14ac:dyDescent="0.25">
      <c r="A627" s="1">
        <f t="shared" si="86"/>
        <v>616</v>
      </c>
      <c r="B627" s="3">
        <f t="shared" ca="1" si="89"/>
        <v>127000</v>
      </c>
      <c r="C627" s="26">
        <f t="shared" ca="1" si="90"/>
        <v>0.74105674753800876</v>
      </c>
      <c r="D627" s="26" t="str">
        <f t="shared" ca="1" si="88"/>
        <v>Win</v>
      </c>
      <c r="E627" s="3">
        <f t="shared" ca="1" si="91"/>
        <v>500</v>
      </c>
      <c r="F627" s="42">
        <f t="shared" si="87"/>
        <v>3.5273751072020583E-12</v>
      </c>
      <c r="G627" s="41">
        <f>SUM(F$11:F627)</f>
        <v>0.99999999999364764</v>
      </c>
    </row>
    <row r="628" spans="1:7" x14ac:dyDescent="0.25">
      <c r="A628" s="1">
        <f t="shared" si="86"/>
        <v>617</v>
      </c>
      <c r="B628" s="3">
        <f t="shared" ca="1" si="89"/>
        <v>126500</v>
      </c>
      <c r="C628" s="26">
        <f t="shared" ca="1" si="90"/>
        <v>0.1241498659619753</v>
      </c>
      <c r="D628" s="26" t="str">
        <f t="shared" ca="1" si="88"/>
        <v>Lose</v>
      </c>
      <c r="E628" s="3">
        <f t="shared" ca="1" si="91"/>
        <v>-500</v>
      </c>
      <c r="F628" s="42">
        <f t="shared" si="87"/>
        <v>2.2849242251660524E-12</v>
      </c>
      <c r="G628" s="41">
        <f>SUM(F$11:F628)</f>
        <v>0.99999999999593259</v>
      </c>
    </row>
    <row r="629" spans="1:7" x14ac:dyDescent="0.25">
      <c r="A629" s="1">
        <f t="shared" si="86"/>
        <v>618</v>
      </c>
      <c r="B629" s="3">
        <f t="shared" ca="1" si="89"/>
        <v>127000</v>
      </c>
      <c r="C629" s="26">
        <f t="shared" ca="1" si="90"/>
        <v>0.66640099424846833</v>
      </c>
      <c r="D629" s="26" t="str">
        <f t="shared" ca="1" si="88"/>
        <v>Win</v>
      </c>
      <c r="E629" s="3">
        <f t="shared" ca="1" si="91"/>
        <v>500</v>
      </c>
      <c r="F629" s="42">
        <f t="shared" si="87"/>
        <v>1.4738598801323882E-12</v>
      </c>
      <c r="G629" s="41">
        <f>SUM(F$11:F629)</f>
        <v>0.99999999999740641</v>
      </c>
    </row>
    <row r="630" spans="1:7" x14ac:dyDescent="0.25">
      <c r="A630" s="1">
        <f t="shared" si="86"/>
        <v>619</v>
      </c>
      <c r="B630" s="3">
        <f t="shared" ca="1" si="89"/>
        <v>127500</v>
      </c>
      <c r="C630" s="26">
        <f t="shared" ca="1" si="90"/>
        <v>0.5973561196651902</v>
      </c>
      <c r="D630" s="26" t="str">
        <f t="shared" ca="1" si="88"/>
        <v>Win</v>
      </c>
      <c r="E630" s="3">
        <f t="shared" ca="1" si="91"/>
        <v>500</v>
      </c>
      <c r="F630" s="42">
        <f t="shared" si="87"/>
        <v>9.4667957484878682E-13</v>
      </c>
      <c r="G630" s="41">
        <f>SUM(F$11:F630)</f>
        <v>0.9999999999983531</v>
      </c>
    </row>
    <row r="631" spans="1:7" x14ac:dyDescent="0.25">
      <c r="A631" s="1">
        <f t="shared" si="86"/>
        <v>620</v>
      </c>
      <c r="B631" s="3">
        <f t="shared" ca="1" si="89"/>
        <v>128000</v>
      </c>
      <c r="C631" s="26">
        <f t="shared" ca="1" si="90"/>
        <v>0.80167064465365556</v>
      </c>
      <c r="D631" s="26" t="str">
        <f t="shared" ca="1" si="88"/>
        <v>Win</v>
      </c>
      <c r="E631" s="3">
        <f t="shared" ca="1" si="91"/>
        <v>500</v>
      </c>
      <c r="F631" s="42">
        <f t="shared" si="87"/>
        <v>6.0549476033203343E-13</v>
      </c>
      <c r="G631" s="41">
        <f>SUM(F$11:F631)</f>
        <v>0.99999999999895861</v>
      </c>
    </row>
    <row r="632" spans="1:7" x14ac:dyDescent="0.25">
      <c r="A632" s="1">
        <f t="shared" si="86"/>
        <v>621</v>
      </c>
      <c r="B632" s="3">
        <f t="shared" ca="1" si="89"/>
        <v>127500</v>
      </c>
      <c r="C632" s="26">
        <f t="shared" ca="1" si="90"/>
        <v>6.0355014994110556E-2</v>
      </c>
      <c r="D632" s="26" t="str">
        <f t="shared" ca="1" si="88"/>
        <v>Lose</v>
      </c>
      <c r="E632" s="3">
        <f t="shared" ca="1" si="91"/>
        <v>-500</v>
      </c>
      <c r="F632" s="42">
        <f t="shared" si="87"/>
        <v>3.8563503418562736E-13</v>
      </c>
      <c r="G632" s="41">
        <f>SUM(F$11:F632)</f>
        <v>0.99999999999934419</v>
      </c>
    </row>
    <row r="633" spans="1:7" x14ac:dyDescent="0.25">
      <c r="A633" s="1">
        <f t="shared" si="86"/>
        <v>622</v>
      </c>
      <c r="B633" s="3">
        <f t="shared" ca="1" si="89"/>
        <v>127000</v>
      </c>
      <c r="C633" s="26">
        <f t="shared" ca="1" si="90"/>
        <v>0.27705141813470768</v>
      </c>
      <c r="D633" s="26" t="str">
        <f t="shared" ca="1" si="88"/>
        <v>Lose</v>
      </c>
      <c r="E633" s="3">
        <f t="shared" ca="1" si="91"/>
        <v>-500</v>
      </c>
      <c r="F633" s="42">
        <f t="shared" si="87"/>
        <v>2.4456787111274198E-13</v>
      </c>
      <c r="G633" s="41">
        <f>SUM(F$11:F633)</f>
        <v>0.99999999999958877</v>
      </c>
    </row>
    <row r="634" spans="1:7" x14ac:dyDescent="0.25">
      <c r="A634" s="1">
        <f t="shared" si="86"/>
        <v>623</v>
      </c>
      <c r="B634" s="3">
        <f t="shared" ca="1" si="89"/>
        <v>127500</v>
      </c>
      <c r="C634" s="26">
        <f t="shared" ca="1" si="90"/>
        <v>0.94034938394242251</v>
      </c>
      <c r="D634" s="26" t="str">
        <f t="shared" ca="1" si="88"/>
        <v>Win</v>
      </c>
      <c r="E634" s="3">
        <f t="shared" ca="1" si="91"/>
        <v>500</v>
      </c>
      <c r="F634" s="42">
        <f t="shared" si="87"/>
        <v>1.5444620890724246E-13</v>
      </c>
      <c r="G634" s="41">
        <f>SUM(F$11:F634)</f>
        <v>0.99999999999974321</v>
      </c>
    </row>
    <row r="635" spans="1:7" x14ac:dyDescent="0.25">
      <c r="A635" s="1">
        <f>A634+1</f>
        <v>624</v>
      </c>
      <c r="B635" s="3">
        <f t="shared" ca="1" si="89"/>
        <v>128000</v>
      </c>
      <c r="C635" s="26">
        <f t="shared" ca="1" si="90"/>
        <v>0.52243154390227886</v>
      </c>
      <c r="D635" s="26" t="str">
        <f t="shared" ca="1" si="88"/>
        <v>Win</v>
      </c>
      <c r="E635" s="3">
        <f t="shared" ca="1" si="91"/>
        <v>500</v>
      </c>
      <c r="F635" s="42">
        <f t="shared" si="87"/>
        <v>9.7119873713357082E-14</v>
      </c>
      <c r="G635" s="41">
        <f>SUM(F$11:F635)</f>
        <v>0.99999999999984035</v>
      </c>
    </row>
    <row r="636" spans="1:7" x14ac:dyDescent="0.25">
      <c r="A636" s="1">
        <f t="shared" ref="A636:A699" si="92">A635+1</f>
        <v>625</v>
      </c>
      <c r="B636" s="3">
        <f t="shared" ca="1" si="89"/>
        <v>128500</v>
      </c>
      <c r="C636" s="26">
        <f t="shared" ca="1" si="90"/>
        <v>0.63733292774445516</v>
      </c>
      <c r="D636" s="26" t="str">
        <f t="shared" ca="1" si="88"/>
        <v>Win</v>
      </c>
      <c r="E636" s="3">
        <f t="shared" ca="1" si="91"/>
        <v>500</v>
      </c>
      <c r="F636" s="42">
        <f t="shared" si="87"/>
        <v>6.0812104435178761E-14</v>
      </c>
      <c r="G636" s="41">
        <f>SUM(F$11:F636)</f>
        <v>0.99999999999990119</v>
      </c>
    </row>
    <row r="637" spans="1:7" x14ac:dyDescent="0.25">
      <c r="A637" s="1">
        <f t="shared" si="92"/>
        <v>626</v>
      </c>
      <c r="B637" s="3">
        <f t="shared" ca="1" si="89"/>
        <v>129000</v>
      </c>
      <c r="C637" s="26">
        <f t="shared" ca="1" si="90"/>
        <v>0.66605714382093661</v>
      </c>
      <c r="D637" s="26" t="str">
        <f t="shared" ca="1" si="88"/>
        <v>Win</v>
      </c>
      <c r="E637" s="3">
        <f t="shared" ca="1" si="91"/>
        <v>500</v>
      </c>
      <c r="F637" s="42">
        <f t="shared" si="87"/>
        <v>3.7915873290825004E-14</v>
      </c>
      <c r="G637" s="41">
        <f>SUM(F$11:F637)</f>
        <v>0.99999999999993916</v>
      </c>
    </row>
    <row r="638" spans="1:7" x14ac:dyDescent="0.25">
      <c r="A638" s="1">
        <f t="shared" si="92"/>
        <v>627</v>
      </c>
      <c r="B638" s="3">
        <f t="shared" ca="1" si="89"/>
        <v>129500</v>
      </c>
      <c r="C638" s="26">
        <f t="shared" ca="1" si="90"/>
        <v>0.85219691305557843</v>
      </c>
      <c r="D638" s="26" t="str">
        <f t="shared" ca="1" si="88"/>
        <v>Win</v>
      </c>
      <c r="E638" s="3">
        <f t="shared" ca="1" si="91"/>
        <v>500</v>
      </c>
      <c r="F638" s="42">
        <f t="shared" si="87"/>
        <v>2.3539607692907536E-14</v>
      </c>
      <c r="G638" s="41">
        <f>SUM(F$11:F638)</f>
        <v>0.9999999999999627</v>
      </c>
    </row>
    <row r="639" spans="1:7" x14ac:dyDescent="0.25">
      <c r="A639" s="1">
        <f t="shared" si="92"/>
        <v>628</v>
      </c>
      <c r="B639" s="3">
        <f t="shared" ca="1" si="89"/>
        <v>129000</v>
      </c>
      <c r="C639" s="26">
        <f t="shared" ca="1" si="90"/>
        <v>8.3272919113015598E-2</v>
      </c>
      <c r="D639" s="26" t="str">
        <f t="shared" ca="1" si="88"/>
        <v>Lose</v>
      </c>
      <c r="E639" s="3">
        <f t="shared" ca="1" si="91"/>
        <v>-500</v>
      </c>
      <c r="F639" s="42">
        <f t="shared" si="87"/>
        <v>1.4551993927667336E-14</v>
      </c>
      <c r="G639" s="41">
        <f>SUM(F$11:F639)</f>
        <v>0.99999999999997724</v>
      </c>
    </row>
    <row r="640" spans="1:7" x14ac:dyDescent="0.25">
      <c r="A640" s="1">
        <f t="shared" si="92"/>
        <v>629</v>
      </c>
      <c r="B640" s="3">
        <f t="shared" ca="1" si="89"/>
        <v>129500</v>
      </c>
      <c r="C640" s="26">
        <f t="shared" ca="1" si="90"/>
        <v>0.91753041097715993</v>
      </c>
      <c r="D640" s="26" t="str">
        <f t="shared" ca="1" si="88"/>
        <v>Win</v>
      </c>
      <c r="E640" s="3">
        <f t="shared" ca="1" si="91"/>
        <v>500</v>
      </c>
      <c r="F640" s="42">
        <f t="shared" si="87"/>
        <v>8.9575428699816758E-15</v>
      </c>
      <c r="G640" s="41">
        <f>SUM(F$11:F640)</f>
        <v>0.99999999999998623</v>
      </c>
    </row>
    <row r="641" spans="1:7" x14ac:dyDescent="0.25">
      <c r="A641" s="1">
        <f t="shared" si="92"/>
        <v>630</v>
      </c>
      <c r="B641" s="3">
        <f t="shared" ca="1" si="89"/>
        <v>129000</v>
      </c>
      <c r="C641" s="26">
        <f t="shared" ca="1" si="90"/>
        <v>0.38991400509831264</v>
      </c>
      <c r="D641" s="26" t="str">
        <f t="shared" ca="1" si="88"/>
        <v>Lose</v>
      </c>
      <c r="E641" s="3">
        <f t="shared" ca="1" si="91"/>
        <v>-500</v>
      </c>
      <c r="F641" s="42">
        <f t="shared" si="87"/>
        <v>5.4903034869750997E-15</v>
      </c>
      <c r="G641" s="41">
        <f>SUM(F$11:F641)</f>
        <v>0.99999999999999167</v>
      </c>
    </row>
    <row r="642" spans="1:7" x14ac:dyDescent="0.25">
      <c r="A642" s="1">
        <f t="shared" si="92"/>
        <v>631</v>
      </c>
      <c r="B642" s="3">
        <f t="shared" ca="1" si="89"/>
        <v>128500</v>
      </c>
      <c r="C642" s="26">
        <f t="shared" ca="1" si="90"/>
        <v>0.26554807716159512</v>
      </c>
      <c r="D642" s="26" t="str">
        <f t="shared" ca="1" si="88"/>
        <v>Lose</v>
      </c>
      <c r="E642" s="3">
        <f t="shared" ca="1" si="91"/>
        <v>-500</v>
      </c>
      <c r="F642" s="42">
        <f t="shared" si="87"/>
        <v>3.350756065824291E-15</v>
      </c>
      <c r="G642" s="41">
        <f>SUM(F$11:F642)</f>
        <v>0.999999999999995</v>
      </c>
    </row>
    <row r="643" spans="1:7" x14ac:dyDescent="0.25">
      <c r="A643" s="1">
        <f t="shared" si="92"/>
        <v>632</v>
      </c>
      <c r="B643" s="3">
        <f t="shared" ca="1" si="89"/>
        <v>129000</v>
      </c>
      <c r="C643" s="26">
        <f t="shared" ca="1" si="90"/>
        <v>0.57292395051705469</v>
      </c>
      <c r="D643" s="26" t="str">
        <f t="shared" ca="1" si="88"/>
        <v>Win</v>
      </c>
      <c r="E643" s="3">
        <f t="shared" ca="1" si="91"/>
        <v>500</v>
      </c>
      <c r="F643" s="42">
        <f t="shared" si="87"/>
        <v>2.0362270215301812E-15</v>
      </c>
      <c r="G643" s="41">
        <f>SUM(F$11:F643)</f>
        <v>0.999999999999997</v>
      </c>
    </row>
    <row r="644" spans="1:7" x14ac:dyDescent="0.25">
      <c r="A644" s="1">
        <f t="shared" si="92"/>
        <v>633</v>
      </c>
      <c r="B644" s="3">
        <f t="shared" ca="1" si="89"/>
        <v>128500</v>
      </c>
      <c r="C644" s="26">
        <f t="shared" ca="1" si="90"/>
        <v>0.2816320067300615</v>
      </c>
      <c r="D644" s="26" t="str">
        <f t="shared" ca="1" si="88"/>
        <v>Lose</v>
      </c>
      <c r="E644" s="3">
        <f t="shared" ca="1" si="91"/>
        <v>-500</v>
      </c>
      <c r="F644" s="42">
        <f t="shared" si="87"/>
        <v>1.2320955843595298E-15</v>
      </c>
      <c r="G644" s="41">
        <f>SUM(F$11:F644)</f>
        <v>0.99999999999999822</v>
      </c>
    </row>
    <row r="645" spans="1:7" x14ac:dyDescent="0.25">
      <c r="A645" s="1">
        <f t="shared" si="92"/>
        <v>634</v>
      </c>
      <c r="B645" s="3">
        <f t="shared" ca="1" si="89"/>
        <v>129000</v>
      </c>
      <c r="C645" s="26">
        <f t="shared" ca="1" si="90"/>
        <v>0.76624597418152618</v>
      </c>
      <c r="D645" s="26" t="str">
        <f t="shared" ca="1" si="88"/>
        <v>Win</v>
      </c>
      <c r="E645" s="3">
        <f t="shared" ca="1" si="91"/>
        <v>500</v>
      </c>
      <c r="F645" s="42">
        <f t="shared" si="87"/>
        <v>7.4232707952284398E-16</v>
      </c>
      <c r="G645" s="41">
        <f>SUM(F$11:F645)</f>
        <v>0.999999999999999</v>
      </c>
    </row>
    <row r="646" spans="1:7" x14ac:dyDescent="0.25">
      <c r="A646" s="1">
        <f t="shared" si="92"/>
        <v>635</v>
      </c>
      <c r="B646" s="3">
        <f t="shared" ca="1" si="89"/>
        <v>129500</v>
      </c>
      <c r="C646" s="26">
        <f t="shared" ca="1" si="90"/>
        <v>0.82893241074595503</v>
      </c>
      <c r="D646" s="26" t="str">
        <f t="shared" ca="1" si="88"/>
        <v>Win</v>
      </c>
      <c r="E646" s="3">
        <f t="shared" ca="1" si="91"/>
        <v>500</v>
      </c>
      <c r="F646" s="42">
        <f t="shared" si="87"/>
        <v>4.453246751204742E-16</v>
      </c>
      <c r="G646" s="41">
        <f>SUM(F$11:F646)</f>
        <v>0.99999999999999944</v>
      </c>
    </row>
    <row r="647" spans="1:7" x14ac:dyDescent="0.25">
      <c r="A647" s="1">
        <f t="shared" si="92"/>
        <v>636</v>
      </c>
      <c r="B647" s="3">
        <f t="shared" ca="1" si="89"/>
        <v>130000</v>
      </c>
      <c r="C647" s="26">
        <f t="shared" ca="1" si="90"/>
        <v>0.98697036742885746</v>
      </c>
      <c r="D647" s="26" t="str">
        <f t="shared" ca="1" si="88"/>
        <v>Win</v>
      </c>
      <c r="E647" s="3">
        <f t="shared" ca="1" si="91"/>
        <v>500</v>
      </c>
      <c r="F647" s="42">
        <f t="shared" si="87"/>
        <v>2.66003042849689E-16</v>
      </c>
      <c r="G647" s="41">
        <f>SUM(F$11:F647)</f>
        <v>0.99999999999999967</v>
      </c>
    </row>
    <row r="648" spans="1:7" x14ac:dyDescent="0.25">
      <c r="A648" s="1">
        <f t="shared" si="92"/>
        <v>637</v>
      </c>
      <c r="B648" s="3">
        <f t="shared" ca="1" si="89"/>
        <v>129500</v>
      </c>
      <c r="C648" s="26">
        <f t="shared" ca="1" si="90"/>
        <v>0.11808457267017869</v>
      </c>
      <c r="D648" s="26" t="str">
        <f t="shared" ca="1" si="88"/>
        <v>Lose</v>
      </c>
      <c r="E648" s="3">
        <f t="shared" ca="1" si="91"/>
        <v>-500</v>
      </c>
      <c r="F648" s="42">
        <f t="shared" si="87"/>
        <v>1.5820589137415513E-16</v>
      </c>
      <c r="G648" s="41">
        <f>SUM(F$11:F648)</f>
        <v>0.99999999999999978</v>
      </c>
    </row>
    <row r="649" spans="1:7" x14ac:dyDescent="0.25">
      <c r="A649" s="1">
        <f t="shared" si="92"/>
        <v>638</v>
      </c>
      <c r="B649" s="3">
        <f t="shared" ca="1" si="89"/>
        <v>130000</v>
      </c>
      <c r="C649" s="26">
        <f t="shared" ca="1" si="90"/>
        <v>0.9204628858188959</v>
      </c>
      <c r="D649" s="26" t="str">
        <f t="shared" ca="1" si="88"/>
        <v>Win</v>
      </c>
      <c r="E649" s="3">
        <f t="shared" ca="1" si="91"/>
        <v>500</v>
      </c>
      <c r="F649" s="42">
        <f t="shared" si="87"/>
        <v>9.3687725257812146E-17</v>
      </c>
      <c r="G649" s="41">
        <f>SUM(F$11:F649)</f>
        <v>0.99999999999999989</v>
      </c>
    </row>
    <row r="650" spans="1:7" x14ac:dyDescent="0.25">
      <c r="A650" s="1">
        <f t="shared" si="92"/>
        <v>639</v>
      </c>
      <c r="B650" s="3">
        <f t="shared" ca="1" si="89"/>
        <v>129500</v>
      </c>
      <c r="C650" s="26">
        <f t="shared" ca="1" si="90"/>
        <v>0.28008750550354777</v>
      </c>
      <c r="D650" s="26" t="str">
        <f t="shared" ca="1" si="88"/>
        <v>Lose</v>
      </c>
      <c r="E650" s="3">
        <f t="shared" ca="1" si="91"/>
        <v>-500</v>
      </c>
      <c r="F650" s="42">
        <f t="shared" si="87"/>
        <v>5.5241377909034176E-17</v>
      </c>
      <c r="G650" s="41">
        <f>SUM(F$11:F650)</f>
        <v>0.99999999999999989</v>
      </c>
    </row>
    <row r="651" spans="1:7" x14ac:dyDescent="0.25">
      <c r="A651" s="1">
        <f t="shared" si="92"/>
        <v>640</v>
      </c>
      <c r="B651" s="3">
        <f t="shared" ca="1" si="89"/>
        <v>129000</v>
      </c>
      <c r="C651" s="26">
        <f t="shared" ca="1" si="90"/>
        <v>0.2976022960310899</v>
      </c>
      <c r="D651" s="26" t="str">
        <f t="shared" ca="1" si="88"/>
        <v>Lose</v>
      </c>
      <c r="E651" s="3">
        <f t="shared" ca="1" si="91"/>
        <v>-500</v>
      </c>
      <c r="F651" s="42">
        <f t="shared" si="87"/>
        <v>3.24314097156641E-17</v>
      </c>
      <c r="G651" s="41">
        <f>SUM(F$11:F651)</f>
        <v>0.99999999999999989</v>
      </c>
    </row>
    <row r="652" spans="1:7" x14ac:dyDescent="0.25">
      <c r="A652" s="1">
        <f t="shared" si="92"/>
        <v>641</v>
      </c>
      <c r="B652" s="3">
        <f t="shared" ca="1" si="89"/>
        <v>128500</v>
      </c>
      <c r="C652" s="26">
        <f t="shared" ca="1" si="90"/>
        <v>0.24808388895296152</v>
      </c>
      <c r="D652" s="26" t="str">
        <f t="shared" ca="1" si="88"/>
        <v>Lose</v>
      </c>
      <c r="E652" s="3">
        <f t="shared" ca="1" si="91"/>
        <v>-500</v>
      </c>
      <c r="F652" s="42">
        <f t="shared" ref="F652:F715" si="93">_xlfn.BINOM.DIST(A652,$A$1011,$B$1,FALSE)</f>
        <v>1.8957645336673865E-17</v>
      </c>
      <c r="G652" s="41">
        <f>SUM(F$11:F652)</f>
        <v>0.99999999999999989</v>
      </c>
    </row>
    <row r="653" spans="1:7" x14ac:dyDescent="0.25">
      <c r="A653" s="1">
        <f t="shared" si="92"/>
        <v>642</v>
      </c>
      <c r="B653" s="3">
        <f t="shared" ca="1" si="89"/>
        <v>129000</v>
      </c>
      <c r="C653" s="26">
        <f t="shared" ca="1" si="90"/>
        <v>0.92880089213340755</v>
      </c>
      <c r="D653" s="26" t="str">
        <f t="shared" ref="D653:D716" ca="1" si="94">IF(C653&gt;$B$2,"Win","Lose")</f>
        <v>Win</v>
      </c>
      <c r="E653" s="3">
        <f t="shared" ca="1" si="91"/>
        <v>500</v>
      </c>
      <c r="F653" s="42">
        <f t="shared" si="93"/>
        <v>1.1033617155228008E-17</v>
      </c>
      <c r="G653" s="41">
        <f>SUM(F$11:F653)</f>
        <v>0.99999999999999989</v>
      </c>
    </row>
    <row r="654" spans="1:7" x14ac:dyDescent="0.25">
      <c r="A654" s="1">
        <f t="shared" si="92"/>
        <v>643</v>
      </c>
      <c r="B654" s="3">
        <f t="shared" ref="B654:B717" ca="1" si="95">B653+E654</f>
        <v>128500</v>
      </c>
      <c r="C654" s="26">
        <f t="shared" ref="C654:C717" ca="1" si="96">RAND()</f>
        <v>0.17959662870367155</v>
      </c>
      <c r="D654" s="26" t="str">
        <f t="shared" ca="1" si="94"/>
        <v>Lose</v>
      </c>
      <c r="E654" s="3">
        <f t="shared" ref="E654:E717" ca="1" si="97">IF(D654="Win",$B$4,-$B$4)</f>
        <v>-500</v>
      </c>
      <c r="F654" s="42">
        <f t="shared" si="93"/>
        <v>6.393873806460716E-18</v>
      </c>
      <c r="G654" s="41">
        <f>SUM(F$11:F654)</f>
        <v>0.99999999999999989</v>
      </c>
    </row>
    <row r="655" spans="1:7" x14ac:dyDescent="0.25">
      <c r="A655" s="1">
        <f t="shared" si="92"/>
        <v>644</v>
      </c>
      <c r="B655" s="3">
        <f t="shared" ca="1" si="95"/>
        <v>128000</v>
      </c>
      <c r="C655" s="26">
        <f t="shared" ca="1" si="96"/>
        <v>0.2511677681826886</v>
      </c>
      <c r="D655" s="26" t="str">
        <f t="shared" ca="1" si="94"/>
        <v>Lose</v>
      </c>
      <c r="E655" s="3">
        <f t="shared" ca="1" si="97"/>
        <v>-500</v>
      </c>
      <c r="F655" s="42">
        <f t="shared" si="93"/>
        <v>3.6891006589628406E-18</v>
      </c>
      <c r="G655" s="41">
        <f>SUM(F$11:F655)</f>
        <v>0.99999999999999989</v>
      </c>
    </row>
    <row r="656" spans="1:7" x14ac:dyDescent="0.25">
      <c r="A656" s="1">
        <f t="shared" si="92"/>
        <v>645</v>
      </c>
      <c r="B656" s="3">
        <f t="shared" ca="1" si="95"/>
        <v>128500</v>
      </c>
      <c r="C656" s="26">
        <f t="shared" ca="1" si="96"/>
        <v>0.49074140173462111</v>
      </c>
      <c r="D656" s="26" t="str">
        <f t="shared" ca="1" si="94"/>
        <v>Win</v>
      </c>
      <c r="E656" s="3">
        <f t="shared" ca="1" si="97"/>
        <v>500</v>
      </c>
      <c r="F656" s="42">
        <f t="shared" si="93"/>
        <v>2.1192631407728394E-18</v>
      </c>
      <c r="G656" s="41">
        <f>SUM(F$11:F656)</f>
        <v>0.99999999999999989</v>
      </c>
    </row>
    <row r="657" spans="1:7" x14ac:dyDescent="0.25">
      <c r="A657" s="1">
        <f t="shared" si="92"/>
        <v>646</v>
      </c>
      <c r="B657" s="3">
        <f t="shared" ca="1" si="95"/>
        <v>129000</v>
      </c>
      <c r="C657" s="26">
        <f t="shared" ca="1" si="96"/>
        <v>0.6403181093396666</v>
      </c>
      <c r="D657" s="26" t="str">
        <f t="shared" ca="1" si="94"/>
        <v>Win</v>
      </c>
      <c r="E657" s="3">
        <f t="shared" ca="1" si="97"/>
        <v>500</v>
      </c>
      <c r="F657" s="42">
        <f t="shared" si="93"/>
        <v>1.2121456739651239E-18</v>
      </c>
      <c r="G657" s="41">
        <f>SUM(F$11:F657)</f>
        <v>0.99999999999999989</v>
      </c>
    </row>
    <row r="658" spans="1:7" x14ac:dyDescent="0.25">
      <c r="A658" s="1">
        <f t="shared" si="92"/>
        <v>647</v>
      </c>
      <c r="B658" s="3">
        <f t="shared" ca="1" si="95"/>
        <v>128500</v>
      </c>
      <c r="C658" s="26">
        <f t="shared" ca="1" si="96"/>
        <v>5.8412773947865038E-2</v>
      </c>
      <c r="D658" s="26" t="str">
        <f t="shared" ca="1" si="94"/>
        <v>Lose</v>
      </c>
      <c r="E658" s="3">
        <f t="shared" ca="1" si="97"/>
        <v>-500</v>
      </c>
      <c r="F658" s="42">
        <f t="shared" si="93"/>
        <v>6.9028413707747581E-19</v>
      </c>
      <c r="G658" s="41">
        <f>SUM(F$11:F658)</f>
        <v>0.99999999999999989</v>
      </c>
    </row>
    <row r="659" spans="1:7" x14ac:dyDescent="0.25">
      <c r="A659" s="1">
        <f t="shared" si="92"/>
        <v>648</v>
      </c>
      <c r="B659" s="3">
        <f t="shared" ca="1" si="95"/>
        <v>128000</v>
      </c>
      <c r="C659" s="26">
        <f t="shared" ca="1" si="96"/>
        <v>0.42797114412297832</v>
      </c>
      <c r="D659" s="26" t="str">
        <f t="shared" ca="1" si="94"/>
        <v>Lose</v>
      </c>
      <c r="E659" s="3">
        <f t="shared" ca="1" si="97"/>
        <v>-500</v>
      </c>
      <c r="F659" s="42">
        <f t="shared" si="93"/>
        <v>3.9138275761544193E-19</v>
      </c>
      <c r="G659" s="41">
        <f>SUM(F$11:F659)</f>
        <v>0.99999999999999989</v>
      </c>
    </row>
    <row r="660" spans="1:7" x14ac:dyDescent="0.25">
      <c r="A660" s="1">
        <f t="shared" si="92"/>
        <v>649</v>
      </c>
      <c r="B660" s="3">
        <f t="shared" ca="1" si="95"/>
        <v>127500</v>
      </c>
      <c r="C660" s="26">
        <f t="shared" ca="1" si="96"/>
        <v>1.1208254398839879E-2</v>
      </c>
      <c r="D660" s="26" t="str">
        <f t="shared" ca="1" si="94"/>
        <v>Lose</v>
      </c>
      <c r="E660" s="3">
        <f t="shared" ca="1" si="97"/>
        <v>-500</v>
      </c>
      <c r="F660" s="42">
        <f t="shared" si="93"/>
        <v>2.2093969575523913E-19</v>
      </c>
      <c r="G660" s="41">
        <f>SUM(F$11:F660)</f>
        <v>0.99999999999999989</v>
      </c>
    </row>
    <row r="661" spans="1:7" x14ac:dyDescent="0.25">
      <c r="A661" s="1">
        <f t="shared" si="92"/>
        <v>650</v>
      </c>
      <c r="B661" s="3">
        <f t="shared" ca="1" si="95"/>
        <v>128000</v>
      </c>
      <c r="C661" s="26">
        <f t="shared" ca="1" si="96"/>
        <v>0.50486249361585001</v>
      </c>
      <c r="D661" s="26" t="str">
        <f t="shared" ca="1" si="94"/>
        <v>Win</v>
      </c>
      <c r="E661" s="3">
        <f t="shared" ca="1" si="97"/>
        <v>500</v>
      </c>
      <c r="F661" s="42">
        <f t="shared" si="93"/>
        <v>1.241771269612131E-19</v>
      </c>
      <c r="G661" s="41">
        <f>SUM(F$11:F661)</f>
        <v>0.99999999999999989</v>
      </c>
    </row>
    <row r="662" spans="1:7" x14ac:dyDescent="0.25">
      <c r="A662" s="1">
        <f t="shared" si="92"/>
        <v>651</v>
      </c>
      <c r="B662" s="3">
        <f t="shared" ca="1" si="95"/>
        <v>127500</v>
      </c>
      <c r="C662" s="26">
        <f t="shared" ca="1" si="96"/>
        <v>0.21572826775372167</v>
      </c>
      <c r="D662" s="26" t="str">
        <f t="shared" ca="1" si="94"/>
        <v>Lose</v>
      </c>
      <c r="E662" s="3">
        <f t="shared" ca="1" si="97"/>
        <v>-500</v>
      </c>
      <c r="F662" s="42">
        <f t="shared" si="93"/>
        <v>6.9486871571448571E-20</v>
      </c>
      <c r="G662" s="41">
        <f>SUM(F$11:F662)</f>
        <v>0.99999999999999989</v>
      </c>
    </row>
    <row r="663" spans="1:7" x14ac:dyDescent="0.25">
      <c r="A663" s="1">
        <f t="shared" si="92"/>
        <v>652</v>
      </c>
      <c r="B663" s="3">
        <f t="shared" ca="1" si="95"/>
        <v>127000</v>
      </c>
      <c r="C663" s="26">
        <f t="shared" ca="1" si="96"/>
        <v>0.38967396654059583</v>
      </c>
      <c r="D663" s="26" t="str">
        <f t="shared" ca="1" si="94"/>
        <v>Lose</v>
      </c>
      <c r="E663" s="3">
        <f t="shared" ca="1" si="97"/>
        <v>-500</v>
      </c>
      <c r="F663" s="42">
        <f t="shared" si="93"/>
        <v>3.8712809161769354E-20</v>
      </c>
      <c r="G663" s="41">
        <f>SUM(F$11:F663)</f>
        <v>0.99999999999999989</v>
      </c>
    </row>
    <row r="664" spans="1:7" x14ac:dyDescent="0.25">
      <c r="A664" s="1">
        <f t="shared" si="92"/>
        <v>653</v>
      </c>
      <c r="B664" s="3">
        <f t="shared" ca="1" si="95"/>
        <v>127500</v>
      </c>
      <c r="C664" s="26">
        <f t="shared" ca="1" si="96"/>
        <v>0.72021923321485692</v>
      </c>
      <c r="D664" s="26" t="str">
        <f t="shared" ca="1" si="94"/>
        <v>Win</v>
      </c>
      <c r="E664" s="3">
        <f t="shared" ca="1" si="97"/>
        <v>500</v>
      </c>
      <c r="F664" s="42">
        <f t="shared" si="93"/>
        <v>2.1473104884929107E-20</v>
      </c>
      <c r="G664" s="41">
        <f>SUM(F$11:F664)</f>
        <v>0.99999999999999989</v>
      </c>
    </row>
    <row r="665" spans="1:7" x14ac:dyDescent="0.25">
      <c r="A665" s="1">
        <f t="shared" si="92"/>
        <v>654</v>
      </c>
      <c r="B665" s="3">
        <f t="shared" ca="1" si="95"/>
        <v>128000</v>
      </c>
      <c r="C665" s="26">
        <f t="shared" ca="1" si="96"/>
        <v>0.82410104945671081</v>
      </c>
      <c r="D665" s="26" t="str">
        <f t="shared" ca="1" si="94"/>
        <v>Win</v>
      </c>
      <c r="E665" s="3">
        <f t="shared" ca="1" si="97"/>
        <v>500</v>
      </c>
      <c r="F665" s="42">
        <f t="shared" si="93"/>
        <v>1.1858251798932596E-20</v>
      </c>
      <c r="G665" s="41">
        <f>SUM(F$11:F665)</f>
        <v>0.99999999999999989</v>
      </c>
    </row>
    <row r="666" spans="1:7" x14ac:dyDescent="0.25">
      <c r="A666" s="1">
        <f t="shared" si="92"/>
        <v>655</v>
      </c>
      <c r="B666" s="3">
        <f t="shared" ca="1" si="95"/>
        <v>127500</v>
      </c>
      <c r="C666" s="26">
        <f t="shared" ca="1" si="96"/>
        <v>0.4817521392909816</v>
      </c>
      <c r="D666" s="26" t="str">
        <f t="shared" ca="1" si="94"/>
        <v>Lose</v>
      </c>
      <c r="E666" s="3">
        <f t="shared" ca="1" si="97"/>
        <v>-500</v>
      </c>
      <c r="F666" s="42">
        <f t="shared" si="93"/>
        <v>6.5197292800737755E-21</v>
      </c>
      <c r="G666" s="41">
        <f>SUM(F$11:F666)</f>
        <v>0.99999999999999989</v>
      </c>
    </row>
    <row r="667" spans="1:7" x14ac:dyDescent="0.25">
      <c r="A667" s="1">
        <f t="shared" si="92"/>
        <v>656</v>
      </c>
      <c r="B667" s="3">
        <f t="shared" ca="1" si="95"/>
        <v>128000</v>
      </c>
      <c r="C667" s="26">
        <f t="shared" ca="1" si="96"/>
        <v>0.55819595531677546</v>
      </c>
      <c r="D667" s="26" t="str">
        <f t="shared" ca="1" si="94"/>
        <v>Win</v>
      </c>
      <c r="E667" s="3">
        <f t="shared" ca="1" si="97"/>
        <v>500</v>
      </c>
      <c r="F667" s="42">
        <f t="shared" si="93"/>
        <v>3.5687729182085452E-21</v>
      </c>
      <c r="G667" s="41">
        <f>SUM(F$11:F667)</f>
        <v>0.99999999999999989</v>
      </c>
    </row>
    <row r="668" spans="1:7" x14ac:dyDescent="0.25">
      <c r="A668" s="1">
        <f t="shared" si="92"/>
        <v>657</v>
      </c>
      <c r="B668" s="3">
        <f t="shared" ca="1" si="95"/>
        <v>127500</v>
      </c>
      <c r="C668" s="26">
        <f t="shared" ca="1" si="96"/>
        <v>0.20929054804710845</v>
      </c>
      <c r="D668" s="26" t="str">
        <f t="shared" ca="1" si="94"/>
        <v>Lose</v>
      </c>
      <c r="E668" s="3">
        <f t="shared" ca="1" si="97"/>
        <v>-500</v>
      </c>
      <c r="F668" s="42">
        <f t="shared" si="93"/>
        <v>1.9448498765896801E-21</v>
      </c>
      <c r="G668" s="41">
        <f>SUM(F$11:F668)</f>
        <v>0.99999999999999989</v>
      </c>
    </row>
    <row r="669" spans="1:7" x14ac:dyDescent="0.25">
      <c r="A669" s="1">
        <f t="shared" si="92"/>
        <v>658</v>
      </c>
      <c r="B669" s="3">
        <f t="shared" ca="1" si="95"/>
        <v>128000</v>
      </c>
      <c r="C669" s="26">
        <f t="shared" ca="1" si="96"/>
        <v>0.99120768316658758</v>
      </c>
      <c r="D669" s="26" t="str">
        <f t="shared" ca="1" si="94"/>
        <v>Win</v>
      </c>
      <c r="E669" s="3">
        <f t="shared" ca="1" si="97"/>
        <v>500</v>
      </c>
      <c r="F669" s="42">
        <f t="shared" si="93"/>
        <v>1.0551845075114105E-21</v>
      </c>
      <c r="G669" s="41">
        <f>SUM(F$11:F669)</f>
        <v>0.99999999999999989</v>
      </c>
    </row>
    <row r="670" spans="1:7" x14ac:dyDescent="0.25">
      <c r="A670" s="1">
        <f t="shared" si="92"/>
        <v>659</v>
      </c>
      <c r="B670" s="3">
        <f t="shared" ca="1" si="95"/>
        <v>128500</v>
      </c>
      <c r="C670" s="26">
        <f t="shared" ca="1" si="96"/>
        <v>0.6514761550894308</v>
      </c>
      <c r="D670" s="26" t="str">
        <f t="shared" ca="1" si="94"/>
        <v>Win</v>
      </c>
      <c r="E670" s="3">
        <f t="shared" ca="1" si="97"/>
        <v>500</v>
      </c>
      <c r="F670" s="42">
        <f t="shared" si="93"/>
        <v>5.6995844600707219E-22</v>
      </c>
      <c r="G670" s="41">
        <f>SUM(F$11:F670)</f>
        <v>0.99999999999999989</v>
      </c>
    </row>
    <row r="671" spans="1:7" x14ac:dyDescent="0.25">
      <c r="A671" s="1">
        <f t="shared" si="92"/>
        <v>660</v>
      </c>
      <c r="B671" s="3">
        <f t="shared" ca="1" si="95"/>
        <v>129000</v>
      </c>
      <c r="C671" s="26">
        <f t="shared" ca="1" si="96"/>
        <v>0.62173080520483948</v>
      </c>
      <c r="D671" s="26" t="str">
        <f t="shared" ca="1" si="94"/>
        <v>Win</v>
      </c>
      <c r="E671" s="3">
        <f t="shared" ca="1" si="97"/>
        <v>500</v>
      </c>
      <c r="F671" s="42">
        <f t="shared" si="93"/>
        <v>3.064980622915627E-22</v>
      </c>
      <c r="G671" s="41">
        <f>SUM(F$11:F671)</f>
        <v>0.99999999999999989</v>
      </c>
    </row>
    <row r="672" spans="1:7" x14ac:dyDescent="0.25">
      <c r="A672" s="1">
        <f t="shared" si="92"/>
        <v>661</v>
      </c>
      <c r="B672" s="3">
        <f t="shared" ca="1" si="95"/>
        <v>128500</v>
      </c>
      <c r="C672" s="26">
        <f t="shared" ca="1" si="96"/>
        <v>0.37340914293851946</v>
      </c>
      <c r="D672" s="26" t="str">
        <f t="shared" ca="1" si="94"/>
        <v>Lose</v>
      </c>
      <c r="E672" s="3">
        <f t="shared" ca="1" si="97"/>
        <v>-500</v>
      </c>
      <c r="F672" s="42">
        <f t="shared" si="93"/>
        <v>1.6408893143152141E-22</v>
      </c>
      <c r="G672" s="41">
        <f>SUM(F$11:F672)</f>
        <v>0.99999999999999989</v>
      </c>
    </row>
    <row r="673" spans="1:7" x14ac:dyDescent="0.25">
      <c r="A673" s="1">
        <f t="shared" si="92"/>
        <v>662</v>
      </c>
      <c r="B673" s="3">
        <f t="shared" ca="1" si="95"/>
        <v>129000</v>
      </c>
      <c r="C673" s="26">
        <f t="shared" ca="1" si="96"/>
        <v>0.96781436054661962</v>
      </c>
      <c r="D673" s="26" t="str">
        <f t="shared" ca="1" si="94"/>
        <v>Win</v>
      </c>
      <c r="E673" s="3">
        <f t="shared" ca="1" si="97"/>
        <v>500</v>
      </c>
      <c r="F673" s="42">
        <f t="shared" si="93"/>
        <v>8.7457103875690112E-23</v>
      </c>
      <c r="G673" s="41">
        <f>SUM(F$11:F673)</f>
        <v>0.99999999999999989</v>
      </c>
    </row>
    <row r="674" spans="1:7" x14ac:dyDescent="0.25">
      <c r="A674" s="1">
        <f t="shared" si="92"/>
        <v>663</v>
      </c>
      <c r="B674" s="3">
        <f t="shared" ca="1" si="95"/>
        <v>129500</v>
      </c>
      <c r="C674" s="26">
        <f t="shared" ca="1" si="96"/>
        <v>0.58894828365815999</v>
      </c>
      <c r="D674" s="26" t="str">
        <f t="shared" ca="1" si="94"/>
        <v>Win</v>
      </c>
      <c r="E674" s="3">
        <f t="shared" ca="1" si="97"/>
        <v>500</v>
      </c>
      <c r="F674" s="42">
        <f t="shared" si="93"/>
        <v>4.640581021975314E-23</v>
      </c>
      <c r="G674" s="41">
        <f>SUM(F$11:F674)</f>
        <v>0.99999999999999989</v>
      </c>
    </row>
    <row r="675" spans="1:7" x14ac:dyDescent="0.25">
      <c r="A675" s="1">
        <f t="shared" si="92"/>
        <v>664</v>
      </c>
      <c r="B675" s="3">
        <f t="shared" ca="1" si="95"/>
        <v>130000</v>
      </c>
      <c r="C675" s="26">
        <f t="shared" ca="1" si="96"/>
        <v>0.59201396876558887</v>
      </c>
      <c r="D675" s="26" t="str">
        <f t="shared" ca="1" si="94"/>
        <v>Win</v>
      </c>
      <c r="E675" s="3">
        <f t="shared" ca="1" si="97"/>
        <v>500</v>
      </c>
      <c r="F675" s="42">
        <f t="shared" si="93"/>
        <v>2.4513666715234887E-23</v>
      </c>
      <c r="G675" s="41">
        <f>SUM(F$11:F675)</f>
        <v>0.99999999999999989</v>
      </c>
    </row>
    <row r="676" spans="1:7" x14ac:dyDescent="0.25">
      <c r="A676" s="1">
        <f t="shared" si="92"/>
        <v>665</v>
      </c>
      <c r="B676" s="3">
        <f t="shared" ca="1" si="95"/>
        <v>129500</v>
      </c>
      <c r="C676" s="26">
        <f t="shared" ca="1" si="96"/>
        <v>0.417061401484772</v>
      </c>
      <c r="D676" s="26" t="str">
        <f t="shared" ca="1" si="94"/>
        <v>Lose</v>
      </c>
      <c r="E676" s="3">
        <f t="shared" ca="1" si="97"/>
        <v>-500</v>
      </c>
      <c r="F676" s="42">
        <f t="shared" si="93"/>
        <v>1.2891397662491338E-23</v>
      </c>
      <c r="G676" s="41">
        <f>SUM(F$11:F676)</f>
        <v>0.99999999999999989</v>
      </c>
    </row>
    <row r="677" spans="1:7" x14ac:dyDescent="0.25">
      <c r="A677" s="1">
        <f t="shared" si="92"/>
        <v>666</v>
      </c>
      <c r="B677" s="3">
        <f t="shared" ca="1" si="95"/>
        <v>129000</v>
      </c>
      <c r="C677" s="26">
        <f t="shared" ca="1" si="96"/>
        <v>0.38176716260237409</v>
      </c>
      <c r="D677" s="26" t="str">
        <f t="shared" ca="1" si="94"/>
        <v>Lose</v>
      </c>
      <c r="E677" s="3">
        <f t="shared" ca="1" si="97"/>
        <v>-500</v>
      </c>
      <c r="F677" s="42">
        <f t="shared" si="93"/>
        <v>6.7490816039610238E-24</v>
      </c>
      <c r="G677" s="41">
        <f>SUM(F$11:F677)</f>
        <v>0.99999999999999989</v>
      </c>
    </row>
    <row r="678" spans="1:7" x14ac:dyDescent="0.25">
      <c r="A678" s="1">
        <f t="shared" si="92"/>
        <v>667</v>
      </c>
      <c r="B678" s="3">
        <f t="shared" ca="1" si="95"/>
        <v>128500</v>
      </c>
      <c r="C678" s="26">
        <f t="shared" ca="1" si="96"/>
        <v>0.36217060984791216</v>
      </c>
      <c r="D678" s="26" t="str">
        <f t="shared" ca="1" si="94"/>
        <v>Lose</v>
      </c>
      <c r="E678" s="3">
        <f t="shared" ca="1" si="97"/>
        <v>-500</v>
      </c>
      <c r="F678" s="42">
        <f t="shared" si="93"/>
        <v>3.5175429440954425E-24</v>
      </c>
      <c r="G678" s="41">
        <f>SUM(F$11:F678)</f>
        <v>0.99999999999999989</v>
      </c>
    </row>
    <row r="679" spans="1:7" x14ac:dyDescent="0.25">
      <c r="A679" s="1">
        <f t="shared" si="92"/>
        <v>668</v>
      </c>
      <c r="B679" s="3">
        <f t="shared" ca="1" si="95"/>
        <v>129000</v>
      </c>
      <c r="C679" s="26">
        <f t="shared" ca="1" si="96"/>
        <v>0.83487920694412865</v>
      </c>
      <c r="D679" s="26" t="str">
        <f t="shared" ca="1" si="94"/>
        <v>Win</v>
      </c>
      <c r="E679" s="3">
        <f t="shared" ca="1" si="97"/>
        <v>500</v>
      </c>
      <c r="F679" s="42">
        <f t="shared" si="93"/>
        <v>1.8250773499807843E-24</v>
      </c>
      <c r="G679" s="41">
        <f>SUM(F$11:F679)</f>
        <v>0.99999999999999989</v>
      </c>
    </row>
    <row r="680" spans="1:7" x14ac:dyDescent="0.25">
      <c r="A680" s="1">
        <f t="shared" si="92"/>
        <v>669</v>
      </c>
      <c r="B680" s="3">
        <f t="shared" ca="1" si="95"/>
        <v>128500</v>
      </c>
      <c r="C680" s="26">
        <f t="shared" ca="1" si="96"/>
        <v>0.27523778914749086</v>
      </c>
      <c r="D680" s="26" t="str">
        <f t="shared" ca="1" si="94"/>
        <v>Lose</v>
      </c>
      <c r="E680" s="3">
        <f t="shared" ca="1" si="97"/>
        <v>-500</v>
      </c>
      <c r="F680" s="42">
        <f t="shared" si="93"/>
        <v>9.4268660778731319E-25</v>
      </c>
      <c r="G680" s="41">
        <f>SUM(F$11:F680)</f>
        <v>0.99999999999999989</v>
      </c>
    </row>
    <row r="681" spans="1:7" x14ac:dyDescent="0.25">
      <c r="A681" s="1">
        <f t="shared" si="92"/>
        <v>670</v>
      </c>
      <c r="B681" s="3">
        <f t="shared" ca="1" si="95"/>
        <v>129000</v>
      </c>
      <c r="C681" s="26">
        <f t="shared" ca="1" si="96"/>
        <v>0.94959518872287652</v>
      </c>
      <c r="D681" s="26" t="str">
        <f t="shared" ca="1" si="94"/>
        <v>Win</v>
      </c>
      <c r="E681" s="3">
        <f t="shared" ca="1" si="97"/>
        <v>500</v>
      </c>
      <c r="F681" s="42">
        <f t="shared" si="93"/>
        <v>4.8472411288631362E-25</v>
      </c>
      <c r="G681" s="41">
        <f>SUM(F$11:F681)</f>
        <v>0.99999999999999989</v>
      </c>
    </row>
    <row r="682" spans="1:7" x14ac:dyDescent="0.25">
      <c r="A682" s="1">
        <f t="shared" si="92"/>
        <v>671</v>
      </c>
      <c r="B682" s="3">
        <f t="shared" ca="1" si="95"/>
        <v>128500</v>
      </c>
      <c r="C682" s="26">
        <f t="shared" ca="1" si="96"/>
        <v>0.46802590067429117</v>
      </c>
      <c r="D682" s="26" t="str">
        <f t="shared" ca="1" si="94"/>
        <v>Lose</v>
      </c>
      <c r="E682" s="3">
        <f t="shared" ca="1" si="97"/>
        <v>-500</v>
      </c>
      <c r="F682" s="42">
        <f t="shared" si="93"/>
        <v>2.481190674861303E-25</v>
      </c>
      <c r="G682" s="41">
        <f>SUM(F$11:F682)</f>
        <v>0.99999999999999989</v>
      </c>
    </row>
    <row r="683" spans="1:7" x14ac:dyDescent="0.25">
      <c r="A683" s="1">
        <f t="shared" si="92"/>
        <v>672</v>
      </c>
      <c r="B683" s="3">
        <f t="shared" ca="1" si="95"/>
        <v>129000</v>
      </c>
      <c r="C683" s="26">
        <f t="shared" ca="1" si="96"/>
        <v>0.61574543568749662</v>
      </c>
      <c r="D683" s="26" t="str">
        <f t="shared" ca="1" si="94"/>
        <v>Win</v>
      </c>
      <c r="E683" s="3">
        <f t="shared" ca="1" si="97"/>
        <v>500</v>
      </c>
      <c r="F683" s="42">
        <f t="shared" si="93"/>
        <v>1.264331217611107E-25</v>
      </c>
      <c r="G683" s="41">
        <f>SUM(F$11:F683)</f>
        <v>0.99999999999999989</v>
      </c>
    </row>
    <row r="684" spans="1:7" x14ac:dyDescent="0.25">
      <c r="A684" s="1">
        <f t="shared" si="92"/>
        <v>673</v>
      </c>
      <c r="B684" s="3">
        <f t="shared" ca="1" si="95"/>
        <v>129500</v>
      </c>
      <c r="C684" s="26">
        <f t="shared" ca="1" si="96"/>
        <v>0.77872080508035724</v>
      </c>
      <c r="D684" s="26" t="str">
        <f t="shared" ca="1" si="94"/>
        <v>Win</v>
      </c>
      <c r="E684" s="3">
        <f t="shared" ca="1" si="97"/>
        <v>500</v>
      </c>
      <c r="F684" s="42">
        <f t="shared" si="93"/>
        <v>6.4134798824025521E-26</v>
      </c>
      <c r="G684" s="41">
        <f>SUM(F$11:F684)</f>
        <v>0.99999999999999989</v>
      </c>
    </row>
    <row r="685" spans="1:7" x14ac:dyDescent="0.25">
      <c r="A685" s="1">
        <f t="shared" si="92"/>
        <v>674</v>
      </c>
      <c r="B685" s="3">
        <f t="shared" ca="1" si="95"/>
        <v>130000</v>
      </c>
      <c r="C685" s="26">
        <f t="shared" ca="1" si="96"/>
        <v>0.56546447456327864</v>
      </c>
      <c r="D685" s="26" t="str">
        <f t="shared" ca="1" si="94"/>
        <v>Win</v>
      </c>
      <c r="E685" s="3">
        <f t="shared" ca="1" si="97"/>
        <v>500</v>
      </c>
      <c r="F685" s="42">
        <f t="shared" si="93"/>
        <v>3.238587900406566E-26</v>
      </c>
      <c r="G685" s="41">
        <f>SUM(F$11:F685)</f>
        <v>0.99999999999999989</v>
      </c>
    </row>
    <row r="686" spans="1:7" x14ac:dyDescent="0.25">
      <c r="A686" s="1">
        <f t="shared" si="92"/>
        <v>675</v>
      </c>
      <c r="B686" s="3">
        <f t="shared" ca="1" si="95"/>
        <v>130500</v>
      </c>
      <c r="C686" s="26">
        <f t="shared" ca="1" si="96"/>
        <v>0.82977854108164617</v>
      </c>
      <c r="D686" s="26" t="str">
        <f t="shared" ca="1" si="94"/>
        <v>Win</v>
      </c>
      <c r="E686" s="3">
        <f t="shared" ca="1" si="97"/>
        <v>500</v>
      </c>
      <c r="F686" s="42">
        <f t="shared" si="93"/>
        <v>1.6279595595512883E-26</v>
      </c>
      <c r="G686" s="41">
        <f>SUM(F$11:F686)</f>
        <v>0.99999999999999989</v>
      </c>
    </row>
    <row r="687" spans="1:7" x14ac:dyDescent="0.25">
      <c r="A687" s="1">
        <f t="shared" si="92"/>
        <v>676</v>
      </c>
      <c r="B687" s="3">
        <f t="shared" ca="1" si="95"/>
        <v>130000</v>
      </c>
      <c r="C687" s="26">
        <f t="shared" ca="1" si="96"/>
        <v>0.3250145960159494</v>
      </c>
      <c r="D687" s="26" t="str">
        <f t="shared" ca="1" si="94"/>
        <v>Lose</v>
      </c>
      <c r="E687" s="3">
        <f t="shared" ca="1" si="97"/>
        <v>-500</v>
      </c>
      <c r="F687" s="42">
        <f t="shared" si="93"/>
        <v>8.1461869640025968E-27</v>
      </c>
      <c r="G687" s="41">
        <f>SUM(F$11:F687)</f>
        <v>0.99999999999999989</v>
      </c>
    </row>
    <row r="688" spans="1:7" x14ac:dyDescent="0.25">
      <c r="A688" s="1">
        <f t="shared" si="92"/>
        <v>677</v>
      </c>
      <c r="B688" s="3">
        <f t="shared" ca="1" si="95"/>
        <v>129500</v>
      </c>
      <c r="C688" s="26">
        <f t="shared" ca="1" si="96"/>
        <v>0.45207324281267669</v>
      </c>
      <c r="D688" s="26" t="str">
        <f t="shared" ca="1" si="94"/>
        <v>Lose</v>
      </c>
      <c r="E688" s="3">
        <f t="shared" ca="1" si="97"/>
        <v>-500</v>
      </c>
      <c r="F688" s="42">
        <f t="shared" si="93"/>
        <v>4.0577455579288702E-27</v>
      </c>
      <c r="G688" s="41">
        <f>SUM(F$11:F688)</f>
        <v>0.99999999999999989</v>
      </c>
    </row>
    <row r="689" spans="1:7" x14ac:dyDescent="0.25">
      <c r="A689" s="1">
        <f t="shared" si="92"/>
        <v>678</v>
      </c>
      <c r="B689" s="3">
        <f t="shared" ca="1" si="95"/>
        <v>129000</v>
      </c>
      <c r="C689" s="26">
        <f t="shared" ca="1" si="96"/>
        <v>0.34756833144205324</v>
      </c>
      <c r="D689" s="26" t="str">
        <f t="shared" ca="1" si="94"/>
        <v>Lose</v>
      </c>
      <c r="E689" s="3">
        <f t="shared" ca="1" si="97"/>
        <v>-500</v>
      </c>
      <c r="F689" s="42">
        <f t="shared" si="93"/>
        <v>2.0120174154405522E-27</v>
      </c>
      <c r="G689" s="41">
        <f>SUM(F$11:F689)</f>
        <v>0.99999999999999989</v>
      </c>
    </row>
    <row r="690" spans="1:7" x14ac:dyDescent="0.25">
      <c r="A690" s="1">
        <f t="shared" si="92"/>
        <v>679</v>
      </c>
      <c r="B690" s="3">
        <f t="shared" ca="1" si="95"/>
        <v>128500</v>
      </c>
      <c r="C690" s="26">
        <f t="shared" ca="1" si="96"/>
        <v>0.24312277272992844</v>
      </c>
      <c r="D690" s="26" t="str">
        <f t="shared" ca="1" si="94"/>
        <v>Lose</v>
      </c>
      <c r="E690" s="3">
        <f t="shared" ca="1" si="97"/>
        <v>-500</v>
      </c>
      <c r="F690" s="42">
        <f t="shared" si="93"/>
        <v>9.9309759238869195E-28</v>
      </c>
      <c r="G690" s="41">
        <f>SUM(F$11:F690)</f>
        <v>0.99999999999999989</v>
      </c>
    </row>
    <row r="691" spans="1:7" x14ac:dyDescent="0.25">
      <c r="A691" s="1">
        <f t="shared" si="92"/>
        <v>680</v>
      </c>
      <c r="B691" s="3">
        <f t="shared" ca="1" si="95"/>
        <v>128000</v>
      </c>
      <c r="C691" s="26">
        <f t="shared" ca="1" si="96"/>
        <v>0.39242244479411348</v>
      </c>
      <c r="D691" s="26" t="str">
        <f t="shared" ca="1" si="94"/>
        <v>Lose</v>
      </c>
      <c r="E691" s="3">
        <f t="shared" ca="1" si="97"/>
        <v>-500</v>
      </c>
      <c r="F691" s="42">
        <f t="shared" si="93"/>
        <v>4.8793519462771534E-28</v>
      </c>
      <c r="G691" s="41">
        <f>SUM(F$11:F691)</f>
        <v>0.99999999999999989</v>
      </c>
    </row>
    <row r="692" spans="1:7" x14ac:dyDescent="0.25">
      <c r="A692" s="1">
        <f t="shared" si="92"/>
        <v>681</v>
      </c>
      <c r="B692" s="3">
        <f t="shared" ca="1" si="95"/>
        <v>128500</v>
      </c>
      <c r="C692" s="26">
        <f t="shared" ca="1" si="96"/>
        <v>0.62806107711213777</v>
      </c>
      <c r="D692" s="26" t="str">
        <f t="shared" ca="1" si="94"/>
        <v>Win</v>
      </c>
      <c r="E692" s="3">
        <f t="shared" ca="1" si="97"/>
        <v>500</v>
      </c>
      <c r="F692" s="42">
        <f t="shared" si="93"/>
        <v>2.386377289197738E-28</v>
      </c>
      <c r="G692" s="41">
        <f>SUM(F$11:F692)</f>
        <v>0.99999999999999989</v>
      </c>
    </row>
    <row r="693" spans="1:7" x14ac:dyDescent="0.25">
      <c r="A693" s="1">
        <f t="shared" si="92"/>
        <v>682</v>
      </c>
      <c r="B693" s="3">
        <f t="shared" ca="1" si="95"/>
        <v>128000</v>
      </c>
      <c r="C693" s="26">
        <f t="shared" ca="1" si="96"/>
        <v>0.11596065313093051</v>
      </c>
      <c r="D693" s="26" t="str">
        <f t="shared" ca="1" si="94"/>
        <v>Lose</v>
      </c>
      <c r="E693" s="3">
        <f t="shared" ca="1" si="97"/>
        <v>-500</v>
      </c>
      <c r="F693" s="42">
        <f t="shared" si="93"/>
        <v>1.1617682721275823E-28</v>
      </c>
      <c r="G693" s="41">
        <f>SUM(F$11:F693)</f>
        <v>0.99999999999999989</v>
      </c>
    </row>
    <row r="694" spans="1:7" x14ac:dyDescent="0.25">
      <c r="A694" s="1">
        <f t="shared" si="92"/>
        <v>683</v>
      </c>
      <c r="B694" s="3">
        <f t="shared" ca="1" si="95"/>
        <v>127500</v>
      </c>
      <c r="C694" s="26">
        <f t="shared" ca="1" si="96"/>
        <v>0.24675262482671245</v>
      </c>
      <c r="D694" s="26" t="str">
        <f t="shared" ca="1" si="94"/>
        <v>Lose</v>
      </c>
      <c r="E694" s="3">
        <f t="shared" ca="1" si="97"/>
        <v>-500</v>
      </c>
      <c r="F694" s="42">
        <f t="shared" si="93"/>
        <v>5.6298914863494195E-29</v>
      </c>
      <c r="G694" s="41">
        <f>SUM(F$11:F694)</f>
        <v>0.99999999999999989</v>
      </c>
    </row>
    <row r="695" spans="1:7" x14ac:dyDescent="0.25">
      <c r="A695" s="1">
        <f t="shared" si="92"/>
        <v>684</v>
      </c>
      <c r="B695" s="3">
        <f t="shared" ca="1" si="95"/>
        <v>127000</v>
      </c>
      <c r="C695" s="26">
        <f t="shared" ca="1" si="96"/>
        <v>0.23425840256004593</v>
      </c>
      <c r="D695" s="26" t="str">
        <f t="shared" ca="1" si="94"/>
        <v>Lose</v>
      </c>
      <c r="E695" s="3">
        <f t="shared" ca="1" si="97"/>
        <v>-500</v>
      </c>
      <c r="F695" s="42">
        <f t="shared" si="93"/>
        <v>2.7156717883938625E-29</v>
      </c>
      <c r="G695" s="41">
        <f>SUM(F$11:F695)</f>
        <v>0.99999999999999989</v>
      </c>
    </row>
    <row r="696" spans="1:7" x14ac:dyDescent="0.25">
      <c r="A696" s="1">
        <f t="shared" si="92"/>
        <v>685</v>
      </c>
      <c r="B696" s="3">
        <f t="shared" ca="1" si="95"/>
        <v>127500</v>
      </c>
      <c r="C696" s="26">
        <f t="shared" ca="1" si="96"/>
        <v>0.7618290496889828</v>
      </c>
      <c r="D696" s="26" t="str">
        <f t="shared" ca="1" si="94"/>
        <v>Win</v>
      </c>
      <c r="E696" s="3">
        <f t="shared" ca="1" si="97"/>
        <v>500</v>
      </c>
      <c r="F696" s="42">
        <f t="shared" si="93"/>
        <v>1.3039108160808481E-29</v>
      </c>
      <c r="G696" s="41">
        <f>SUM(F$11:F696)</f>
        <v>0.99999999999999989</v>
      </c>
    </row>
    <row r="697" spans="1:7" x14ac:dyDescent="0.25">
      <c r="A697" s="1">
        <f t="shared" si="92"/>
        <v>686</v>
      </c>
      <c r="B697" s="3">
        <f t="shared" ca="1" si="95"/>
        <v>128000</v>
      </c>
      <c r="C697" s="26">
        <f t="shared" ca="1" si="96"/>
        <v>0.97905394816255809</v>
      </c>
      <c r="D697" s="26" t="str">
        <f t="shared" ca="1" si="94"/>
        <v>Win</v>
      </c>
      <c r="E697" s="3">
        <f t="shared" ca="1" si="97"/>
        <v>500</v>
      </c>
      <c r="F697" s="42">
        <f t="shared" si="93"/>
        <v>6.2317270364546981E-30</v>
      </c>
      <c r="G697" s="41">
        <f>SUM(F$11:F697)</f>
        <v>0.99999999999999989</v>
      </c>
    </row>
    <row r="698" spans="1:7" x14ac:dyDescent="0.25">
      <c r="A698" s="1">
        <f t="shared" si="92"/>
        <v>687</v>
      </c>
      <c r="B698" s="3">
        <f t="shared" ca="1" si="95"/>
        <v>128500</v>
      </c>
      <c r="C698" s="26">
        <f t="shared" ca="1" si="96"/>
        <v>0.68024103967182115</v>
      </c>
      <c r="D698" s="26" t="str">
        <f t="shared" ca="1" si="94"/>
        <v>Win</v>
      </c>
      <c r="E698" s="3">
        <f t="shared" ca="1" si="97"/>
        <v>500</v>
      </c>
      <c r="F698" s="42">
        <f t="shared" si="93"/>
        <v>2.9645271295424223E-30</v>
      </c>
      <c r="G698" s="41">
        <f>SUM(F$11:F698)</f>
        <v>0.99999999999999989</v>
      </c>
    </row>
    <row r="699" spans="1:7" x14ac:dyDescent="0.25">
      <c r="A699" s="1">
        <f t="shared" si="92"/>
        <v>688</v>
      </c>
      <c r="B699" s="3">
        <f t="shared" ca="1" si="95"/>
        <v>129000</v>
      </c>
      <c r="C699" s="26">
        <f t="shared" ca="1" si="96"/>
        <v>0.83784472216923978</v>
      </c>
      <c r="D699" s="26" t="str">
        <f t="shared" ca="1" si="94"/>
        <v>Win</v>
      </c>
      <c r="E699" s="3">
        <f t="shared" ca="1" si="97"/>
        <v>500</v>
      </c>
      <c r="F699" s="42">
        <f t="shared" si="93"/>
        <v>1.4037359565996671E-30</v>
      </c>
      <c r="G699" s="41">
        <f>SUM(F$11:F699)</f>
        <v>0.99999999999999989</v>
      </c>
    </row>
    <row r="700" spans="1:7" x14ac:dyDescent="0.25">
      <c r="A700" s="1">
        <f t="shared" ref="A700:A763" si="98">A699+1</f>
        <v>689</v>
      </c>
      <c r="B700" s="3">
        <f t="shared" ca="1" si="95"/>
        <v>129500</v>
      </c>
      <c r="C700" s="26">
        <f t="shared" ca="1" si="96"/>
        <v>0.84874014115034602</v>
      </c>
      <c r="D700" s="26" t="str">
        <f t="shared" ca="1" si="94"/>
        <v>Win</v>
      </c>
      <c r="E700" s="3">
        <f t="shared" ca="1" si="97"/>
        <v>500</v>
      </c>
      <c r="F700" s="42">
        <f t="shared" si="93"/>
        <v>6.6159908004542246E-31</v>
      </c>
      <c r="G700" s="41">
        <f>SUM(F$11:F700)</f>
        <v>0.99999999999999989</v>
      </c>
    </row>
    <row r="701" spans="1:7" x14ac:dyDescent="0.25">
      <c r="A701" s="1">
        <f t="shared" si="98"/>
        <v>690</v>
      </c>
      <c r="B701" s="3">
        <f t="shared" ca="1" si="95"/>
        <v>129000</v>
      </c>
      <c r="C701" s="26">
        <f t="shared" ca="1" si="96"/>
        <v>0.17515254023276428</v>
      </c>
      <c r="D701" s="26" t="str">
        <f t="shared" ca="1" si="94"/>
        <v>Lose</v>
      </c>
      <c r="E701" s="3">
        <f t="shared" ca="1" si="97"/>
        <v>-500</v>
      </c>
      <c r="F701" s="42">
        <f t="shared" si="93"/>
        <v>3.1037039362910524E-31</v>
      </c>
      <c r="G701" s="41">
        <f>SUM(F$11:F701)</f>
        <v>0.99999999999999989</v>
      </c>
    </row>
    <row r="702" spans="1:7" x14ac:dyDescent="0.25">
      <c r="A702" s="1">
        <f t="shared" si="98"/>
        <v>691</v>
      </c>
      <c r="B702" s="3">
        <f t="shared" ca="1" si="95"/>
        <v>128500</v>
      </c>
      <c r="C702" s="26">
        <f t="shared" ca="1" si="96"/>
        <v>0.38358970991391272</v>
      </c>
      <c r="D702" s="26" t="str">
        <f t="shared" ca="1" si="94"/>
        <v>Lose</v>
      </c>
      <c r="E702" s="3">
        <f t="shared" ca="1" si="97"/>
        <v>-500</v>
      </c>
      <c r="F702" s="42">
        <f t="shared" si="93"/>
        <v>1.4492323823138378E-31</v>
      </c>
      <c r="G702" s="41">
        <f>SUM(F$11:F702)</f>
        <v>0.99999999999999989</v>
      </c>
    </row>
    <row r="703" spans="1:7" x14ac:dyDescent="0.25">
      <c r="A703" s="1">
        <f t="shared" si="98"/>
        <v>692</v>
      </c>
      <c r="B703" s="3">
        <f t="shared" ca="1" si="95"/>
        <v>128000</v>
      </c>
      <c r="C703" s="26">
        <f t="shared" ca="1" si="96"/>
        <v>0.24037279266055023</v>
      </c>
      <c r="D703" s="26" t="str">
        <f t="shared" ca="1" si="94"/>
        <v>Lose</v>
      </c>
      <c r="E703" s="3">
        <f t="shared" ca="1" si="97"/>
        <v>-500</v>
      </c>
      <c r="F703" s="42">
        <f t="shared" si="93"/>
        <v>6.7354173389415722E-32</v>
      </c>
      <c r="G703" s="41">
        <f>SUM(F$11:F703)</f>
        <v>0.99999999999999989</v>
      </c>
    </row>
    <row r="704" spans="1:7" x14ac:dyDescent="0.25">
      <c r="A704" s="1">
        <f t="shared" si="98"/>
        <v>693</v>
      </c>
      <c r="B704" s="3">
        <f t="shared" ca="1" si="95"/>
        <v>127500</v>
      </c>
      <c r="C704" s="26">
        <f t="shared" ca="1" si="96"/>
        <v>0.26032978468619528</v>
      </c>
      <c r="D704" s="26" t="str">
        <f t="shared" ca="1" si="94"/>
        <v>Lose</v>
      </c>
      <c r="E704" s="3">
        <f t="shared" ca="1" si="97"/>
        <v>-500</v>
      </c>
      <c r="F704" s="42">
        <f t="shared" si="93"/>
        <v>3.1157032588302361E-32</v>
      </c>
      <c r="G704" s="41">
        <f>SUM(F$11:F704)</f>
        <v>0.99999999999999989</v>
      </c>
    </row>
    <row r="705" spans="1:7" x14ac:dyDescent="0.25">
      <c r="A705" s="1">
        <f t="shared" si="98"/>
        <v>694</v>
      </c>
      <c r="B705" s="3">
        <f t="shared" ca="1" si="95"/>
        <v>128000</v>
      </c>
      <c r="C705" s="26">
        <f t="shared" ca="1" si="96"/>
        <v>0.74828790786159316</v>
      </c>
      <c r="D705" s="26" t="str">
        <f t="shared" ca="1" si="94"/>
        <v>Win</v>
      </c>
      <c r="E705" s="3">
        <f t="shared" ca="1" si="97"/>
        <v>500</v>
      </c>
      <c r="F705" s="42">
        <f t="shared" si="93"/>
        <v>1.4345281986562047E-32</v>
      </c>
      <c r="G705" s="41">
        <f>SUM(F$11:F705)</f>
        <v>0.99999999999999989</v>
      </c>
    </row>
    <row r="706" spans="1:7" x14ac:dyDescent="0.25">
      <c r="A706" s="1">
        <f t="shared" si="98"/>
        <v>695</v>
      </c>
      <c r="B706" s="3">
        <f t="shared" ca="1" si="95"/>
        <v>128500</v>
      </c>
      <c r="C706" s="26">
        <f t="shared" ca="1" si="96"/>
        <v>0.76250239894297867</v>
      </c>
      <c r="D706" s="26" t="str">
        <f t="shared" ca="1" si="94"/>
        <v>Win</v>
      </c>
      <c r="E706" s="3">
        <f t="shared" ca="1" si="97"/>
        <v>500</v>
      </c>
      <c r="F706" s="42">
        <f t="shared" si="93"/>
        <v>6.5738502622899955E-33</v>
      </c>
      <c r="G706" s="41">
        <f>SUM(F$11:F706)</f>
        <v>0.99999999999999989</v>
      </c>
    </row>
    <row r="707" spans="1:7" x14ac:dyDescent="0.25">
      <c r="A707" s="1">
        <f t="shared" si="98"/>
        <v>696</v>
      </c>
      <c r="B707" s="3">
        <f t="shared" ca="1" si="95"/>
        <v>129000</v>
      </c>
      <c r="C707" s="26">
        <f t="shared" ca="1" si="96"/>
        <v>0.73309307819543879</v>
      </c>
      <c r="D707" s="26" t="str">
        <f t="shared" ca="1" si="94"/>
        <v>Win</v>
      </c>
      <c r="E707" s="3">
        <f t="shared" ca="1" si="97"/>
        <v>500</v>
      </c>
      <c r="F707" s="42">
        <f t="shared" si="93"/>
        <v>2.9983650255078772E-33</v>
      </c>
      <c r="G707" s="41">
        <f>SUM(F$11:F707)</f>
        <v>0.99999999999999989</v>
      </c>
    </row>
    <row r="708" spans="1:7" x14ac:dyDescent="0.25">
      <c r="A708" s="1">
        <f t="shared" si="98"/>
        <v>697</v>
      </c>
      <c r="B708" s="3">
        <f t="shared" ca="1" si="95"/>
        <v>128500</v>
      </c>
      <c r="C708" s="26">
        <f t="shared" ca="1" si="96"/>
        <v>0.30767625329876314</v>
      </c>
      <c r="D708" s="26" t="str">
        <f t="shared" ca="1" si="94"/>
        <v>Lose</v>
      </c>
      <c r="E708" s="3">
        <f t="shared" ca="1" si="97"/>
        <v>-500</v>
      </c>
      <c r="F708" s="42">
        <f t="shared" si="93"/>
        <v>1.361129369469044E-33</v>
      </c>
      <c r="G708" s="41">
        <f>SUM(F$11:F708)</f>
        <v>0.99999999999999989</v>
      </c>
    </row>
    <row r="709" spans="1:7" x14ac:dyDescent="0.25">
      <c r="A709" s="1">
        <f t="shared" si="98"/>
        <v>698</v>
      </c>
      <c r="B709" s="3">
        <f t="shared" ca="1" si="95"/>
        <v>128000</v>
      </c>
      <c r="C709" s="26">
        <f t="shared" ca="1" si="96"/>
        <v>0.11628261981921451</v>
      </c>
      <c r="D709" s="26" t="str">
        <f t="shared" ca="1" si="94"/>
        <v>Lose</v>
      </c>
      <c r="E709" s="3">
        <f t="shared" ca="1" si="97"/>
        <v>-500</v>
      </c>
      <c r="F709" s="42">
        <f t="shared" si="93"/>
        <v>6.1497959611732483E-34</v>
      </c>
      <c r="G709" s="41">
        <f>SUM(F$11:F709)</f>
        <v>0.99999999999999989</v>
      </c>
    </row>
    <row r="710" spans="1:7" x14ac:dyDescent="0.25">
      <c r="A710" s="1">
        <f t="shared" si="98"/>
        <v>699</v>
      </c>
      <c r="B710" s="3">
        <f t="shared" ca="1" si="95"/>
        <v>128500</v>
      </c>
      <c r="C710" s="26">
        <f t="shared" ca="1" si="96"/>
        <v>0.82789625024397717</v>
      </c>
      <c r="D710" s="26" t="str">
        <f t="shared" ca="1" si="94"/>
        <v>Win</v>
      </c>
      <c r="E710" s="3">
        <f t="shared" ca="1" si="97"/>
        <v>500</v>
      </c>
      <c r="F710" s="42">
        <f t="shared" si="93"/>
        <v>2.76544210078503E-34</v>
      </c>
      <c r="G710" s="41">
        <f>SUM(F$11:F710)</f>
        <v>0.99999999999999989</v>
      </c>
    </row>
    <row r="711" spans="1:7" x14ac:dyDescent="0.25">
      <c r="A711" s="1">
        <f t="shared" si="98"/>
        <v>700</v>
      </c>
      <c r="B711" s="3">
        <f t="shared" ca="1" si="95"/>
        <v>128000</v>
      </c>
      <c r="C711" s="26">
        <f t="shared" ca="1" si="96"/>
        <v>0.30818047202988508</v>
      </c>
      <c r="D711" s="26" t="str">
        <f t="shared" ca="1" si="94"/>
        <v>Lose</v>
      </c>
      <c r="E711" s="3">
        <f t="shared" ca="1" si="97"/>
        <v>-500</v>
      </c>
      <c r="F711" s="42">
        <f t="shared" si="93"/>
        <v>1.2376764340860431E-34</v>
      </c>
      <c r="G711" s="41">
        <f>SUM(F$11:F711)</f>
        <v>0.99999999999999989</v>
      </c>
    </row>
    <row r="712" spans="1:7" x14ac:dyDescent="0.25">
      <c r="A712" s="1">
        <f t="shared" si="98"/>
        <v>701</v>
      </c>
      <c r="B712" s="3">
        <f t="shared" ca="1" si="95"/>
        <v>127500</v>
      </c>
      <c r="C712" s="26">
        <f t="shared" ca="1" si="96"/>
        <v>0.3525181495220111</v>
      </c>
      <c r="D712" s="26" t="str">
        <f t="shared" ca="1" si="94"/>
        <v>Lose</v>
      </c>
      <c r="E712" s="3">
        <f t="shared" ca="1" si="97"/>
        <v>-500</v>
      </c>
      <c r="F712" s="42">
        <f t="shared" si="93"/>
        <v>5.5129550908372633E-35</v>
      </c>
      <c r="G712" s="41">
        <f>SUM(F$11:F712)</f>
        <v>0.99999999999999989</v>
      </c>
    </row>
    <row r="713" spans="1:7" x14ac:dyDescent="0.25">
      <c r="A713" s="1">
        <f t="shared" si="98"/>
        <v>702</v>
      </c>
      <c r="B713" s="3">
        <f t="shared" ca="1" si="95"/>
        <v>128000</v>
      </c>
      <c r="C713" s="26">
        <f t="shared" ca="1" si="96"/>
        <v>0.56763128230871851</v>
      </c>
      <c r="D713" s="26" t="str">
        <f t="shared" ca="1" si="94"/>
        <v>Win</v>
      </c>
      <c r="E713" s="3">
        <f t="shared" ca="1" si="97"/>
        <v>500</v>
      </c>
      <c r="F713" s="42">
        <f t="shared" si="93"/>
        <v>2.4439517466182718E-35</v>
      </c>
      <c r="G713" s="41">
        <f>SUM(F$11:F713)</f>
        <v>0.99999999999999989</v>
      </c>
    </row>
    <row r="714" spans="1:7" x14ac:dyDescent="0.25">
      <c r="A714" s="1">
        <f t="shared" si="98"/>
        <v>703</v>
      </c>
      <c r="B714" s="3">
        <f t="shared" ca="1" si="95"/>
        <v>128500</v>
      </c>
      <c r="C714" s="26">
        <f t="shared" ca="1" si="96"/>
        <v>0.87486276202254143</v>
      </c>
      <c r="D714" s="26" t="str">
        <f t="shared" ca="1" si="94"/>
        <v>Win</v>
      </c>
      <c r="E714" s="3">
        <f t="shared" ca="1" si="97"/>
        <v>500</v>
      </c>
      <c r="F714" s="42">
        <f t="shared" si="93"/>
        <v>1.0782703470579E-35</v>
      </c>
      <c r="G714" s="41">
        <f>SUM(F$11:F714)</f>
        <v>0.99999999999999989</v>
      </c>
    </row>
    <row r="715" spans="1:7" x14ac:dyDescent="0.25">
      <c r="A715" s="1">
        <f t="shared" si="98"/>
        <v>704</v>
      </c>
      <c r="B715" s="3">
        <f t="shared" ca="1" si="95"/>
        <v>128000</v>
      </c>
      <c r="C715" s="26">
        <f t="shared" ca="1" si="96"/>
        <v>0.45081136378145648</v>
      </c>
      <c r="D715" s="26" t="str">
        <f t="shared" ca="1" si="94"/>
        <v>Lose</v>
      </c>
      <c r="E715" s="3">
        <f t="shared" ca="1" si="97"/>
        <v>-500</v>
      </c>
      <c r="F715" s="42">
        <f t="shared" si="93"/>
        <v>4.7346245787587702E-36</v>
      </c>
      <c r="G715" s="41">
        <f>SUM(F$11:F715)</f>
        <v>0.99999999999999989</v>
      </c>
    </row>
    <row r="716" spans="1:7" x14ac:dyDescent="0.25">
      <c r="A716" s="1">
        <f t="shared" si="98"/>
        <v>705</v>
      </c>
      <c r="B716" s="3">
        <f t="shared" ca="1" si="95"/>
        <v>128500</v>
      </c>
      <c r="C716" s="26">
        <f t="shared" ca="1" si="96"/>
        <v>0.54576698368980081</v>
      </c>
      <c r="D716" s="26" t="str">
        <f t="shared" ca="1" si="94"/>
        <v>Win</v>
      </c>
      <c r="E716" s="3">
        <f t="shared" ca="1" si="97"/>
        <v>500</v>
      </c>
      <c r="F716" s="42">
        <f t="shared" ref="F716:F779" si="99">_xlfn.BINOM.DIST(A716,$A$1011,$B$1,FALSE)</f>
        <v>2.0690083265579483E-36</v>
      </c>
      <c r="G716" s="41">
        <f>SUM(F$11:F716)</f>
        <v>0.99999999999999989</v>
      </c>
    </row>
    <row r="717" spans="1:7" x14ac:dyDescent="0.25">
      <c r="A717" s="1">
        <f t="shared" si="98"/>
        <v>706</v>
      </c>
      <c r="B717" s="3">
        <f t="shared" ca="1" si="95"/>
        <v>128000</v>
      </c>
      <c r="C717" s="26">
        <f t="shared" ca="1" si="96"/>
        <v>0.37763790855872836</v>
      </c>
      <c r="D717" s="26" t="str">
        <f t="shared" ref="D717:D780" ca="1" si="100">IF(C717&gt;$B$2,"Win","Lose")</f>
        <v>Lose</v>
      </c>
      <c r="E717" s="3">
        <f t="shared" ca="1" si="97"/>
        <v>-500</v>
      </c>
      <c r="F717" s="42">
        <f t="shared" si="99"/>
        <v>8.9981587191605018E-37</v>
      </c>
      <c r="G717" s="41">
        <f>SUM(F$11:F717)</f>
        <v>0.99999999999999989</v>
      </c>
    </row>
    <row r="718" spans="1:7" x14ac:dyDescent="0.25">
      <c r="A718" s="1">
        <f t="shared" si="98"/>
        <v>707</v>
      </c>
      <c r="B718" s="3">
        <f t="shared" ref="B718:B781" ca="1" si="101">B717+E718</f>
        <v>127500</v>
      </c>
      <c r="C718" s="26">
        <f t="shared" ref="C718:C781" ca="1" si="102">RAND()</f>
        <v>1.2481552054838696E-2</v>
      </c>
      <c r="D718" s="26" t="str">
        <f t="shared" ca="1" si="100"/>
        <v>Lose</v>
      </c>
      <c r="E718" s="3">
        <f t="shared" ref="E718:E781" ca="1" si="103">IF(D718="Win",$B$4,-$B$4)</f>
        <v>-500</v>
      </c>
      <c r="F718" s="42">
        <f t="shared" si="99"/>
        <v>3.8945354569494471E-37</v>
      </c>
      <c r="G718" s="41">
        <f>SUM(F$11:F718)</f>
        <v>0.99999999999999989</v>
      </c>
    </row>
    <row r="719" spans="1:7" x14ac:dyDescent="0.25">
      <c r="A719" s="1">
        <f t="shared" si="98"/>
        <v>708</v>
      </c>
      <c r="B719" s="3">
        <f t="shared" ca="1" si="101"/>
        <v>127000</v>
      </c>
      <c r="C719" s="26">
        <f t="shared" ca="1" si="102"/>
        <v>0.2627960770262634</v>
      </c>
      <c r="D719" s="26" t="str">
        <f t="shared" ca="1" si="100"/>
        <v>Lose</v>
      </c>
      <c r="E719" s="3">
        <f t="shared" ca="1" si="103"/>
        <v>-500</v>
      </c>
      <c r="F719" s="42">
        <f t="shared" si="99"/>
        <v>1.6775061493482948E-37</v>
      </c>
      <c r="G719" s="41">
        <f>SUM(F$11:F719)</f>
        <v>0.99999999999999989</v>
      </c>
    </row>
    <row r="720" spans="1:7" x14ac:dyDescent="0.25">
      <c r="A720" s="1">
        <f t="shared" si="98"/>
        <v>709</v>
      </c>
      <c r="B720" s="3">
        <f t="shared" ca="1" si="101"/>
        <v>127500</v>
      </c>
      <c r="C720" s="26">
        <f t="shared" ca="1" si="102"/>
        <v>0.53292186279846976</v>
      </c>
      <c r="D720" s="26" t="str">
        <f t="shared" ca="1" si="100"/>
        <v>Win</v>
      </c>
      <c r="E720" s="3">
        <f t="shared" ca="1" si="103"/>
        <v>500</v>
      </c>
      <c r="F720" s="42">
        <f t="shared" si="99"/>
        <v>7.1907606505557118E-38</v>
      </c>
      <c r="G720" s="41">
        <f>SUM(F$11:F720)</f>
        <v>0.99999999999999989</v>
      </c>
    </row>
    <row r="721" spans="1:7" x14ac:dyDescent="0.25">
      <c r="A721" s="1">
        <f t="shared" si="98"/>
        <v>710</v>
      </c>
      <c r="B721" s="3">
        <f t="shared" ca="1" si="101"/>
        <v>127000</v>
      </c>
      <c r="C721" s="26">
        <f t="shared" ca="1" si="102"/>
        <v>0.10284839475332685</v>
      </c>
      <c r="D721" s="26" t="str">
        <f t="shared" ca="1" si="100"/>
        <v>Lose</v>
      </c>
      <c r="E721" s="3">
        <f t="shared" ca="1" si="103"/>
        <v>-500</v>
      </c>
      <c r="F721" s="42">
        <f t="shared" si="99"/>
        <v>3.0674929236820325E-38</v>
      </c>
      <c r="G721" s="41">
        <f>SUM(F$11:F721)</f>
        <v>0.99999999999999989</v>
      </c>
    </row>
    <row r="722" spans="1:7" x14ac:dyDescent="0.25">
      <c r="A722" s="1">
        <f t="shared" si="98"/>
        <v>711</v>
      </c>
      <c r="B722" s="3">
        <f t="shared" ca="1" si="101"/>
        <v>126500</v>
      </c>
      <c r="C722" s="26">
        <f t="shared" ca="1" si="102"/>
        <v>0.3586423658636505</v>
      </c>
      <c r="D722" s="26" t="str">
        <f t="shared" ca="1" si="100"/>
        <v>Lose</v>
      </c>
      <c r="E722" s="3">
        <f t="shared" ca="1" si="103"/>
        <v>-500</v>
      </c>
      <c r="F722" s="42">
        <f t="shared" si="99"/>
        <v>1.3022251023639668E-38</v>
      </c>
      <c r="G722" s="41">
        <f>SUM(F$11:F722)</f>
        <v>0.99999999999999989</v>
      </c>
    </row>
    <row r="723" spans="1:7" x14ac:dyDescent="0.25">
      <c r="A723" s="1">
        <f t="shared" si="98"/>
        <v>712</v>
      </c>
      <c r="B723" s="3">
        <f t="shared" ca="1" si="101"/>
        <v>127000</v>
      </c>
      <c r="C723" s="26">
        <f t="shared" ca="1" si="102"/>
        <v>0.87851711022962387</v>
      </c>
      <c r="D723" s="26" t="str">
        <f t="shared" ca="1" si="100"/>
        <v>Win</v>
      </c>
      <c r="E723" s="3">
        <f t="shared" ca="1" si="103"/>
        <v>500</v>
      </c>
      <c r="F723" s="42">
        <f t="shared" si="99"/>
        <v>5.5014606121708847E-39</v>
      </c>
      <c r="G723" s="41">
        <f>SUM(F$11:F723)</f>
        <v>0.99999999999999989</v>
      </c>
    </row>
    <row r="724" spans="1:7" x14ac:dyDescent="0.25">
      <c r="A724" s="1">
        <f t="shared" si="98"/>
        <v>713</v>
      </c>
      <c r="B724" s="3">
        <f t="shared" ca="1" si="101"/>
        <v>126500</v>
      </c>
      <c r="C724" s="26">
        <f t="shared" ca="1" si="102"/>
        <v>9.9594485392301424E-2</v>
      </c>
      <c r="D724" s="26" t="str">
        <f t="shared" ca="1" si="100"/>
        <v>Lose</v>
      </c>
      <c r="E724" s="3">
        <f t="shared" ca="1" si="103"/>
        <v>-500</v>
      </c>
      <c r="F724" s="42">
        <f t="shared" si="99"/>
        <v>2.3128904448454528E-39</v>
      </c>
      <c r="G724" s="41">
        <f>SUM(F$11:F724)</f>
        <v>0.99999999999999989</v>
      </c>
    </row>
    <row r="725" spans="1:7" x14ac:dyDescent="0.25">
      <c r="A725" s="1">
        <f t="shared" si="98"/>
        <v>714</v>
      </c>
      <c r="B725" s="3">
        <f t="shared" ca="1" si="101"/>
        <v>127000</v>
      </c>
      <c r="C725" s="26">
        <f t="shared" ca="1" si="102"/>
        <v>0.88565837093930377</v>
      </c>
      <c r="D725" s="26" t="str">
        <f t="shared" ca="1" si="100"/>
        <v>Win</v>
      </c>
      <c r="E725" s="3">
        <f t="shared" ca="1" si="103"/>
        <v>500</v>
      </c>
      <c r="F725" s="42">
        <f t="shared" si="99"/>
        <v>9.6763783917006762E-40</v>
      </c>
      <c r="G725" s="41">
        <f>SUM(F$11:F725)</f>
        <v>0.99999999999999989</v>
      </c>
    </row>
    <row r="726" spans="1:7" x14ac:dyDescent="0.25">
      <c r="A726" s="1">
        <f t="shared" si="98"/>
        <v>715</v>
      </c>
      <c r="B726" s="3">
        <f t="shared" ca="1" si="101"/>
        <v>126500</v>
      </c>
      <c r="C726" s="26">
        <f t="shared" ca="1" si="102"/>
        <v>6.1434639353117881E-2</v>
      </c>
      <c r="D726" s="26" t="str">
        <f t="shared" ca="1" si="100"/>
        <v>Lose</v>
      </c>
      <c r="E726" s="3">
        <f t="shared" ca="1" si="103"/>
        <v>-500</v>
      </c>
      <c r="F726" s="42">
        <f t="shared" si="99"/>
        <v>4.0285330447080155E-40</v>
      </c>
      <c r="G726" s="41">
        <f>SUM(F$11:F726)</f>
        <v>0.99999999999999989</v>
      </c>
    </row>
    <row r="727" spans="1:7" x14ac:dyDescent="0.25">
      <c r="A727" s="1">
        <f t="shared" si="98"/>
        <v>716</v>
      </c>
      <c r="B727" s="3">
        <f t="shared" ca="1" si="101"/>
        <v>126000</v>
      </c>
      <c r="C727" s="26">
        <f t="shared" ca="1" si="102"/>
        <v>9.7897338481025442E-2</v>
      </c>
      <c r="D727" s="26" t="str">
        <f t="shared" ca="1" si="100"/>
        <v>Lose</v>
      </c>
      <c r="E727" s="3">
        <f t="shared" ca="1" si="103"/>
        <v>-500</v>
      </c>
      <c r="F727" s="42">
        <f t="shared" si="99"/>
        <v>1.6689866550231371E-40</v>
      </c>
      <c r="G727" s="41">
        <f>SUM(F$11:F727)</f>
        <v>0.99999999999999989</v>
      </c>
    </row>
    <row r="728" spans="1:7" x14ac:dyDescent="0.25">
      <c r="A728" s="1">
        <f t="shared" si="98"/>
        <v>717</v>
      </c>
      <c r="B728" s="3">
        <f t="shared" ca="1" si="101"/>
        <v>125500</v>
      </c>
      <c r="C728" s="26">
        <f t="shared" ca="1" si="102"/>
        <v>0.18541062051874946</v>
      </c>
      <c r="D728" s="26" t="str">
        <f t="shared" ca="1" si="100"/>
        <v>Lose</v>
      </c>
      <c r="E728" s="3">
        <f t="shared" ca="1" si="103"/>
        <v>-500</v>
      </c>
      <c r="F728" s="42">
        <f t="shared" si="99"/>
        <v>6.8805973618403801E-41</v>
      </c>
      <c r="G728" s="41">
        <f>SUM(F$11:F728)</f>
        <v>0.99999999999999989</v>
      </c>
    </row>
    <row r="729" spans="1:7" x14ac:dyDescent="0.25">
      <c r="A729" s="1">
        <f t="shared" si="98"/>
        <v>718</v>
      </c>
      <c r="B729" s="3">
        <f t="shared" ca="1" si="101"/>
        <v>126000</v>
      </c>
      <c r="C729" s="26">
        <f t="shared" ca="1" si="102"/>
        <v>0.8721150467804949</v>
      </c>
      <c r="D729" s="26" t="str">
        <f t="shared" ca="1" si="100"/>
        <v>Win</v>
      </c>
      <c r="E729" s="3">
        <f t="shared" ca="1" si="103"/>
        <v>500</v>
      </c>
      <c r="F729" s="42">
        <f t="shared" si="99"/>
        <v>2.8226838077267886E-41</v>
      </c>
      <c r="G729" s="41">
        <f>SUM(F$11:F729)</f>
        <v>0.99999999999999989</v>
      </c>
    </row>
    <row r="730" spans="1:7" x14ac:dyDescent="0.25">
      <c r="A730" s="1">
        <f t="shared" si="98"/>
        <v>719</v>
      </c>
      <c r="B730" s="3">
        <f t="shared" ca="1" si="101"/>
        <v>125500</v>
      </c>
      <c r="C730" s="26">
        <f t="shared" ca="1" si="102"/>
        <v>0.26063923201049244</v>
      </c>
      <c r="D730" s="26" t="str">
        <f t="shared" ca="1" si="100"/>
        <v>Lose</v>
      </c>
      <c r="E730" s="3">
        <f t="shared" ca="1" si="103"/>
        <v>-500</v>
      </c>
      <c r="F730" s="42">
        <f t="shared" si="99"/>
        <v>1.1522760785310349E-41</v>
      </c>
      <c r="G730" s="41">
        <f>SUM(F$11:F730)</f>
        <v>0.99999999999999989</v>
      </c>
    </row>
    <row r="731" spans="1:7" x14ac:dyDescent="0.25">
      <c r="A731" s="1">
        <f t="shared" si="98"/>
        <v>720</v>
      </c>
      <c r="B731" s="3">
        <f t="shared" ca="1" si="101"/>
        <v>126000</v>
      </c>
      <c r="C731" s="26">
        <f t="shared" ca="1" si="102"/>
        <v>0.61361735017755847</v>
      </c>
      <c r="D731" s="26" t="str">
        <f t="shared" ca="1" si="100"/>
        <v>Win</v>
      </c>
      <c r="E731" s="3">
        <f t="shared" ca="1" si="103"/>
        <v>500</v>
      </c>
      <c r="F731" s="42">
        <f t="shared" si="99"/>
        <v>4.6806316557337221E-42</v>
      </c>
      <c r="G731" s="41">
        <f>SUM(F$11:F731)</f>
        <v>0.99999999999999989</v>
      </c>
    </row>
    <row r="732" spans="1:7" x14ac:dyDescent="0.25">
      <c r="A732" s="1">
        <f t="shared" si="98"/>
        <v>721</v>
      </c>
      <c r="B732" s="3">
        <f t="shared" ca="1" si="101"/>
        <v>125500</v>
      </c>
      <c r="C732" s="26">
        <f t="shared" ca="1" si="102"/>
        <v>0.21440478589419787</v>
      </c>
      <c r="D732" s="26" t="str">
        <f t="shared" ca="1" si="100"/>
        <v>Lose</v>
      </c>
      <c r="E732" s="3">
        <f t="shared" ca="1" si="103"/>
        <v>-500</v>
      </c>
      <c r="F732" s="42">
        <f t="shared" si="99"/>
        <v>1.8919137265100731E-42</v>
      </c>
      <c r="G732" s="41">
        <f>SUM(F$11:F732)</f>
        <v>0.99999999999999989</v>
      </c>
    </row>
    <row r="733" spans="1:7" x14ac:dyDescent="0.25">
      <c r="A733" s="1">
        <f t="shared" si="98"/>
        <v>722</v>
      </c>
      <c r="B733" s="3">
        <f t="shared" ca="1" si="101"/>
        <v>125000</v>
      </c>
      <c r="C733" s="26">
        <f t="shared" ca="1" si="102"/>
        <v>5.1208460926080446E-2</v>
      </c>
      <c r="D733" s="26" t="str">
        <f t="shared" ca="1" si="100"/>
        <v>Lose</v>
      </c>
      <c r="E733" s="3">
        <f t="shared" ca="1" si="103"/>
        <v>-500</v>
      </c>
      <c r="F733" s="42">
        <f t="shared" si="99"/>
        <v>7.6092601092520377E-43</v>
      </c>
      <c r="G733" s="41">
        <f>SUM(F$11:F733)</f>
        <v>0.99999999999999989</v>
      </c>
    </row>
    <row r="734" spans="1:7" x14ac:dyDescent="0.25">
      <c r="A734" s="1">
        <f t="shared" si="98"/>
        <v>723</v>
      </c>
      <c r="B734" s="3">
        <f t="shared" ca="1" si="101"/>
        <v>124500</v>
      </c>
      <c r="C734" s="26">
        <f t="shared" ca="1" si="102"/>
        <v>0.33666957365162276</v>
      </c>
      <c r="D734" s="26" t="str">
        <f t="shared" ca="1" si="100"/>
        <v>Lose</v>
      </c>
      <c r="E734" s="3">
        <f t="shared" ca="1" si="103"/>
        <v>-500</v>
      </c>
      <c r="F734" s="42">
        <f t="shared" si="99"/>
        <v>3.0452505103164351E-43</v>
      </c>
      <c r="G734" s="41">
        <f>SUM(F$11:F734)</f>
        <v>0.99999999999999989</v>
      </c>
    </row>
    <row r="735" spans="1:7" x14ac:dyDescent="0.25">
      <c r="A735" s="1">
        <f t="shared" si="98"/>
        <v>724</v>
      </c>
      <c r="B735" s="3">
        <f t="shared" ca="1" si="101"/>
        <v>125000</v>
      </c>
      <c r="C735" s="26">
        <f t="shared" ca="1" si="102"/>
        <v>0.62788660151592224</v>
      </c>
      <c r="D735" s="26" t="str">
        <f t="shared" ca="1" si="100"/>
        <v>Win</v>
      </c>
      <c r="E735" s="3">
        <f t="shared" ca="1" si="103"/>
        <v>500</v>
      </c>
      <c r="F735" s="42">
        <f t="shared" si="99"/>
        <v>1.2126579647998721E-43</v>
      </c>
      <c r="G735" s="41">
        <f>SUM(F$11:F735)</f>
        <v>0.99999999999999989</v>
      </c>
    </row>
    <row r="736" spans="1:7" x14ac:dyDescent="0.25">
      <c r="A736" s="1">
        <f t="shared" si="98"/>
        <v>725</v>
      </c>
      <c r="B736" s="3">
        <f t="shared" ca="1" si="101"/>
        <v>125500</v>
      </c>
      <c r="C736" s="26">
        <f t="shared" ca="1" si="102"/>
        <v>0.90569240196646383</v>
      </c>
      <c r="D736" s="26" t="str">
        <f t="shared" ca="1" si="100"/>
        <v>Win</v>
      </c>
      <c r="E736" s="3">
        <f t="shared" ca="1" si="103"/>
        <v>500</v>
      </c>
      <c r="F736" s="42">
        <f t="shared" si="99"/>
        <v>4.8048905031733612E-44</v>
      </c>
      <c r="G736" s="41">
        <f>SUM(F$11:F736)</f>
        <v>0.99999999999999989</v>
      </c>
    </row>
    <row r="737" spans="1:7" x14ac:dyDescent="0.25">
      <c r="A737" s="1">
        <f t="shared" si="98"/>
        <v>726</v>
      </c>
      <c r="B737" s="3">
        <f t="shared" ca="1" si="101"/>
        <v>126000</v>
      </c>
      <c r="C737" s="26">
        <f t="shared" ca="1" si="102"/>
        <v>0.8629644747373959</v>
      </c>
      <c r="D737" s="26" t="str">
        <f t="shared" ca="1" si="100"/>
        <v>Win</v>
      </c>
      <c r="E737" s="3">
        <f t="shared" ca="1" si="103"/>
        <v>500</v>
      </c>
      <c r="F737" s="42">
        <f t="shared" si="99"/>
        <v>1.8943213950357621E-44</v>
      </c>
      <c r="G737" s="41">
        <f>SUM(F$11:F737)</f>
        <v>0.99999999999999989</v>
      </c>
    </row>
    <row r="738" spans="1:7" x14ac:dyDescent="0.25">
      <c r="A738" s="1">
        <f t="shared" si="98"/>
        <v>727</v>
      </c>
      <c r="B738" s="3">
        <f t="shared" ca="1" si="101"/>
        <v>125500</v>
      </c>
      <c r="C738" s="26">
        <f t="shared" ca="1" si="102"/>
        <v>0.39466852447816769</v>
      </c>
      <c r="D738" s="26" t="str">
        <f t="shared" ca="1" si="100"/>
        <v>Lose</v>
      </c>
      <c r="E738" s="3">
        <f t="shared" ca="1" si="103"/>
        <v>-500</v>
      </c>
      <c r="F738" s="42">
        <f t="shared" si="99"/>
        <v>7.4309426983215304E-45</v>
      </c>
      <c r="G738" s="41">
        <f>SUM(F$11:F738)</f>
        <v>0.99999999999999989</v>
      </c>
    </row>
    <row r="739" spans="1:7" x14ac:dyDescent="0.25">
      <c r="A739" s="1">
        <f t="shared" si="98"/>
        <v>728</v>
      </c>
      <c r="B739" s="3">
        <f t="shared" ca="1" si="101"/>
        <v>125000</v>
      </c>
      <c r="C739" s="26">
        <f t="shared" ca="1" si="102"/>
        <v>2.2560436930519567E-2</v>
      </c>
      <c r="D739" s="26" t="str">
        <f t="shared" ca="1" si="100"/>
        <v>Lose</v>
      </c>
      <c r="E739" s="3">
        <f t="shared" ca="1" si="103"/>
        <v>-500</v>
      </c>
      <c r="F739" s="42">
        <f t="shared" si="99"/>
        <v>2.9003424307223649E-45</v>
      </c>
      <c r="G739" s="41">
        <f>SUM(F$11:F739)</f>
        <v>0.99999999999999989</v>
      </c>
    </row>
    <row r="740" spans="1:7" x14ac:dyDescent="0.25">
      <c r="A740" s="1">
        <f t="shared" si="98"/>
        <v>729</v>
      </c>
      <c r="B740" s="3">
        <f t="shared" ca="1" si="101"/>
        <v>125500</v>
      </c>
      <c r="C740" s="26">
        <f t="shared" ca="1" si="102"/>
        <v>0.70883893935879605</v>
      </c>
      <c r="D740" s="26" t="str">
        <f t="shared" ca="1" si="100"/>
        <v>Win</v>
      </c>
      <c r="E740" s="3">
        <f t="shared" ca="1" si="103"/>
        <v>500</v>
      </c>
      <c r="F740" s="42">
        <f t="shared" si="99"/>
        <v>1.1263276559721703E-45</v>
      </c>
      <c r="G740" s="41">
        <f>SUM(F$11:F740)</f>
        <v>0.99999999999999989</v>
      </c>
    </row>
    <row r="741" spans="1:7" x14ac:dyDescent="0.25">
      <c r="A741" s="1">
        <f t="shared" si="98"/>
        <v>730</v>
      </c>
      <c r="B741" s="3">
        <f t="shared" ca="1" si="101"/>
        <v>126000</v>
      </c>
      <c r="C741" s="26">
        <f t="shared" ca="1" si="102"/>
        <v>0.83980956510379445</v>
      </c>
      <c r="D741" s="26" t="str">
        <f t="shared" ca="1" si="100"/>
        <v>Win</v>
      </c>
      <c r="E741" s="3">
        <f t="shared" ca="1" si="103"/>
        <v>500</v>
      </c>
      <c r="F741" s="42">
        <f t="shared" si="99"/>
        <v>4.3519638057568501E-46</v>
      </c>
      <c r="G741" s="41">
        <f>SUM(F$11:F741)</f>
        <v>0.99999999999999989</v>
      </c>
    </row>
    <row r="742" spans="1:7" x14ac:dyDescent="0.25">
      <c r="A742" s="1">
        <f t="shared" si="98"/>
        <v>731</v>
      </c>
      <c r="B742" s="3">
        <f t="shared" ca="1" si="101"/>
        <v>125500</v>
      </c>
      <c r="C742" s="26">
        <f t="shared" ca="1" si="102"/>
        <v>0.36379648671962572</v>
      </c>
      <c r="D742" s="26" t="str">
        <f t="shared" ca="1" si="100"/>
        <v>Lose</v>
      </c>
      <c r="E742" s="3">
        <f t="shared" ca="1" si="103"/>
        <v>-500</v>
      </c>
      <c r="F742" s="42">
        <f t="shared" si="99"/>
        <v>1.6730378180649299E-46</v>
      </c>
      <c r="G742" s="41">
        <f>SUM(F$11:F742)</f>
        <v>0.99999999999999989</v>
      </c>
    </row>
    <row r="743" spans="1:7" x14ac:dyDescent="0.25">
      <c r="A743" s="1">
        <f t="shared" si="98"/>
        <v>732</v>
      </c>
      <c r="B743" s="3">
        <f t="shared" ca="1" si="101"/>
        <v>126000</v>
      </c>
      <c r="C743" s="26">
        <f t="shared" ca="1" si="102"/>
        <v>0.70963485292574613</v>
      </c>
      <c r="D743" s="26" t="str">
        <f t="shared" ca="1" si="100"/>
        <v>Win</v>
      </c>
      <c r="E743" s="3">
        <f t="shared" ca="1" si="103"/>
        <v>500</v>
      </c>
      <c r="F743" s="42">
        <f t="shared" si="99"/>
        <v>6.3991317681591355E-47</v>
      </c>
      <c r="G743" s="41">
        <f>SUM(F$11:F743)</f>
        <v>0.99999999999999989</v>
      </c>
    </row>
    <row r="744" spans="1:7" x14ac:dyDescent="0.25">
      <c r="A744" s="1">
        <f t="shared" si="98"/>
        <v>733</v>
      </c>
      <c r="B744" s="3">
        <f t="shared" ca="1" si="101"/>
        <v>125500</v>
      </c>
      <c r="C744" s="26">
        <f t="shared" ca="1" si="102"/>
        <v>0.40659270991096652</v>
      </c>
      <c r="D744" s="26" t="str">
        <f t="shared" ca="1" si="100"/>
        <v>Lose</v>
      </c>
      <c r="E744" s="3">
        <f t="shared" ca="1" si="103"/>
        <v>-500</v>
      </c>
      <c r="F744" s="42">
        <f t="shared" si="99"/>
        <v>2.4351514048276587E-47</v>
      </c>
      <c r="G744" s="41">
        <f>SUM(F$11:F744)</f>
        <v>0.99999999999999989</v>
      </c>
    </row>
    <row r="745" spans="1:7" x14ac:dyDescent="0.25">
      <c r="A745" s="1">
        <f t="shared" si="98"/>
        <v>734</v>
      </c>
      <c r="B745" s="3">
        <f t="shared" ca="1" si="101"/>
        <v>125000</v>
      </c>
      <c r="C745" s="26">
        <f t="shared" ca="1" si="102"/>
        <v>0.25575822807721993</v>
      </c>
      <c r="D745" s="26" t="str">
        <f t="shared" ca="1" si="100"/>
        <v>Lose</v>
      </c>
      <c r="E745" s="3">
        <f t="shared" ca="1" si="103"/>
        <v>-500</v>
      </c>
      <c r="F745" s="42">
        <f t="shared" si="99"/>
        <v>9.2196676526549085E-48</v>
      </c>
      <c r="G745" s="41">
        <f>SUM(F$11:F745)</f>
        <v>0.99999999999999989</v>
      </c>
    </row>
    <row r="746" spans="1:7" x14ac:dyDescent="0.25">
      <c r="A746" s="1">
        <f t="shared" si="98"/>
        <v>735</v>
      </c>
      <c r="B746" s="3">
        <f t="shared" ca="1" si="101"/>
        <v>125500</v>
      </c>
      <c r="C746" s="26">
        <f t="shared" ca="1" si="102"/>
        <v>0.61583782440777024</v>
      </c>
      <c r="D746" s="26" t="str">
        <f t="shared" ca="1" si="100"/>
        <v>Win</v>
      </c>
      <c r="E746" s="3">
        <f t="shared" ca="1" si="103"/>
        <v>500</v>
      </c>
      <c r="F746" s="42">
        <f t="shared" si="99"/>
        <v>3.4728310808251506E-48</v>
      </c>
      <c r="G746" s="41">
        <f>SUM(F$11:F746)</f>
        <v>0.99999999999999989</v>
      </c>
    </row>
    <row r="747" spans="1:7" x14ac:dyDescent="0.25">
      <c r="A747" s="1">
        <f t="shared" si="98"/>
        <v>736</v>
      </c>
      <c r="B747" s="3">
        <f t="shared" ca="1" si="101"/>
        <v>126000</v>
      </c>
      <c r="C747" s="26">
        <f t="shared" ca="1" si="102"/>
        <v>0.98776813105285888</v>
      </c>
      <c r="D747" s="26" t="str">
        <f t="shared" ca="1" si="100"/>
        <v>Win</v>
      </c>
      <c r="E747" s="3">
        <f t="shared" ca="1" si="103"/>
        <v>500</v>
      </c>
      <c r="F747" s="42">
        <f t="shared" si="99"/>
        <v>1.3014449882806074E-48</v>
      </c>
      <c r="G747" s="41">
        <f>SUM(F$11:F747)</f>
        <v>0.99999999999999989</v>
      </c>
    </row>
    <row r="748" spans="1:7" x14ac:dyDescent="0.25">
      <c r="A748" s="1">
        <f t="shared" si="98"/>
        <v>737</v>
      </c>
      <c r="B748" s="3">
        <f t="shared" ca="1" si="101"/>
        <v>125500</v>
      </c>
      <c r="C748" s="26">
        <f t="shared" ca="1" si="102"/>
        <v>0.21551968395332877</v>
      </c>
      <c r="D748" s="26" t="str">
        <f t="shared" ca="1" si="100"/>
        <v>Lose</v>
      </c>
      <c r="E748" s="3">
        <f t="shared" ca="1" si="103"/>
        <v>-500</v>
      </c>
      <c r="F748" s="42">
        <f t="shared" si="99"/>
        <v>4.8521738216736407E-49</v>
      </c>
      <c r="G748" s="41">
        <f>SUM(F$11:F748)</f>
        <v>0.99999999999999989</v>
      </c>
    </row>
    <row r="749" spans="1:7" x14ac:dyDescent="0.25">
      <c r="A749" s="1">
        <f t="shared" si="98"/>
        <v>738</v>
      </c>
      <c r="B749" s="3">
        <f t="shared" ca="1" si="101"/>
        <v>125000</v>
      </c>
      <c r="C749" s="26">
        <f t="shared" ca="1" si="102"/>
        <v>0.14162050834451156</v>
      </c>
      <c r="D749" s="26" t="str">
        <f t="shared" ca="1" si="100"/>
        <v>Lose</v>
      </c>
      <c r="E749" s="3">
        <f t="shared" ca="1" si="103"/>
        <v>-500</v>
      </c>
      <c r="F749" s="42">
        <f t="shared" si="99"/>
        <v>1.799740265198553E-49</v>
      </c>
      <c r="G749" s="41">
        <f>SUM(F$11:F749)</f>
        <v>0.99999999999999989</v>
      </c>
    </row>
    <row r="750" spans="1:7" x14ac:dyDescent="0.25">
      <c r="A750" s="1">
        <f t="shared" si="98"/>
        <v>739</v>
      </c>
      <c r="B750" s="3">
        <f t="shared" ca="1" si="101"/>
        <v>124500</v>
      </c>
      <c r="C750" s="26">
        <f t="shared" ca="1" si="102"/>
        <v>5.1826772546350486E-2</v>
      </c>
      <c r="D750" s="26" t="str">
        <f t="shared" ca="1" si="100"/>
        <v>Lose</v>
      </c>
      <c r="E750" s="3">
        <f t="shared" ca="1" si="103"/>
        <v>-500</v>
      </c>
      <c r="F750" s="42">
        <f t="shared" si="99"/>
        <v>6.6411116576685334E-50</v>
      </c>
      <c r="G750" s="41">
        <f>SUM(F$11:F750)</f>
        <v>0.99999999999999989</v>
      </c>
    </row>
    <row r="751" spans="1:7" x14ac:dyDescent="0.25">
      <c r="A751" s="1">
        <f t="shared" si="98"/>
        <v>740</v>
      </c>
      <c r="B751" s="3">
        <f t="shared" ca="1" si="101"/>
        <v>124000</v>
      </c>
      <c r="C751" s="26">
        <f t="shared" ca="1" si="102"/>
        <v>0.30930967213861338</v>
      </c>
      <c r="D751" s="26" t="str">
        <f t="shared" ca="1" si="100"/>
        <v>Lose</v>
      </c>
      <c r="E751" s="3">
        <f t="shared" ca="1" si="103"/>
        <v>-500</v>
      </c>
      <c r="F751" s="42">
        <f t="shared" si="99"/>
        <v>2.4379436645124598E-50</v>
      </c>
      <c r="G751" s="41">
        <f>SUM(F$11:F751)</f>
        <v>0.99999999999999989</v>
      </c>
    </row>
    <row r="752" spans="1:7" x14ac:dyDescent="0.25">
      <c r="A752" s="1">
        <f t="shared" si="98"/>
        <v>741</v>
      </c>
      <c r="B752" s="3">
        <f t="shared" ca="1" si="101"/>
        <v>123500</v>
      </c>
      <c r="C752" s="26">
        <f t="shared" ca="1" si="102"/>
        <v>0.26195649857109105</v>
      </c>
      <c r="D752" s="26" t="str">
        <f t="shared" ca="1" si="100"/>
        <v>Lose</v>
      </c>
      <c r="E752" s="3">
        <f t="shared" ca="1" si="103"/>
        <v>-500</v>
      </c>
      <c r="F752" s="42">
        <f t="shared" si="99"/>
        <v>8.9033388392502622E-51</v>
      </c>
      <c r="G752" s="41">
        <f>SUM(F$11:F752)</f>
        <v>0.99999999999999989</v>
      </c>
    </row>
    <row r="753" spans="1:7" x14ac:dyDescent="0.25">
      <c r="A753" s="1">
        <f t="shared" si="98"/>
        <v>742</v>
      </c>
      <c r="B753" s="3">
        <f t="shared" ca="1" si="101"/>
        <v>124000</v>
      </c>
      <c r="C753" s="26">
        <f t="shared" ca="1" si="102"/>
        <v>0.84813695847331261</v>
      </c>
      <c r="D753" s="26" t="str">
        <f t="shared" ca="1" si="100"/>
        <v>Win</v>
      </c>
      <c r="E753" s="3">
        <f t="shared" ca="1" si="103"/>
        <v>500</v>
      </c>
      <c r="F753" s="42">
        <f t="shared" si="99"/>
        <v>3.2346169406365484E-51</v>
      </c>
      <c r="G753" s="41">
        <f>SUM(F$11:F753)</f>
        <v>0.99999999999999989</v>
      </c>
    </row>
    <row r="754" spans="1:7" x14ac:dyDescent="0.25">
      <c r="A754" s="1">
        <f t="shared" si="98"/>
        <v>743</v>
      </c>
      <c r="B754" s="3">
        <f t="shared" ca="1" si="101"/>
        <v>124500</v>
      </c>
      <c r="C754" s="26">
        <f t="shared" ca="1" si="102"/>
        <v>0.67964668403515904</v>
      </c>
      <c r="D754" s="26" t="str">
        <f t="shared" ca="1" si="100"/>
        <v>Win</v>
      </c>
      <c r="E754" s="3">
        <f t="shared" ca="1" si="103"/>
        <v>500</v>
      </c>
      <c r="F754" s="42">
        <f t="shared" si="99"/>
        <v>1.1690358915839488E-51</v>
      </c>
      <c r="G754" s="41">
        <f>SUM(F$11:F754)</f>
        <v>0.99999999999999989</v>
      </c>
    </row>
    <row r="755" spans="1:7" x14ac:dyDescent="0.25">
      <c r="A755" s="1">
        <f t="shared" si="98"/>
        <v>744</v>
      </c>
      <c r="B755" s="3">
        <f t="shared" ca="1" si="101"/>
        <v>125000</v>
      </c>
      <c r="C755" s="26">
        <f t="shared" ca="1" si="102"/>
        <v>0.5735573109369132</v>
      </c>
      <c r="D755" s="26" t="str">
        <f t="shared" ca="1" si="100"/>
        <v>Win</v>
      </c>
      <c r="E755" s="3">
        <f t="shared" ca="1" si="103"/>
        <v>500</v>
      </c>
      <c r="F755" s="42">
        <f t="shared" si="99"/>
        <v>4.203026506196657E-52</v>
      </c>
      <c r="G755" s="41">
        <f>SUM(F$11:F755)</f>
        <v>0.99999999999999989</v>
      </c>
    </row>
    <row r="756" spans="1:7" x14ac:dyDescent="0.25">
      <c r="A756" s="1">
        <f t="shared" si="98"/>
        <v>745</v>
      </c>
      <c r="B756" s="3">
        <f t="shared" ca="1" si="101"/>
        <v>124500</v>
      </c>
      <c r="C756" s="26">
        <f t="shared" ca="1" si="102"/>
        <v>0.31736188630500806</v>
      </c>
      <c r="D756" s="26" t="str">
        <f t="shared" ca="1" si="100"/>
        <v>Lose</v>
      </c>
      <c r="E756" s="3">
        <f t="shared" ca="1" si="103"/>
        <v>-500</v>
      </c>
      <c r="F756" s="42">
        <f t="shared" si="99"/>
        <v>1.5032109043939729E-52</v>
      </c>
      <c r="G756" s="41">
        <f>SUM(F$11:F756)</f>
        <v>0.99999999999999989</v>
      </c>
    </row>
    <row r="757" spans="1:7" x14ac:dyDescent="0.25">
      <c r="A757" s="1">
        <f t="shared" si="98"/>
        <v>746</v>
      </c>
      <c r="B757" s="3">
        <f t="shared" ca="1" si="101"/>
        <v>125000</v>
      </c>
      <c r="C757" s="26">
        <f t="shared" ca="1" si="102"/>
        <v>0.65610065745668744</v>
      </c>
      <c r="D757" s="26" t="str">
        <f t="shared" ca="1" si="100"/>
        <v>Win</v>
      </c>
      <c r="E757" s="3">
        <f t="shared" ca="1" si="103"/>
        <v>500</v>
      </c>
      <c r="F757" s="42">
        <f t="shared" si="99"/>
        <v>5.3480488624072839E-53</v>
      </c>
      <c r="G757" s="41">
        <f>SUM(F$11:F757)</f>
        <v>0.99999999999999989</v>
      </c>
    </row>
    <row r="758" spans="1:7" x14ac:dyDescent="0.25">
      <c r="A758" s="1">
        <f t="shared" si="98"/>
        <v>747</v>
      </c>
      <c r="B758" s="3">
        <f t="shared" ca="1" si="101"/>
        <v>124500</v>
      </c>
      <c r="C758" s="26">
        <f t="shared" ca="1" si="102"/>
        <v>5.9807325986602322E-2</v>
      </c>
      <c r="D758" s="26" t="str">
        <f t="shared" ca="1" si="100"/>
        <v>Lose</v>
      </c>
      <c r="E758" s="3">
        <f t="shared" ca="1" si="103"/>
        <v>-500</v>
      </c>
      <c r="F758" s="42">
        <f t="shared" si="99"/>
        <v>1.8927034659351871E-53</v>
      </c>
      <c r="G758" s="41">
        <f>SUM(F$11:F758)</f>
        <v>0.99999999999999989</v>
      </c>
    </row>
    <row r="759" spans="1:7" x14ac:dyDescent="0.25">
      <c r="A759" s="1">
        <f t="shared" si="98"/>
        <v>748</v>
      </c>
      <c r="B759" s="3">
        <f t="shared" ca="1" si="101"/>
        <v>125000</v>
      </c>
      <c r="C759" s="26">
        <f t="shared" ca="1" si="102"/>
        <v>0.9415018465230981</v>
      </c>
      <c r="D759" s="26" t="str">
        <f t="shared" ca="1" si="100"/>
        <v>Win</v>
      </c>
      <c r="E759" s="3">
        <f t="shared" ca="1" si="103"/>
        <v>500</v>
      </c>
      <c r="F759" s="42">
        <f t="shared" si="99"/>
        <v>6.6630887321187963E-54</v>
      </c>
      <c r="G759" s="41">
        <f>SUM(F$11:F759)</f>
        <v>0.99999999999999989</v>
      </c>
    </row>
    <row r="760" spans="1:7" x14ac:dyDescent="0.25">
      <c r="A760" s="1">
        <f t="shared" si="98"/>
        <v>749</v>
      </c>
      <c r="B760" s="3">
        <f t="shared" ca="1" si="101"/>
        <v>124500</v>
      </c>
      <c r="C760" s="26">
        <f t="shared" ca="1" si="102"/>
        <v>0.29607555663688145</v>
      </c>
      <c r="D760" s="26" t="str">
        <f t="shared" ca="1" si="100"/>
        <v>Lose</v>
      </c>
      <c r="E760" s="3">
        <f t="shared" ca="1" si="103"/>
        <v>-500</v>
      </c>
      <c r="F760" s="42">
        <f t="shared" si="99"/>
        <v>2.333288367760828E-54</v>
      </c>
      <c r="G760" s="41">
        <f>SUM(F$11:F760)</f>
        <v>0.99999999999999989</v>
      </c>
    </row>
    <row r="761" spans="1:7" x14ac:dyDescent="0.25">
      <c r="A761" s="1">
        <f t="shared" si="98"/>
        <v>750</v>
      </c>
      <c r="B761" s="3">
        <f t="shared" ca="1" si="101"/>
        <v>125000</v>
      </c>
      <c r="C761" s="26">
        <f t="shared" ca="1" si="102"/>
        <v>0.81840736069015096</v>
      </c>
      <c r="D761" s="26" t="str">
        <f t="shared" ca="1" si="100"/>
        <v>Win</v>
      </c>
      <c r="E761" s="3">
        <f t="shared" ca="1" si="103"/>
        <v>500</v>
      </c>
      <c r="F761" s="42">
        <f t="shared" si="99"/>
        <v>8.1274624206006357E-55</v>
      </c>
      <c r="G761" s="41">
        <f>SUM(F$11:F761)</f>
        <v>0.99999999999999989</v>
      </c>
    </row>
    <row r="762" spans="1:7" x14ac:dyDescent="0.25">
      <c r="A762" s="1">
        <f t="shared" si="98"/>
        <v>751</v>
      </c>
      <c r="B762" s="3">
        <f t="shared" ca="1" si="101"/>
        <v>125500</v>
      </c>
      <c r="C762" s="26">
        <f t="shared" ca="1" si="102"/>
        <v>0.8988739614878557</v>
      </c>
      <c r="D762" s="26" t="str">
        <f t="shared" ca="1" si="100"/>
        <v>Win</v>
      </c>
      <c r="E762" s="3">
        <f t="shared" ca="1" si="103"/>
        <v>500</v>
      </c>
      <c r="F762" s="42">
        <f t="shared" si="99"/>
        <v>2.8159772239096851E-55</v>
      </c>
      <c r="G762" s="41">
        <f>SUM(F$11:F762)</f>
        <v>0.99999999999999989</v>
      </c>
    </row>
    <row r="763" spans="1:7" x14ac:dyDescent="0.25">
      <c r="A763" s="1">
        <f t="shared" si="98"/>
        <v>752</v>
      </c>
      <c r="B763" s="3">
        <f t="shared" ca="1" si="101"/>
        <v>125000</v>
      </c>
      <c r="C763" s="26">
        <f t="shared" ca="1" si="102"/>
        <v>8.703165229996157E-2</v>
      </c>
      <c r="D763" s="26" t="str">
        <f t="shared" ca="1" si="100"/>
        <v>Lose</v>
      </c>
      <c r="E763" s="3">
        <f t="shared" ca="1" si="103"/>
        <v>-500</v>
      </c>
      <c r="F763" s="42">
        <f t="shared" si="99"/>
        <v>9.7047586752147598E-56</v>
      </c>
      <c r="G763" s="41">
        <f>SUM(F$11:F763)</f>
        <v>0.99999999999999989</v>
      </c>
    </row>
    <row r="764" spans="1:7" x14ac:dyDescent="0.25">
      <c r="A764" s="1">
        <f t="shared" ref="A764:A827" si="104">A763+1</f>
        <v>753</v>
      </c>
      <c r="B764" s="3">
        <f t="shared" ca="1" si="101"/>
        <v>124500</v>
      </c>
      <c r="C764" s="26">
        <f t="shared" ca="1" si="102"/>
        <v>0.30924205227771007</v>
      </c>
      <c r="D764" s="26" t="str">
        <f t="shared" ca="1" si="100"/>
        <v>Lose</v>
      </c>
      <c r="E764" s="3">
        <f t="shared" ca="1" si="103"/>
        <v>-500</v>
      </c>
      <c r="F764" s="42">
        <f t="shared" si="99"/>
        <v>3.3267145763642478E-56</v>
      </c>
      <c r="G764" s="41">
        <f>SUM(F$11:F764)</f>
        <v>0.99999999999999989</v>
      </c>
    </row>
    <row r="765" spans="1:7" x14ac:dyDescent="0.25">
      <c r="A765" s="1">
        <f t="shared" si="104"/>
        <v>754</v>
      </c>
      <c r="B765" s="3">
        <f t="shared" ca="1" si="101"/>
        <v>125000</v>
      </c>
      <c r="C765" s="26">
        <f t="shared" ca="1" si="102"/>
        <v>0.9561612921390199</v>
      </c>
      <c r="D765" s="26" t="str">
        <f t="shared" ca="1" si="100"/>
        <v>Win</v>
      </c>
      <c r="E765" s="3">
        <f t="shared" ca="1" si="103"/>
        <v>500</v>
      </c>
      <c r="F765" s="42">
        <f t="shared" si="99"/>
        <v>1.134266862947515E-56</v>
      </c>
      <c r="G765" s="41">
        <f>SUM(F$11:F765)</f>
        <v>0.99999999999999989</v>
      </c>
    </row>
    <row r="766" spans="1:7" x14ac:dyDescent="0.25">
      <c r="A766" s="1">
        <f t="shared" si="104"/>
        <v>755</v>
      </c>
      <c r="B766" s="3">
        <f t="shared" ca="1" si="101"/>
        <v>124500</v>
      </c>
      <c r="C766" s="26">
        <f t="shared" ca="1" si="102"/>
        <v>0.30074915788956491</v>
      </c>
      <c r="D766" s="26" t="str">
        <f t="shared" ca="1" si="100"/>
        <v>Lose</v>
      </c>
      <c r="E766" s="3">
        <f t="shared" ca="1" si="103"/>
        <v>-500</v>
      </c>
      <c r="F766" s="42">
        <f t="shared" si="99"/>
        <v>3.8466041525991672E-57</v>
      </c>
      <c r="G766" s="41">
        <f>SUM(F$11:F766)</f>
        <v>0.99999999999999989</v>
      </c>
    </row>
    <row r="767" spans="1:7" x14ac:dyDescent="0.25">
      <c r="A767" s="1">
        <f t="shared" si="104"/>
        <v>756</v>
      </c>
      <c r="B767" s="3">
        <f t="shared" ca="1" si="101"/>
        <v>125000</v>
      </c>
      <c r="C767" s="26">
        <f t="shared" ca="1" si="102"/>
        <v>0.90411491908700192</v>
      </c>
      <c r="D767" s="26" t="str">
        <f t="shared" ca="1" si="100"/>
        <v>Win</v>
      </c>
      <c r="E767" s="3">
        <f t="shared" ca="1" si="103"/>
        <v>500</v>
      </c>
      <c r="F767" s="42">
        <f t="shared" si="99"/>
        <v>1.2974656863924936E-57</v>
      </c>
      <c r="G767" s="41">
        <f>SUM(F$11:F767)</f>
        <v>0.99999999999999989</v>
      </c>
    </row>
    <row r="768" spans="1:7" x14ac:dyDescent="0.25">
      <c r="A768" s="1">
        <f t="shared" si="104"/>
        <v>757</v>
      </c>
      <c r="B768" s="3">
        <f t="shared" ca="1" si="101"/>
        <v>124500</v>
      </c>
      <c r="C768" s="26">
        <f t="shared" ca="1" si="102"/>
        <v>0.40085002539631442</v>
      </c>
      <c r="D768" s="26" t="str">
        <f t="shared" ca="1" si="100"/>
        <v>Lose</v>
      </c>
      <c r="E768" s="3">
        <f t="shared" ca="1" si="103"/>
        <v>-500</v>
      </c>
      <c r="F768" s="42">
        <f t="shared" si="99"/>
        <v>4.3527520021211439E-58</v>
      </c>
      <c r="G768" s="41">
        <f>SUM(F$11:F768)</f>
        <v>0.99999999999999989</v>
      </c>
    </row>
    <row r="769" spans="1:7" x14ac:dyDescent="0.25">
      <c r="A769" s="1">
        <f t="shared" si="104"/>
        <v>758</v>
      </c>
      <c r="B769" s="3">
        <f t="shared" ca="1" si="101"/>
        <v>124000</v>
      </c>
      <c r="C769" s="26">
        <f t="shared" ca="1" si="102"/>
        <v>0.22857113598749079</v>
      </c>
      <c r="D769" s="26" t="str">
        <f t="shared" ca="1" si="100"/>
        <v>Lose</v>
      </c>
      <c r="E769" s="3">
        <f t="shared" ca="1" si="103"/>
        <v>-500</v>
      </c>
      <c r="F769" s="42">
        <f t="shared" si="99"/>
        <v>1.4523627042778884E-58</v>
      </c>
      <c r="G769" s="41">
        <f>SUM(F$11:F769)</f>
        <v>0.99999999999999989</v>
      </c>
    </row>
    <row r="770" spans="1:7" x14ac:dyDescent="0.25">
      <c r="A770" s="1">
        <f t="shared" si="104"/>
        <v>759</v>
      </c>
      <c r="B770" s="3">
        <f t="shared" ca="1" si="101"/>
        <v>123500</v>
      </c>
      <c r="C770" s="26">
        <f t="shared" ca="1" si="102"/>
        <v>0.24342168999857394</v>
      </c>
      <c r="D770" s="26" t="str">
        <f t="shared" ca="1" si="100"/>
        <v>Lose</v>
      </c>
      <c r="E770" s="3">
        <f t="shared" ca="1" si="103"/>
        <v>-500</v>
      </c>
      <c r="F770" s="42">
        <f t="shared" si="99"/>
        <v>4.8197307133975833E-59</v>
      </c>
      <c r="G770" s="41">
        <f>SUM(F$11:F770)</f>
        <v>0.99999999999999989</v>
      </c>
    </row>
    <row r="771" spans="1:7" x14ac:dyDescent="0.25">
      <c r="A771" s="1">
        <f t="shared" si="104"/>
        <v>760</v>
      </c>
      <c r="B771" s="3">
        <f t="shared" ca="1" si="101"/>
        <v>124000</v>
      </c>
      <c r="C771" s="26">
        <f t="shared" ca="1" si="102"/>
        <v>0.72143752234164227</v>
      </c>
      <c r="D771" s="26" t="str">
        <f t="shared" ca="1" si="100"/>
        <v>Win</v>
      </c>
      <c r="E771" s="3">
        <f t="shared" ca="1" si="103"/>
        <v>500</v>
      </c>
      <c r="F771" s="42">
        <f t="shared" si="99"/>
        <v>1.590744097700594E-59</v>
      </c>
      <c r="G771" s="41">
        <f>SUM(F$11:F771)</f>
        <v>0.99999999999999989</v>
      </c>
    </row>
    <row r="772" spans="1:7" x14ac:dyDescent="0.25">
      <c r="A772" s="1">
        <f t="shared" si="104"/>
        <v>761</v>
      </c>
      <c r="B772" s="3">
        <f t="shared" ca="1" si="101"/>
        <v>124500</v>
      </c>
      <c r="C772" s="26">
        <f t="shared" ca="1" si="102"/>
        <v>0.54098095655465639</v>
      </c>
      <c r="D772" s="26" t="str">
        <f t="shared" ca="1" si="100"/>
        <v>Win</v>
      </c>
      <c r="E772" s="3">
        <f t="shared" ca="1" si="103"/>
        <v>500</v>
      </c>
      <c r="F772" s="42">
        <f t="shared" si="99"/>
        <v>5.2215687617943653E-60</v>
      </c>
      <c r="G772" s="41">
        <f>SUM(F$11:F772)</f>
        <v>0.99999999999999989</v>
      </c>
    </row>
    <row r="773" spans="1:7" x14ac:dyDescent="0.25">
      <c r="A773" s="1">
        <f t="shared" si="104"/>
        <v>762</v>
      </c>
      <c r="B773" s="3">
        <f t="shared" ca="1" si="101"/>
        <v>124000</v>
      </c>
      <c r="C773" s="26">
        <f t="shared" ca="1" si="102"/>
        <v>3.1154640012503787E-2</v>
      </c>
      <c r="D773" s="26" t="str">
        <f t="shared" ca="1" si="100"/>
        <v>Lose</v>
      </c>
      <c r="E773" s="3">
        <f t="shared" ca="1" si="103"/>
        <v>-500</v>
      </c>
      <c r="F773" s="42">
        <f t="shared" si="99"/>
        <v>1.7045825067629514E-60</v>
      </c>
      <c r="G773" s="41">
        <f>SUM(F$11:F773)</f>
        <v>0.99999999999999989</v>
      </c>
    </row>
    <row r="774" spans="1:7" x14ac:dyDescent="0.25">
      <c r="A774" s="1">
        <f t="shared" si="104"/>
        <v>763</v>
      </c>
      <c r="B774" s="3">
        <f t="shared" ca="1" si="101"/>
        <v>123500</v>
      </c>
      <c r="C774" s="26">
        <f t="shared" ca="1" si="102"/>
        <v>0.35764465530662659</v>
      </c>
      <c r="D774" s="26" t="str">
        <f t="shared" ca="1" si="100"/>
        <v>Lose</v>
      </c>
      <c r="E774" s="3">
        <f t="shared" ca="1" si="103"/>
        <v>-500</v>
      </c>
      <c r="F774" s="42">
        <f t="shared" si="99"/>
        <v>5.5340686514265834E-61</v>
      </c>
      <c r="G774" s="41">
        <f>SUM(F$11:F774)</f>
        <v>0.99999999999999989</v>
      </c>
    </row>
    <row r="775" spans="1:7" x14ac:dyDescent="0.25">
      <c r="A775" s="1">
        <f t="shared" si="104"/>
        <v>764</v>
      </c>
      <c r="B775" s="3">
        <f t="shared" ca="1" si="101"/>
        <v>124000</v>
      </c>
      <c r="C775" s="26">
        <f t="shared" ca="1" si="102"/>
        <v>0.91826665617877745</v>
      </c>
      <c r="D775" s="26" t="str">
        <f t="shared" ca="1" si="100"/>
        <v>Win</v>
      </c>
      <c r="E775" s="3">
        <f t="shared" ca="1" si="103"/>
        <v>500</v>
      </c>
      <c r="F775" s="42">
        <f t="shared" si="99"/>
        <v>1.7867904634520568E-61</v>
      </c>
      <c r="G775" s="41">
        <f>SUM(F$11:F775)</f>
        <v>0.99999999999999989</v>
      </c>
    </row>
    <row r="776" spans="1:7" x14ac:dyDescent="0.25">
      <c r="A776" s="1">
        <f t="shared" si="104"/>
        <v>765</v>
      </c>
      <c r="B776" s="3">
        <f t="shared" ca="1" si="101"/>
        <v>123500</v>
      </c>
      <c r="C776" s="26">
        <f t="shared" ca="1" si="102"/>
        <v>0.32246745157769574</v>
      </c>
      <c r="D776" s="26" t="str">
        <f t="shared" ca="1" si="100"/>
        <v>Lose</v>
      </c>
      <c r="E776" s="3">
        <f t="shared" ca="1" si="103"/>
        <v>-500</v>
      </c>
      <c r="F776" s="42">
        <f t="shared" si="99"/>
        <v>5.7371775425127303E-62</v>
      </c>
      <c r="G776" s="41">
        <f>SUM(F$11:F776)</f>
        <v>0.99999999999999989</v>
      </c>
    </row>
    <row r="777" spans="1:7" x14ac:dyDescent="0.25">
      <c r="A777" s="1">
        <f t="shared" si="104"/>
        <v>766</v>
      </c>
      <c r="B777" s="3">
        <f t="shared" ca="1" si="101"/>
        <v>123000</v>
      </c>
      <c r="C777" s="26">
        <f t="shared" ca="1" si="102"/>
        <v>3.3965606550225291E-2</v>
      </c>
      <c r="D777" s="26" t="str">
        <f t="shared" ca="1" si="100"/>
        <v>Lose</v>
      </c>
      <c r="E777" s="3">
        <f t="shared" ca="1" si="103"/>
        <v>-500</v>
      </c>
      <c r="F777" s="42">
        <f t="shared" si="99"/>
        <v>1.831940982762807E-62</v>
      </c>
      <c r="G777" s="41">
        <f>SUM(F$11:F777)</f>
        <v>0.99999999999999989</v>
      </c>
    </row>
    <row r="778" spans="1:7" x14ac:dyDescent="0.25">
      <c r="A778" s="1">
        <f t="shared" si="104"/>
        <v>767</v>
      </c>
      <c r="B778" s="3">
        <f t="shared" ca="1" si="101"/>
        <v>123500</v>
      </c>
      <c r="C778" s="26">
        <f t="shared" ca="1" si="102"/>
        <v>0.95344049935826991</v>
      </c>
      <c r="D778" s="26" t="str">
        <f t="shared" ca="1" si="100"/>
        <v>Win</v>
      </c>
      <c r="E778" s="3">
        <f t="shared" ca="1" si="103"/>
        <v>500</v>
      </c>
      <c r="F778" s="42">
        <f t="shared" si="99"/>
        <v>5.817093815898424E-63</v>
      </c>
      <c r="G778" s="41">
        <f>SUM(F$11:F778)</f>
        <v>0.99999999999999989</v>
      </c>
    </row>
    <row r="779" spans="1:7" x14ac:dyDescent="0.25">
      <c r="A779" s="1">
        <f t="shared" si="104"/>
        <v>768</v>
      </c>
      <c r="B779" s="3">
        <f t="shared" ca="1" si="101"/>
        <v>124000</v>
      </c>
      <c r="C779" s="26">
        <f t="shared" ca="1" si="102"/>
        <v>0.58792267330183046</v>
      </c>
      <c r="D779" s="26" t="str">
        <f t="shared" ca="1" si="100"/>
        <v>Win</v>
      </c>
      <c r="E779" s="3">
        <f t="shared" ca="1" si="103"/>
        <v>500</v>
      </c>
      <c r="F779" s="42">
        <f t="shared" si="99"/>
        <v>1.8368549589263686E-63</v>
      </c>
      <c r="G779" s="41">
        <f>SUM(F$11:F779)</f>
        <v>0.99999999999999989</v>
      </c>
    </row>
    <row r="780" spans="1:7" x14ac:dyDescent="0.25">
      <c r="A780" s="1">
        <f t="shared" si="104"/>
        <v>769</v>
      </c>
      <c r="B780" s="3">
        <f t="shared" ca="1" si="101"/>
        <v>124500</v>
      </c>
      <c r="C780" s="26">
        <f t="shared" ca="1" si="102"/>
        <v>0.85217311869729995</v>
      </c>
      <c r="D780" s="26" t="str">
        <f t="shared" ca="1" si="100"/>
        <v>Win</v>
      </c>
      <c r="E780" s="3">
        <f t="shared" ca="1" si="103"/>
        <v>500</v>
      </c>
      <c r="F780" s="42">
        <f t="shared" ref="F780:F843" si="105">_xlfn.BINOM.DIST(A780,$A$1011,$B$1,FALSE)</f>
        <v>5.7678054918970896E-64</v>
      </c>
      <c r="G780" s="41">
        <f>SUM(F$11:F780)</f>
        <v>0.99999999999999989</v>
      </c>
    </row>
    <row r="781" spans="1:7" x14ac:dyDescent="0.25">
      <c r="A781" s="1">
        <f t="shared" si="104"/>
        <v>770</v>
      </c>
      <c r="B781" s="3">
        <f t="shared" ca="1" si="101"/>
        <v>125000</v>
      </c>
      <c r="C781" s="26">
        <f t="shared" ca="1" si="102"/>
        <v>0.85379281575377231</v>
      </c>
      <c r="D781" s="26" t="str">
        <f t="shared" ref="D781:D844" ca="1" si="106">IF(C781&gt;$B$2,"Win","Lose")</f>
        <v>Win</v>
      </c>
      <c r="E781" s="3">
        <f t="shared" ca="1" si="103"/>
        <v>500</v>
      </c>
      <c r="F781" s="42">
        <f t="shared" si="105"/>
        <v>1.8009678372658488E-64</v>
      </c>
      <c r="G781" s="41">
        <f>SUM(F$11:F781)</f>
        <v>0.99999999999999989</v>
      </c>
    </row>
    <row r="782" spans="1:7" x14ac:dyDescent="0.25">
      <c r="A782" s="1">
        <f t="shared" si="104"/>
        <v>771</v>
      </c>
      <c r="B782" s="3">
        <f t="shared" ref="B782:B845" ca="1" si="107">B781+E782</f>
        <v>125500</v>
      </c>
      <c r="C782" s="26">
        <f t="shared" ref="C782:C845" ca="1" si="108">RAND()</f>
        <v>0.49555243803378046</v>
      </c>
      <c r="D782" s="26" t="str">
        <f t="shared" ca="1" si="106"/>
        <v>Win</v>
      </c>
      <c r="E782" s="3">
        <f t="shared" ref="E782:E845" ca="1" si="109">IF(D782="Win",$B$4,-$B$4)</f>
        <v>500</v>
      </c>
      <c r="F782" s="42">
        <f t="shared" si="105"/>
        <v>5.5918242227504219E-65</v>
      </c>
      <c r="G782" s="41">
        <f>SUM(F$11:F782)</f>
        <v>0.99999999999999989</v>
      </c>
    </row>
    <row r="783" spans="1:7" x14ac:dyDescent="0.25">
      <c r="A783" s="1">
        <f t="shared" si="104"/>
        <v>772</v>
      </c>
      <c r="B783" s="3">
        <f t="shared" ca="1" si="107"/>
        <v>125000</v>
      </c>
      <c r="C783" s="26">
        <f t="shared" ca="1" si="108"/>
        <v>0.33492100865960661</v>
      </c>
      <c r="D783" s="26" t="str">
        <f t="shared" ca="1" si="106"/>
        <v>Lose</v>
      </c>
      <c r="E783" s="3">
        <f t="shared" ca="1" si="109"/>
        <v>-500</v>
      </c>
      <c r="F783" s="42">
        <f t="shared" si="105"/>
        <v>1.7264173389421488E-65</v>
      </c>
      <c r="G783" s="41">
        <f>SUM(F$11:F783)</f>
        <v>0.99999999999999989</v>
      </c>
    </row>
    <row r="784" spans="1:7" x14ac:dyDescent="0.25">
      <c r="A784" s="1">
        <f t="shared" si="104"/>
        <v>773</v>
      </c>
      <c r="B784" s="3">
        <f t="shared" ca="1" si="107"/>
        <v>125500</v>
      </c>
      <c r="C784" s="26">
        <f t="shared" ca="1" si="108"/>
        <v>0.98486267167082053</v>
      </c>
      <c r="D784" s="26" t="str">
        <f t="shared" ca="1" si="106"/>
        <v>Win</v>
      </c>
      <c r="E784" s="3">
        <f t="shared" ca="1" si="109"/>
        <v>500</v>
      </c>
      <c r="F784" s="42">
        <f t="shared" si="105"/>
        <v>5.2999922953821811E-66</v>
      </c>
      <c r="G784" s="41">
        <f>SUM(F$11:F784)</f>
        <v>0.99999999999999989</v>
      </c>
    </row>
    <row r="785" spans="1:7" x14ac:dyDescent="0.25">
      <c r="A785" s="1">
        <f t="shared" si="104"/>
        <v>774</v>
      </c>
      <c r="B785" s="3">
        <f t="shared" ca="1" si="107"/>
        <v>126000</v>
      </c>
      <c r="C785" s="26">
        <f t="shared" ca="1" si="108"/>
        <v>0.77159699711311203</v>
      </c>
      <c r="D785" s="26" t="str">
        <f t="shared" ca="1" si="106"/>
        <v>Win</v>
      </c>
      <c r="E785" s="3">
        <f t="shared" ca="1" si="109"/>
        <v>500</v>
      </c>
      <c r="F785" s="42">
        <f t="shared" si="105"/>
        <v>1.6178350156525392E-66</v>
      </c>
      <c r="G785" s="41">
        <f>SUM(F$11:F785)</f>
        <v>0.99999999999999989</v>
      </c>
    </row>
    <row r="786" spans="1:7" x14ac:dyDescent="0.25">
      <c r="A786" s="1">
        <f t="shared" si="104"/>
        <v>775</v>
      </c>
      <c r="B786" s="3">
        <f t="shared" ca="1" si="107"/>
        <v>125500</v>
      </c>
      <c r="C786" s="26">
        <f t="shared" ca="1" si="108"/>
        <v>0.34170505366056547</v>
      </c>
      <c r="D786" s="26" t="str">
        <f t="shared" ca="1" si="106"/>
        <v>Lose</v>
      </c>
      <c r="E786" s="3">
        <f t="shared" ca="1" si="109"/>
        <v>-500</v>
      </c>
      <c r="F786" s="42">
        <f t="shared" si="105"/>
        <v>4.9103795629786931E-67</v>
      </c>
      <c r="G786" s="41">
        <f>SUM(F$11:F786)</f>
        <v>0.99999999999999989</v>
      </c>
    </row>
    <row r="787" spans="1:7" x14ac:dyDescent="0.25">
      <c r="A787" s="1">
        <f t="shared" si="104"/>
        <v>776</v>
      </c>
      <c r="B787" s="3">
        <f t="shared" ca="1" si="107"/>
        <v>125000</v>
      </c>
      <c r="C787" s="26">
        <f t="shared" ca="1" si="108"/>
        <v>0.29194624399628977</v>
      </c>
      <c r="D787" s="26" t="str">
        <f t="shared" ca="1" si="106"/>
        <v>Lose</v>
      </c>
      <c r="E787" s="3">
        <f t="shared" ca="1" si="109"/>
        <v>-500</v>
      </c>
      <c r="F787" s="42">
        <f t="shared" si="105"/>
        <v>1.4818694899321865E-67</v>
      </c>
      <c r="G787" s="41">
        <f>SUM(F$11:F787)</f>
        <v>0.99999999999999989</v>
      </c>
    </row>
    <row r="788" spans="1:7" x14ac:dyDescent="0.25">
      <c r="A788" s="1">
        <f t="shared" si="104"/>
        <v>777</v>
      </c>
      <c r="B788" s="3">
        <f t="shared" ca="1" si="107"/>
        <v>124500</v>
      </c>
      <c r="C788" s="26">
        <f t="shared" ca="1" si="108"/>
        <v>0.33571769156933584</v>
      </c>
      <c r="D788" s="26" t="str">
        <f t="shared" ca="1" si="106"/>
        <v>Lose</v>
      </c>
      <c r="E788" s="3">
        <f t="shared" ca="1" si="109"/>
        <v>-500</v>
      </c>
      <c r="F788" s="42">
        <f t="shared" si="105"/>
        <v>4.4464258274853086E-68</v>
      </c>
      <c r="G788" s="41">
        <f>SUM(F$11:F788)</f>
        <v>0.99999999999999989</v>
      </c>
    </row>
    <row r="789" spans="1:7" x14ac:dyDescent="0.25">
      <c r="A789" s="1">
        <f t="shared" si="104"/>
        <v>778</v>
      </c>
      <c r="B789" s="3">
        <f t="shared" ca="1" si="107"/>
        <v>125000</v>
      </c>
      <c r="C789" s="26">
        <f t="shared" ca="1" si="108"/>
        <v>0.71377899687239332</v>
      </c>
      <c r="D789" s="26" t="str">
        <f t="shared" ca="1" si="106"/>
        <v>Win</v>
      </c>
      <c r="E789" s="3">
        <f t="shared" ca="1" si="109"/>
        <v>500</v>
      </c>
      <c r="F789" s="42">
        <f t="shared" si="105"/>
        <v>1.3265096515394984E-68</v>
      </c>
      <c r="G789" s="41">
        <f>SUM(F$11:F789)</f>
        <v>0.99999999999999989</v>
      </c>
    </row>
    <row r="790" spans="1:7" x14ac:dyDescent="0.25">
      <c r="A790" s="1">
        <f t="shared" si="104"/>
        <v>779</v>
      </c>
      <c r="B790" s="3">
        <f t="shared" ca="1" si="107"/>
        <v>124500</v>
      </c>
      <c r="C790" s="26">
        <f t="shared" ca="1" si="108"/>
        <v>0.45032765740905767</v>
      </c>
      <c r="D790" s="26" t="str">
        <f t="shared" ca="1" si="106"/>
        <v>Lose</v>
      </c>
      <c r="E790" s="3">
        <f t="shared" ca="1" si="109"/>
        <v>-500</v>
      </c>
      <c r="F790" s="42">
        <f t="shared" si="105"/>
        <v>3.9345949214667445E-69</v>
      </c>
      <c r="G790" s="41">
        <f>SUM(F$11:F790)</f>
        <v>0.99999999999999989</v>
      </c>
    </row>
    <row r="791" spans="1:7" x14ac:dyDescent="0.25">
      <c r="A791" s="1">
        <f t="shared" si="104"/>
        <v>780</v>
      </c>
      <c r="B791" s="3">
        <f t="shared" ca="1" si="107"/>
        <v>125000</v>
      </c>
      <c r="C791" s="26">
        <f t="shared" ca="1" si="108"/>
        <v>0.94028727662161615</v>
      </c>
      <c r="D791" s="26" t="str">
        <f t="shared" ca="1" si="106"/>
        <v>Win</v>
      </c>
      <c r="E791" s="3">
        <f t="shared" ca="1" si="109"/>
        <v>500</v>
      </c>
      <c r="F791" s="42">
        <f t="shared" si="105"/>
        <v>1.1603040125549826E-69</v>
      </c>
      <c r="G791" s="41">
        <f>SUM(F$11:F791)</f>
        <v>0.99999999999999989</v>
      </c>
    </row>
    <row r="792" spans="1:7" x14ac:dyDescent="0.25">
      <c r="A792" s="1">
        <f t="shared" si="104"/>
        <v>781</v>
      </c>
      <c r="B792" s="3">
        <f t="shared" ca="1" si="107"/>
        <v>124500</v>
      </c>
      <c r="C792" s="26">
        <f t="shared" ca="1" si="108"/>
        <v>0.4722175375201576</v>
      </c>
      <c r="D792" s="26" t="str">
        <f t="shared" ca="1" si="106"/>
        <v>Lose</v>
      </c>
      <c r="E792" s="3">
        <f t="shared" ca="1" si="109"/>
        <v>-500</v>
      </c>
      <c r="F792" s="42">
        <f t="shared" si="105"/>
        <v>3.4018686197356531E-70</v>
      </c>
      <c r="G792" s="41">
        <f>SUM(F$11:F792)</f>
        <v>0.99999999999999989</v>
      </c>
    </row>
    <row r="793" spans="1:7" x14ac:dyDescent="0.25">
      <c r="A793" s="1">
        <f t="shared" si="104"/>
        <v>782</v>
      </c>
      <c r="B793" s="3">
        <f t="shared" ca="1" si="107"/>
        <v>124000</v>
      </c>
      <c r="C793" s="26">
        <f t="shared" ca="1" si="108"/>
        <v>0.34665219371027833</v>
      </c>
      <c r="D793" s="26" t="str">
        <f t="shared" ca="1" si="106"/>
        <v>Lose</v>
      </c>
      <c r="E793" s="3">
        <f t="shared" ca="1" si="109"/>
        <v>-500</v>
      </c>
      <c r="F793" s="42">
        <f t="shared" si="105"/>
        <v>9.9158282305510673E-71</v>
      </c>
      <c r="G793" s="41">
        <f>SUM(F$11:F793)</f>
        <v>0.99999999999999989</v>
      </c>
    </row>
    <row r="794" spans="1:7" x14ac:dyDescent="0.25">
      <c r="A794" s="1">
        <f t="shared" si="104"/>
        <v>783</v>
      </c>
      <c r="B794" s="3">
        <f t="shared" ca="1" si="107"/>
        <v>124500</v>
      </c>
      <c r="C794" s="26">
        <f t="shared" ca="1" si="108"/>
        <v>0.56439686141162593</v>
      </c>
      <c r="D794" s="26" t="str">
        <f t="shared" ca="1" si="106"/>
        <v>Win</v>
      </c>
      <c r="E794" s="3">
        <f t="shared" ca="1" si="109"/>
        <v>500</v>
      </c>
      <c r="F794" s="42">
        <f t="shared" si="105"/>
        <v>2.8734114803677147E-71</v>
      </c>
      <c r="G794" s="41">
        <f>SUM(F$11:F794)</f>
        <v>0.99999999999999989</v>
      </c>
    </row>
    <row r="795" spans="1:7" x14ac:dyDescent="0.25">
      <c r="A795" s="1">
        <f t="shared" si="104"/>
        <v>784</v>
      </c>
      <c r="B795" s="3">
        <f t="shared" ca="1" si="107"/>
        <v>124000</v>
      </c>
      <c r="C795" s="26">
        <f t="shared" ca="1" si="108"/>
        <v>0.35423241285724327</v>
      </c>
      <c r="D795" s="26" t="str">
        <f t="shared" ca="1" si="106"/>
        <v>Lose</v>
      </c>
      <c r="E795" s="3">
        <f t="shared" ca="1" si="109"/>
        <v>-500</v>
      </c>
      <c r="F795" s="42">
        <f t="shared" si="105"/>
        <v>8.2778125919488235E-72</v>
      </c>
      <c r="G795" s="41">
        <f>SUM(F$11:F795)</f>
        <v>0.99999999999999989</v>
      </c>
    </row>
    <row r="796" spans="1:7" x14ac:dyDescent="0.25">
      <c r="A796" s="1">
        <f t="shared" si="104"/>
        <v>785</v>
      </c>
      <c r="B796" s="3">
        <f t="shared" ca="1" si="107"/>
        <v>123500</v>
      </c>
      <c r="C796" s="26">
        <f t="shared" ca="1" si="108"/>
        <v>0.22742862990555279</v>
      </c>
      <c r="D796" s="26" t="str">
        <f t="shared" ca="1" si="106"/>
        <v>Lose</v>
      </c>
      <c r="E796" s="3">
        <f t="shared" ca="1" si="109"/>
        <v>-500</v>
      </c>
      <c r="F796" s="42">
        <f t="shared" si="105"/>
        <v>2.3706846097207549E-72</v>
      </c>
      <c r="G796" s="41">
        <f>SUM(F$11:F796)</f>
        <v>0.99999999999999989</v>
      </c>
    </row>
    <row r="797" spans="1:7" x14ac:dyDescent="0.25">
      <c r="A797" s="1">
        <f t="shared" si="104"/>
        <v>786</v>
      </c>
      <c r="B797" s="3">
        <f t="shared" ca="1" si="107"/>
        <v>124000</v>
      </c>
      <c r="C797" s="26">
        <f t="shared" ca="1" si="108"/>
        <v>0.86518822451097843</v>
      </c>
      <c r="D797" s="26" t="str">
        <f t="shared" ca="1" si="106"/>
        <v>Win</v>
      </c>
      <c r="E797" s="3">
        <f t="shared" ca="1" si="109"/>
        <v>500</v>
      </c>
      <c r="F797" s="42">
        <f t="shared" si="105"/>
        <v>6.7493786014405022E-73</v>
      </c>
      <c r="G797" s="41">
        <f>SUM(F$11:F797)</f>
        <v>0.99999999999999989</v>
      </c>
    </row>
    <row r="798" spans="1:7" x14ac:dyDescent="0.25">
      <c r="A798" s="1">
        <f t="shared" si="104"/>
        <v>787</v>
      </c>
      <c r="B798" s="3">
        <f t="shared" ca="1" si="107"/>
        <v>124500</v>
      </c>
      <c r="C798" s="26">
        <f t="shared" ca="1" si="108"/>
        <v>0.81026551820820514</v>
      </c>
      <c r="D798" s="26" t="str">
        <f t="shared" ca="1" si="106"/>
        <v>Win</v>
      </c>
      <c r="E798" s="3">
        <f t="shared" ca="1" si="109"/>
        <v>500</v>
      </c>
      <c r="F798" s="42">
        <f t="shared" si="105"/>
        <v>1.9101915840603859E-73</v>
      </c>
      <c r="G798" s="41">
        <f>SUM(F$11:F798)</f>
        <v>0.99999999999999989</v>
      </c>
    </row>
    <row r="799" spans="1:7" x14ac:dyDescent="0.25">
      <c r="A799" s="1">
        <f t="shared" si="104"/>
        <v>788</v>
      </c>
      <c r="B799" s="3">
        <f t="shared" ca="1" si="107"/>
        <v>125000</v>
      </c>
      <c r="C799" s="26">
        <f t="shared" ca="1" si="108"/>
        <v>0.63236374336724588</v>
      </c>
      <c r="D799" s="26" t="str">
        <f t="shared" ca="1" si="106"/>
        <v>Win</v>
      </c>
      <c r="E799" s="3">
        <f t="shared" ca="1" si="109"/>
        <v>500</v>
      </c>
      <c r="F799" s="42">
        <f t="shared" si="105"/>
        <v>5.3740834915693105E-74</v>
      </c>
      <c r="G799" s="41">
        <f>SUM(F$11:F799)</f>
        <v>0.99999999999999989</v>
      </c>
    </row>
    <row r="800" spans="1:7" x14ac:dyDescent="0.25">
      <c r="A800" s="1">
        <f t="shared" si="104"/>
        <v>789</v>
      </c>
      <c r="B800" s="3">
        <f t="shared" ca="1" si="107"/>
        <v>124500</v>
      </c>
      <c r="C800" s="26">
        <f t="shared" ca="1" si="108"/>
        <v>2.3503620323813146E-2</v>
      </c>
      <c r="D800" s="26" t="str">
        <f t="shared" ca="1" si="106"/>
        <v>Lose</v>
      </c>
      <c r="E800" s="3">
        <f t="shared" ca="1" si="109"/>
        <v>-500</v>
      </c>
      <c r="F800" s="42">
        <f t="shared" si="105"/>
        <v>1.5029251884547573E-74</v>
      </c>
      <c r="G800" s="41">
        <f>SUM(F$11:F800)</f>
        <v>0.99999999999999989</v>
      </c>
    </row>
    <row r="801" spans="1:7" x14ac:dyDescent="0.25">
      <c r="A801" s="1">
        <f t="shared" si="104"/>
        <v>790</v>
      </c>
      <c r="B801" s="3">
        <f t="shared" ca="1" si="107"/>
        <v>125000</v>
      </c>
      <c r="C801" s="26">
        <f t="shared" ca="1" si="108"/>
        <v>0.70730761396040298</v>
      </c>
      <c r="D801" s="26" t="str">
        <f t="shared" ca="1" si="106"/>
        <v>Win</v>
      </c>
      <c r="E801" s="3">
        <f t="shared" ca="1" si="109"/>
        <v>500</v>
      </c>
      <c r="F801" s="42">
        <f t="shared" si="105"/>
        <v>4.1779844879775635E-75</v>
      </c>
      <c r="G801" s="41">
        <f>SUM(F$11:F801)</f>
        <v>0.99999999999999989</v>
      </c>
    </row>
    <row r="802" spans="1:7" x14ac:dyDescent="0.25">
      <c r="A802" s="1">
        <f t="shared" si="104"/>
        <v>791</v>
      </c>
      <c r="B802" s="3">
        <f t="shared" ca="1" si="107"/>
        <v>125500</v>
      </c>
      <c r="C802" s="26">
        <f t="shared" ca="1" si="108"/>
        <v>0.5332911561634871</v>
      </c>
      <c r="D802" s="26" t="str">
        <f t="shared" ca="1" si="106"/>
        <v>Win</v>
      </c>
      <c r="E802" s="3">
        <f t="shared" ca="1" si="109"/>
        <v>500</v>
      </c>
      <c r="F802" s="42">
        <f t="shared" si="105"/>
        <v>1.1544728673660766E-75</v>
      </c>
      <c r="G802" s="41">
        <f>SUM(F$11:F802)</f>
        <v>0.99999999999999989</v>
      </c>
    </row>
    <row r="803" spans="1:7" x14ac:dyDescent="0.25">
      <c r="A803" s="1">
        <f t="shared" si="104"/>
        <v>792</v>
      </c>
      <c r="B803" s="3">
        <f t="shared" ca="1" si="107"/>
        <v>125000</v>
      </c>
      <c r="C803" s="26">
        <f t="shared" ca="1" si="108"/>
        <v>0.40253445461524684</v>
      </c>
      <c r="D803" s="26" t="str">
        <f t="shared" ca="1" si="106"/>
        <v>Lose</v>
      </c>
      <c r="E803" s="3">
        <f t="shared" ca="1" si="109"/>
        <v>-500</v>
      </c>
      <c r="F803" s="42">
        <f t="shared" si="105"/>
        <v>3.1708736067962181E-76</v>
      </c>
      <c r="G803" s="41">
        <f>SUM(F$11:F803)</f>
        <v>0.99999999999999989</v>
      </c>
    </row>
    <row r="804" spans="1:7" x14ac:dyDescent="0.25">
      <c r="A804" s="1">
        <f t="shared" si="104"/>
        <v>793</v>
      </c>
      <c r="B804" s="3">
        <f t="shared" ca="1" si="107"/>
        <v>125500</v>
      </c>
      <c r="C804" s="26">
        <f t="shared" ca="1" si="108"/>
        <v>0.79594735518386461</v>
      </c>
      <c r="D804" s="26" t="str">
        <f t="shared" ca="1" si="106"/>
        <v>Win</v>
      </c>
      <c r="E804" s="3">
        <f t="shared" ca="1" si="109"/>
        <v>500</v>
      </c>
      <c r="F804" s="42">
        <f t="shared" si="105"/>
        <v>8.6565167719833158E-77</v>
      </c>
      <c r="G804" s="41">
        <f>SUM(F$11:F804)</f>
        <v>0.99999999999999989</v>
      </c>
    </row>
    <row r="805" spans="1:7" x14ac:dyDescent="0.25">
      <c r="A805" s="1">
        <f t="shared" si="104"/>
        <v>794</v>
      </c>
      <c r="B805" s="3">
        <f t="shared" ca="1" si="107"/>
        <v>126000</v>
      </c>
      <c r="C805" s="26">
        <f t="shared" ca="1" si="108"/>
        <v>0.73166132255018068</v>
      </c>
      <c r="D805" s="26" t="str">
        <f t="shared" ca="1" si="106"/>
        <v>Win</v>
      </c>
      <c r="E805" s="3">
        <f t="shared" ca="1" si="109"/>
        <v>500</v>
      </c>
      <c r="F805" s="42">
        <f t="shared" si="105"/>
        <v>2.3489139865785764E-77</v>
      </c>
      <c r="G805" s="41">
        <f>SUM(F$11:F805)</f>
        <v>0.99999999999999989</v>
      </c>
    </row>
    <row r="806" spans="1:7" x14ac:dyDescent="0.25">
      <c r="A806" s="1">
        <f t="shared" si="104"/>
        <v>795</v>
      </c>
      <c r="B806" s="3">
        <f t="shared" ca="1" si="107"/>
        <v>125500</v>
      </c>
      <c r="C806" s="26">
        <f t="shared" ca="1" si="108"/>
        <v>0.11006323359517622</v>
      </c>
      <c r="D806" s="26" t="str">
        <f t="shared" ca="1" si="106"/>
        <v>Lose</v>
      </c>
      <c r="E806" s="3">
        <f t="shared" ca="1" si="109"/>
        <v>-500</v>
      </c>
      <c r="F806" s="42">
        <f t="shared" si="105"/>
        <v>6.3349224343457817E-78</v>
      </c>
      <c r="G806" s="41">
        <f>SUM(F$11:F806)</f>
        <v>0.99999999999999989</v>
      </c>
    </row>
    <row r="807" spans="1:7" x14ac:dyDescent="0.25">
      <c r="A807" s="1">
        <f t="shared" si="104"/>
        <v>796</v>
      </c>
      <c r="B807" s="3">
        <f t="shared" ca="1" si="107"/>
        <v>125000</v>
      </c>
      <c r="C807" s="26">
        <f t="shared" ca="1" si="108"/>
        <v>0.42763026251299685</v>
      </c>
      <c r="D807" s="26" t="str">
        <f t="shared" ca="1" si="106"/>
        <v>Lose</v>
      </c>
      <c r="E807" s="3">
        <f t="shared" ca="1" si="109"/>
        <v>-500</v>
      </c>
      <c r="F807" s="42">
        <f t="shared" si="105"/>
        <v>1.6980723528634889E-78</v>
      </c>
      <c r="G807" s="41">
        <f>SUM(F$11:F807)</f>
        <v>0.99999999999999989</v>
      </c>
    </row>
    <row r="808" spans="1:7" x14ac:dyDescent="0.25">
      <c r="A808" s="1">
        <f t="shared" si="104"/>
        <v>797</v>
      </c>
      <c r="B808" s="3">
        <f t="shared" ca="1" si="107"/>
        <v>124500</v>
      </c>
      <c r="C808" s="26">
        <f t="shared" ca="1" si="108"/>
        <v>0.39933422456606615</v>
      </c>
      <c r="D808" s="26" t="str">
        <f t="shared" ca="1" si="106"/>
        <v>Lose</v>
      </c>
      <c r="E808" s="3">
        <f t="shared" ca="1" si="109"/>
        <v>-500</v>
      </c>
      <c r="F808" s="42">
        <f t="shared" si="105"/>
        <v>4.5237868433131803E-79</v>
      </c>
      <c r="G808" s="41">
        <f>SUM(F$11:F808)</f>
        <v>0.99999999999999989</v>
      </c>
    </row>
    <row r="809" spans="1:7" x14ac:dyDescent="0.25">
      <c r="A809" s="1">
        <f t="shared" si="104"/>
        <v>798</v>
      </c>
      <c r="B809" s="3">
        <f t="shared" ca="1" si="107"/>
        <v>124000</v>
      </c>
      <c r="C809" s="26">
        <f t="shared" ca="1" si="108"/>
        <v>0.19377499994375924</v>
      </c>
      <c r="D809" s="26" t="str">
        <f t="shared" ca="1" si="106"/>
        <v>Lose</v>
      </c>
      <c r="E809" s="3">
        <f t="shared" ca="1" si="109"/>
        <v>-500</v>
      </c>
      <c r="F809" s="42">
        <f t="shared" si="105"/>
        <v>1.1977588151200221E-79</v>
      </c>
      <c r="G809" s="41">
        <f>SUM(F$11:F809)</f>
        <v>0.99999999999999989</v>
      </c>
    </row>
    <row r="810" spans="1:7" x14ac:dyDescent="0.25">
      <c r="A810" s="1">
        <f t="shared" si="104"/>
        <v>799</v>
      </c>
      <c r="B810" s="3">
        <f t="shared" ca="1" si="107"/>
        <v>123500</v>
      </c>
      <c r="C810" s="26">
        <f t="shared" ca="1" si="108"/>
        <v>0.37308476897561238</v>
      </c>
      <c r="D810" s="26" t="str">
        <f t="shared" ca="1" si="106"/>
        <v>Lose</v>
      </c>
      <c r="E810" s="3">
        <f t="shared" ca="1" si="109"/>
        <v>-500</v>
      </c>
      <c r="F810" s="42">
        <f t="shared" si="105"/>
        <v>3.1517231522481708E-80</v>
      </c>
      <c r="G810" s="41">
        <f>SUM(F$11:F810)</f>
        <v>0.99999999999999989</v>
      </c>
    </row>
    <row r="811" spans="1:7" x14ac:dyDescent="0.25">
      <c r="A811" s="1">
        <f t="shared" si="104"/>
        <v>800</v>
      </c>
      <c r="B811" s="3">
        <f t="shared" ca="1" si="107"/>
        <v>123000</v>
      </c>
      <c r="C811" s="26">
        <f t="shared" ca="1" si="108"/>
        <v>0.31033992074730565</v>
      </c>
      <c r="D811" s="26" t="str">
        <f t="shared" ca="1" si="106"/>
        <v>Lose</v>
      </c>
      <c r="E811" s="3">
        <f t="shared" ca="1" si="109"/>
        <v>-500</v>
      </c>
      <c r="F811" s="42">
        <f t="shared" si="105"/>
        <v>8.241916845330599E-81</v>
      </c>
      <c r="G811" s="41">
        <f>SUM(F$11:F811)</f>
        <v>0.99999999999999989</v>
      </c>
    </row>
    <row r="812" spans="1:7" x14ac:dyDescent="0.25">
      <c r="A812" s="1">
        <f t="shared" si="104"/>
        <v>801</v>
      </c>
      <c r="B812" s="3">
        <f t="shared" ca="1" si="107"/>
        <v>123500</v>
      </c>
      <c r="C812" s="26">
        <f t="shared" ca="1" si="108"/>
        <v>0.89340427069641271</v>
      </c>
      <c r="D812" s="26" t="str">
        <f t="shared" ca="1" si="106"/>
        <v>Win</v>
      </c>
      <c r="E812" s="3">
        <f t="shared" ca="1" si="109"/>
        <v>500</v>
      </c>
      <c r="F812" s="42">
        <f t="shared" si="105"/>
        <v>2.1419030248508254E-81</v>
      </c>
      <c r="G812" s="41">
        <f>SUM(F$11:F812)</f>
        <v>0.99999999999999989</v>
      </c>
    </row>
    <row r="813" spans="1:7" x14ac:dyDescent="0.25">
      <c r="A813" s="1">
        <f t="shared" si="104"/>
        <v>802</v>
      </c>
      <c r="B813" s="3">
        <f t="shared" ca="1" si="107"/>
        <v>123000</v>
      </c>
      <c r="C813" s="26">
        <f t="shared" ca="1" si="108"/>
        <v>0.16968994756087141</v>
      </c>
      <c r="D813" s="26" t="str">
        <f t="shared" ca="1" si="106"/>
        <v>Lose</v>
      </c>
      <c r="E813" s="3">
        <f t="shared" ca="1" si="109"/>
        <v>-500</v>
      </c>
      <c r="F813" s="42">
        <f t="shared" si="105"/>
        <v>5.5316234411958953E-82</v>
      </c>
      <c r="G813" s="41">
        <f>SUM(F$11:F813)</f>
        <v>0.99999999999999989</v>
      </c>
    </row>
    <row r="814" spans="1:7" x14ac:dyDescent="0.25">
      <c r="A814" s="1">
        <f t="shared" si="104"/>
        <v>803</v>
      </c>
      <c r="B814" s="3">
        <f t="shared" ca="1" si="107"/>
        <v>122500</v>
      </c>
      <c r="C814" s="26">
        <f t="shared" ca="1" si="108"/>
        <v>0.3584666172456612</v>
      </c>
      <c r="D814" s="26" t="str">
        <f t="shared" ca="1" si="106"/>
        <v>Lose</v>
      </c>
      <c r="E814" s="3">
        <f t="shared" ca="1" si="109"/>
        <v>-500</v>
      </c>
      <c r="F814" s="42">
        <f t="shared" si="105"/>
        <v>1.4196338605025808E-82</v>
      </c>
      <c r="G814" s="41">
        <f>SUM(F$11:F814)</f>
        <v>0.99999999999999989</v>
      </c>
    </row>
    <row r="815" spans="1:7" x14ac:dyDescent="0.25">
      <c r="A815" s="1">
        <f t="shared" si="104"/>
        <v>804</v>
      </c>
      <c r="B815" s="3">
        <f t="shared" ca="1" si="107"/>
        <v>122000</v>
      </c>
      <c r="C815" s="26">
        <f t="shared" ca="1" si="108"/>
        <v>0.14708176153456287</v>
      </c>
      <c r="D815" s="26" t="str">
        <f t="shared" ca="1" si="106"/>
        <v>Lose</v>
      </c>
      <c r="E815" s="3">
        <f t="shared" ca="1" si="109"/>
        <v>-500</v>
      </c>
      <c r="F815" s="42">
        <f t="shared" si="105"/>
        <v>3.6204339010226606E-83</v>
      </c>
      <c r="G815" s="41">
        <f>SUM(F$11:F815)</f>
        <v>0.99999999999999989</v>
      </c>
    </row>
    <row r="816" spans="1:7" x14ac:dyDescent="0.25">
      <c r="A816" s="1">
        <f t="shared" si="104"/>
        <v>805</v>
      </c>
      <c r="B816" s="3">
        <f t="shared" ca="1" si="107"/>
        <v>121500</v>
      </c>
      <c r="C816" s="26">
        <f t="shared" ca="1" si="108"/>
        <v>9.2416826497335069E-2</v>
      </c>
      <c r="D816" s="26" t="str">
        <f t="shared" ca="1" si="106"/>
        <v>Lose</v>
      </c>
      <c r="E816" s="3">
        <f t="shared" ca="1" si="109"/>
        <v>-500</v>
      </c>
      <c r="F816" s="42">
        <f t="shared" si="105"/>
        <v>9.1747641715359424E-84</v>
      </c>
      <c r="G816" s="41">
        <f>SUM(F$11:F816)</f>
        <v>0.99999999999999989</v>
      </c>
    </row>
    <row r="817" spans="1:7" x14ac:dyDescent="0.25">
      <c r="A817" s="1">
        <f t="shared" si="104"/>
        <v>806</v>
      </c>
      <c r="B817" s="3">
        <f t="shared" ca="1" si="107"/>
        <v>122000</v>
      </c>
      <c r="C817" s="26">
        <f t="shared" ca="1" si="108"/>
        <v>0.54016209489002354</v>
      </c>
      <c r="D817" s="26" t="str">
        <f t="shared" ca="1" si="106"/>
        <v>Win</v>
      </c>
      <c r="E817" s="3">
        <f t="shared" ca="1" si="109"/>
        <v>500</v>
      </c>
      <c r="F817" s="42">
        <f t="shared" si="105"/>
        <v>2.3103010504363636E-84</v>
      </c>
      <c r="G817" s="41">
        <f>SUM(F$11:F817)</f>
        <v>0.99999999999999989</v>
      </c>
    </row>
    <row r="818" spans="1:7" x14ac:dyDescent="0.25">
      <c r="A818" s="1">
        <f t="shared" si="104"/>
        <v>807</v>
      </c>
      <c r="B818" s="3">
        <f t="shared" ca="1" si="107"/>
        <v>121500</v>
      </c>
      <c r="C818" s="26">
        <f t="shared" ca="1" si="108"/>
        <v>0.26360391839028796</v>
      </c>
      <c r="D818" s="26" t="str">
        <f t="shared" ca="1" si="106"/>
        <v>Lose</v>
      </c>
      <c r="E818" s="3">
        <f t="shared" ca="1" si="109"/>
        <v>-500</v>
      </c>
      <c r="F818" s="42">
        <f t="shared" si="105"/>
        <v>5.7805726912516021E-85</v>
      </c>
      <c r="G818" s="41">
        <f>SUM(F$11:F818)</f>
        <v>0.99999999999999989</v>
      </c>
    </row>
    <row r="819" spans="1:7" x14ac:dyDescent="0.25">
      <c r="A819" s="1">
        <f t="shared" si="104"/>
        <v>808</v>
      </c>
      <c r="B819" s="3">
        <f t="shared" ca="1" si="107"/>
        <v>122000</v>
      </c>
      <c r="C819" s="26">
        <f t="shared" ca="1" si="108"/>
        <v>0.98458517779620092</v>
      </c>
      <c r="D819" s="26" t="str">
        <f t="shared" ca="1" si="106"/>
        <v>Win</v>
      </c>
      <c r="E819" s="3">
        <f t="shared" ca="1" si="109"/>
        <v>500</v>
      </c>
      <c r="F819" s="42">
        <f t="shared" si="105"/>
        <v>1.4371129773688837E-85</v>
      </c>
      <c r="G819" s="41">
        <f>SUM(F$11:F819)</f>
        <v>0.99999999999999989</v>
      </c>
    </row>
    <row r="820" spans="1:7" x14ac:dyDescent="0.25">
      <c r="A820" s="1">
        <f t="shared" si="104"/>
        <v>809</v>
      </c>
      <c r="B820" s="3">
        <f t="shared" ca="1" si="107"/>
        <v>121500</v>
      </c>
      <c r="C820" s="26">
        <f t="shared" ca="1" si="108"/>
        <v>0.36139151733636132</v>
      </c>
      <c r="D820" s="26" t="str">
        <f t="shared" ca="1" si="106"/>
        <v>Lose</v>
      </c>
      <c r="E820" s="3">
        <f t="shared" ca="1" si="109"/>
        <v>-500</v>
      </c>
      <c r="F820" s="42">
        <f t="shared" si="105"/>
        <v>3.5499130381160648E-86</v>
      </c>
      <c r="G820" s="41">
        <f>SUM(F$11:F820)</f>
        <v>0.99999999999999989</v>
      </c>
    </row>
    <row r="821" spans="1:7" x14ac:dyDescent="0.25">
      <c r="A821" s="1">
        <f t="shared" si="104"/>
        <v>810</v>
      </c>
      <c r="B821" s="3">
        <f t="shared" ca="1" si="107"/>
        <v>122000</v>
      </c>
      <c r="C821" s="26">
        <f t="shared" ca="1" si="108"/>
        <v>0.59667806001306578</v>
      </c>
      <c r="D821" s="26" t="str">
        <f t="shared" ca="1" si="106"/>
        <v>Win</v>
      </c>
      <c r="E821" s="3">
        <f t="shared" ca="1" si="109"/>
        <v>500</v>
      </c>
      <c r="F821" s="42">
        <f t="shared" si="105"/>
        <v>8.7124471918090219E-87</v>
      </c>
      <c r="G821" s="41">
        <f>SUM(F$11:F821)</f>
        <v>0.99999999999999989</v>
      </c>
    </row>
    <row r="822" spans="1:7" x14ac:dyDescent="0.25">
      <c r="A822" s="1">
        <f t="shared" si="104"/>
        <v>811</v>
      </c>
      <c r="B822" s="3">
        <f t="shared" ca="1" si="107"/>
        <v>122500</v>
      </c>
      <c r="C822" s="26">
        <f t="shared" ca="1" si="108"/>
        <v>0.92161616775074073</v>
      </c>
      <c r="D822" s="26" t="str">
        <f t="shared" ca="1" si="106"/>
        <v>Win</v>
      </c>
      <c r="E822" s="3">
        <f t="shared" ca="1" si="109"/>
        <v>500</v>
      </c>
      <c r="F822" s="42">
        <f t="shared" si="105"/>
        <v>2.1244523840214397E-87</v>
      </c>
      <c r="G822" s="41">
        <f>SUM(F$11:F822)</f>
        <v>0.99999999999999989</v>
      </c>
    </row>
    <row r="823" spans="1:7" x14ac:dyDescent="0.25">
      <c r="A823" s="1">
        <f t="shared" si="104"/>
        <v>812</v>
      </c>
      <c r="B823" s="3">
        <f t="shared" ca="1" si="107"/>
        <v>123000</v>
      </c>
      <c r="C823" s="26">
        <f t="shared" ca="1" si="108"/>
        <v>0.83871737360320764</v>
      </c>
      <c r="D823" s="26" t="str">
        <f t="shared" ca="1" si="106"/>
        <v>Win</v>
      </c>
      <c r="E823" s="3">
        <f t="shared" ca="1" si="109"/>
        <v>500</v>
      </c>
      <c r="F823" s="42">
        <f t="shared" si="105"/>
        <v>5.1466765179408608E-88</v>
      </c>
      <c r="G823" s="41">
        <f>SUM(F$11:F823)</f>
        <v>0.99999999999999989</v>
      </c>
    </row>
    <row r="824" spans="1:7" x14ac:dyDescent="0.25">
      <c r="A824" s="1">
        <f t="shared" si="104"/>
        <v>813</v>
      </c>
      <c r="B824" s="3">
        <f t="shared" ca="1" si="107"/>
        <v>123500</v>
      </c>
      <c r="C824" s="26">
        <f t="shared" ca="1" si="108"/>
        <v>0.85812530745808524</v>
      </c>
      <c r="D824" s="26" t="str">
        <f t="shared" ca="1" si="106"/>
        <v>Win</v>
      </c>
      <c r="E824" s="3">
        <f t="shared" ca="1" si="109"/>
        <v>500</v>
      </c>
      <c r="F824" s="42">
        <f t="shared" si="105"/>
        <v>1.2387060886615849E-88</v>
      </c>
      <c r="G824" s="41">
        <f>SUM(F$11:F824)</f>
        <v>0.99999999999999989</v>
      </c>
    </row>
    <row r="825" spans="1:7" x14ac:dyDescent="0.25">
      <c r="A825" s="1">
        <f t="shared" si="104"/>
        <v>814</v>
      </c>
      <c r="B825" s="3">
        <f t="shared" ca="1" si="107"/>
        <v>124000</v>
      </c>
      <c r="C825" s="26">
        <f t="shared" ca="1" si="108"/>
        <v>0.83749963637588765</v>
      </c>
      <c r="D825" s="26" t="str">
        <f t="shared" ca="1" si="106"/>
        <v>Win</v>
      </c>
      <c r="E825" s="3">
        <f t="shared" ca="1" si="109"/>
        <v>500</v>
      </c>
      <c r="F825" s="42">
        <f t="shared" si="105"/>
        <v>2.9618261965515797E-89</v>
      </c>
      <c r="G825" s="41">
        <f>SUM(F$11:F825)</f>
        <v>0.99999999999999989</v>
      </c>
    </row>
    <row r="826" spans="1:7" x14ac:dyDescent="0.25">
      <c r="A826" s="1">
        <f t="shared" si="104"/>
        <v>815</v>
      </c>
      <c r="B826" s="3">
        <f t="shared" ca="1" si="107"/>
        <v>124500</v>
      </c>
      <c r="C826" s="26">
        <f t="shared" ca="1" si="108"/>
        <v>0.52238270982365109</v>
      </c>
      <c r="D826" s="26" t="str">
        <f t="shared" ca="1" si="106"/>
        <v>Win</v>
      </c>
      <c r="E826" s="3">
        <f t="shared" ca="1" si="109"/>
        <v>500</v>
      </c>
      <c r="F826" s="42">
        <f t="shared" si="105"/>
        <v>7.0354033555749113E-90</v>
      </c>
      <c r="G826" s="41">
        <f>SUM(F$11:F826)</f>
        <v>0.99999999999999989</v>
      </c>
    </row>
    <row r="827" spans="1:7" x14ac:dyDescent="0.25">
      <c r="A827" s="1">
        <f t="shared" si="104"/>
        <v>816</v>
      </c>
      <c r="B827" s="3">
        <f t="shared" ca="1" si="107"/>
        <v>124000</v>
      </c>
      <c r="C827" s="26">
        <f t="shared" ca="1" si="108"/>
        <v>1.3538233866581262E-3</v>
      </c>
      <c r="D827" s="26" t="str">
        <f t="shared" ca="1" si="106"/>
        <v>Lose</v>
      </c>
      <c r="E827" s="3">
        <f t="shared" ca="1" si="109"/>
        <v>-500</v>
      </c>
      <c r="F827" s="42">
        <f t="shared" si="105"/>
        <v>1.6601398224251504E-90</v>
      </c>
      <c r="G827" s="41">
        <f>SUM(F$11:F827)</f>
        <v>0.99999999999999989</v>
      </c>
    </row>
    <row r="828" spans="1:7" x14ac:dyDescent="0.25">
      <c r="A828" s="1">
        <f t="shared" ref="A828:A891" si="110">A827+1</f>
        <v>817</v>
      </c>
      <c r="B828" s="3">
        <f t="shared" ca="1" si="107"/>
        <v>124500</v>
      </c>
      <c r="C828" s="26">
        <f t="shared" ca="1" si="108"/>
        <v>0.76991148566848577</v>
      </c>
      <c r="D828" s="26" t="str">
        <f t="shared" ca="1" si="106"/>
        <v>Win</v>
      </c>
      <c r="E828" s="3">
        <f t="shared" ca="1" si="109"/>
        <v>500</v>
      </c>
      <c r="F828" s="42">
        <f t="shared" si="105"/>
        <v>3.891477554427188E-91</v>
      </c>
      <c r="G828" s="41">
        <f>SUM(F$11:F828)</f>
        <v>0.99999999999999989</v>
      </c>
    </row>
    <row r="829" spans="1:7" x14ac:dyDescent="0.25">
      <c r="A829" s="1">
        <f t="shared" si="110"/>
        <v>818</v>
      </c>
      <c r="B829" s="3">
        <f t="shared" ca="1" si="107"/>
        <v>124000</v>
      </c>
      <c r="C829" s="26">
        <f t="shared" ca="1" si="108"/>
        <v>8.344219537057429E-2</v>
      </c>
      <c r="D829" s="26" t="str">
        <f t="shared" ca="1" si="106"/>
        <v>Lose</v>
      </c>
      <c r="E829" s="3">
        <f t="shared" ca="1" si="109"/>
        <v>-500</v>
      </c>
      <c r="F829" s="42">
        <f t="shared" si="105"/>
        <v>9.0612145141130022E-92</v>
      </c>
      <c r="G829" s="41">
        <f>SUM(F$11:F829)</f>
        <v>0.99999999999999989</v>
      </c>
    </row>
    <row r="830" spans="1:7" x14ac:dyDescent="0.25">
      <c r="A830" s="1">
        <f t="shared" si="110"/>
        <v>819</v>
      </c>
      <c r="B830" s="3">
        <f t="shared" ca="1" si="107"/>
        <v>124500</v>
      </c>
      <c r="C830" s="26">
        <f t="shared" ca="1" si="108"/>
        <v>0.5478340727399551</v>
      </c>
      <c r="D830" s="26" t="str">
        <f t="shared" ca="1" si="106"/>
        <v>Win</v>
      </c>
      <c r="E830" s="3">
        <f t="shared" ca="1" si="109"/>
        <v>500</v>
      </c>
      <c r="F830" s="42">
        <f t="shared" si="105"/>
        <v>2.0957911121078252E-92</v>
      </c>
      <c r="G830" s="41">
        <f>SUM(F$11:F830)</f>
        <v>0.99999999999999989</v>
      </c>
    </row>
    <row r="831" spans="1:7" x14ac:dyDescent="0.25">
      <c r="A831" s="1">
        <f t="shared" si="110"/>
        <v>820</v>
      </c>
      <c r="B831" s="3">
        <f t="shared" ca="1" si="107"/>
        <v>124000</v>
      </c>
      <c r="C831" s="26">
        <f t="shared" ca="1" si="108"/>
        <v>3.2075868859492429E-2</v>
      </c>
      <c r="D831" s="26" t="str">
        <f t="shared" ca="1" si="106"/>
        <v>Lose</v>
      </c>
      <c r="E831" s="3">
        <f t="shared" ca="1" si="109"/>
        <v>-500</v>
      </c>
      <c r="F831" s="42">
        <f t="shared" si="105"/>
        <v>4.8148949118634896E-93</v>
      </c>
      <c r="G831" s="41">
        <f>SUM(F$11:F831)</f>
        <v>0.99999999999999989</v>
      </c>
    </row>
    <row r="832" spans="1:7" x14ac:dyDescent="0.25">
      <c r="A832" s="1">
        <f t="shared" si="110"/>
        <v>821</v>
      </c>
      <c r="B832" s="3">
        <f t="shared" ca="1" si="107"/>
        <v>123500</v>
      </c>
      <c r="C832" s="26">
        <f t="shared" ca="1" si="108"/>
        <v>0.40996045851352259</v>
      </c>
      <c r="D832" s="26" t="str">
        <f t="shared" ca="1" si="106"/>
        <v>Lose</v>
      </c>
      <c r="E832" s="3">
        <f t="shared" ca="1" si="109"/>
        <v>-500</v>
      </c>
      <c r="F832" s="42">
        <f t="shared" si="105"/>
        <v>1.0987281635364126E-93</v>
      </c>
      <c r="G832" s="41">
        <f>SUM(F$11:F832)</f>
        <v>0.99999999999999989</v>
      </c>
    </row>
    <row r="833" spans="1:7" x14ac:dyDescent="0.25">
      <c r="A833" s="1">
        <f t="shared" si="110"/>
        <v>822</v>
      </c>
      <c r="B833" s="3">
        <f t="shared" ca="1" si="107"/>
        <v>123000</v>
      </c>
      <c r="C833" s="26">
        <f t="shared" ca="1" si="108"/>
        <v>5.5457540856890253E-2</v>
      </c>
      <c r="D833" s="26" t="str">
        <f t="shared" ca="1" si="106"/>
        <v>Lose</v>
      </c>
      <c r="E833" s="3">
        <f t="shared" ca="1" si="109"/>
        <v>-500</v>
      </c>
      <c r="F833" s="42">
        <f t="shared" si="105"/>
        <v>2.4902650094154478E-94</v>
      </c>
      <c r="G833" s="41">
        <f>SUM(F$11:F833)</f>
        <v>0.99999999999999989</v>
      </c>
    </row>
    <row r="834" spans="1:7" x14ac:dyDescent="0.25">
      <c r="A834" s="1">
        <f t="shared" si="110"/>
        <v>823</v>
      </c>
      <c r="B834" s="3">
        <f t="shared" ca="1" si="107"/>
        <v>123500</v>
      </c>
      <c r="C834" s="26">
        <f t="shared" ca="1" si="108"/>
        <v>0.78450511705519577</v>
      </c>
      <c r="D834" s="26" t="str">
        <f t="shared" ca="1" si="106"/>
        <v>Win</v>
      </c>
      <c r="E834" s="3">
        <f t="shared" ca="1" si="109"/>
        <v>500</v>
      </c>
      <c r="F834" s="42">
        <f t="shared" si="105"/>
        <v>5.6058287885225252E-95</v>
      </c>
      <c r="G834" s="41">
        <f>SUM(F$11:F834)</f>
        <v>0.99999999999999989</v>
      </c>
    </row>
    <row r="835" spans="1:7" x14ac:dyDescent="0.25">
      <c r="A835" s="1">
        <f t="shared" si="110"/>
        <v>824</v>
      </c>
      <c r="B835" s="3">
        <f t="shared" ca="1" si="107"/>
        <v>123000</v>
      </c>
      <c r="C835" s="26">
        <f t="shared" ca="1" si="108"/>
        <v>7.5532972489244399E-2</v>
      </c>
      <c r="D835" s="26" t="str">
        <f t="shared" ca="1" si="106"/>
        <v>Lose</v>
      </c>
      <c r="E835" s="3">
        <f t="shared" ca="1" si="109"/>
        <v>-500</v>
      </c>
      <c r="F835" s="42">
        <f t="shared" si="105"/>
        <v>1.2533142578262389E-95</v>
      </c>
      <c r="G835" s="41">
        <f>SUM(F$11:F835)</f>
        <v>0.99999999999999989</v>
      </c>
    </row>
    <row r="836" spans="1:7" x14ac:dyDescent="0.25">
      <c r="A836" s="1">
        <f t="shared" si="110"/>
        <v>825</v>
      </c>
      <c r="B836" s="3">
        <f t="shared" ca="1" si="107"/>
        <v>122500</v>
      </c>
      <c r="C836" s="26">
        <f t="shared" ca="1" si="108"/>
        <v>5.7154021083297479E-2</v>
      </c>
      <c r="D836" s="26" t="str">
        <f t="shared" ca="1" si="106"/>
        <v>Lose</v>
      </c>
      <c r="E836" s="3">
        <f t="shared" ca="1" si="109"/>
        <v>-500</v>
      </c>
      <c r="F836" s="42">
        <f t="shared" si="105"/>
        <v>2.7828692092140837E-96</v>
      </c>
      <c r="G836" s="41">
        <f>SUM(F$11:F836)</f>
        <v>0.99999999999999989</v>
      </c>
    </row>
    <row r="837" spans="1:7" x14ac:dyDescent="0.25">
      <c r="A837" s="1">
        <f t="shared" si="110"/>
        <v>826</v>
      </c>
      <c r="B837" s="3">
        <f t="shared" ca="1" si="107"/>
        <v>122000</v>
      </c>
      <c r="C837" s="26">
        <f t="shared" ca="1" si="108"/>
        <v>0.17880599926239327</v>
      </c>
      <c r="D837" s="26" t="str">
        <f t="shared" ca="1" si="106"/>
        <v>Lose</v>
      </c>
      <c r="E837" s="3">
        <f t="shared" ca="1" si="109"/>
        <v>-500</v>
      </c>
      <c r="F837" s="42">
        <f t="shared" si="105"/>
        <v>6.1365587024355266E-97</v>
      </c>
      <c r="G837" s="41">
        <f>SUM(F$11:F837)</f>
        <v>0.99999999999999989</v>
      </c>
    </row>
    <row r="838" spans="1:7" x14ac:dyDescent="0.25">
      <c r="A838" s="1">
        <f t="shared" si="110"/>
        <v>827</v>
      </c>
      <c r="B838" s="3">
        <f t="shared" ca="1" si="107"/>
        <v>122500</v>
      </c>
      <c r="C838" s="26">
        <f t="shared" ca="1" si="108"/>
        <v>0.94944098713815062</v>
      </c>
      <c r="D838" s="26" t="str">
        <f t="shared" ca="1" si="106"/>
        <v>Win</v>
      </c>
      <c r="E838" s="3">
        <f t="shared" ca="1" si="109"/>
        <v>500</v>
      </c>
      <c r="F838" s="42">
        <f t="shared" si="105"/>
        <v>1.3438250357922707E-97</v>
      </c>
      <c r="G838" s="41">
        <f>SUM(F$11:F838)</f>
        <v>0.99999999999999989</v>
      </c>
    </row>
    <row r="839" spans="1:7" x14ac:dyDescent="0.25">
      <c r="A839" s="1">
        <f t="shared" si="110"/>
        <v>828</v>
      </c>
      <c r="B839" s="3">
        <f t="shared" ca="1" si="107"/>
        <v>122000</v>
      </c>
      <c r="C839" s="26">
        <f t="shared" ca="1" si="108"/>
        <v>0.29750608732545136</v>
      </c>
      <c r="D839" s="26" t="str">
        <f t="shared" ca="1" si="106"/>
        <v>Lose</v>
      </c>
      <c r="E839" s="3">
        <f t="shared" ca="1" si="109"/>
        <v>-500</v>
      </c>
      <c r="F839" s="42">
        <f t="shared" si="105"/>
        <v>2.922352432908229E-98</v>
      </c>
      <c r="G839" s="41">
        <f>SUM(F$11:F839)</f>
        <v>0.99999999999999989</v>
      </c>
    </row>
    <row r="840" spans="1:7" x14ac:dyDescent="0.25">
      <c r="A840" s="1">
        <f t="shared" si="110"/>
        <v>829</v>
      </c>
      <c r="B840" s="3">
        <f t="shared" ca="1" si="107"/>
        <v>121500</v>
      </c>
      <c r="C840" s="26">
        <f t="shared" ca="1" si="108"/>
        <v>0.27658297213984595</v>
      </c>
      <c r="D840" s="26" t="str">
        <f t="shared" ca="1" si="106"/>
        <v>Lose</v>
      </c>
      <c r="E840" s="3">
        <f t="shared" ca="1" si="109"/>
        <v>-500</v>
      </c>
      <c r="F840" s="42">
        <f t="shared" si="105"/>
        <v>6.3107445758281995E-99</v>
      </c>
      <c r="G840" s="41">
        <f>SUM(F$11:F840)</f>
        <v>0.99999999999999989</v>
      </c>
    </row>
    <row r="841" spans="1:7" x14ac:dyDescent="0.25">
      <c r="A841" s="1">
        <f t="shared" si="110"/>
        <v>830</v>
      </c>
      <c r="B841" s="3">
        <f t="shared" ca="1" si="107"/>
        <v>121000</v>
      </c>
      <c r="C841" s="26">
        <f t="shared" ca="1" si="108"/>
        <v>0.3365896490988709</v>
      </c>
      <c r="D841" s="26" t="str">
        <f t="shared" ca="1" si="106"/>
        <v>Lose</v>
      </c>
      <c r="E841" s="3">
        <f t="shared" ca="1" si="109"/>
        <v>-500</v>
      </c>
      <c r="F841" s="42">
        <f t="shared" si="105"/>
        <v>1.3532334262551419E-99</v>
      </c>
      <c r="G841" s="41">
        <f>SUM(F$11:F841)</f>
        <v>0.99999999999999989</v>
      </c>
    </row>
    <row r="842" spans="1:7" x14ac:dyDescent="0.25">
      <c r="A842" s="1">
        <f t="shared" si="110"/>
        <v>831</v>
      </c>
      <c r="B842" s="3">
        <f t="shared" ca="1" si="107"/>
        <v>120500</v>
      </c>
      <c r="C842" s="26">
        <f t="shared" ca="1" si="108"/>
        <v>0.18241001452117978</v>
      </c>
      <c r="D842" s="26" t="str">
        <f t="shared" ca="1" si="106"/>
        <v>Lose</v>
      </c>
      <c r="E842" s="3">
        <f t="shared" ca="1" si="109"/>
        <v>-500</v>
      </c>
      <c r="F842" s="42">
        <f t="shared" si="105"/>
        <v>2.8813413408069642E-100</v>
      </c>
      <c r="G842" s="41">
        <f>SUM(F$11:F842)</f>
        <v>0.99999999999999989</v>
      </c>
    </row>
    <row r="843" spans="1:7" x14ac:dyDescent="0.25">
      <c r="A843" s="1">
        <f t="shared" si="110"/>
        <v>832</v>
      </c>
      <c r="B843" s="3">
        <f t="shared" ca="1" si="107"/>
        <v>121000</v>
      </c>
      <c r="C843" s="26">
        <f t="shared" ca="1" si="108"/>
        <v>0.58883335018053506</v>
      </c>
      <c r="D843" s="26" t="str">
        <f t="shared" ca="1" si="106"/>
        <v>Win</v>
      </c>
      <c r="E843" s="3">
        <f t="shared" ca="1" si="109"/>
        <v>500</v>
      </c>
      <c r="F843" s="42">
        <f t="shared" si="105"/>
        <v>6.091611316821276E-101</v>
      </c>
      <c r="G843" s="41">
        <f>SUM(F$11:F843)</f>
        <v>0.99999999999999989</v>
      </c>
    </row>
    <row r="844" spans="1:7" x14ac:dyDescent="0.25">
      <c r="A844" s="1">
        <f t="shared" si="110"/>
        <v>833</v>
      </c>
      <c r="B844" s="3">
        <f t="shared" ca="1" si="107"/>
        <v>121500</v>
      </c>
      <c r="C844" s="26">
        <f t="shared" ca="1" si="108"/>
        <v>0.59386229103756827</v>
      </c>
      <c r="D844" s="26" t="str">
        <f t="shared" ca="1" si="106"/>
        <v>Win</v>
      </c>
      <c r="E844" s="3">
        <f t="shared" ca="1" si="109"/>
        <v>500</v>
      </c>
      <c r="F844" s="42">
        <f t="shared" ref="F844:F907" si="111">_xlfn.BINOM.DIST(A844,$A$1011,$B$1,FALSE)</f>
        <v>1.2787055825396949E-101</v>
      </c>
      <c r="G844" s="41">
        <f>SUM(F$11:F844)</f>
        <v>0.99999999999999989</v>
      </c>
    </row>
    <row r="845" spans="1:7" x14ac:dyDescent="0.25">
      <c r="A845" s="1">
        <f t="shared" si="110"/>
        <v>834</v>
      </c>
      <c r="B845" s="3">
        <f t="shared" ca="1" si="107"/>
        <v>121000</v>
      </c>
      <c r="C845" s="26">
        <f t="shared" ca="1" si="108"/>
        <v>0.19832510634532496</v>
      </c>
      <c r="D845" s="26" t="str">
        <f t="shared" ref="D845:D908" ca="1" si="112">IF(C845&gt;$B$2,"Win","Lose")</f>
        <v>Lose</v>
      </c>
      <c r="E845" s="3">
        <f t="shared" ca="1" si="109"/>
        <v>-500</v>
      </c>
      <c r="F845" s="42">
        <f t="shared" si="111"/>
        <v>2.664986895338553E-102</v>
      </c>
      <c r="G845" s="41">
        <f>SUM(F$11:F845)</f>
        <v>0.99999999999999989</v>
      </c>
    </row>
    <row r="846" spans="1:7" x14ac:dyDescent="0.25">
      <c r="A846" s="1">
        <f t="shared" si="110"/>
        <v>835</v>
      </c>
      <c r="B846" s="3">
        <f t="shared" ref="B846:B909" ca="1" si="113">B845+E846</f>
        <v>121500</v>
      </c>
      <c r="C846" s="26">
        <f t="shared" ref="C846:C909" ca="1" si="114">RAND()</f>
        <v>0.67987466838878063</v>
      </c>
      <c r="D846" s="26" t="str">
        <f t="shared" ca="1" si="112"/>
        <v>Win</v>
      </c>
      <c r="E846" s="3">
        <f t="shared" ref="E846:E909" ca="1" si="115">IF(D846="Win",$B$4,-$B$4)</f>
        <v>500</v>
      </c>
      <c r="F846" s="42">
        <f t="shared" si="111"/>
        <v>5.5143050362794048E-103</v>
      </c>
      <c r="G846" s="41">
        <f>SUM(F$11:F846)</f>
        <v>0.99999999999999989</v>
      </c>
    </row>
    <row r="847" spans="1:7" x14ac:dyDescent="0.25">
      <c r="A847" s="1">
        <f t="shared" si="110"/>
        <v>836</v>
      </c>
      <c r="B847" s="3">
        <f t="shared" ca="1" si="113"/>
        <v>122000</v>
      </c>
      <c r="C847" s="26">
        <f t="shared" ca="1" si="114"/>
        <v>0.95857176710127201</v>
      </c>
      <c r="D847" s="26" t="str">
        <f t="shared" ca="1" si="112"/>
        <v>Win</v>
      </c>
      <c r="E847" s="3">
        <f t="shared" ca="1" si="115"/>
        <v>500</v>
      </c>
      <c r="F847" s="42">
        <f t="shared" si="111"/>
        <v>1.1327721140584558E-103</v>
      </c>
      <c r="G847" s="41">
        <f>SUM(F$11:F847)</f>
        <v>0.99999999999999989</v>
      </c>
    </row>
    <row r="848" spans="1:7" x14ac:dyDescent="0.25">
      <c r="A848" s="1">
        <f t="shared" si="110"/>
        <v>837</v>
      </c>
      <c r="B848" s="3">
        <f t="shared" ca="1" si="113"/>
        <v>121500</v>
      </c>
      <c r="C848" s="26">
        <f t="shared" ca="1" si="114"/>
        <v>4.8057932573596918E-2</v>
      </c>
      <c r="D848" s="26" t="str">
        <f t="shared" ca="1" si="112"/>
        <v>Lose</v>
      </c>
      <c r="E848" s="3">
        <f t="shared" ca="1" si="115"/>
        <v>-500</v>
      </c>
      <c r="F848" s="42">
        <f t="shared" si="111"/>
        <v>2.3101226347706389E-104</v>
      </c>
      <c r="G848" s="41">
        <f>SUM(F$11:F848)</f>
        <v>0.99999999999999989</v>
      </c>
    </row>
    <row r="849" spans="1:7" x14ac:dyDescent="0.25">
      <c r="A849" s="1">
        <f t="shared" si="110"/>
        <v>838</v>
      </c>
      <c r="B849" s="3">
        <f t="shared" ca="1" si="113"/>
        <v>122000</v>
      </c>
      <c r="C849" s="26">
        <f t="shared" ca="1" si="114"/>
        <v>0.82533950755898655</v>
      </c>
      <c r="D849" s="26" t="str">
        <f t="shared" ca="1" si="112"/>
        <v>Win</v>
      </c>
      <c r="E849" s="3">
        <f t="shared" ca="1" si="115"/>
        <v>500</v>
      </c>
      <c r="F849" s="42">
        <f t="shared" si="111"/>
        <v>4.6768422051650248E-105</v>
      </c>
      <c r="G849" s="41">
        <f>SUM(F$11:F849)</f>
        <v>0.99999999999999989</v>
      </c>
    </row>
    <row r="850" spans="1:7" x14ac:dyDescent="0.25">
      <c r="A850" s="1">
        <f t="shared" si="110"/>
        <v>839</v>
      </c>
      <c r="B850" s="3">
        <f t="shared" ca="1" si="113"/>
        <v>121500</v>
      </c>
      <c r="C850" s="26">
        <f t="shared" ca="1" si="114"/>
        <v>8.0126762575086774E-2</v>
      </c>
      <c r="D850" s="26" t="str">
        <f t="shared" ca="1" si="112"/>
        <v>Lose</v>
      </c>
      <c r="E850" s="3">
        <f t="shared" ca="1" si="115"/>
        <v>-500</v>
      </c>
      <c r="F850" s="42">
        <f t="shared" si="111"/>
        <v>9.3989614212921824E-106</v>
      </c>
      <c r="G850" s="41">
        <f>SUM(F$11:F850)</f>
        <v>0.99999999999999989</v>
      </c>
    </row>
    <row r="851" spans="1:7" x14ac:dyDescent="0.25">
      <c r="A851" s="1">
        <f t="shared" si="110"/>
        <v>840</v>
      </c>
      <c r="B851" s="3">
        <f t="shared" ca="1" si="113"/>
        <v>122000</v>
      </c>
      <c r="C851" s="26">
        <f t="shared" ca="1" si="114"/>
        <v>0.61735933058361192</v>
      </c>
      <c r="D851" s="26" t="str">
        <f t="shared" ca="1" si="112"/>
        <v>Win</v>
      </c>
      <c r="E851" s="3">
        <f t="shared" ca="1" si="115"/>
        <v>500</v>
      </c>
      <c r="F851" s="42">
        <f t="shared" si="111"/>
        <v>1.8749968957781309E-106</v>
      </c>
      <c r="G851" s="41">
        <f>SUM(F$11:F851)</f>
        <v>0.99999999999999989</v>
      </c>
    </row>
    <row r="852" spans="1:7" x14ac:dyDescent="0.25">
      <c r="A852" s="1">
        <f t="shared" si="110"/>
        <v>841</v>
      </c>
      <c r="B852" s="3">
        <f t="shared" ca="1" si="113"/>
        <v>121500</v>
      </c>
      <c r="C852" s="26">
        <f t="shared" ca="1" si="114"/>
        <v>0.14391947794125437</v>
      </c>
      <c r="D852" s="26" t="str">
        <f t="shared" ca="1" si="112"/>
        <v>Lose</v>
      </c>
      <c r="E852" s="3">
        <f t="shared" ca="1" si="115"/>
        <v>-500</v>
      </c>
      <c r="F852" s="42">
        <f t="shared" si="111"/>
        <v>3.7127750417505755E-107</v>
      </c>
      <c r="G852" s="41">
        <f>SUM(F$11:F852)</f>
        <v>0.99999999999999989</v>
      </c>
    </row>
    <row r="853" spans="1:7" x14ac:dyDescent="0.25">
      <c r="A853" s="1">
        <f t="shared" si="110"/>
        <v>842</v>
      </c>
      <c r="B853" s="3">
        <f t="shared" ca="1" si="113"/>
        <v>122000</v>
      </c>
      <c r="C853" s="26">
        <f t="shared" ca="1" si="114"/>
        <v>0.86279434505806529</v>
      </c>
      <c r="D853" s="26" t="str">
        <f t="shared" ca="1" si="112"/>
        <v>Win</v>
      </c>
      <c r="E853" s="3">
        <f t="shared" ca="1" si="115"/>
        <v>500</v>
      </c>
      <c r="F853" s="42">
        <f t="shared" si="111"/>
        <v>7.2972254625903442E-108</v>
      </c>
      <c r="G853" s="41">
        <f>SUM(F$11:F853)</f>
        <v>0.99999999999999989</v>
      </c>
    </row>
    <row r="854" spans="1:7" x14ac:dyDescent="0.25">
      <c r="A854" s="1">
        <f t="shared" si="110"/>
        <v>843</v>
      </c>
      <c r="B854" s="3">
        <f t="shared" ca="1" si="113"/>
        <v>121500</v>
      </c>
      <c r="C854" s="26">
        <f t="shared" ca="1" si="114"/>
        <v>0.1909398244669035</v>
      </c>
      <c r="D854" s="26" t="str">
        <f t="shared" ca="1" si="112"/>
        <v>Lose</v>
      </c>
      <c r="E854" s="3">
        <f t="shared" ca="1" si="115"/>
        <v>-500</v>
      </c>
      <c r="F854" s="42">
        <f t="shared" si="111"/>
        <v>1.4235127890564551E-108</v>
      </c>
      <c r="G854" s="41">
        <f>SUM(F$11:F854)</f>
        <v>0.99999999999999989</v>
      </c>
    </row>
    <row r="855" spans="1:7" x14ac:dyDescent="0.25">
      <c r="A855" s="1">
        <f t="shared" si="110"/>
        <v>844</v>
      </c>
      <c r="B855" s="3">
        <f t="shared" ca="1" si="113"/>
        <v>122000</v>
      </c>
      <c r="C855" s="26">
        <f t="shared" ca="1" si="114"/>
        <v>0.6015055727980031</v>
      </c>
      <c r="D855" s="26" t="str">
        <f t="shared" ca="1" si="112"/>
        <v>Win</v>
      </c>
      <c r="E855" s="3">
        <f t="shared" ca="1" si="115"/>
        <v>500</v>
      </c>
      <c r="F855" s="42">
        <f t="shared" si="111"/>
        <v>2.7560854294358139E-109</v>
      </c>
      <c r="G855" s="41">
        <f>SUM(F$11:F855)</f>
        <v>0.99999999999999989</v>
      </c>
    </row>
    <row r="856" spans="1:7" x14ac:dyDescent="0.25">
      <c r="A856" s="1">
        <f t="shared" si="110"/>
        <v>845</v>
      </c>
      <c r="B856" s="3">
        <f t="shared" ca="1" si="113"/>
        <v>121500</v>
      </c>
      <c r="C856" s="26">
        <f t="shared" ca="1" si="114"/>
        <v>0.1469766715615991</v>
      </c>
      <c r="D856" s="26" t="str">
        <f t="shared" ca="1" si="112"/>
        <v>Lose</v>
      </c>
      <c r="E856" s="3">
        <f t="shared" ca="1" si="115"/>
        <v>-500</v>
      </c>
      <c r="F856" s="42">
        <f t="shared" si="111"/>
        <v>5.2958376226516023E-110</v>
      </c>
      <c r="G856" s="41">
        <f>SUM(F$11:F856)</f>
        <v>0.99999999999999989</v>
      </c>
    </row>
    <row r="857" spans="1:7" x14ac:dyDescent="0.25">
      <c r="A857" s="1">
        <f t="shared" si="110"/>
        <v>846</v>
      </c>
      <c r="B857" s="3">
        <f t="shared" ca="1" si="113"/>
        <v>121000</v>
      </c>
      <c r="C857" s="26">
        <f t="shared" ca="1" si="114"/>
        <v>0.45563515435504964</v>
      </c>
      <c r="D857" s="26" t="str">
        <f t="shared" ca="1" si="112"/>
        <v>Lose</v>
      </c>
      <c r="E857" s="3">
        <f t="shared" ca="1" si="115"/>
        <v>-500</v>
      </c>
      <c r="F857" s="42">
        <f t="shared" si="111"/>
        <v>1.0098807450923999E-110</v>
      </c>
      <c r="G857" s="41">
        <f>SUM(F$11:F857)</f>
        <v>0.99999999999999989</v>
      </c>
    </row>
    <row r="858" spans="1:7" x14ac:dyDescent="0.25">
      <c r="A858" s="1">
        <f t="shared" si="110"/>
        <v>847</v>
      </c>
      <c r="B858" s="3">
        <f t="shared" ca="1" si="113"/>
        <v>121500</v>
      </c>
      <c r="C858" s="26">
        <f t="shared" ca="1" si="114"/>
        <v>0.59457246202551017</v>
      </c>
      <c r="D858" s="26" t="str">
        <f t="shared" ca="1" si="112"/>
        <v>Win</v>
      </c>
      <c r="E858" s="3">
        <f t="shared" ca="1" si="115"/>
        <v>500</v>
      </c>
      <c r="F858" s="42">
        <f t="shared" si="111"/>
        <v>1.9110915769838407E-111</v>
      </c>
      <c r="G858" s="41">
        <f>SUM(F$11:F858)</f>
        <v>0.99999999999999989</v>
      </c>
    </row>
    <row r="859" spans="1:7" x14ac:dyDescent="0.25">
      <c r="A859" s="1">
        <f t="shared" si="110"/>
        <v>848</v>
      </c>
      <c r="B859" s="3">
        <f t="shared" ca="1" si="113"/>
        <v>122000</v>
      </c>
      <c r="C859" s="26">
        <f t="shared" ca="1" si="114"/>
        <v>0.87456529649308312</v>
      </c>
      <c r="D859" s="26" t="str">
        <f t="shared" ca="1" si="112"/>
        <v>Win</v>
      </c>
      <c r="E859" s="3">
        <f t="shared" ca="1" si="115"/>
        <v>500</v>
      </c>
      <c r="F859" s="42">
        <f t="shared" si="111"/>
        <v>3.5888158392387444E-112</v>
      </c>
      <c r="G859" s="41">
        <f>SUM(F$11:F859)</f>
        <v>0.99999999999999989</v>
      </c>
    </row>
    <row r="860" spans="1:7" x14ac:dyDescent="0.25">
      <c r="A860" s="1">
        <f t="shared" si="110"/>
        <v>849</v>
      </c>
      <c r="B860" s="3">
        <f t="shared" ca="1" si="113"/>
        <v>122500</v>
      </c>
      <c r="C860" s="26">
        <f t="shared" ca="1" si="114"/>
        <v>0.78248651792367352</v>
      </c>
      <c r="D860" s="26" t="str">
        <f t="shared" ca="1" si="112"/>
        <v>Win</v>
      </c>
      <c r="E860" s="3">
        <f t="shared" ca="1" si="115"/>
        <v>500</v>
      </c>
      <c r="F860" s="42">
        <f t="shared" si="111"/>
        <v>6.6874595288046838E-113</v>
      </c>
      <c r="G860" s="41">
        <f>SUM(F$11:F860)</f>
        <v>0.99999999999999989</v>
      </c>
    </row>
    <row r="861" spans="1:7" x14ac:dyDescent="0.25">
      <c r="A861" s="1">
        <f t="shared" si="110"/>
        <v>850</v>
      </c>
      <c r="B861" s="3">
        <f t="shared" ca="1" si="113"/>
        <v>123000</v>
      </c>
      <c r="C861" s="26">
        <f t="shared" ca="1" si="114"/>
        <v>0.82655077829054469</v>
      </c>
      <c r="D861" s="26" t="str">
        <f t="shared" ca="1" si="112"/>
        <v>Win</v>
      </c>
      <c r="E861" s="3">
        <f t="shared" ca="1" si="115"/>
        <v>500</v>
      </c>
      <c r="F861" s="42">
        <f t="shared" si="111"/>
        <v>1.2364976189993263E-113</v>
      </c>
      <c r="G861" s="41">
        <f>SUM(F$11:F861)</f>
        <v>0.99999999999999989</v>
      </c>
    </row>
    <row r="862" spans="1:7" x14ac:dyDescent="0.25">
      <c r="A862" s="1">
        <f t="shared" si="110"/>
        <v>851</v>
      </c>
      <c r="B862" s="3">
        <f t="shared" ca="1" si="113"/>
        <v>122500</v>
      </c>
      <c r="C862" s="26">
        <f t="shared" ca="1" si="114"/>
        <v>0.38107178940609454</v>
      </c>
      <c r="D862" s="26" t="str">
        <f t="shared" ca="1" si="112"/>
        <v>Lose</v>
      </c>
      <c r="E862" s="3">
        <f t="shared" ca="1" si="115"/>
        <v>-500</v>
      </c>
      <c r="F862" s="42">
        <f t="shared" si="111"/>
        <v>2.2684493118166601E-114</v>
      </c>
      <c r="G862" s="41">
        <f>SUM(F$11:F862)</f>
        <v>0.99999999999999989</v>
      </c>
    </row>
    <row r="863" spans="1:7" x14ac:dyDescent="0.25">
      <c r="A863" s="1">
        <f t="shared" si="110"/>
        <v>852</v>
      </c>
      <c r="B863" s="3">
        <f t="shared" ca="1" si="113"/>
        <v>123000</v>
      </c>
      <c r="C863" s="26">
        <f t="shared" ca="1" si="114"/>
        <v>0.50358005172170961</v>
      </c>
      <c r="D863" s="26" t="str">
        <f t="shared" ca="1" si="112"/>
        <v>Win</v>
      </c>
      <c r="E863" s="3">
        <f t="shared" ca="1" si="115"/>
        <v>500</v>
      </c>
      <c r="F863" s="42">
        <f t="shared" si="111"/>
        <v>4.1290472167519766E-115</v>
      </c>
      <c r="G863" s="41">
        <f>SUM(F$11:F863)</f>
        <v>0.99999999999999989</v>
      </c>
    </row>
    <row r="864" spans="1:7" x14ac:dyDescent="0.25">
      <c r="A864" s="1">
        <f t="shared" si="110"/>
        <v>853</v>
      </c>
      <c r="B864" s="3">
        <f t="shared" ca="1" si="113"/>
        <v>122500</v>
      </c>
      <c r="C864" s="26">
        <f t="shared" ca="1" si="114"/>
        <v>0.37960465810313915</v>
      </c>
      <c r="D864" s="26" t="str">
        <f t="shared" ca="1" si="112"/>
        <v>Lose</v>
      </c>
      <c r="E864" s="3">
        <f t="shared" ca="1" si="115"/>
        <v>-500</v>
      </c>
      <c r="F864" s="42">
        <f t="shared" si="111"/>
        <v>7.4565275957711161E-116</v>
      </c>
      <c r="G864" s="41">
        <f>SUM(F$11:F864)</f>
        <v>0.99999999999999989</v>
      </c>
    </row>
    <row r="865" spans="1:7" x14ac:dyDescent="0.25">
      <c r="A865" s="1">
        <f t="shared" si="110"/>
        <v>854</v>
      </c>
      <c r="B865" s="3">
        <f t="shared" ca="1" si="113"/>
        <v>122000</v>
      </c>
      <c r="C865" s="26">
        <f t="shared" ca="1" si="114"/>
        <v>2.9787346975462814E-2</v>
      </c>
      <c r="D865" s="26" t="str">
        <f t="shared" ca="1" si="112"/>
        <v>Lose</v>
      </c>
      <c r="E865" s="3">
        <f t="shared" ca="1" si="115"/>
        <v>-500</v>
      </c>
      <c r="F865" s="42">
        <f t="shared" si="111"/>
        <v>1.3358884334342881E-116</v>
      </c>
      <c r="G865" s="41">
        <f>SUM(F$11:F865)</f>
        <v>0.99999999999999989</v>
      </c>
    </row>
    <row r="866" spans="1:7" x14ac:dyDescent="0.25">
      <c r="A866" s="1">
        <f t="shared" si="110"/>
        <v>855</v>
      </c>
      <c r="B866" s="3">
        <f t="shared" ca="1" si="113"/>
        <v>122500</v>
      </c>
      <c r="C866" s="26">
        <f t="shared" ca="1" si="114"/>
        <v>0.49767434002261901</v>
      </c>
      <c r="D866" s="26" t="str">
        <f t="shared" ca="1" si="112"/>
        <v>Win</v>
      </c>
      <c r="E866" s="3">
        <f t="shared" ca="1" si="115"/>
        <v>500</v>
      </c>
      <c r="F866" s="42">
        <f t="shared" si="111"/>
        <v>2.3742750388715657E-117</v>
      </c>
      <c r="G866" s="41">
        <f>SUM(F$11:F866)</f>
        <v>0.99999999999999989</v>
      </c>
    </row>
    <row r="867" spans="1:7" x14ac:dyDescent="0.25">
      <c r="A867" s="1">
        <f t="shared" si="110"/>
        <v>856</v>
      </c>
      <c r="B867" s="3">
        <f t="shared" ca="1" si="113"/>
        <v>122000</v>
      </c>
      <c r="C867" s="26">
        <f t="shared" ca="1" si="114"/>
        <v>0.35761014122438939</v>
      </c>
      <c r="D867" s="26" t="str">
        <f t="shared" ca="1" si="112"/>
        <v>Lose</v>
      </c>
      <c r="E867" s="3">
        <f t="shared" ca="1" si="115"/>
        <v>-500</v>
      </c>
      <c r="F867" s="42">
        <f t="shared" si="111"/>
        <v>4.1860013142416544E-118</v>
      </c>
      <c r="G867" s="41">
        <f>SUM(F$11:F867)</f>
        <v>0.99999999999999989</v>
      </c>
    </row>
    <row r="868" spans="1:7" x14ac:dyDescent="0.25">
      <c r="A868" s="1">
        <f t="shared" si="110"/>
        <v>857</v>
      </c>
      <c r="B868" s="3">
        <f t="shared" ca="1" si="113"/>
        <v>121500</v>
      </c>
      <c r="C868" s="26">
        <f t="shared" ca="1" si="114"/>
        <v>0.1806476065821977</v>
      </c>
      <c r="D868" s="26" t="str">
        <f t="shared" ca="1" si="112"/>
        <v>Lose</v>
      </c>
      <c r="E868" s="3">
        <f t="shared" ca="1" si="115"/>
        <v>-500</v>
      </c>
      <c r="F868" s="42">
        <f t="shared" si="111"/>
        <v>7.3207424217824207E-119</v>
      </c>
      <c r="G868" s="41">
        <f>SUM(F$11:F868)</f>
        <v>0.99999999999999989</v>
      </c>
    </row>
    <row r="869" spans="1:7" x14ac:dyDescent="0.25">
      <c r="A869" s="1">
        <f t="shared" si="110"/>
        <v>858</v>
      </c>
      <c r="B869" s="3">
        <f t="shared" ca="1" si="113"/>
        <v>122000</v>
      </c>
      <c r="C869" s="26">
        <f t="shared" ca="1" si="114"/>
        <v>0.86297376141978444</v>
      </c>
      <c r="D869" s="26" t="str">
        <f t="shared" ca="1" si="112"/>
        <v>Win</v>
      </c>
      <c r="E869" s="3">
        <f t="shared" ca="1" si="115"/>
        <v>500</v>
      </c>
      <c r="F869" s="42">
        <f t="shared" si="111"/>
        <v>1.2699247058194344E-119</v>
      </c>
      <c r="G869" s="41">
        <f>SUM(F$11:F869)</f>
        <v>0.99999999999999989</v>
      </c>
    </row>
    <row r="870" spans="1:7" x14ac:dyDescent="0.25">
      <c r="A870" s="1">
        <f t="shared" si="110"/>
        <v>859</v>
      </c>
      <c r="B870" s="3">
        <f t="shared" ca="1" si="113"/>
        <v>121500</v>
      </c>
      <c r="C870" s="26">
        <f t="shared" ca="1" si="114"/>
        <v>0.22318857150383253</v>
      </c>
      <c r="D870" s="26" t="str">
        <f t="shared" ca="1" si="112"/>
        <v>Lose</v>
      </c>
      <c r="E870" s="3">
        <f t="shared" ca="1" si="115"/>
        <v>-500</v>
      </c>
      <c r="F870" s="42">
        <f t="shared" si="111"/>
        <v>2.184978907496497E-120</v>
      </c>
      <c r="G870" s="41">
        <f>SUM(F$11:F870)</f>
        <v>0.99999999999999989</v>
      </c>
    </row>
    <row r="871" spans="1:7" x14ac:dyDescent="0.25">
      <c r="A871" s="1">
        <f t="shared" si="110"/>
        <v>860</v>
      </c>
      <c r="B871" s="3">
        <f t="shared" ca="1" si="113"/>
        <v>121000</v>
      </c>
      <c r="C871" s="26">
        <f t="shared" ca="1" si="114"/>
        <v>0.169330340073374</v>
      </c>
      <c r="D871" s="26" t="str">
        <f t="shared" ca="1" si="112"/>
        <v>Lose</v>
      </c>
      <c r="E871" s="3">
        <f t="shared" ca="1" si="115"/>
        <v>-500</v>
      </c>
      <c r="F871" s="42">
        <f t="shared" si="111"/>
        <v>3.7285674712408292E-121</v>
      </c>
      <c r="G871" s="41">
        <f>SUM(F$11:F871)</f>
        <v>0.99999999999999989</v>
      </c>
    </row>
    <row r="872" spans="1:7" x14ac:dyDescent="0.25">
      <c r="A872" s="1">
        <f t="shared" si="110"/>
        <v>861</v>
      </c>
      <c r="B872" s="3">
        <f t="shared" ca="1" si="113"/>
        <v>120500</v>
      </c>
      <c r="C872" s="26">
        <f t="shared" ca="1" si="114"/>
        <v>0.16549725517017233</v>
      </c>
      <c r="D872" s="26" t="str">
        <f t="shared" ca="1" si="112"/>
        <v>Lose</v>
      </c>
      <c r="E872" s="3">
        <f t="shared" ca="1" si="115"/>
        <v>-500</v>
      </c>
      <c r="F872" s="42">
        <f t="shared" si="111"/>
        <v>6.3101689408749079E-122</v>
      </c>
      <c r="G872" s="41">
        <f>SUM(F$11:F872)</f>
        <v>0.99999999999999989</v>
      </c>
    </row>
    <row r="873" spans="1:7" x14ac:dyDescent="0.25">
      <c r="A873" s="1">
        <f t="shared" si="110"/>
        <v>862</v>
      </c>
      <c r="B873" s="3">
        <f t="shared" ca="1" si="113"/>
        <v>121000</v>
      </c>
      <c r="C873" s="26">
        <f t="shared" ca="1" si="114"/>
        <v>0.83859700563077844</v>
      </c>
      <c r="D873" s="26" t="str">
        <f t="shared" ca="1" si="112"/>
        <v>Win</v>
      </c>
      <c r="E873" s="3">
        <f t="shared" ca="1" si="115"/>
        <v>500</v>
      </c>
      <c r="F873" s="42">
        <f t="shared" si="111"/>
        <v>1.0590650035954628E-122</v>
      </c>
      <c r="G873" s="41">
        <f>SUM(F$11:F873)</f>
        <v>0.99999999999999989</v>
      </c>
    </row>
    <row r="874" spans="1:7" x14ac:dyDescent="0.25">
      <c r="A874" s="1">
        <f t="shared" si="110"/>
        <v>863</v>
      </c>
      <c r="B874" s="3">
        <f t="shared" ca="1" si="113"/>
        <v>121500</v>
      </c>
      <c r="C874" s="26">
        <f t="shared" ca="1" si="114"/>
        <v>0.78885358951826556</v>
      </c>
      <c r="D874" s="26" t="str">
        <f t="shared" ca="1" si="112"/>
        <v>Win</v>
      </c>
      <c r="E874" s="3">
        <f t="shared" ca="1" si="115"/>
        <v>500</v>
      </c>
      <c r="F874" s="42">
        <f t="shared" si="111"/>
        <v>1.7626456110164036E-123</v>
      </c>
      <c r="G874" s="41">
        <f>SUM(F$11:F874)</f>
        <v>0.99999999999999989</v>
      </c>
    </row>
    <row r="875" spans="1:7" x14ac:dyDescent="0.25">
      <c r="A875" s="1">
        <f t="shared" si="110"/>
        <v>864</v>
      </c>
      <c r="B875" s="3">
        <f t="shared" ca="1" si="113"/>
        <v>121000</v>
      </c>
      <c r="C875" s="26">
        <f t="shared" ca="1" si="114"/>
        <v>1.0357037564858729E-3</v>
      </c>
      <c r="D875" s="26" t="str">
        <f t="shared" ca="1" si="112"/>
        <v>Lose</v>
      </c>
      <c r="E875" s="3">
        <f t="shared" ca="1" si="115"/>
        <v>-500</v>
      </c>
      <c r="F875" s="42">
        <f t="shared" si="111"/>
        <v>2.9090147591108156E-124</v>
      </c>
      <c r="G875" s="41">
        <f>SUM(F$11:F875)</f>
        <v>0.99999999999999989</v>
      </c>
    </row>
    <row r="876" spans="1:7" x14ac:dyDescent="0.25">
      <c r="A876" s="1">
        <f t="shared" si="110"/>
        <v>865</v>
      </c>
      <c r="B876" s="3">
        <f t="shared" ca="1" si="113"/>
        <v>120500</v>
      </c>
      <c r="C876" s="26">
        <f t="shared" ca="1" si="114"/>
        <v>0.43548673499398904</v>
      </c>
      <c r="D876" s="26" t="str">
        <f t="shared" ca="1" si="112"/>
        <v>Lose</v>
      </c>
      <c r="E876" s="3">
        <f t="shared" ca="1" si="115"/>
        <v>-500</v>
      </c>
      <c r="F876" s="42">
        <f t="shared" si="111"/>
        <v>4.7603931506884252E-125</v>
      </c>
      <c r="G876" s="41">
        <f>SUM(F$11:F876)</f>
        <v>0.99999999999999989</v>
      </c>
    </row>
    <row r="877" spans="1:7" x14ac:dyDescent="0.25">
      <c r="A877" s="1">
        <f t="shared" si="110"/>
        <v>866</v>
      </c>
      <c r="B877" s="3">
        <f t="shared" ca="1" si="113"/>
        <v>121000</v>
      </c>
      <c r="C877" s="26">
        <f t="shared" ca="1" si="114"/>
        <v>0.53459282393006635</v>
      </c>
      <c r="D877" s="26" t="str">
        <f t="shared" ca="1" si="112"/>
        <v>Win</v>
      </c>
      <c r="E877" s="3">
        <f t="shared" ca="1" si="115"/>
        <v>500</v>
      </c>
      <c r="F877" s="42">
        <f t="shared" si="111"/>
        <v>7.7238315601853459E-126</v>
      </c>
      <c r="G877" s="41">
        <f>SUM(F$11:F877)</f>
        <v>0.99999999999999989</v>
      </c>
    </row>
    <row r="878" spans="1:7" x14ac:dyDescent="0.25">
      <c r="A878" s="1">
        <f t="shared" si="110"/>
        <v>867</v>
      </c>
      <c r="B878" s="3">
        <f t="shared" ca="1" si="113"/>
        <v>121500</v>
      </c>
      <c r="C878" s="26">
        <f t="shared" ca="1" si="114"/>
        <v>0.78078448919617915</v>
      </c>
      <c r="D878" s="26" t="str">
        <f t="shared" ca="1" si="112"/>
        <v>Win</v>
      </c>
      <c r="E878" s="3">
        <f t="shared" ca="1" si="115"/>
        <v>500</v>
      </c>
      <c r="F878" s="42">
        <f t="shared" si="111"/>
        <v>1.2424891105220134E-126</v>
      </c>
      <c r="G878" s="41">
        <f>SUM(F$11:F878)</f>
        <v>0.99999999999999989</v>
      </c>
    </row>
    <row r="879" spans="1:7" x14ac:dyDescent="0.25">
      <c r="A879" s="1">
        <f t="shared" si="110"/>
        <v>868</v>
      </c>
      <c r="B879" s="3">
        <f t="shared" ca="1" si="113"/>
        <v>122000</v>
      </c>
      <c r="C879" s="26">
        <f t="shared" ca="1" si="114"/>
        <v>0.90794989391890812</v>
      </c>
      <c r="D879" s="26" t="str">
        <f t="shared" ca="1" si="112"/>
        <v>Win</v>
      </c>
      <c r="E879" s="3">
        <f t="shared" ca="1" si="115"/>
        <v>500</v>
      </c>
      <c r="F879" s="42">
        <f t="shared" si="111"/>
        <v>1.9815206519021219E-127</v>
      </c>
      <c r="G879" s="41">
        <f>SUM(F$11:F879)</f>
        <v>0.99999999999999989</v>
      </c>
    </row>
    <row r="880" spans="1:7" x14ac:dyDescent="0.25">
      <c r="A880" s="1">
        <f t="shared" si="110"/>
        <v>869</v>
      </c>
      <c r="B880" s="3">
        <f t="shared" ca="1" si="113"/>
        <v>122500</v>
      </c>
      <c r="C880" s="26">
        <f t="shared" ca="1" si="114"/>
        <v>0.67185503957765735</v>
      </c>
      <c r="D880" s="26" t="str">
        <f t="shared" ca="1" si="112"/>
        <v>Win</v>
      </c>
      <c r="E880" s="3">
        <f t="shared" ca="1" si="115"/>
        <v>500</v>
      </c>
      <c r="F880" s="42">
        <f t="shared" si="111"/>
        <v>3.1327580443403661E-128</v>
      </c>
      <c r="G880" s="41">
        <f>SUM(F$11:F880)</f>
        <v>0.99999999999999989</v>
      </c>
    </row>
    <row r="881" spans="1:7" x14ac:dyDescent="0.25">
      <c r="A881" s="1">
        <f t="shared" si="110"/>
        <v>870</v>
      </c>
      <c r="B881" s="3">
        <f t="shared" ca="1" si="113"/>
        <v>122000</v>
      </c>
      <c r="C881" s="26">
        <f t="shared" ca="1" si="114"/>
        <v>0.39145803817466385</v>
      </c>
      <c r="D881" s="26" t="str">
        <f t="shared" ca="1" si="112"/>
        <v>Lose</v>
      </c>
      <c r="E881" s="3">
        <f t="shared" ca="1" si="115"/>
        <v>-500</v>
      </c>
      <c r="F881" s="42">
        <f t="shared" si="111"/>
        <v>4.9096778077031438E-129</v>
      </c>
      <c r="G881" s="41">
        <f>SUM(F$11:F881)</f>
        <v>0.99999999999999989</v>
      </c>
    </row>
    <row r="882" spans="1:7" x14ac:dyDescent="0.25">
      <c r="A882" s="1">
        <f t="shared" si="110"/>
        <v>871</v>
      </c>
      <c r="B882" s="3">
        <f t="shared" ca="1" si="113"/>
        <v>122500</v>
      </c>
      <c r="C882" s="26">
        <f t="shared" ca="1" si="114"/>
        <v>0.86440756883664771</v>
      </c>
      <c r="D882" s="26" t="str">
        <f t="shared" ca="1" si="112"/>
        <v>Win</v>
      </c>
      <c r="E882" s="3">
        <f t="shared" ca="1" si="115"/>
        <v>500</v>
      </c>
      <c r="F882" s="42">
        <f t="shared" si="111"/>
        <v>7.62697435860029E-130</v>
      </c>
      <c r="G882" s="41">
        <f>SUM(F$11:F882)</f>
        <v>0.99999999999999989</v>
      </c>
    </row>
    <row r="883" spans="1:7" x14ac:dyDescent="0.25">
      <c r="A883" s="1">
        <f t="shared" si="110"/>
        <v>872</v>
      </c>
      <c r="B883" s="3">
        <f t="shared" ca="1" si="113"/>
        <v>122000</v>
      </c>
      <c r="C883" s="26">
        <f t="shared" ca="1" si="114"/>
        <v>0.3543472290804931</v>
      </c>
      <c r="D883" s="26" t="str">
        <f t="shared" ca="1" si="112"/>
        <v>Lose</v>
      </c>
      <c r="E883" s="3">
        <f t="shared" ca="1" si="115"/>
        <v>-500</v>
      </c>
      <c r="F883" s="42">
        <f t="shared" si="111"/>
        <v>1.1743555585384522E-130</v>
      </c>
      <c r="G883" s="41">
        <f>SUM(F$11:F883)</f>
        <v>0.99999999999999989</v>
      </c>
    </row>
    <row r="884" spans="1:7" x14ac:dyDescent="0.25">
      <c r="A884" s="1">
        <f t="shared" si="110"/>
        <v>873</v>
      </c>
      <c r="B884" s="3">
        <f t="shared" ca="1" si="113"/>
        <v>121500</v>
      </c>
      <c r="C884" s="26">
        <f t="shared" ca="1" si="114"/>
        <v>0.33037892763685106</v>
      </c>
      <c r="D884" s="26" t="str">
        <f t="shared" ca="1" si="112"/>
        <v>Lose</v>
      </c>
      <c r="E884" s="3">
        <f t="shared" ca="1" si="115"/>
        <v>-500</v>
      </c>
      <c r="F884" s="42">
        <f t="shared" si="111"/>
        <v>1.7921296692473921E-131</v>
      </c>
      <c r="G884" s="41">
        <f>SUM(F$11:F884)</f>
        <v>0.99999999999999989</v>
      </c>
    </row>
    <row r="885" spans="1:7" x14ac:dyDescent="0.25">
      <c r="A885" s="1">
        <f t="shared" si="110"/>
        <v>874</v>
      </c>
      <c r="B885" s="3">
        <f t="shared" ca="1" si="113"/>
        <v>121000</v>
      </c>
      <c r="C885" s="26">
        <f t="shared" ca="1" si="114"/>
        <v>0.21331791816737844</v>
      </c>
      <c r="D885" s="26" t="str">
        <f t="shared" ca="1" si="112"/>
        <v>Lose</v>
      </c>
      <c r="E885" s="3">
        <f t="shared" ca="1" si="115"/>
        <v>-500</v>
      </c>
      <c r="F885" s="42">
        <f t="shared" si="111"/>
        <v>2.7104151374668173E-132</v>
      </c>
      <c r="G885" s="41">
        <f>SUM(F$11:F885)</f>
        <v>0.99999999999999989</v>
      </c>
    </row>
    <row r="886" spans="1:7" x14ac:dyDescent="0.25">
      <c r="A886" s="1">
        <f t="shared" si="110"/>
        <v>875</v>
      </c>
      <c r="B886" s="3">
        <f t="shared" ca="1" si="113"/>
        <v>121500</v>
      </c>
      <c r="C886" s="26">
        <f t="shared" ca="1" si="114"/>
        <v>0.8606431063995752</v>
      </c>
      <c r="D886" s="26" t="str">
        <f t="shared" ca="1" si="112"/>
        <v>Win</v>
      </c>
      <c r="E886" s="3">
        <f t="shared" ca="1" si="115"/>
        <v>500</v>
      </c>
      <c r="F886" s="42">
        <f t="shared" si="111"/>
        <v>4.0623038305216389E-133</v>
      </c>
      <c r="G886" s="41">
        <f>SUM(F$11:F886)</f>
        <v>0.99999999999999989</v>
      </c>
    </row>
    <row r="887" spans="1:7" x14ac:dyDescent="0.25">
      <c r="A887" s="1">
        <f t="shared" si="110"/>
        <v>876</v>
      </c>
      <c r="B887" s="3">
        <f t="shared" ca="1" si="113"/>
        <v>122000</v>
      </c>
      <c r="C887" s="26">
        <f t="shared" ca="1" si="114"/>
        <v>0.85854900929009181</v>
      </c>
      <c r="D887" s="26" t="str">
        <f t="shared" ca="1" si="112"/>
        <v>Win</v>
      </c>
      <c r="E887" s="3">
        <f t="shared" ca="1" si="115"/>
        <v>500</v>
      </c>
      <c r="F887" s="42">
        <f t="shared" si="111"/>
        <v>6.0332650544163308E-134</v>
      </c>
      <c r="G887" s="41">
        <f>SUM(F$11:F887)</f>
        <v>0.99999999999999989</v>
      </c>
    </row>
    <row r="888" spans="1:7" x14ac:dyDescent="0.25">
      <c r="A888" s="1">
        <f t="shared" si="110"/>
        <v>877</v>
      </c>
      <c r="B888" s="3">
        <f t="shared" ca="1" si="113"/>
        <v>121500</v>
      </c>
      <c r="C888" s="26">
        <f t="shared" ca="1" si="114"/>
        <v>0.44214400036149792</v>
      </c>
      <c r="D888" s="26" t="str">
        <f t="shared" ca="1" si="112"/>
        <v>Lose</v>
      </c>
      <c r="E888" s="3">
        <f t="shared" ca="1" si="115"/>
        <v>-500</v>
      </c>
      <c r="F888" s="42">
        <f t="shared" si="111"/>
        <v>8.8786838722275638E-135</v>
      </c>
      <c r="G888" s="41">
        <f>SUM(F$11:F888)</f>
        <v>0.99999999999999989</v>
      </c>
    </row>
    <row r="889" spans="1:7" x14ac:dyDescent="0.25">
      <c r="A889" s="1">
        <f t="shared" si="110"/>
        <v>878</v>
      </c>
      <c r="B889" s="3">
        <f t="shared" ca="1" si="113"/>
        <v>122000</v>
      </c>
      <c r="C889" s="26">
        <f t="shared" ca="1" si="114"/>
        <v>0.51767850816426508</v>
      </c>
      <c r="D889" s="26" t="str">
        <f t="shared" ca="1" si="112"/>
        <v>Win</v>
      </c>
      <c r="E889" s="3">
        <f t="shared" ca="1" si="115"/>
        <v>500</v>
      </c>
      <c r="F889" s="42">
        <f t="shared" si="111"/>
        <v>1.2945930902906027E-135</v>
      </c>
      <c r="G889" s="41">
        <f>SUM(F$11:F889)</f>
        <v>0.99999999999999989</v>
      </c>
    </row>
    <row r="890" spans="1:7" x14ac:dyDescent="0.25">
      <c r="A890" s="1">
        <f t="shared" si="110"/>
        <v>879</v>
      </c>
      <c r="B890" s="3">
        <f t="shared" ca="1" si="113"/>
        <v>122500</v>
      </c>
      <c r="C890" s="26">
        <f t="shared" ca="1" si="114"/>
        <v>0.84949899566752363</v>
      </c>
      <c r="D890" s="26" t="str">
        <f t="shared" ca="1" si="112"/>
        <v>Win</v>
      </c>
      <c r="E890" s="3">
        <f t="shared" ca="1" si="115"/>
        <v>500</v>
      </c>
      <c r="F890" s="42">
        <f t="shared" si="111"/>
        <v>1.8701581592691167E-136</v>
      </c>
      <c r="G890" s="41">
        <f>SUM(F$11:F890)</f>
        <v>0.99999999999999989</v>
      </c>
    </row>
    <row r="891" spans="1:7" x14ac:dyDescent="0.25">
      <c r="A891" s="1">
        <f t="shared" si="110"/>
        <v>880</v>
      </c>
      <c r="B891" s="3">
        <f t="shared" ca="1" si="113"/>
        <v>122000</v>
      </c>
      <c r="C891" s="26">
        <f t="shared" ca="1" si="114"/>
        <v>0.35207389964225388</v>
      </c>
      <c r="D891" s="26" t="str">
        <f t="shared" ca="1" si="112"/>
        <v>Lose</v>
      </c>
      <c r="E891" s="3">
        <f t="shared" ca="1" si="115"/>
        <v>-500</v>
      </c>
      <c r="F891" s="42">
        <f t="shared" si="111"/>
        <v>2.6764253248723712E-137</v>
      </c>
      <c r="G891" s="41">
        <f>SUM(F$11:F891)</f>
        <v>0.99999999999999989</v>
      </c>
    </row>
    <row r="892" spans="1:7" x14ac:dyDescent="0.25">
      <c r="A892" s="1">
        <f t="shared" ref="A892:A945" si="116">A891+1</f>
        <v>881</v>
      </c>
      <c r="B892" s="3">
        <f t="shared" ca="1" si="113"/>
        <v>121500</v>
      </c>
      <c r="C892" s="26">
        <f t="shared" ca="1" si="114"/>
        <v>0.32882694583367167</v>
      </c>
      <c r="D892" s="26" t="str">
        <f t="shared" ca="1" si="112"/>
        <v>Lose</v>
      </c>
      <c r="E892" s="3">
        <f t="shared" ca="1" si="115"/>
        <v>-500</v>
      </c>
      <c r="F892" s="42">
        <f t="shared" si="111"/>
        <v>3.7943253233150613E-138</v>
      </c>
      <c r="G892" s="41">
        <f>SUM(F$11:F892)</f>
        <v>0.99999999999999989</v>
      </c>
    </row>
    <row r="893" spans="1:7" x14ac:dyDescent="0.25">
      <c r="A893" s="1">
        <f t="shared" si="116"/>
        <v>882</v>
      </c>
      <c r="B893" s="3">
        <f t="shared" ca="1" si="113"/>
        <v>121000</v>
      </c>
      <c r="C893" s="26">
        <f t="shared" ca="1" si="114"/>
        <v>0.43695999656636353</v>
      </c>
      <c r="D893" s="26" t="str">
        <f t="shared" ca="1" si="112"/>
        <v>Lose</v>
      </c>
      <c r="E893" s="3">
        <f t="shared" ca="1" si="115"/>
        <v>-500</v>
      </c>
      <c r="F893" s="42">
        <f t="shared" si="111"/>
        <v>5.3282799729740333E-139</v>
      </c>
      <c r="G893" s="41">
        <f>SUM(F$11:F893)</f>
        <v>0.99999999999999989</v>
      </c>
    </row>
    <row r="894" spans="1:7" x14ac:dyDescent="0.25">
      <c r="A894" s="1">
        <f t="shared" si="116"/>
        <v>883</v>
      </c>
      <c r="B894" s="3">
        <f t="shared" ca="1" si="113"/>
        <v>121500</v>
      </c>
      <c r="C894" s="26">
        <f t="shared" ca="1" si="114"/>
        <v>0.94527121883660326</v>
      </c>
      <c r="D894" s="26" t="str">
        <f t="shared" ca="1" si="112"/>
        <v>Win</v>
      </c>
      <c r="E894" s="3">
        <f t="shared" ca="1" si="115"/>
        <v>500</v>
      </c>
      <c r="F894" s="42">
        <f t="shared" si="111"/>
        <v>7.4110959570475528E-140</v>
      </c>
      <c r="G894" s="41">
        <f>SUM(F$11:F894)</f>
        <v>0.99999999999999989</v>
      </c>
    </row>
    <row r="895" spans="1:7" x14ac:dyDescent="0.25">
      <c r="A895" s="1">
        <f t="shared" si="116"/>
        <v>884</v>
      </c>
      <c r="B895" s="3">
        <f t="shared" ca="1" si="113"/>
        <v>122000</v>
      </c>
      <c r="C895" s="26">
        <f t="shared" ca="1" si="114"/>
        <v>0.78929966995683842</v>
      </c>
      <c r="D895" s="26" t="str">
        <f t="shared" ca="1" si="112"/>
        <v>Win</v>
      </c>
      <c r="E895" s="3">
        <f t="shared" ca="1" si="115"/>
        <v>500</v>
      </c>
      <c r="F895" s="42">
        <f t="shared" si="111"/>
        <v>1.0209162797974936E-140</v>
      </c>
      <c r="G895" s="41">
        <f>SUM(F$11:F895)</f>
        <v>0.99999999999999989</v>
      </c>
    </row>
    <row r="896" spans="1:7" x14ac:dyDescent="0.25">
      <c r="A896" s="1">
        <f t="shared" si="116"/>
        <v>885</v>
      </c>
      <c r="B896" s="3">
        <f t="shared" ca="1" si="113"/>
        <v>122500</v>
      </c>
      <c r="C896" s="26">
        <f t="shared" ca="1" si="114"/>
        <v>0.92809038953740719</v>
      </c>
      <c r="D896" s="26" t="str">
        <f t="shared" ca="1" si="112"/>
        <v>Win</v>
      </c>
      <c r="E896" s="3">
        <f t="shared" ca="1" si="115"/>
        <v>500</v>
      </c>
      <c r="F896" s="42">
        <f t="shared" si="111"/>
        <v>1.3927685256038849E-141</v>
      </c>
      <c r="G896" s="41">
        <f>SUM(F$11:F896)</f>
        <v>0.99999999999999989</v>
      </c>
    </row>
    <row r="897" spans="1:7" x14ac:dyDescent="0.25">
      <c r="A897" s="1">
        <f t="shared" si="116"/>
        <v>886</v>
      </c>
      <c r="B897" s="3">
        <f t="shared" ca="1" si="113"/>
        <v>122000</v>
      </c>
      <c r="C897" s="26">
        <f t="shared" ca="1" si="114"/>
        <v>0.18600988401913887</v>
      </c>
      <c r="D897" s="26" t="str">
        <f t="shared" ca="1" si="112"/>
        <v>Lose</v>
      </c>
      <c r="E897" s="3">
        <f t="shared" ca="1" si="115"/>
        <v>-500</v>
      </c>
      <c r="F897" s="42">
        <f t="shared" si="111"/>
        <v>1.8815560424441076E-142</v>
      </c>
      <c r="G897" s="41">
        <f>SUM(F$11:F897)</f>
        <v>0.99999999999999989</v>
      </c>
    </row>
    <row r="898" spans="1:7" x14ac:dyDescent="0.25">
      <c r="A898" s="1">
        <f t="shared" si="116"/>
        <v>887</v>
      </c>
      <c r="B898" s="3">
        <f t="shared" ca="1" si="113"/>
        <v>122500</v>
      </c>
      <c r="C898" s="26">
        <f t="shared" ca="1" si="114"/>
        <v>0.99472293961270364</v>
      </c>
      <c r="D898" s="26" t="str">
        <f t="shared" ca="1" si="112"/>
        <v>Win</v>
      </c>
      <c r="E898" s="3">
        <f t="shared" ca="1" si="115"/>
        <v>500</v>
      </c>
      <c r="F898" s="42">
        <f t="shared" si="111"/>
        <v>2.5169378162507261E-143</v>
      </c>
      <c r="G898" s="41">
        <f>SUM(F$11:F898)</f>
        <v>0.99999999999999989</v>
      </c>
    </row>
    <row r="899" spans="1:7" x14ac:dyDescent="0.25">
      <c r="A899" s="1">
        <f t="shared" si="116"/>
        <v>888</v>
      </c>
      <c r="B899" s="3">
        <f t="shared" ca="1" si="113"/>
        <v>122000</v>
      </c>
      <c r="C899" s="26">
        <f t="shared" ca="1" si="114"/>
        <v>7.7514208769756676E-3</v>
      </c>
      <c r="D899" s="26" t="str">
        <f t="shared" ca="1" si="112"/>
        <v>Lose</v>
      </c>
      <c r="E899" s="3">
        <f t="shared" ca="1" si="115"/>
        <v>-500</v>
      </c>
      <c r="F899" s="42">
        <f t="shared" si="111"/>
        <v>3.3335890409664719E-144</v>
      </c>
      <c r="G899" s="41">
        <f>SUM(F$11:F899)</f>
        <v>0.99999999999999989</v>
      </c>
    </row>
    <row r="900" spans="1:7" x14ac:dyDescent="0.25">
      <c r="A900" s="1">
        <f t="shared" si="116"/>
        <v>889</v>
      </c>
      <c r="B900" s="3">
        <f t="shared" ca="1" si="113"/>
        <v>122500</v>
      </c>
      <c r="C900" s="26">
        <f t="shared" ca="1" si="114"/>
        <v>0.95614593076235233</v>
      </c>
      <c r="D900" s="26" t="str">
        <f t="shared" ca="1" si="112"/>
        <v>Win</v>
      </c>
      <c r="E900" s="3">
        <f t="shared" ca="1" si="115"/>
        <v>500</v>
      </c>
      <c r="F900" s="42">
        <f t="shared" si="111"/>
        <v>4.3712175115358383E-145</v>
      </c>
      <c r="G900" s="41">
        <f>SUM(F$11:F900)</f>
        <v>0.99999999999999989</v>
      </c>
    </row>
    <row r="901" spans="1:7" x14ac:dyDescent="0.25">
      <c r="A901" s="1">
        <f t="shared" si="116"/>
        <v>890</v>
      </c>
      <c r="B901" s="3">
        <f t="shared" ca="1" si="113"/>
        <v>122000</v>
      </c>
      <c r="C901" s="26">
        <f t="shared" ca="1" si="114"/>
        <v>0.23076331929494776</v>
      </c>
      <c r="D901" s="26" t="str">
        <f t="shared" ca="1" si="112"/>
        <v>Lose</v>
      </c>
      <c r="E901" s="3">
        <f t="shared" ca="1" si="115"/>
        <v>-500</v>
      </c>
      <c r="F901" s="42">
        <f t="shared" si="111"/>
        <v>5.6742633186892944E-146</v>
      </c>
      <c r="G901" s="41">
        <f>SUM(F$11:F901)</f>
        <v>0.99999999999999989</v>
      </c>
    </row>
    <row r="902" spans="1:7" x14ac:dyDescent="0.25">
      <c r="A902" s="1">
        <f t="shared" si="116"/>
        <v>891</v>
      </c>
      <c r="B902" s="3">
        <f t="shared" ca="1" si="113"/>
        <v>121500</v>
      </c>
      <c r="C902" s="26">
        <f t="shared" ca="1" si="114"/>
        <v>0.44713567050338532</v>
      </c>
      <c r="D902" s="26" t="str">
        <f t="shared" ca="1" si="112"/>
        <v>Lose</v>
      </c>
      <c r="E902" s="3">
        <f t="shared" ca="1" si="115"/>
        <v>-500</v>
      </c>
      <c r="F902" s="42">
        <f t="shared" si="111"/>
        <v>7.2911924729944149E-147</v>
      </c>
      <c r="G902" s="41">
        <f>SUM(F$11:F902)</f>
        <v>0.99999999999999989</v>
      </c>
    </row>
    <row r="903" spans="1:7" x14ac:dyDescent="0.25">
      <c r="A903" s="1">
        <f t="shared" si="116"/>
        <v>892</v>
      </c>
      <c r="B903" s="3">
        <f t="shared" ca="1" si="113"/>
        <v>121000</v>
      </c>
      <c r="C903" s="26">
        <f t="shared" ca="1" si="114"/>
        <v>0.13852409386895714</v>
      </c>
      <c r="D903" s="26" t="str">
        <f t="shared" ca="1" si="112"/>
        <v>Lose</v>
      </c>
      <c r="E903" s="3">
        <f t="shared" ca="1" si="115"/>
        <v>-500</v>
      </c>
      <c r="F903" s="42">
        <f t="shared" si="111"/>
        <v>9.2732998438216453E-148</v>
      </c>
      <c r="G903" s="41">
        <f>SUM(F$11:F903)</f>
        <v>0.99999999999999989</v>
      </c>
    </row>
    <row r="904" spans="1:7" x14ac:dyDescent="0.25">
      <c r="A904" s="1">
        <f t="shared" si="116"/>
        <v>893</v>
      </c>
      <c r="B904" s="3">
        <f t="shared" ca="1" si="113"/>
        <v>120500</v>
      </c>
      <c r="C904" s="26">
        <f t="shared" ca="1" si="114"/>
        <v>0.46497218945277707</v>
      </c>
      <c r="D904" s="26" t="str">
        <f t="shared" ca="1" si="112"/>
        <v>Lose</v>
      </c>
      <c r="E904" s="3">
        <f t="shared" ca="1" si="115"/>
        <v>-500</v>
      </c>
      <c r="F904" s="42">
        <f t="shared" si="111"/>
        <v>1.1672951879646421E-148</v>
      </c>
      <c r="G904" s="41">
        <f>SUM(F$11:F904)</f>
        <v>0.99999999999999989</v>
      </c>
    </row>
    <row r="905" spans="1:7" x14ac:dyDescent="0.25">
      <c r="A905" s="1">
        <f t="shared" si="116"/>
        <v>894</v>
      </c>
      <c r="B905" s="3">
        <f t="shared" ca="1" si="113"/>
        <v>120000</v>
      </c>
      <c r="C905" s="26">
        <f t="shared" ca="1" si="114"/>
        <v>0.2870600020057632</v>
      </c>
      <c r="D905" s="26" t="str">
        <f t="shared" ca="1" si="112"/>
        <v>Lose</v>
      </c>
      <c r="E905" s="3">
        <f t="shared" ca="1" si="115"/>
        <v>-500</v>
      </c>
      <c r="F905" s="42">
        <f t="shared" si="111"/>
        <v>1.4541226865551378E-149</v>
      </c>
      <c r="G905" s="41">
        <f>SUM(F$11:F905)</f>
        <v>0.99999999999999989</v>
      </c>
    </row>
    <row r="906" spans="1:7" x14ac:dyDescent="0.25">
      <c r="A906" s="1">
        <f t="shared" si="116"/>
        <v>895</v>
      </c>
      <c r="B906" s="3">
        <f t="shared" ca="1" si="113"/>
        <v>119500</v>
      </c>
      <c r="C906" s="26">
        <f t="shared" ca="1" si="114"/>
        <v>0.40047122395907309</v>
      </c>
      <c r="D906" s="26" t="str">
        <f t="shared" ca="1" si="112"/>
        <v>Lose</v>
      </c>
      <c r="E906" s="3">
        <f t="shared" ca="1" si="115"/>
        <v>-500</v>
      </c>
      <c r="F906" s="42">
        <f t="shared" si="111"/>
        <v>1.792495096002058E-150</v>
      </c>
      <c r="G906" s="41">
        <f>SUM(F$11:F906)</f>
        <v>0.99999999999999989</v>
      </c>
    </row>
    <row r="907" spans="1:7" x14ac:dyDescent="0.25">
      <c r="A907" s="1">
        <f t="shared" si="116"/>
        <v>896</v>
      </c>
      <c r="B907" s="3">
        <f t="shared" ca="1" si="113"/>
        <v>120000</v>
      </c>
      <c r="C907" s="26">
        <f t="shared" ca="1" si="114"/>
        <v>0.94166304467236217</v>
      </c>
      <c r="D907" s="26" t="str">
        <f t="shared" ca="1" si="112"/>
        <v>Win</v>
      </c>
      <c r="E907" s="3">
        <f t="shared" ca="1" si="115"/>
        <v>500</v>
      </c>
      <c r="F907" s="42">
        <f t="shared" si="111"/>
        <v>2.1863181575917309E-151</v>
      </c>
      <c r="G907" s="41">
        <f>SUM(F$11:F907)</f>
        <v>0.99999999999999989</v>
      </c>
    </row>
    <row r="908" spans="1:7" x14ac:dyDescent="0.25">
      <c r="A908" s="1">
        <f t="shared" si="116"/>
        <v>897</v>
      </c>
      <c r="B908" s="3">
        <f t="shared" ca="1" si="113"/>
        <v>119500</v>
      </c>
      <c r="C908" s="26">
        <f t="shared" ca="1" si="114"/>
        <v>0.17856497034069241</v>
      </c>
      <c r="D908" s="26" t="str">
        <f t="shared" ca="1" si="112"/>
        <v>Lose</v>
      </c>
      <c r="E908" s="3">
        <f t="shared" ca="1" si="115"/>
        <v>-500</v>
      </c>
      <c r="F908" s="42">
        <f t="shared" ref="F908:F971" si="117">_xlfn.BINOM.DIST(A908,$A$1011,$B$1,FALSE)</f>
        <v>2.6383253720715649E-152</v>
      </c>
      <c r="G908" s="41">
        <f>SUM(F$11:F908)</f>
        <v>0.99999999999999989</v>
      </c>
    </row>
    <row r="909" spans="1:7" x14ac:dyDescent="0.25">
      <c r="A909" s="1">
        <f t="shared" si="116"/>
        <v>898</v>
      </c>
      <c r="B909" s="3">
        <f t="shared" ca="1" si="113"/>
        <v>120000</v>
      </c>
      <c r="C909" s="26">
        <f t="shared" ca="1" si="114"/>
        <v>0.5837328608642931</v>
      </c>
      <c r="D909" s="26" t="str">
        <f t="shared" ref="D909:D972" ca="1" si="118">IF(C909&gt;$B$2,"Win","Lose")</f>
        <v>Win</v>
      </c>
      <c r="E909" s="3">
        <f t="shared" ca="1" si="115"/>
        <v>500</v>
      </c>
      <c r="F909" s="42">
        <f t="shared" si="117"/>
        <v>3.1496575563595659E-153</v>
      </c>
      <c r="G909" s="41">
        <f>SUM(F$11:F909)</f>
        <v>0.99999999999999989</v>
      </c>
    </row>
    <row r="910" spans="1:7" x14ac:dyDescent="0.25">
      <c r="A910" s="1">
        <f t="shared" si="116"/>
        <v>899</v>
      </c>
      <c r="B910" s="3">
        <f t="shared" ref="B910:B973" ca="1" si="119">B909+E910</f>
        <v>120500</v>
      </c>
      <c r="C910" s="26">
        <f t="shared" ref="C910:C973" ca="1" si="120">RAND()</f>
        <v>0.53324920367513984</v>
      </c>
      <c r="D910" s="26" t="str">
        <f t="shared" ca="1" si="118"/>
        <v>Win</v>
      </c>
      <c r="E910" s="3">
        <f t="shared" ref="E910:E973" ca="1" si="121">IF(D910="Win",$B$4,-$B$4)</f>
        <v>500</v>
      </c>
      <c r="F910" s="42">
        <f t="shared" si="117"/>
        <v>3.7194430564984922E-154</v>
      </c>
      <c r="G910" s="41">
        <f>SUM(F$11:F910)</f>
        <v>0.99999999999999989</v>
      </c>
    </row>
    <row r="911" spans="1:7" x14ac:dyDescent="0.25">
      <c r="A911" s="1">
        <f t="shared" si="116"/>
        <v>900</v>
      </c>
      <c r="B911" s="3">
        <f t="shared" ca="1" si="119"/>
        <v>121000</v>
      </c>
      <c r="C911" s="26">
        <f t="shared" ca="1" si="120"/>
        <v>0.77827037765777796</v>
      </c>
      <c r="D911" s="26" t="str">
        <f t="shared" ca="1" si="118"/>
        <v>Win</v>
      </c>
      <c r="E911" s="3">
        <f t="shared" ca="1" si="121"/>
        <v>500</v>
      </c>
      <c r="F911" s="42">
        <f t="shared" si="117"/>
        <v>4.3444106993250645E-155</v>
      </c>
      <c r="G911" s="41">
        <f>SUM(F$11:F911)</f>
        <v>0.99999999999999989</v>
      </c>
    </row>
    <row r="912" spans="1:7" x14ac:dyDescent="0.25">
      <c r="A912" s="1">
        <f t="shared" si="116"/>
        <v>901</v>
      </c>
      <c r="B912" s="3">
        <f t="shared" ca="1" si="119"/>
        <v>121500</v>
      </c>
      <c r="C912" s="26">
        <f t="shared" ca="1" si="120"/>
        <v>0.49947631021481942</v>
      </c>
      <c r="D912" s="26" t="str">
        <f t="shared" ca="1" si="118"/>
        <v>Win</v>
      </c>
      <c r="E912" s="3">
        <f t="shared" ca="1" si="121"/>
        <v>500</v>
      </c>
      <c r="F912" s="42">
        <f t="shared" si="117"/>
        <v>5.0185722364175341E-156</v>
      </c>
      <c r="G912" s="41">
        <f>SUM(F$11:F912)</f>
        <v>0.99999999999999989</v>
      </c>
    </row>
    <row r="913" spans="1:7" x14ac:dyDescent="0.25">
      <c r="A913" s="1">
        <f t="shared" si="116"/>
        <v>902</v>
      </c>
      <c r="B913" s="3">
        <f t="shared" ca="1" si="119"/>
        <v>121000</v>
      </c>
      <c r="C913" s="26">
        <f t="shared" ca="1" si="120"/>
        <v>4.2944536737912209E-3</v>
      </c>
      <c r="D913" s="26" t="str">
        <f t="shared" ca="1" si="118"/>
        <v>Lose</v>
      </c>
      <c r="E913" s="3">
        <f t="shared" ca="1" si="121"/>
        <v>-500</v>
      </c>
      <c r="F913" s="42">
        <f t="shared" si="117"/>
        <v>5.7330130824178292E-157</v>
      </c>
      <c r="G913" s="41">
        <f>SUM(F$11:F913)</f>
        <v>0.99999999999999989</v>
      </c>
    </row>
    <row r="914" spans="1:7" x14ac:dyDescent="0.25">
      <c r="A914" s="1">
        <f t="shared" si="116"/>
        <v>903</v>
      </c>
      <c r="B914" s="3">
        <f t="shared" ca="1" si="119"/>
        <v>121500</v>
      </c>
      <c r="C914" s="26">
        <f t="shared" ca="1" si="120"/>
        <v>0.58151632096222017</v>
      </c>
      <c r="D914" s="26" t="str">
        <f t="shared" ca="1" si="118"/>
        <v>Win</v>
      </c>
      <c r="E914" s="3">
        <f t="shared" ca="1" si="121"/>
        <v>500</v>
      </c>
      <c r="F914" s="42">
        <f t="shared" si="117"/>
        <v>6.4758287309705913E-158</v>
      </c>
      <c r="G914" s="41">
        <f>SUM(F$11:F914)</f>
        <v>0.99999999999999989</v>
      </c>
    </row>
    <row r="915" spans="1:7" x14ac:dyDescent="0.25">
      <c r="A915" s="1">
        <f t="shared" si="116"/>
        <v>904</v>
      </c>
      <c r="B915" s="3">
        <f t="shared" ca="1" si="119"/>
        <v>121000</v>
      </c>
      <c r="C915" s="26">
        <f t="shared" ca="1" si="120"/>
        <v>1.9796228728924281E-2</v>
      </c>
      <c r="D915" s="26" t="str">
        <f t="shared" ca="1" si="118"/>
        <v>Lose</v>
      </c>
      <c r="E915" s="3">
        <f t="shared" ca="1" si="121"/>
        <v>-500</v>
      </c>
      <c r="F915" s="42">
        <f t="shared" si="117"/>
        <v>7.232238742122856E-159</v>
      </c>
      <c r="G915" s="41">
        <f>SUM(F$11:F915)</f>
        <v>0.99999999999999989</v>
      </c>
    </row>
    <row r="916" spans="1:7" x14ac:dyDescent="0.25">
      <c r="A916" s="1">
        <f t="shared" si="116"/>
        <v>905</v>
      </c>
      <c r="B916" s="3">
        <f t="shared" ca="1" si="119"/>
        <v>120500</v>
      </c>
      <c r="C916" s="26">
        <f t="shared" ca="1" si="120"/>
        <v>0.13849261720993</v>
      </c>
      <c r="D916" s="26" t="str">
        <f t="shared" ca="1" si="118"/>
        <v>Lose</v>
      </c>
      <c r="E916" s="3">
        <f t="shared" ca="1" si="121"/>
        <v>-500</v>
      </c>
      <c r="F916" s="42">
        <f t="shared" si="117"/>
        <v>7.9849004129971076E-160</v>
      </c>
      <c r="G916" s="41">
        <f>SUM(F$11:F916)</f>
        <v>0.99999999999999989</v>
      </c>
    </row>
    <row r="917" spans="1:7" x14ac:dyDescent="0.25">
      <c r="A917" s="1">
        <f t="shared" si="116"/>
        <v>906</v>
      </c>
      <c r="B917" s="3">
        <f t="shared" ca="1" si="119"/>
        <v>120000</v>
      </c>
      <c r="C917" s="26">
        <f t="shared" ca="1" si="120"/>
        <v>0.1324305238916853</v>
      </c>
      <c r="D917" s="26" t="str">
        <f t="shared" ca="1" si="118"/>
        <v>Lose</v>
      </c>
      <c r="E917" s="3">
        <f t="shared" ca="1" si="121"/>
        <v>-500</v>
      </c>
      <c r="F917" s="42">
        <f t="shared" si="117"/>
        <v>8.7144304412699563E-161</v>
      </c>
      <c r="G917" s="41">
        <f>SUM(F$11:F917)</f>
        <v>0.99999999999999989</v>
      </c>
    </row>
    <row r="918" spans="1:7" x14ac:dyDescent="0.25">
      <c r="A918" s="1">
        <f t="shared" si="116"/>
        <v>907</v>
      </c>
      <c r="B918" s="3">
        <f t="shared" ca="1" si="119"/>
        <v>120500</v>
      </c>
      <c r="C918" s="26">
        <f t="shared" ca="1" si="120"/>
        <v>0.62327731405771314</v>
      </c>
      <c r="D918" s="26" t="str">
        <f t="shared" ca="1" si="118"/>
        <v>Win</v>
      </c>
      <c r="E918" s="3">
        <f t="shared" ca="1" si="121"/>
        <v>500</v>
      </c>
      <c r="F918" s="42">
        <f t="shared" si="117"/>
        <v>9.4001258995667839E-162</v>
      </c>
      <c r="G918" s="41">
        <f>SUM(F$11:F918)</f>
        <v>0.99999999999999989</v>
      </c>
    </row>
    <row r="919" spans="1:7" x14ac:dyDescent="0.25">
      <c r="A919" s="1">
        <f t="shared" si="116"/>
        <v>908</v>
      </c>
      <c r="B919" s="3">
        <f t="shared" ca="1" si="119"/>
        <v>121000</v>
      </c>
      <c r="C919" s="26">
        <f t="shared" ca="1" si="120"/>
        <v>0.97193761906107923</v>
      </c>
      <c r="D919" s="26" t="str">
        <f t="shared" ca="1" si="118"/>
        <v>Win</v>
      </c>
      <c r="E919" s="3">
        <f t="shared" ca="1" si="121"/>
        <v>500</v>
      </c>
      <c r="F919" s="42">
        <f t="shared" si="117"/>
        <v>1.0020857039837245E-162</v>
      </c>
      <c r="G919" s="41">
        <f>SUM(F$11:F919)</f>
        <v>0.99999999999999989</v>
      </c>
    </row>
    <row r="920" spans="1:7" x14ac:dyDescent="0.25">
      <c r="A920" s="1">
        <f t="shared" si="116"/>
        <v>909</v>
      </c>
      <c r="B920" s="3">
        <f t="shared" ca="1" si="119"/>
        <v>121500</v>
      </c>
      <c r="C920" s="26">
        <f t="shared" ca="1" si="120"/>
        <v>0.89965076414405198</v>
      </c>
      <c r="D920" s="26" t="str">
        <f t="shared" ca="1" si="118"/>
        <v>Win</v>
      </c>
      <c r="E920" s="3">
        <f t="shared" ca="1" si="121"/>
        <v>500</v>
      </c>
      <c r="F920" s="42">
        <f t="shared" si="117"/>
        <v>1.0556085680814627E-163</v>
      </c>
      <c r="G920" s="41">
        <f>SUM(F$11:F920)</f>
        <v>0.99999999999999989</v>
      </c>
    </row>
    <row r="921" spans="1:7" x14ac:dyDescent="0.25">
      <c r="A921" s="1">
        <f t="shared" si="116"/>
        <v>910</v>
      </c>
      <c r="B921" s="3">
        <f t="shared" ca="1" si="119"/>
        <v>121000</v>
      </c>
      <c r="C921" s="26">
        <f t="shared" ca="1" si="120"/>
        <v>6.7714051666958763E-2</v>
      </c>
      <c r="D921" s="26" t="str">
        <f t="shared" ca="1" si="118"/>
        <v>Lose</v>
      </c>
      <c r="E921" s="3">
        <f t="shared" ca="1" si="121"/>
        <v>-500</v>
      </c>
      <c r="F921" s="42">
        <f t="shared" si="117"/>
        <v>1.0986946320847296E-164</v>
      </c>
      <c r="G921" s="41">
        <f>SUM(F$11:F921)</f>
        <v>0.99999999999999989</v>
      </c>
    </row>
    <row r="922" spans="1:7" x14ac:dyDescent="0.25">
      <c r="A922" s="1">
        <f t="shared" si="116"/>
        <v>911</v>
      </c>
      <c r="B922" s="3">
        <f t="shared" ca="1" si="119"/>
        <v>121500</v>
      </c>
      <c r="C922" s="26">
        <f t="shared" ca="1" si="120"/>
        <v>0.59599437340181338</v>
      </c>
      <c r="D922" s="26" t="str">
        <f t="shared" ca="1" si="118"/>
        <v>Win</v>
      </c>
      <c r="E922" s="3">
        <f t="shared" ca="1" si="121"/>
        <v>500</v>
      </c>
      <c r="F922" s="42">
        <f t="shared" si="117"/>
        <v>1.1297314817242962E-165</v>
      </c>
      <c r="G922" s="41">
        <f>SUM(F$11:F922)</f>
        <v>0.99999999999999989</v>
      </c>
    </row>
    <row r="923" spans="1:7" x14ac:dyDescent="0.25">
      <c r="A923" s="1">
        <f t="shared" si="116"/>
        <v>912</v>
      </c>
      <c r="B923" s="3">
        <f t="shared" ca="1" si="119"/>
        <v>122000</v>
      </c>
      <c r="C923" s="26">
        <f t="shared" ca="1" si="120"/>
        <v>0.76839064850663663</v>
      </c>
      <c r="D923" s="26" t="str">
        <f t="shared" ca="1" si="118"/>
        <v>Win</v>
      </c>
      <c r="E923" s="3">
        <f t="shared" ca="1" si="121"/>
        <v>500</v>
      </c>
      <c r="F923" s="42">
        <f t="shared" si="117"/>
        <v>1.1474783377072176E-166</v>
      </c>
      <c r="G923" s="41">
        <f>SUM(F$11:F923)</f>
        <v>0.99999999999999989</v>
      </c>
    </row>
    <row r="924" spans="1:7" x14ac:dyDescent="0.25">
      <c r="A924" s="1">
        <f t="shared" si="116"/>
        <v>913</v>
      </c>
      <c r="B924" s="3">
        <f t="shared" ca="1" si="119"/>
        <v>121500</v>
      </c>
      <c r="C924" s="26">
        <f t="shared" ca="1" si="120"/>
        <v>0.44024998495156886</v>
      </c>
      <c r="D924" s="26" t="str">
        <f t="shared" ca="1" si="118"/>
        <v>Lose</v>
      </c>
      <c r="E924" s="3">
        <f t="shared" ca="1" si="121"/>
        <v>-500</v>
      </c>
      <c r="F924" s="42">
        <f t="shared" si="117"/>
        <v>1.1511462055190011E-167</v>
      </c>
      <c r="G924" s="41">
        <f>SUM(F$11:F924)</f>
        <v>0.99999999999999989</v>
      </c>
    </row>
    <row r="925" spans="1:7" x14ac:dyDescent="0.25">
      <c r="A925" s="1">
        <f t="shared" si="116"/>
        <v>914</v>
      </c>
      <c r="B925" s="3">
        <f t="shared" ca="1" si="119"/>
        <v>122000</v>
      </c>
      <c r="C925" s="26">
        <f t="shared" ca="1" si="120"/>
        <v>0.50937314296221736</v>
      </c>
      <c r="D925" s="26" t="str">
        <f t="shared" ca="1" si="118"/>
        <v>Win</v>
      </c>
      <c r="E925" s="3">
        <f t="shared" ca="1" si="121"/>
        <v>500</v>
      </c>
      <c r="F925" s="42">
        <f t="shared" si="117"/>
        <v>1.1404536493297258E-168</v>
      </c>
      <c r="G925" s="41">
        <f>SUM(F$11:F925)</f>
        <v>0.99999999999999989</v>
      </c>
    </row>
    <row r="926" spans="1:7" x14ac:dyDescent="0.25">
      <c r="A926" s="1">
        <f t="shared" si="116"/>
        <v>915</v>
      </c>
      <c r="B926" s="3">
        <f t="shared" ca="1" si="119"/>
        <v>122500</v>
      </c>
      <c r="C926" s="26">
        <f t="shared" ca="1" si="120"/>
        <v>0.98982881238293852</v>
      </c>
      <c r="D926" s="26" t="str">
        <f t="shared" ca="1" si="118"/>
        <v>Win</v>
      </c>
      <c r="E926" s="3">
        <f t="shared" ca="1" si="121"/>
        <v>500</v>
      </c>
      <c r="F926" s="42">
        <f t="shared" si="117"/>
        <v>1.1156528841218516E-169</v>
      </c>
      <c r="G926" s="41">
        <f>SUM(F$11:F926)</f>
        <v>0.99999999999999989</v>
      </c>
    </row>
    <row r="927" spans="1:7" x14ac:dyDescent="0.25">
      <c r="A927" s="1">
        <f t="shared" si="116"/>
        <v>916</v>
      </c>
      <c r="B927" s="3">
        <f t="shared" ca="1" si="119"/>
        <v>122000</v>
      </c>
      <c r="C927" s="26">
        <f t="shared" ca="1" si="120"/>
        <v>0.4464673956409162</v>
      </c>
      <c r="D927" s="26" t="str">
        <f t="shared" ca="1" si="118"/>
        <v>Lose</v>
      </c>
      <c r="E927" s="3">
        <f t="shared" ca="1" si="121"/>
        <v>-500</v>
      </c>
      <c r="F927" s="42">
        <f t="shared" si="117"/>
        <v>1.0775232271340981E-170</v>
      </c>
      <c r="G927" s="41">
        <f>SUM(F$11:F927)</f>
        <v>0.99999999999999989</v>
      </c>
    </row>
    <row r="928" spans="1:7" x14ac:dyDescent="0.25">
      <c r="A928" s="1">
        <f t="shared" si="116"/>
        <v>917</v>
      </c>
      <c r="B928" s="3">
        <f t="shared" ca="1" si="119"/>
        <v>121500</v>
      </c>
      <c r="C928" s="26">
        <f t="shared" ca="1" si="120"/>
        <v>0.38288777987313283</v>
      </c>
      <c r="D928" s="26" t="str">
        <f t="shared" ca="1" si="118"/>
        <v>Lose</v>
      </c>
      <c r="E928" s="3">
        <f t="shared" ca="1" si="121"/>
        <v>-500</v>
      </c>
      <c r="F928" s="42">
        <f t="shared" si="117"/>
        <v>1.0273316949773671E-171</v>
      </c>
      <c r="G928" s="41">
        <f>SUM(F$11:F928)</f>
        <v>0.99999999999999989</v>
      </c>
    </row>
    <row r="929" spans="1:7" x14ac:dyDescent="0.25">
      <c r="A929" s="1">
        <f t="shared" si="116"/>
        <v>918</v>
      </c>
      <c r="B929" s="3">
        <f t="shared" ca="1" si="119"/>
        <v>121000</v>
      </c>
      <c r="C929" s="26">
        <f t="shared" ca="1" si="120"/>
        <v>0.11321182544636044</v>
      </c>
      <c r="D929" s="26" t="str">
        <f t="shared" ca="1" si="118"/>
        <v>Lose</v>
      </c>
      <c r="E929" s="3">
        <f t="shared" ca="1" si="121"/>
        <v>-500</v>
      </c>
      <c r="F929" s="42">
        <f t="shared" si="117"/>
        <v>9.6676338642996786E-173</v>
      </c>
      <c r="G929" s="41">
        <f>SUM(F$11:F929)</f>
        <v>0.99999999999999989</v>
      </c>
    </row>
    <row r="930" spans="1:7" x14ac:dyDescent="0.25">
      <c r="A930" s="1">
        <f t="shared" si="116"/>
        <v>919</v>
      </c>
      <c r="B930" s="3">
        <f t="shared" ca="1" si="119"/>
        <v>121500</v>
      </c>
      <c r="C930" s="26">
        <f t="shared" ca="1" si="120"/>
        <v>0.51649854271268292</v>
      </c>
      <c r="D930" s="26" t="str">
        <f t="shared" ca="1" si="118"/>
        <v>Win</v>
      </c>
      <c r="E930" s="3">
        <f t="shared" ca="1" si="121"/>
        <v>500</v>
      </c>
      <c r="F930" s="42">
        <f t="shared" si="117"/>
        <v>8.9782693745427141E-174</v>
      </c>
      <c r="G930" s="41">
        <f>SUM(F$11:F930)</f>
        <v>0.99999999999999989</v>
      </c>
    </row>
    <row r="931" spans="1:7" x14ac:dyDescent="0.25">
      <c r="A931" s="1">
        <f t="shared" si="116"/>
        <v>920</v>
      </c>
      <c r="B931" s="3">
        <f t="shared" ca="1" si="119"/>
        <v>121000</v>
      </c>
      <c r="C931" s="26">
        <f t="shared" ca="1" si="120"/>
        <v>0.43877798972219229</v>
      </c>
      <c r="D931" s="26" t="str">
        <f t="shared" ca="1" si="118"/>
        <v>Lose</v>
      </c>
      <c r="E931" s="3">
        <f t="shared" ca="1" si="121"/>
        <v>-500</v>
      </c>
      <c r="F931" s="42">
        <f t="shared" si="117"/>
        <v>8.2274247529354481E-175</v>
      </c>
      <c r="G931" s="41">
        <f>SUM(F$11:F931)</f>
        <v>0.99999999999999989</v>
      </c>
    </row>
    <row r="932" spans="1:7" x14ac:dyDescent="0.25">
      <c r="A932" s="1">
        <f t="shared" si="116"/>
        <v>921</v>
      </c>
      <c r="B932" s="3">
        <f t="shared" ca="1" si="119"/>
        <v>120500</v>
      </c>
      <c r="C932" s="26">
        <f t="shared" ca="1" si="120"/>
        <v>0.25855812843615156</v>
      </c>
      <c r="D932" s="26" t="str">
        <f t="shared" ca="1" si="118"/>
        <v>Lose</v>
      </c>
      <c r="E932" s="3">
        <f t="shared" ca="1" si="121"/>
        <v>-500</v>
      </c>
      <c r="F932" s="42">
        <f t="shared" si="117"/>
        <v>7.4382089104519826E-176</v>
      </c>
      <c r="G932" s="41">
        <f>SUM(F$11:F932)</f>
        <v>0.99999999999999989</v>
      </c>
    </row>
    <row r="933" spans="1:7" x14ac:dyDescent="0.25">
      <c r="A933" s="1">
        <f t="shared" si="116"/>
        <v>922</v>
      </c>
      <c r="B933" s="3">
        <f t="shared" ca="1" si="119"/>
        <v>121000</v>
      </c>
      <c r="C933" s="26">
        <f t="shared" ca="1" si="120"/>
        <v>0.68109907387981661</v>
      </c>
      <c r="D933" s="26" t="str">
        <f t="shared" ca="1" si="118"/>
        <v>Win</v>
      </c>
      <c r="E933" s="3">
        <f t="shared" ca="1" si="121"/>
        <v>500</v>
      </c>
      <c r="F933" s="42">
        <f t="shared" si="117"/>
        <v>6.6334374474764411E-177</v>
      </c>
      <c r="G933" s="41">
        <f>SUM(F$11:F933)</f>
        <v>0.99999999999999989</v>
      </c>
    </row>
    <row r="934" spans="1:7" x14ac:dyDescent="0.25">
      <c r="A934" s="1">
        <f t="shared" si="116"/>
        <v>923</v>
      </c>
      <c r="B934" s="3">
        <f t="shared" ca="1" si="119"/>
        <v>120500</v>
      </c>
      <c r="C934" s="26">
        <f t="shared" ca="1" si="120"/>
        <v>0.42191929448884924</v>
      </c>
      <c r="D934" s="26" t="str">
        <f t="shared" ca="1" si="118"/>
        <v>Lose</v>
      </c>
      <c r="E934" s="3">
        <f t="shared" ca="1" si="121"/>
        <v>-500</v>
      </c>
      <c r="F934" s="42">
        <f t="shared" si="117"/>
        <v>5.8345267574818641E-178</v>
      </c>
      <c r="G934" s="41">
        <f>SUM(F$11:F934)</f>
        <v>0.99999999999999989</v>
      </c>
    </row>
    <row r="935" spans="1:7" x14ac:dyDescent="0.25">
      <c r="A935" s="1">
        <f t="shared" si="116"/>
        <v>924</v>
      </c>
      <c r="B935" s="3">
        <f t="shared" ca="1" si="119"/>
        <v>121000</v>
      </c>
      <c r="C935" s="26">
        <f t="shared" ca="1" si="120"/>
        <v>0.67053162556881818</v>
      </c>
      <c r="D935" s="26" t="str">
        <f t="shared" ca="1" si="118"/>
        <v>Win</v>
      </c>
      <c r="E935" s="3">
        <f t="shared" ca="1" si="121"/>
        <v>500</v>
      </c>
      <c r="F935" s="42">
        <f t="shared" si="117"/>
        <v>5.0605589223053883E-179</v>
      </c>
      <c r="G935" s="41">
        <f>SUM(F$11:F935)</f>
        <v>0.99999999999999989</v>
      </c>
    </row>
    <row r="936" spans="1:7" x14ac:dyDescent="0.25">
      <c r="A936" s="1">
        <f t="shared" si="116"/>
        <v>925</v>
      </c>
      <c r="B936" s="3">
        <f t="shared" ca="1" si="119"/>
        <v>120500</v>
      </c>
      <c r="C936" s="26">
        <f t="shared" ca="1" si="120"/>
        <v>0.32265492695322806</v>
      </c>
      <c r="D936" s="26" t="str">
        <f t="shared" ca="1" si="118"/>
        <v>Lose</v>
      </c>
      <c r="E936" s="3">
        <f t="shared" ca="1" si="121"/>
        <v>-500</v>
      </c>
      <c r="F936" s="42">
        <f t="shared" si="117"/>
        <v>4.3275733883855739E-180</v>
      </c>
      <c r="G936" s="41">
        <f>SUM(F$11:F936)</f>
        <v>0.99999999999999989</v>
      </c>
    </row>
    <row r="937" spans="1:7" x14ac:dyDescent="0.25">
      <c r="A937" s="1">
        <f t="shared" si="116"/>
        <v>926</v>
      </c>
      <c r="B937" s="3">
        <f t="shared" ca="1" si="119"/>
        <v>121000</v>
      </c>
      <c r="C937" s="26">
        <f t="shared" ca="1" si="120"/>
        <v>0.54134034992177782</v>
      </c>
      <c r="D937" s="26" t="str">
        <f t="shared" ca="1" si="118"/>
        <v>Win</v>
      </c>
      <c r="E937" s="3">
        <f t="shared" ca="1" si="121"/>
        <v>500</v>
      </c>
      <c r="F937" s="42">
        <f t="shared" si="117"/>
        <v>3.6481174704838145E-181</v>
      </c>
      <c r="G937" s="41">
        <f>SUM(F$11:F937)</f>
        <v>0.99999999999999989</v>
      </c>
    </row>
    <row r="938" spans="1:7" x14ac:dyDescent="0.25">
      <c r="A938" s="1">
        <f t="shared" si="116"/>
        <v>927</v>
      </c>
      <c r="B938" s="3">
        <f t="shared" ca="1" si="119"/>
        <v>121500</v>
      </c>
      <c r="C938" s="26">
        <f t="shared" ca="1" si="120"/>
        <v>0.99873201388787913</v>
      </c>
      <c r="D938" s="26" t="str">
        <f t="shared" ca="1" si="118"/>
        <v>Win</v>
      </c>
      <c r="E938" s="3">
        <f t="shared" ca="1" si="121"/>
        <v>500</v>
      </c>
      <c r="F938" s="42">
        <f t="shared" si="117"/>
        <v>3.0310625307898817E-182</v>
      </c>
      <c r="G938" s="41">
        <f>SUM(F$11:F938)</f>
        <v>0.99999999999999989</v>
      </c>
    </row>
    <row r="939" spans="1:7" x14ac:dyDescent="0.25">
      <c r="A939" s="1">
        <f t="shared" si="116"/>
        <v>928</v>
      </c>
      <c r="B939" s="3">
        <f t="shared" ca="1" si="119"/>
        <v>121000</v>
      </c>
      <c r="C939" s="26">
        <f t="shared" ca="1" si="120"/>
        <v>0.35463625128810949</v>
      </c>
      <c r="D939" s="26" t="str">
        <f t="shared" ca="1" si="118"/>
        <v>Lose</v>
      </c>
      <c r="E939" s="3">
        <f t="shared" ca="1" si="121"/>
        <v>-500</v>
      </c>
      <c r="F939" s="42">
        <f t="shared" si="117"/>
        <v>2.4816691155283719E-183</v>
      </c>
      <c r="G939" s="41">
        <f>SUM(F$11:F939)</f>
        <v>0.99999999999999989</v>
      </c>
    </row>
    <row r="940" spans="1:7" x14ac:dyDescent="0.25">
      <c r="A940" s="1">
        <f t="shared" si="116"/>
        <v>929</v>
      </c>
      <c r="B940" s="3">
        <f t="shared" ca="1" si="119"/>
        <v>120500</v>
      </c>
      <c r="C940" s="26">
        <f t="shared" ca="1" si="120"/>
        <v>0.47268799195471001</v>
      </c>
      <c r="D940" s="26" t="str">
        <f t="shared" ca="1" si="118"/>
        <v>Lose</v>
      </c>
      <c r="E940" s="3">
        <f t="shared" ca="1" si="121"/>
        <v>-500</v>
      </c>
      <c r="F940" s="42">
        <f t="shared" si="117"/>
        <v>2.0018648518752594E-184</v>
      </c>
      <c r="G940" s="41">
        <f>SUM(F$11:F940)</f>
        <v>0.99999999999999989</v>
      </c>
    </row>
    <row r="941" spans="1:7" x14ac:dyDescent="0.25">
      <c r="A941" s="1">
        <f t="shared" si="116"/>
        <v>930</v>
      </c>
      <c r="B941" s="3">
        <f t="shared" ca="1" si="119"/>
        <v>121000</v>
      </c>
      <c r="C941" s="26">
        <f t="shared" ca="1" si="120"/>
        <v>0.6795208572060335</v>
      </c>
      <c r="D941" s="26" t="str">
        <f t="shared" ca="1" si="118"/>
        <v>Win</v>
      </c>
      <c r="E941" s="3">
        <f t="shared" ca="1" si="121"/>
        <v>500</v>
      </c>
      <c r="F941" s="42">
        <f t="shared" si="117"/>
        <v>1.5906852377966783E-185</v>
      </c>
      <c r="G941" s="41">
        <f>SUM(F$11:F941)</f>
        <v>0.99999999999999989</v>
      </c>
    </row>
    <row r="942" spans="1:7" x14ac:dyDescent="0.25">
      <c r="A942" s="1">
        <f t="shared" si="116"/>
        <v>931</v>
      </c>
      <c r="B942" s="3">
        <f t="shared" ca="1" si="119"/>
        <v>121500</v>
      </c>
      <c r="C942" s="26">
        <f t="shared" ca="1" si="120"/>
        <v>0.68470440619475703</v>
      </c>
      <c r="D942" s="26" t="str">
        <f t="shared" ca="1" si="118"/>
        <v>Win</v>
      </c>
      <c r="E942" s="3">
        <f t="shared" ca="1" si="121"/>
        <v>500</v>
      </c>
      <c r="F942" s="42">
        <f t="shared" si="117"/>
        <v>1.244820425466206E-186</v>
      </c>
      <c r="G942" s="41">
        <f>SUM(F$11:F942)</f>
        <v>0.99999999999999989</v>
      </c>
    </row>
    <row r="943" spans="1:7" x14ac:dyDescent="0.25">
      <c r="A943" s="1">
        <f t="shared" si="116"/>
        <v>932</v>
      </c>
      <c r="B943" s="3">
        <f t="shared" ca="1" si="119"/>
        <v>122000</v>
      </c>
      <c r="C943" s="26">
        <f t="shared" ca="1" si="120"/>
        <v>0.96028395526981736</v>
      </c>
      <c r="D943" s="26" t="str">
        <f t="shared" ca="1" si="118"/>
        <v>Win</v>
      </c>
      <c r="E943" s="3">
        <f t="shared" ca="1" si="121"/>
        <v>500</v>
      </c>
      <c r="F943" s="42">
        <f t="shared" si="117"/>
        <v>9.5921062389760518E-188</v>
      </c>
      <c r="G943" s="41">
        <f>SUM(F$11:F943)</f>
        <v>0.99999999999999989</v>
      </c>
    </row>
    <row r="944" spans="1:7" x14ac:dyDescent="0.25">
      <c r="A944" s="1">
        <f t="shared" si="116"/>
        <v>933</v>
      </c>
      <c r="B944" s="3">
        <f t="shared" ca="1" si="119"/>
        <v>122500</v>
      </c>
      <c r="C944" s="26">
        <f t="shared" ca="1" si="120"/>
        <v>0.54440224471054444</v>
      </c>
      <c r="D944" s="26" t="str">
        <f t="shared" ca="1" si="118"/>
        <v>Win</v>
      </c>
      <c r="E944" s="3">
        <f t="shared" ca="1" si="121"/>
        <v>500</v>
      </c>
      <c r="F944" s="42">
        <f t="shared" si="117"/>
        <v>7.2763795605067294E-189</v>
      </c>
      <c r="G944" s="41">
        <f>SUM(F$11:F944)</f>
        <v>0.99999999999999989</v>
      </c>
    </row>
    <row r="945" spans="1:7" x14ac:dyDescent="0.25">
      <c r="A945" s="1">
        <f t="shared" si="116"/>
        <v>934</v>
      </c>
      <c r="B945" s="3">
        <f t="shared" ca="1" si="119"/>
        <v>122000</v>
      </c>
      <c r="C945" s="26">
        <f t="shared" ca="1" si="120"/>
        <v>0.43277574493512094</v>
      </c>
      <c r="D945" s="26" t="str">
        <f t="shared" ca="1" si="118"/>
        <v>Lose</v>
      </c>
      <c r="E945" s="3">
        <f t="shared" ca="1" si="121"/>
        <v>-500</v>
      </c>
      <c r="F945" s="42">
        <f t="shared" si="117"/>
        <v>5.432720569473298E-190</v>
      </c>
      <c r="G945" s="41">
        <f>SUM(F$11:F945)</f>
        <v>0.99999999999999989</v>
      </c>
    </row>
    <row r="946" spans="1:7" x14ac:dyDescent="0.25">
      <c r="A946" s="1">
        <f>A945+1</f>
        <v>935</v>
      </c>
      <c r="B946" s="3">
        <f t="shared" ca="1" si="119"/>
        <v>122500</v>
      </c>
      <c r="C946" s="26">
        <f t="shared" ca="1" si="120"/>
        <v>0.55309953076811647</v>
      </c>
      <c r="D946" s="26" t="str">
        <f t="shared" ca="1" si="118"/>
        <v>Win</v>
      </c>
      <c r="E946" s="3">
        <f t="shared" ca="1" si="121"/>
        <v>500</v>
      </c>
      <c r="F946" s="42">
        <f t="shared" si="117"/>
        <v>3.9913865408376591E-191</v>
      </c>
      <c r="G946" s="41">
        <f>SUM(F$11:F946)</f>
        <v>0.99999999999999989</v>
      </c>
    </row>
    <row r="947" spans="1:7" x14ac:dyDescent="0.25">
      <c r="A947" s="1">
        <f t="shared" ref="A947:A1010" si="122">A946+1</f>
        <v>936</v>
      </c>
      <c r="B947" s="3">
        <f t="shared" ca="1" si="119"/>
        <v>122000</v>
      </c>
      <c r="C947" s="26">
        <f t="shared" ca="1" si="120"/>
        <v>0.13372290183287061</v>
      </c>
      <c r="D947" s="26" t="str">
        <f t="shared" ca="1" si="118"/>
        <v>Lose</v>
      </c>
      <c r="E947" s="3">
        <f t="shared" ca="1" si="121"/>
        <v>-500</v>
      </c>
      <c r="F947" s="42">
        <f t="shared" si="117"/>
        <v>2.8849307480542765E-192</v>
      </c>
      <c r="G947" s="41">
        <f>SUM(F$11:F947)</f>
        <v>0.99999999999999989</v>
      </c>
    </row>
    <row r="948" spans="1:7" x14ac:dyDescent="0.25">
      <c r="A948" s="1">
        <f t="shared" si="122"/>
        <v>937</v>
      </c>
      <c r="B948" s="3">
        <f t="shared" ca="1" si="119"/>
        <v>121500</v>
      </c>
      <c r="C948" s="26">
        <f t="shared" ca="1" si="120"/>
        <v>0.26397447271725616</v>
      </c>
      <c r="D948" s="26" t="str">
        <f t="shared" ca="1" si="118"/>
        <v>Lose</v>
      </c>
      <c r="E948" s="3">
        <f t="shared" ca="1" si="121"/>
        <v>-500</v>
      </c>
      <c r="F948" s="42">
        <f t="shared" si="117"/>
        <v>2.0509254375994338E-193</v>
      </c>
      <c r="G948" s="41">
        <f>SUM(F$11:F948)</f>
        <v>0.99999999999999989</v>
      </c>
    </row>
    <row r="949" spans="1:7" x14ac:dyDescent="0.25">
      <c r="A949" s="1">
        <f t="shared" si="122"/>
        <v>938</v>
      </c>
      <c r="B949" s="3">
        <f t="shared" ca="1" si="119"/>
        <v>121000</v>
      </c>
      <c r="C949" s="26">
        <f t="shared" ca="1" si="120"/>
        <v>0.2779936148693225</v>
      </c>
      <c r="D949" s="26" t="str">
        <f t="shared" ca="1" si="118"/>
        <v>Lose</v>
      </c>
      <c r="E949" s="3">
        <f t="shared" ca="1" si="121"/>
        <v>-500</v>
      </c>
      <c r="F949" s="42">
        <f t="shared" si="117"/>
        <v>1.4337112029516496E-194</v>
      </c>
      <c r="G949" s="41">
        <f>SUM(F$11:F949)</f>
        <v>0.99999999999999989</v>
      </c>
    </row>
    <row r="950" spans="1:7" x14ac:dyDescent="0.25">
      <c r="A950" s="1">
        <f t="shared" si="122"/>
        <v>939</v>
      </c>
      <c r="B950" s="3">
        <f t="shared" ca="1" si="119"/>
        <v>121500</v>
      </c>
      <c r="C950" s="26">
        <f t="shared" ca="1" si="120"/>
        <v>0.88344339683108741</v>
      </c>
      <c r="D950" s="26" t="str">
        <f t="shared" ca="1" si="118"/>
        <v>Win</v>
      </c>
      <c r="E950" s="3">
        <f t="shared" ca="1" si="121"/>
        <v>500</v>
      </c>
      <c r="F950" s="42">
        <f t="shared" si="117"/>
        <v>9.8528500222399497E-196</v>
      </c>
      <c r="G950" s="41">
        <f>SUM(F$11:F950)</f>
        <v>0.99999999999999989</v>
      </c>
    </row>
    <row r="951" spans="1:7" x14ac:dyDescent="0.25">
      <c r="A951" s="1">
        <f t="shared" si="122"/>
        <v>940</v>
      </c>
      <c r="B951" s="3">
        <f t="shared" ca="1" si="119"/>
        <v>122000</v>
      </c>
      <c r="C951" s="26">
        <f t="shared" ca="1" si="120"/>
        <v>0.63093335230038394</v>
      </c>
      <c r="D951" s="26" t="str">
        <f t="shared" ca="1" si="118"/>
        <v>Win</v>
      </c>
      <c r="E951" s="3">
        <f t="shared" ca="1" si="121"/>
        <v>500</v>
      </c>
      <c r="F951" s="42">
        <f t="shared" si="117"/>
        <v>6.6548450758119936E-197</v>
      </c>
      <c r="G951" s="41">
        <f>SUM(F$11:F951)</f>
        <v>0.99999999999999989</v>
      </c>
    </row>
    <row r="952" spans="1:7" x14ac:dyDescent="0.25">
      <c r="A952" s="1">
        <f t="shared" si="122"/>
        <v>941</v>
      </c>
      <c r="B952" s="3">
        <f t="shared" ca="1" si="119"/>
        <v>121500</v>
      </c>
      <c r="C952" s="26">
        <f t="shared" ca="1" si="120"/>
        <v>0.37188186202964524</v>
      </c>
      <c r="D952" s="26" t="str">
        <f t="shared" ca="1" si="118"/>
        <v>Lose</v>
      </c>
      <c r="E952" s="3">
        <f t="shared" ca="1" si="121"/>
        <v>-500</v>
      </c>
      <c r="F952" s="42">
        <f t="shared" si="117"/>
        <v>4.4164536060174076E-198</v>
      </c>
      <c r="G952" s="41">
        <f>SUM(F$11:F952)</f>
        <v>0.99999999999999989</v>
      </c>
    </row>
    <row r="953" spans="1:7" x14ac:dyDescent="0.25">
      <c r="A953" s="1">
        <f t="shared" si="122"/>
        <v>942</v>
      </c>
      <c r="B953" s="3">
        <f t="shared" ca="1" si="119"/>
        <v>121000</v>
      </c>
      <c r="C953" s="26">
        <f t="shared" ca="1" si="120"/>
        <v>0.11241160196233935</v>
      </c>
      <c r="D953" s="26" t="str">
        <f t="shared" ca="1" si="118"/>
        <v>Lose</v>
      </c>
      <c r="E953" s="3">
        <f t="shared" ca="1" si="121"/>
        <v>-500</v>
      </c>
      <c r="F953" s="42">
        <f t="shared" si="117"/>
        <v>2.8790478141392466E-199</v>
      </c>
      <c r="G953" s="41">
        <f>SUM(F$11:F953)</f>
        <v>0.99999999999999989</v>
      </c>
    </row>
    <row r="954" spans="1:7" x14ac:dyDescent="0.25">
      <c r="A954" s="1">
        <f t="shared" si="122"/>
        <v>943</v>
      </c>
      <c r="B954" s="3">
        <f t="shared" ca="1" si="119"/>
        <v>120500</v>
      </c>
      <c r="C954" s="26">
        <f t="shared" ca="1" si="120"/>
        <v>0.30553179294053201</v>
      </c>
      <c r="D954" s="26" t="str">
        <f t="shared" ca="1" si="118"/>
        <v>Lose</v>
      </c>
      <c r="E954" s="3">
        <f t="shared" ca="1" si="121"/>
        <v>-500</v>
      </c>
      <c r="F954" s="42">
        <f t="shared" si="117"/>
        <v>1.8430591542891904E-200</v>
      </c>
      <c r="G954" s="41">
        <f>SUM(F$11:F954)</f>
        <v>0.99999999999999989</v>
      </c>
    </row>
    <row r="955" spans="1:7" x14ac:dyDescent="0.25">
      <c r="A955" s="1">
        <f t="shared" si="122"/>
        <v>944</v>
      </c>
      <c r="B955" s="3">
        <f t="shared" ca="1" si="119"/>
        <v>120000</v>
      </c>
      <c r="C955" s="26">
        <f t="shared" ca="1" si="120"/>
        <v>5.498225179730809E-2</v>
      </c>
      <c r="D955" s="26" t="str">
        <f t="shared" ca="1" si="118"/>
        <v>Lose</v>
      </c>
      <c r="E955" s="3">
        <f t="shared" ca="1" si="121"/>
        <v>-500</v>
      </c>
      <c r="F955" s="42">
        <f t="shared" si="117"/>
        <v>1.158287132808595E-201</v>
      </c>
      <c r="G955" s="41">
        <f>SUM(F$11:F955)</f>
        <v>0.99999999999999989</v>
      </c>
    </row>
    <row r="956" spans="1:7" x14ac:dyDescent="0.25">
      <c r="A956" s="1">
        <f t="shared" si="122"/>
        <v>945</v>
      </c>
      <c r="B956" s="3">
        <f t="shared" ca="1" si="119"/>
        <v>119500</v>
      </c>
      <c r="C956" s="26">
        <f t="shared" ca="1" si="120"/>
        <v>0.38104366824902236</v>
      </c>
      <c r="D956" s="26" t="str">
        <f t="shared" ca="1" si="118"/>
        <v>Lose</v>
      </c>
      <c r="E956" s="3">
        <f t="shared" ca="1" si="121"/>
        <v>-500</v>
      </c>
      <c r="F956" s="42">
        <f t="shared" si="117"/>
        <v>7.1440839030364797E-203</v>
      </c>
      <c r="G956" s="41">
        <f>SUM(F$11:F956)</f>
        <v>0.99999999999999989</v>
      </c>
    </row>
    <row r="957" spans="1:7" x14ac:dyDescent="0.25">
      <c r="A957" s="1">
        <f t="shared" si="122"/>
        <v>946</v>
      </c>
      <c r="B957" s="3">
        <f t="shared" ca="1" si="119"/>
        <v>119000</v>
      </c>
      <c r="C957" s="26">
        <f t="shared" ca="1" si="120"/>
        <v>0.33770491819279713</v>
      </c>
      <c r="D957" s="26" t="str">
        <f t="shared" ca="1" si="118"/>
        <v>Lose</v>
      </c>
      <c r="E957" s="3">
        <f t="shared" ca="1" si="121"/>
        <v>-500</v>
      </c>
      <c r="F957" s="42">
        <f t="shared" si="117"/>
        <v>4.3230692816193618E-204</v>
      </c>
      <c r="G957" s="41">
        <f>SUM(F$11:F957)</f>
        <v>0.99999999999999989</v>
      </c>
    </row>
    <row r="958" spans="1:7" x14ac:dyDescent="0.25">
      <c r="A958" s="1">
        <f t="shared" si="122"/>
        <v>947</v>
      </c>
      <c r="B958" s="3">
        <f t="shared" ca="1" si="119"/>
        <v>118500</v>
      </c>
      <c r="C958" s="26">
        <f t="shared" ca="1" si="120"/>
        <v>0.48483655359895905</v>
      </c>
      <c r="D958" s="26" t="str">
        <f t="shared" ca="1" si="118"/>
        <v>Lose</v>
      </c>
      <c r="E958" s="3">
        <f t="shared" ca="1" si="121"/>
        <v>-500</v>
      </c>
      <c r="F958" s="42">
        <f t="shared" si="117"/>
        <v>2.5657248026160473E-205</v>
      </c>
      <c r="G958" s="41">
        <f>SUM(F$11:F958)</f>
        <v>0.99999999999999989</v>
      </c>
    </row>
    <row r="959" spans="1:7" x14ac:dyDescent="0.25">
      <c r="A959" s="1">
        <f t="shared" si="122"/>
        <v>948</v>
      </c>
      <c r="B959" s="3">
        <f t="shared" ca="1" si="119"/>
        <v>119000</v>
      </c>
      <c r="C959" s="26">
        <f t="shared" ca="1" si="120"/>
        <v>0.85405825961226123</v>
      </c>
      <c r="D959" s="26" t="str">
        <f t="shared" ca="1" si="118"/>
        <v>Win</v>
      </c>
      <c r="E959" s="3">
        <f t="shared" ca="1" si="121"/>
        <v>500</v>
      </c>
      <c r="F959" s="42">
        <f t="shared" si="117"/>
        <v>1.492972130687811E-206</v>
      </c>
      <c r="G959" s="41">
        <f>SUM(F$11:F959)</f>
        <v>0.99999999999999989</v>
      </c>
    </row>
    <row r="960" spans="1:7" x14ac:dyDescent="0.25">
      <c r="A960" s="1">
        <f t="shared" si="122"/>
        <v>949</v>
      </c>
      <c r="B960" s="3">
        <f t="shared" ca="1" si="119"/>
        <v>119500</v>
      </c>
      <c r="C960" s="26">
        <f t="shared" ca="1" si="120"/>
        <v>0.7105407741866101</v>
      </c>
      <c r="D960" s="26" t="str">
        <f t="shared" ca="1" si="118"/>
        <v>Win</v>
      </c>
      <c r="E960" s="3">
        <f t="shared" ca="1" si="121"/>
        <v>500</v>
      </c>
      <c r="F960" s="42">
        <f t="shared" si="117"/>
        <v>8.5145740749332898E-208</v>
      </c>
      <c r="G960" s="41">
        <f>SUM(F$11:F960)</f>
        <v>0.99999999999999989</v>
      </c>
    </row>
    <row r="961" spans="1:7" x14ac:dyDescent="0.25">
      <c r="A961" s="1">
        <f t="shared" si="122"/>
        <v>950</v>
      </c>
      <c r="B961" s="3">
        <f t="shared" ca="1" si="119"/>
        <v>119000</v>
      </c>
      <c r="C961" s="26">
        <f t="shared" ca="1" si="120"/>
        <v>0.22773288718701878</v>
      </c>
      <c r="D961" s="26" t="str">
        <f t="shared" ca="1" si="118"/>
        <v>Lose</v>
      </c>
      <c r="E961" s="3">
        <f t="shared" ca="1" si="121"/>
        <v>-500</v>
      </c>
      <c r="F961" s="42">
        <f t="shared" si="117"/>
        <v>4.7575525604511719E-209</v>
      </c>
      <c r="G961" s="41">
        <f>SUM(F$11:F961)</f>
        <v>0.99999999999999989</v>
      </c>
    </row>
    <row r="962" spans="1:7" x14ac:dyDescent="0.25">
      <c r="A962" s="1">
        <f t="shared" si="122"/>
        <v>951</v>
      </c>
      <c r="B962" s="3">
        <f t="shared" ca="1" si="119"/>
        <v>118500</v>
      </c>
      <c r="C962" s="26">
        <f t="shared" ca="1" si="120"/>
        <v>0.12245557050198452</v>
      </c>
      <c r="D962" s="26" t="str">
        <f t="shared" ca="1" si="118"/>
        <v>Lose</v>
      </c>
      <c r="E962" s="3">
        <f t="shared" ca="1" si="121"/>
        <v>-500</v>
      </c>
      <c r="F962" s="42">
        <f t="shared" si="117"/>
        <v>2.6034376336720967E-210</v>
      </c>
      <c r="G962" s="41">
        <f>SUM(F$11:F962)</f>
        <v>0.99999999999999989</v>
      </c>
    </row>
    <row r="963" spans="1:7" x14ac:dyDescent="0.25">
      <c r="A963" s="1">
        <f t="shared" si="122"/>
        <v>952</v>
      </c>
      <c r="B963" s="3">
        <f t="shared" ca="1" si="119"/>
        <v>118000</v>
      </c>
      <c r="C963" s="26">
        <f t="shared" ca="1" si="120"/>
        <v>8.0002014372744568E-2</v>
      </c>
      <c r="D963" s="26" t="str">
        <f t="shared" ca="1" si="118"/>
        <v>Lose</v>
      </c>
      <c r="E963" s="3">
        <f t="shared" ca="1" si="121"/>
        <v>-500</v>
      </c>
      <c r="F963" s="42">
        <f t="shared" si="117"/>
        <v>1.3946987323243957E-211</v>
      </c>
      <c r="G963" s="41">
        <f>SUM(F$11:F963)</f>
        <v>0.99999999999999989</v>
      </c>
    </row>
    <row r="964" spans="1:7" x14ac:dyDescent="0.25">
      <c r="A964" s="1">
        <f t="shared" si="122"/>
        <v>953</v>
      </c>
      <c r="B964" s="3">
        <f t="shared" ca="1" si="119"/>
        <v>118500</v>
      </c>
      <c r="C964" s="26">
        <f t="shared" ca="1" si="120"/>
        <v>0.57258858811290969</v>
      </c>
      <c r="D964" s="26" t="str">
        <f t="shared" ca="1" si="118"/>
        <v>Win</v>
      </c>
      <c r="E964" s="3">
        <f t="shared" ca="1" si="121"/>
        <v>500</v>
      </c>
      <c r="F964" s="42">
        <f t="shared" si="117"/>
        <v>7.3114386293123642E-213</v>
      </c>
      <c r="G964" s="41">
        <f>SUM(F$11:F964)</f>
        <v>0.99999999999999989</v>
      </c>
    </row>
    <row r="965" spans="1:7" x14ac:dyDescent="0.25">
      <c r="A965" s="1">
        <f t="shared" si="122"/>
        <v>954</v>
      </c>
      <c r="B965" s="3">
        <f t="shared" ca="1" si="119"/>
        <v>119000</v>
      </c>
      <c r="C965" s="26">
        <f t="shared" ca="1" si="120"/>
        <v>0.62369487150154101</v>
      </c>
      <c r="D965" s="26" t="str">
        <f t="shared" ca="1" si="118"/>
        <v>Win</v>
      </c>
      <c r="E965" s="3">
        <f t="shared" ca="1" si="121"/>
        <v>500</v>
      </c>
      <c r="F965" s="42">
        <f t="shared" si="117"/>
        <v>3.7490947662822922E-214</v>
      </c>
      <c r="G965" s="41">
        <f>SUM(F$11:F965)</f>
        <v>0.99999999999999989</v>
      </c>
    </row>
    <row r="966" spans="1:7" x14ac:dyDescent="0.25">
      <c r="A966" s="1">
        <f t="shared" si="122"/>
        <v>955</v>
      </c>
      <c r="B966" s="3">
        <f t="shared" ca="1" si="119"/>
        <v>118500</v>
      </c>
      <c r="C966" s="26">
        <f t="shared" ca="1" si="120"/>
        <v>0.32330160326578228</v>
      </c>
      <c r="D966" s="26" t="str">
        <f t="shared" ca="1" si="118"/>
        <v>Lose</v>
      </c>
      <c r="E966" s="3">
        <f t="shared" ca="1" si="121"/>
        <v>-500</v>
      </c>
      <c r="F966" s="42">
        <f t="shared" si="117"/>
        <v>1.8795547220211975E-215</v>
      </c>
      <c r="G966" s="41">
        <f>SUM(F$11:F966)</f>
        <v>0.99999999999999989</v>
      </c>
    </row>
    <row r="967" spans="1:7" x14ac:dyDescent="0.25">
      <c r="A967" s="1">
        <f t="shared" si="122"/>
        <v>956</v>
      </c>
      <c r="B967" s="3">
        <f t="shared" ca="1" si="119"/>
        <v>118000</v>
      </c>
      <c r="C967" s="26">
        <f t="shared" ca="1" si="120"/>
        <v>0.422291941391015</v>
      </c>
      <c r="D967" s="26" t="str">
        <f t="shared" ca="1" si="118"/>
        <v>Lose</v>
      </c>
      <c r="E967" s="3">
        <f t="shared" ca="1" si="121"/>
        <v>-500</v>
      </c>
      <c r="F967" s="42">
        <f t="shared" si="117"/>
        <v>9.2083897340927444E-217</v>
      </c>
      <c r="G967" s="41">
        <f>SUM(F$11:F967)</f>
        <v>0.99999999999999989</v>
      </c>
    </row>
    <row r="968" spans="1:7" x14ac:dyDescent="0.25">
      <c r="A968" s="1">
        <f t="shared" si="122"/>
        <v>957</v>
      </c>
      <c r="B968" s="3">
        <f t="shared" ca="1" si="119"/>
        <v>118500</v>
      </c>
      <c r="C968" s="26">
        <f t="shared" ca="1" si="120"/>
        <v>0.55532803618527582</v>
      </c>
      <c r="D968" s="26" t="str">
        <f t="shared" ca="1" si="118"/>
        <v>Win</v>
      </c>
      <c r="E968" s="3">
        <f t="shared" ca="1" si="121"/>
        <v>500</v>
      </c>
      <c r="F968" s="42">
        <f t="shared" si="117"/>
        <v>4.4065482189886514E-218</v>
      </c>
      <c r="G968" s="41">
        <f>SUM(F$11:F968)</f>
        <v>0.99999999999999989</v>
      </c>
    </row>
    <row r="969" spans="1:7" x14ac:dyDescent="0.25">
      <c r="A969" s="1">
        <f t="shared" si="122"/>
        <v>958</v>
      </c>
      <c r="B969" s="3">
        <f t="shared" ca="1" si="119"/>
        <v>119000</v>
      </c>
      <c r="C969" s="26">
        <f t="shared" ca="1" si="120"/>
        <v>0.7391913569894909</v>
      </c>
      <c r="D969" s="26" t="str">
        <f t="shared" ca="1" si="118"/>
        <v>Win</v>
      </c>
      <c r="E969" s="3">
        <f t="shared" ca="1" si="121"/>
        <v>500</v>
      </c>
      <c r="F969" s="42">
        <f t="shared" si="117"/>
        <v>2.0586170687750289E-219</v>
      </c>
      <c r="G969" s="41">
        <f>SUM(F$11:F969)</f>
        <v>0.99999999999999989</v>
      </c>
    </row>
    <row r="970" spans="1:7" x14ac:dyDescent="0.25">
      <c r="A970" s="1">
        <f t="shared" si="122"/>
        <v>959</v>
      </c>
      <c r="B970" s="3">
        <f t="shared" ca="1" si="119"/>
        <v>119500</v>
      </c>
      <c r="C970" s="26">
        <f t="shared" ca="1" si="120"/>
        <v>0.90279138673373038</v>
      </c>
      <c r="D970" s="26" t="str">
        <f t="shared" ca="1" si="118"/>
        <v>Win</v>
      </c>
      <c r="E970" s="3">
        <f t="shared" ca="1" si="121"/>
        <v>500</v>
      </c>
      <c r="F970" s="42">
        <f t="shared" si="117"/>
        <v>9.383834694550355E-221</v>
      </c>
      <c r="G970" s="41">
        <f>SUM(F$11:F970)</f>
        <v>0.99999999999999989</v>
      </c>
    </row>
    <row r="971" spans="1:7" x14ac:dyDescent="0.25">
      <c r="A971" s="1">
        <f t="shared" si="122"/>
        <v>960</v>
      </c>
      <c r="B971" s="3">
        <f t="shared" ca="1" si="119"/>
        <v>120000</v>
      </c>
      <c r="C971" s="26">
        <f t="shared" ca="1" si="120"/>
        <v>0.50054129204703834</v>
      </c>
      <c r="D971" s="26" t="str">
        <f t="shared" ca="1" si="118"/>
        <v>Win</v>
      </c>
      <c r="E971" s="3">
        <f t="shared" ca="1" si="121"/>
        <v>500</v>
      </c>
      <c r="F971" s="42">
        <f t="shared" si="117"/>
        <v>4.1712581518499768E-222</v>
      </c>
      <c r="G971" s="41">
        <f>SUM(F$11:F971)</f>
        <v>0.99999999999999989</v>
      </c>
    </row>
    <row r="972" spans="1:7" x14ac:dyDescent="0.25">
      <c r="A972" s="1">
        <f t="shared" si="122"/>
        <v>961</v>
      </c>
      <c r="B972" s="3">
        <f t="shared" ca="1" si="119"/>
        <v>119500</v>
      </c>
      <c r="C972" s="26">
        <f t="shared" ca="1" si="120"/>
        <v>0.19672876062886202</v>
      </c>
      <c r="D972" s="26" t="str">
        <f t="shared" ca="1" si="118"/>
        <v>Lose</v>
      </c>
      <c r="E972" s="3">
        <f t="shared" ca="1" si="121"/>
        <v>-500</v>
      </c>
      <c r="F972" s="42">
        <f t="shared" ref="F972:F1011" si="123">_xlfn.BINOM.DIST(A972,$A$1011,$B$1,FALSE)</f>
        <v>1.8070816177396442E-223</v>
      </c>
      <c r="G972" s="41">
        <f>SUM(F$11:F972)</f>
        <v>0.99999999999999989</v>
      </c>
    </row>
    <row r="973" spans="1:7" x14ac:dyDescent="0.25">
      <c r="A973" s="1">
        <f t="shared" si="122"/>
        <v>962</v>
      </c>
      <c r="B973" s="3">
        <f t="shared" ca="1" si="119"/>
        <v>120000</v>
      </c>
      <c r="C973" s="26">
        <f t="shared" ca="1" si="120"/>
        <v>0.83470659989321894</v>
      </c>
      <c r="D973" s="26" t="str">
        <f t="shared" ref="D973:D1011" ca="1" si="124">IF(C973&gt;$B$2,"Win","Lose")</f>
        <v>Win</v>
      </c>
      <c r="E973" s="3">
        <f t="shared" ca="1" si="121"/>
        <v>500</v>
      </c>
      <c r="F973" s="42">
        <f t="shared" si="123"/>
        <v>7.6250272342573741E-225</v>
      </c>
      <c r="G973" s="41">
        <f>SUM(F$11:F973)</f>
        <v>0.99999999999999989</v>
      </c>
    </row>
    <row r="974" spans="1:7" x14ac:dyDescent="0.25">
      <c r="A974" s="1">
        <f t="shared" si="122"/>
        <v>963</v>
      </c>
      <c r="B974" s="3">
        <f t="shared" ref="B974:B1011" ca="1" si="125">B973+E974</f>
        <v>119500</v>
      </c>
      <c r="C974" s="26">
        <f t="shared" ref="C974:C1011" ca="1" si="126">RAND()</f>
        <v>5.0125702297724395E-2</v>
      </c>
      <c r="D974" s="26" t="str">
        <f t="shared" ca="1" si="124"/>
        <v>Lose</v>
      </c>
      <c r="E974" s="3">
        <f t="shared" ref="E974:E1011" ca="1" si="127">IF(D974="Win",$B$4,-$B$4)</f>
        <v>-500</v>
      </c>
      <c r="F974" s="42">
        <f t="shared" si="123"/>
        <v>3.1316470171852673E-226</v>
      </c>
      <c r="G974" s="41">
        <f>SUM(F$11:F974)</f>
        <v>0.99999999999999989</v>
      </c>
    </row>
    <row r="975" spans="1:7" x14ac:dyDescent="0.25">
      <c r="A975" s="1">
        <f t="shared" si="122"/>
        <v>964</v>
      </c>
      <c r="B975" s="3">
        <f t="shared" ca="1" si="125"/>
        <v>119000</v>
      </c>
      <c r="C975" s="26">
        <f t="shared" ca="1" si="126"/>
        <v>0.14720651724064182</v>
      </c>
      <c r="D975" s="26" t="str">
        <f t="shared" ca="1" si="124"/>
        <v>Lose</v>
      </c>
      <c r="E975" s="3">
        <f t="shared" ca="1" si="127"/>
        <v>-500</v>
      </c>
      <c r="F975" s="42">
        <f t="shared" si="123"/>
        <v>1.2510411384171978E-227</v>
      </c>
      <c r="G975" s="41">
        <f>SUM(F$11:F975)</f>
        <v>0.99999999999999989</v>
      </c>
    </row>
    <row r="976" spans="1:7" x14ac:dyDescent="0.25">
      <c r="A976" s="1">
        <f t="shared" si="122"/>
        <v>965</v>
      </c>
      <c r="B976" s="3">
        <f t="shared" ca="1" si="125"/>
        <v>119500</v>
      </c>
      <c r="C976" s="26">
        <f t="shared" ca="1" si="126"/>
        <v>0.52881525771742766</v>
      </c>
      <c r="D976" s="26" t="str">
        <f t="shared" ca="1" si="124"/>
        <v>Win</v>
      </c>
      <c r="E976" s="3">
        <f t="shared" ca="1" si="127"/>
        <v>500</v>
      </c>
      <c r="F976" s="42">
        <f t="shared" si="123"/>
        <v>4.8575902085952544E-229</v>
      </c>
      <c r="G976" s="41">
        <f>SUM(F$11:F976)</f>
        <v>0.99999999999999989</v>
      </c>
    </row>
    <row r="977" spans="1:7" x14ac:dyDescent="0.25">
      <c r="A977" s="1">
        <f t="shared" si="122"/>
        <v>966</v>
      </c>
      <c r="B977" s="3">
        <f t="shared" ca="1" si="125"/>
        <v>119000</v>
      </c>
      <c r="C977" s="26">
        <f t="shared" ca="1" si="126"/>
        <v>4.0132512609077242E-2</v>
      </c>
      <c r="D977" s="26" t="str">
        <f t="shared" ca="1" si="124"/>
        <v>Lose</v>
      </c>
      <c r="E977" s="3">
        <f t="shared" ca="1" si="127"/>
        <v>-500</v>
      </c>
      <c r="F977" s="42">
        <f t="shared" si="123"/>
        <v>1.8318330422831875E-230</v>
      </c>
      <c r="G977" s="41">
        <f>SUM(F$11:F977)</f>
        <v>0.99999999999999989</v>
      </c>
    </row>
    <row r="978" spans="1:7" x14ac:dyDescent="0.25">
      <c r="A978" s="1">
        <f t="shared" si="122"/>
        <v>967</v>
      </c>
      <c r="B978" s="3">
        <f t="shared" ca="1" si="125"/>
        <v>118500</v>
      </c>
      <c r="C978" s="26">
        <f t="shared" ca="1" si="126"/>
        <v>0.39730313511099824</v>
      </c>
      <c r="D978" s="26" t="str">
        <f t="shared" ca="1" si="124"/>
        <v>Lose</v>
      </c>
      <c r="E978" s="3">
        <f t="shared" ca="1" si="127"/>
        <v>-500</v>
      </c>
      <c r="F978" s="42">
        <f t="shared" si="123"/>
        <v>6.7036669170773747E-232</v>
      </c>
      <c r="G978" s="41">
        <f>SUM(F$11:F978)</f>
        <v>0.99999999999999989</v>
      </c>
    </row>
    <row r="979" spans="1:7" x14ac:dyDescent="0.25">
      <c r="A979" s="1">
        <f t="shared" si="122"/>
        <v>968</v>
      </c>
      <c r="B979" s="3">
        <f t="shared" ca="1" si="125"/>
        <v>119000</v>
      </c>
      <c r="C979" s="26">
        <f t="shared" ca="1" si="126"/>
        <v>0.98445245912732882</v>
      </c>
      <c r="D979" s="26" t="str">
        <f t="shared" ca="1" si="124"/>
        <v>Win</v>
      </c>
      <c r="E979" s="3">
        <f t="shared" ca="1" si="127"/>
        <v>500</v>
      </c>
      <c r="F979" s="42">
        <f t="shared" si="123"/>
        <v>2.3786202187216536E-233</v>
      </c>
      <c r="G979" s="41">
        <f>SUM(F$11:F979)</f>
        <v>0.99999999999999989</v>
      </c>
    </row>
    <row r="980" spans="1:7" x14ac:dyDescent="0.25">
      <c r="A980" s="1">
        <f t="shared" si="122"/>
        <v>969</v>
      </c>
      <c r="B980" s="3">
        <f t="shared" ca="1" si="125"/>
        <v>118500</v>
      </c>
      <c r="C980" s="26">
        <f t="shared" ca="1" si="126"/>
        <v>2.1993275746503005E-2</v>
      </c>
      <c r="D980" s="26" t="str">
        <f t="shared" ca="1" si="124"/>
        <v>Lose</v>
      </c>
      <c r="E980" s="3">
        <f t="shared" ca="1" si="127"/>
        <v>-500</v>
      </c>
      <c r="F980" s="42">
        <f t="shared" si="123"/>
        <v>8.1757085928139429E-235</v>
      </c>
      <c r="G980" s="41">
        <f>SUM(F$11:F980)</f>
        <v>0.99999999999999989</v>
      </c>
    </row>
    <row r="981" spans="1:7" x14ac:dyDescent="0.25">
      <c r="A981" s="1">
        <f t="shared" si="122"/>
        <v>970</v>
      </c>
      <c r="B981" s="3">
        <f t="shared" ca="1" si="125"/>
        <v>118000</v>
      </c>
      <c r="C981" s="26">
        <f t="shared" ca="1" si="126"/>
        <v>0.21490263597860437</v>
      </c>
      <c r="D981" s="26" t="str">
        <f t="shared" ca="1" si="124"/>
        <v>Lose</v>
      </c>
      <c r="E981" s="3">
        <f t="shared" ca="1" si="127"/>
        <v>-500</v>
      </c>
      <c r="F981" s="42">
        <f t="shared" si="123"/>
        <v>2.7195024795368791E-236</v>
      </c>
      <c r="G981" s="41">
        <f>SUM(F$11:F981)</f>
        <v>0.99999999999999989</v>
      </c>
    </row>
    <row r="982" spans="1:7" x14ac:dyDescent="0.25">
      <c r="A982" s="1">
        <f t="shared" si="122"/>
        <v>971</v>
      </c>
      <c r="B982" s="3">
        <f t="shared" ca="1" si="125"/>
        <v>117500</v>
      </c>
      <c r="C982" s="26">
        <f t="shared" ca="1" si="126"/>
        <v>0.21601786462909411</v>
      </c>
      <c r="D982" s="26" t="str">
        <f t="shared" ca="1" si="124"/>
        <v>Lose</v>
      </c>
      <c r="E982" s="3">
        <f t="shared" ca="1" si="127"/>
        <v>-500</v>
      </c>
      <c r="F982" s="42">
        <f t="shared" si="123"/>
        <v>8.7451161094004492E-238</v>
      </c>
      <c r="G982" s="41">
        <f>SUM(F$11:F982)</f>
        <v>0.99999999999999989</v>
      </c>
    </row>
    <row r="983" spans="1:7" x14ac:dyDescent="0.25">
      <c r="A983" s="1">
        <f t="shared" si="122"/>
        <v>972</v>
      </c>
      <c r="B983" s="3">
        <f t="shared" ca="1" si="125"/>
        <v>118000</v>
      </c>
      <c r="C983" s="26">
        <f t="shared" ca="1" si="126"/>
        <v>0.91861120556673481</v>
      </c>
      <c r="D983" s="26" t="str">
        <f t="shared" ca="1" si="124"/>
        <v>Win</v>
      </c>
      <c r="E983" s="3">
        <f t="shared" ca="1" si="127"/>
        <v>500</v>
      </c>
      <c r="F983" s="42">
        <f t="shared" si="123"/>
        <v>2.7156350730247908E-239</v>
      </c>
      <c r="G983" s="41">
        <f>SUM(F$11:F983)</f>
        <v>0.99999999999999989</v>
      </c>
    </row>
    <row r="984" spans="1:7" x14ac:dyDescent="0.25">
      <c r="A984" s="1">
        <f t="shared" si="122"/>
        <v>973</v>
      </c>
      <c r="B984" s="3">
        <f t="shared" ca="1" si="125"/>
        <v>118500</v>
      </c>
      <c r="C984" s="26">
        <f t="shared" ca="1" si="126"/>
        <v>0.62254074226084222</v>
      </c>
      <c r="D984" s="26" t="str">
        <f t="shared" ca="1" si="124"/>
        <v>Win</v>
      </c>
      <c r="E984" s="3">
        <f t="shared" ca="1" si="127"/>
        <v>500</v>
      </c>
      <c r="F984" s="42">
        <f t="shared" si="123"/>
        <v>8.1337476860518336E-241</v>
      </c>
      <c r="G984" s="41">
        <f>SUM(F$11:F984)</f>
        <v>0.99999999999999989</v>
      </c>
    </row>
    <row r="985" spans="1:7" x14ac:dyDescent="0.25">
      <c r="A985" s="1">
        <f t="shared" si="122"/>
        <v>974</v>
      </c>
      <c r="B985" s="3">
        <f t="shared" ca="1" si="125"/>
        <v>118000</v>
      </c>
      <c r="C985" s="26">
        <f t="shared" ca="1" si="126"/>
        <v>0.20280907552286831</v>
      </c>
      <c r="D985" s="26" t="str">
        <f t="shared" ca="1" si="124"/>
        <v>Lose</v>
      </c>
      <c r="E985" s="3">
        <f t="shared" ca="1" si="127"/>
        <v>-500</v>
      </c>
      <c r="F985" s="42">
        <f t="shared" si="123"/>
        <v>2.3467649842210477E-242</v>
      </c>
      <c r="G985" s="41">
        <f>SUM(F$11:F985)</f>
        <v>0.99999999999999989</v>
      </c>
    </row>
    <row r="986" spans="1:7" x14ac:dyDescent="0.25">
      <c r="A986" s="1">
        <f t="shared" si="122"/>
        <v>975</v>
      </c>
      <c r="B986" s="3">
        <f t="shared" ca="1" si="125"/>
        <v>118500</v>
      </c>
      <c r="C986" s="26">
        <f t="shared" ca="1" si="126"/>
        <v>0.54327805805411966</v>
      </c>
      <c r="D986" s="26" t="str">
        <f t="shared" ca="1" si="124"/>
        <v>Win</v>
      </c>
      <c r="E986" s="3">
        <f t="shared" ca="1" si="127"/>
        <v>500</v>
      </c>
      <c r="F986" s="42">
        <f t="shared" si="123"/>
        <v>6.5134701602866506E-244</v>
      </c>
      <c r="G986" s="41">
        <f>SUM(F$11:F986)</f>
        <v>0.99999999999999989</v>
      </c>
    </row>
    <row r="987" spans="1:7" x14ac:dyDescent="0.25">
      <c r="A987" s="1">
        <f t="shared" si="122"/>
        <v>976</v>
      </c>
      <c r="B987" s="3">
        <f t="shared" ca="1" si="125"/>
        <v>118000</v>
      </c>
      <c r="C987" s="26">
        <f t="shared" ca="1" si="126"/>
        <v>5.7902563221324588E-2</v>
      </c>
      <c r="D987" s="26" t="str">
        <f t="shared" ca="1" si="124"/>
        <v>Lose</v>
      </c>
      <c r="E987" s="3">
        <f t="shared" ca="1" si="127"/>
        <v>-500</v>
      </c>
      <c r="F987" s="42">
        <f t="shared" si="123"/>
        <v>1.7365077062492123E-245</v>
      </c>
      <c r="G987" s="41">
        <f>SUM(F$11:F987)</f>
        <v>0.99999999999999989</v>
      </c>
    </row>
    <row r="988" spans="1:7" x14ac:dyDescent="0.25">
      <c r="A988" s="1">
        <f t="shared" si="122"/>
        <v>977</v>
      </c>
      <c r="B988" s="3">
        <f t="shared" ca="1" si="125"/>
        <v>117500</v>
      </c>
      <c r="C988" s="26">
        <f t="shared" ca="1" si="126"/>
        <v>0.18919735022850814</v>
      </c>
      <c r="D988" s="26" t="str">
        <f t="shared" ca="1" si="124"/>
        <v>Lose</v>
      </c>
      <c r="E988" s="3">
        <f t="shared" ca="1" si="127"/>
        <v>-500</v>
      </c>
      <c r="F988" s="42">
        <f t="shared" si="123"/>
        <v>4.4398417321850936E-247</v>
      </c>
      <c r="G988" s="41">
        <f>SUM(F$11:F988)</f>
        <v>0.99999999999999989</v>
      </c>
    </row>
    <row r="989" spans="1:7" x14ac:dyDescent="0.25">
      <c r="A989" s="1">
        <f t="shared" si="122"/>
        <v>978</v>
      </c>
      <c r="B989" s="3">
        <f t="shared" ca="1" si="125"/>
        <v>117000</v>
      </c>
      <c r="C989" s="26">
        <f t="shared" ca="1" si="126"/>
        <v>0.2443891017718296</v>
      </c>
      <c r="D989" s="26" t="str">
        <f t="shared" ca="1" si="124"/>
        <v>Lose</v>
      </c>
      <c r="E989" s="3">
        <f t="shared" ca="1" si="127"/>
        <v>-500</v>
      </c>
      <c r="F989" s="42">
        <f t="shared" si="123"/>
        <v>1.0867522957834769E-248</v>
      </c>
      <c r="G989" s="41">
        <f>SUM(F$11:F989)</f>
        <v>0.99999999999999989</v>
      </c>
    </row>
    <row r="990" spans="1:7" x14ac:dyDescent="0.25">
      <c r="A990" s="1">
        <f t="shared" si="122"/>
        <v>979</v>
      </c>
      <c r="B990" s="3">
        <f t="shared" ca="1" si="125"/>
        <v>117500</v>
      </c>
      <c r="C990" s="26">
        <f t="shared" ca="1" si="126"/>
        <v>0.7329672907539968</v>
      </c>
      <c r="D990" s="26" t="str">
        <f t="shared" ca="1" si="124"/>
        <v>Win</v>
      </c>
      <c r="E990" s="3">
        <f t="shared" ca="1" si="127"/>
        <v>500</v>
      </c>
      <c r="F990" s="42">
        <f t="shared" si="123"/>
        <v>2.5418191738114476E-250</v>
      </c>
      <c r="G990" s="41">
        <f>SUM(F$11:F990)</f>
        <v>0.99999999999999989</v>
      </c>
    </row>
    <row r="991" spans="1:7" x14ac:dyDescent="0.25">
      <c r="A991" s="1">
        <f t="shared" si="122"/>
        <v>980</v>
      </c>
      <c r="B991" s="3">
        <f t="shared" ca="1" si="125"/>
        <v>118000</v>
      </c>
      <c r="C991" s="26">
        <f t="shared" ca="1" si="126"/>
        <v>0.74695836623549328</v>
      </c>
      <c r="D991" s="26" t="str">
        <f t="shared" ca="1" si="124"/>
        <v>Win</v>
      </c>
      <c r="E991" s="3">
        <f t="shared" ca="1" si="127"/>
        <v>500</v>
      </c>
      <c r="F991" s="42">
        <f t="shared" si="123"/>
        <v>5.6690719182673714E-252</v>
      </c>
      <c r="G991" s="41">
        <f>SUM(F$11:F991)</f>
        <v>0.99999999999999989</v>
      </c>
    </row>
    <row r="992" spans="1:7" x14ac:dyDescent="0.25">
      <c r="A992" s="1">
        <f t="shared" si="122"/>
        <v>981</v>
      </c>
      <c r="B992" s="3">
        <f t="shared" ca="1" si="125"/>
        <v>117500</v>
      </c>
      <c r="C992" s="26">
        <f t="shared" ca="1" si="126"/>
        <v>0.28580431493334379</v>
      </c>
      <c r="D992" s="26" t="str">
        <f t="shared" ca="1" si="124"/>
        <v>Lose</v>
      </c>
      <c r="E992" s="3">
        <f t="shared" ca="1" si="127"/>
        <v>-500</v>
      </c>
      <c r="F992" s="42">
        <f t="shared" si="123"/>
        <v>1.2029485440996012E-253</v>
      </c>
      <c r="G992" s="41">
        <f>SUM(F$11:F992)</f>
        <v>0.99999999999999989</v>
      </c>
    </row>
    <row r="993" spans="1:7" x14ac:dyDescent="0.25">
      <c r="A993" s="1">
        <f t="shared" si="122"/>
        <v>982</v>
      </c>
      <c r="B993" s="3">
        <f t="shared" ca="1" si="125"/>
        <v>118000</v>
      </c>
      <c r="C993" s="26">
        <f t="shared" ca="1" si="126"/>
        <v>0.83147551335726178</v>
      </c>
      <c r="D993" s="26" t="str">
        <f t="shared" ca="1" si="124"/>
        <v>Win</v>
      </c>
      <c r="E993" s="3">
        <f t="shared" ca="1" si="127"/>
        <v>500</v>
      </c>
      <c r="F993" s="42">
        <f t="shared" si="123"/>
        <v>2.422497068108731E-255</v>
      </c>
      <c r="G993" s="41">
        <f>SUM(F$11:F993)</f>
        <v>0.99999999999999989</v>
      </c>
    </row>
    <row r="994" spans="1:7" x14ac:dyDescent="0.25">
      <c r="A994" s="1">
        <f t="shared" si="122"/>
        <v>983</v>
      </c>
      <c r="B994" s="3">
        <f t="shared" ca="1" si="125"/>
        <v>117500</v>
      </c>
      <c r="C994" s="26">
        <f t="shared" ca="1" si="126"/>
        <v>0.21392503300395316</v>
      </c>
      <c r="D994" s="26" t="str">
        <f t="shared" ca="1" si="124"/>
        <v>Lose</v>
      </c>
      <c r="E994" s="3">
        <f t="shared" ca="1" si="127"/>
        <v>-500</v>
      </c>
      <c r="F994" s="42">
        <f t="shared" si="123"/>
        <v>4.6169624608630165E-257</v>
      </c>
      <c r="G994" s="41">
        <f>SUM(F$11:F994)</f>
        <v>0.99999999999999989</v>
      </c>
    </row>
    <row r="995" spans="1:7" x14ac:dyDescent="0.25">
      <c r="A995" s="1">
        <f t="shared" si="122"/>
        <v>984</v>
      </c>
      <c r="B995" s="3">
        <f t="shared" ca="1" si="125"/>
        <v>118000</v>
      </c>
      <c r="C995" s="26">
        <f t="shared" ca="1" si="126"/>
        <v>0.71631342913189777</v>
      </c>
      <c r="D995" s="26" t="str">
        <f t="shared" ca="1" si="124"/>
        <v>Win</v>
      </c>
      <c r="E995" s="3">
        <f t="shared" ca="1" si="127"/>
        <v>500</v>
      </c>
      <c r="F995" s="42">
        <f t="shared" si="123"/>
        <v>8.3020293130251394E-259</v>
      </c>
      <c r="G995" s="41">
        <f>SUM(F$11:F995)</f>
        <v>0.99999999999999989</v>
      </c>
    </row>
    <row r="996" spans="1:7" x14ac:dyDescent="0.25">
      <c r="A996" s="1">
        <f t="shared" si="122"/>
        <v>985</v>
      </c>
      <c r="B996" s="3">
        <f t="shared" ca="1" si="125"/>
        <v>118500</v>
      </c>
      <c r="C996" s="26">
        <f t="shared" ca="1" si="126"/>
        <v>0.73362176780096344</v>
      </c>
      <c r="D996" s="26" t="str">
        <f t="shared" ca="1" si="124"/>
        <v>Win</v>
      </c>
      <c r="E996" s="3">
        <f t="shared" ca="1" si="127"/>
        <v>500</v>
      </c>
      <c r="F996" s="42">
        <f t="shared" si="123"/>
        <v>1.4035959638304671E-260</v>
      </c>
      <c r="G996" s="41">
        <f>SUM(F$11:F996)</f>
        <v>0.99999999999999989</v>
      </c>
    </row>
    <row r="997" spans="1:7" x14ac:dyDescent="0.25">
      <c r="A997" s="1">
        <f t="shared" si="122"/>
        <v>986</v>
      </c>
      <c r="B997" s="3">
        <f t="shared" ca="1" si="125"/>
        <v>119000</v>
      </c>
      <c r="C997" s="26">
        <f t="shared" ca="1" si="126"/>
        <v>0.73037742716959964</v>
      </c>
      <c r="D997" s="26" t="str">
        <f t="shared" ca="1" si="124"/>
        <v>Win</v>
      </c>
      <c r="E997" s="3">
        <f t="shared" ca="1" si="127"/>
        <v>500</v>
      </c>
      <c r="F997" s="42">
        <f t="shared" si="123"/>
        <v>2.2224425887537705E-262</v>
      </c>
      <c r="G997" s="41">
        <f>SUM(F$11:F997)</f>
        <v>0.99999999999999989</v>
      </c>
    </row>
    <row r="998" spans="1:7" x14ac:dyDescent="0.25">
      <c r="A998" s="1">
        <f t="shared" si="122"/>
        <v>987</v>
      </c>
      <c r="B998" s="3">
        <f t="shared" ca="1" si="125"/>
        <v>118500</v>
      </c>
      <c r="C998" s="26">
        <f t="shared" ca="1" si="126"/>
        <v>0.14572142715301784</v>
      </c>
      <c r="D998" s="26" t="str">
        <f t="shared" ca="1" si="124"/>
        <v>Lose</v>
      </c>
      <c r="E998" s="3">
        <f t="shared" ca="1" si="127"/>
        <v>-500</v>
      </c>
      <c r="F998" s="42">
        <f t="shared" si="123"/>
        <v>3.2810702569526904E-264</v>
      </c>
      <c r="G998" s="41">
        <f>SUM(F$11:F998)</f>
        <v>0.99999999999999989</v>
      </c>
    </row>
    <row r="999" spans="1:7" x14ac:dyDescent="0.25">
      <c r="A999" s="1">
        <f t="shared" si="122"/>
        <v>988</v>
      </c>
      <c r="B999" s="3">
        <f t="shared" ca="1" si="125"/>
        <v>118000</v>
      </c>
      <c r="C999" s="26">
        <f t="shared" ca="1" si="126"/>
        <v>0.22452959345006973</v>
      </c>
      <c r="D999" s="26" t="str">
        <f t="shared" ca="1" si="124"/>
        <v>Lose</v>
      </c>
      <c r="E999" s="3">
        <f t="shared" ca="1" si="127"/>
        <v>-500</v>
      </c>
      <c r="F999" s="42">
        <f t="shared" si="123"/>
        <v>4.493409857803029E-266</v>
      </c>
      <c r="G999" s="41">
        <f>SUM(F$11:F999)</f>
        <v>0.99999999999999989</v>
      </c>
    </row>
    <row r="1000" spans="1:7" x14ac:dyDescent="0.25">
      <c r="A1000" s="1">
        <f t="shared" si="122"/>
        <v>989</v>
      </c>
      <c r="B1000" s="3">
        <f t="shared" ca="1" si="125"/>
        <v>118500</v>
      </c>
      <c r="C1000" s="26">
        <f t="shared" ca="1" si="126"/>
        <v>0.73838677289277765</v>
      </c>
      <c r="D1000" s="26" t="str">
        <f t="shared" ca="1" si="124"/>
        <v>Win</v>
      </c>
      <c r="E1000" s="3">
        <f t="shared" ca="1" si="127"/>
        <v>500</v>
      </c>
      <c r="F1000" s="42">
        <f t="shared" si="123"/>
        <v>5.674597785798204E-268</v>
      </c>
      <c r="G1000" s="41">
        <f>SUM(F$11:F1000)</f>
        <v>0.99999999999999989</v>
      </c>
    </row>
    <row r="1001" spans="1:7" x14ac:dyDescent="0.25">
      <c r="A1001" s="1">
        <f t="shared" si="122"/>
        <v>990</v>
      </c>
      <c r="B1001" s="3">
        <f t="shared" ca="1" si="125"/>
        <v>119000</v>
      </c>
      <c r="C1001" s="26">
        <f t="shared" ca="1" si="126"/>
        <v>0.80631185845216813</v>
      </c>
      <c r="D1001" s="26" t="str">
        <f t="shared" ca="1" si="124"/>
        <v>Win</v>
      </c>
      <c r="E1001" s="3">
        <f t="shared" ca="1" si="127"/>
        <v>500</v>
      </c>
      <c r="F1001" s="42">
        <f t="shared" si="123"/>
        <v>6.5624600243923825E-270</v>
      </c>
      <c r="G1001" s="41">
        <f>SUM(F$11:F1001)</f>
        <v>0.99999999999999989</v>
      </c>
    </row>
    <row r="1002" spans="1:7" x14ac:dyDescent="0.25">
      <c r="A1002" s="1">
        <f t="shared" si="122"/>
        <v>991</v>
      </c>
      <c r="B1002" s="3">
        <f t="shared" ca="1" si="125"/>
        <v>119500</v>
      </c>
      <c r="C1002" s="26">
        <f t="shared" ca="1" si="126"/>
        <v>0.80327812582250924</v>
      </c>
      <c r="D1002" s="26" t="str">
        <f t="shared" ca="1" si="124"/>
        <v>Win</v>
      </c>
      <c r="E1002" s="3">
        <f t="shared" ca="1" si="127"/>
        <v>500</v>
      </c>
      <c r="F1002" s="42">
        <f t="shared" si="123"/>
        <v>6.8923466554918482E-272</v>
      </c>
      <c r="G1002" s="41">
        <f>SUM(F$11:F1002)</f>
        <v>0.99999999999999989</v>
      </c>
    </row>
    <row r="1003" spans="1:7" x14ac:dyDescent="0.25">
      <c r="A1003" s="1">
        <f t="shared" si="122"/>
        <v>992</v>
      </c>
      <c r="B1003" s="3">
        <f t="shared" ca="1" si="125"/>
        <v>120000</v>
      </c>
      <c r="C1003" s="26">
        <f t="shared" ca="1" si="126"/>
        <v>0.92573181123840087</v>
      </c>
      <c r="D1003" s="26" t="str">
        <f t="shared" ca="1" si="124"/>
        <v>Win</v>
      </c>
      <c r="E1003" s="3">
        <f t="shared" ca="1" si="127"/>
        <v>500</v>
      </c>
      <c r="F1003" s="42">
        <f t="shared" si="123"/>
        <v>6.5083671718048859E-274</v>
      </c>
      <c r="G1003" s="41">
        <f>SUM(F$11:F1003)</f>
        <v>0.99999999999999989</v>
      </c>
    </row>
    <row r="1004" spans="1:7" x14ac:dyDescent="0.25">
      <c r="A1004" s="1">
        <f t="shared" si="122"/>
        <v>993</v>
      </c>
      <c r="B1004" s="3">
        <f t="shared" ca="1" si="125"/>
        <v>119500</v>
      </c>
      <c r="C1004" s="26">
        <f t="shared" ca="1" si="126"/>
        <v>0.417378656794404</v>
      </c>
      <c r="D1004" s="26" t="str">
        <f t="shared" ca="1" si="124"/>
        <v>Lose</v>
      </c>
      <c r="E1004" s="3">
        <f t="shared" ca="1" si="127"/>
        <v>-500</v>
      </c>
      <c r="F1004" s="42">
        <f t="shared" si="123"/>
        <v>5.4574137453935605E-276</v>
      </c>
      <c r="G1004" s="41">
        <f>SUM(F$11:F1004)</f>
        <v>0.99999999999999989</v>
      </c>
    </row>
    <row r="1005" spans="1:7" x14ac:dyDescent="0.25">
      <c r="A1005" s="1">
        <f t="shared" si="122"/>
        <v>994</v>
      </c>
      <c r="B1005" s="3">
        <f t="shared" ca="1" si="125"/>
        <v>119000</v>
      </c>
      <c r="C1005" s="26">
        <f t="shared" ca="1" si="126"/>
        <v>2.0488731033361796E-2</v>
      </c>
      <c r="D1005" s="26" t="str">
        <f t="shared" ca="1" si="124"/>
        <v>Lose</v>
      </c>
      <c r="E1005" s="3">
        <f t="shared" ca="1" si="127"/>
        <v>-500</v>
      </c>
      <c r="F1005" s="42">
        <f t="shared" si="123"/>
        <v>4.0001164273506731E-278</v>
      </c>
      <c r="G1005" s="41">
        <f>SUM(F$11:F1005)</f>
        <v>0.99999999999999989</v>
      </c>
    </row>
    <row r="1006" spans="1:7" x14ac:dyDescent="0.25">
      <c r="A1006" s="1">
        <f t="shared" si="122"/>
        <v>995</v>
      </c>
      <c r="B1006" s="3">
        <f t="shared" ca="1" si="125"/>
        <v>118500</v>
      </c>
      <c r="C1006" s="26">
        <f t="shared" ca="1" si="126"/>
        <v>3.7852671004657723E-2</v>
      </c>
      <c r="D1006" s="26" t="str">
        <f t="shared" ca="1" si="124"/>
        <v>Lose</v>
      </c>
      <c r="E1006" s="3">
        <f t="shared" ca="1" si="127"/>
        <v>-500</v>
      </c>
      <c r="F1006" s="42">
        <f t="shared" si="123"/>
        <v>2.5105848154432834E-280</v>
      </c>
      <c r="G1006" s="41">
        <f>SUM(F$11:F1006)</f>
        <v>0.99999999999999989</v>
      </c>
    </row>
    <row r="1007" spans="1:7" x14ac:dyDescent="0.25">
      <c r="A1007" s="1">
        <f t="shared" si="122"/>
        <v>996</v>
      </c>
      <c r="B1007" s="3">
        <f t="shared" ca="1" si="125"/>
        <v>119000</v>
      </c>
      <c r="C1007" s="26">
        <f t="shared" ca="1" si="126"/>
        <v>0.86615784098780924</v>
      </c>
      <c r="D1007" s="26" t="str">
        <f t="shared" ca="1" si="124"/>
        <v>Win</v>
      </c>
      <c r="E1007" s="3">
        <f t="shared" ca="1" si="127"/>
        <v>500</v>
      </c>
      <c r="F1007" s="42">
        <f t="shared" si="123"/>
        <v>1.3117759362717137E-282</v>
      </c>
      <c r="G1007" s="41">
        <f>SUM(F$11:F1007)</f>
        <v>0.99999999999999989</v>
      </c>
    </row>
    <row r="1008" spans="1:7" x14ac:dyDescent="0.25">
      <c r="A1008" s="1">
        <f t="shared" si="122"/>
        <v>997</v>
      </c>
      <c r="B1008" s="3">
        <f t="shared" ca="1" si="125"/>
        <v>119500</v>
      </c>
      <c r="C1008" s="26">
        <f t="shared" ca="1" si="126"/>
        <v>0.99361007176608374</v>
      </c>
      <c r="D1008" s="26" t="str">
        <f t="shared" ca="1" si="124"/>
        <v>Win</v>
      </c>
      <c r="E1008" s="3">
        <f t="shared" ca="1" si="127"/>
        <v>500</v>
      </c>
      <c r="F1008" s="42">
        <f t="shared" si="123"/>
        <v>5.4777043579603055E-285</v>
      </c>
      <c r="G1008" s="41">
        <f>SUM(F$11:F1008)</f>
        <v>0.99999999999999989</v>
      </c>
    </row>
    <row r="1009" spans="1:7" x14ac:dyDescent="0.25">
      <c r="A1009" s="1">
        <f t="shared" si="122"/>
        <v>998</v>
      </c>
      <c r="B1009" s="3">
        <f t="shared" ca="1" si="125"/>
        <v>120000</v>
      </c>
      <c r="C1009" s="26">
        <f t="shared" ca="1" si="126"/>
        <v>0.95385236199963075</v>
      </c>
      <c r="D1009" s="26" t="str">
        <f t="shared" ca="1" si="124"/>
        <v>Win</v>
      </c>
      <c r="E1009" s="3">
        <f t="shared" ca="1" si="127"/>
        <v>500</v>
      </c>
      <c r="F1009" s="42">
        <f t="shared" si="123"/>
        <v>1.7138128640300126E-287</v>
      </c>
      <c r="G1009" s="41">
        <f>SUM(F$11:F1009)</f>
        <v>0.99999999999999989</v>
      </c>
    </row>
    <row r="1010" spans="1:7" x14ac:dyDescent="0.25">
      <c r="A1010" s="1">
        <f t="shared" si="122"/>
        <v>999</v>
      </c>
      <c r="B1010" s="3">
        <f t="shared" ca="1" si="125"/>
        <v>119500</v>
      </c>
      <c r="C1010" s="26">
        <f t="shared" ca="1" si="126"/>
        <v>0.17848970982525914</v>
      </c>
      <c r="D1010" s="26" t="str">
        <f t="shared" ca="1" si="124"/>
        <v>Lose</v>
      </c>
      <c r="E1010" s="3">
        <f t="shared" ca="1" si="127"/>
        <v>-500</v>
      </c>
      <c r="F1010" s="42">
        <f t="shared" si="123"/>
        <v>3.5710999189201318E-290</v>
      </c>
      <c r="G1010" s="41">
        <f>SUM(F$11:F1010)</f>
        <v>0.99999999999999989</v>
      </c>
    </row>
    <row r="1011" spans="1:7" x14ac:dyDescent="0.25">
      <c r="A1011" s="1">
        <f t="shared" ref="A1011" si="128">A1010+1</f>
        <v>1000</v>
      </c>
      <c r="B1011" s="3">
        <f t="shared" ca="1" si="125"/>
        <v>120000</v>
      </c>
      <c r="C1011" s="26">
        <f t="shared" ca="1" si="126"/>
        <v>0.49732911818152814</v>
      </c>
      <c r="D1011" s="26" t="str">
        <f t="shared" ca="1" si="124"/>
        <v>Win</v>
      </c>
      <c r="E1011" s="3">
        <f t="shared" ca="1" si="127"/>
        <v>500</v>
      </c>
      <c r="F1011" s="42">
        <f t="shared" si="123"/>
        <v>3.7168590992837119E-293</v>
      </c>
      <c r="G1011" s="41">
        <f>SUM(F$11:F1011)</f>
        <v>0.99999999999999989</v>
      </c>
    </row>
    <row r="1012" spans="1:7" x14ac:dyDescent="0.25">
      <c r="A1012" s="1"/>
    </row>
    <row r="1013" spans="1:7" x14ac:dyDescent="0.25">
      <c r="A1013" s="1"/>
    </row>
    <row r="1014" spans="1:7" x14ac:dyDescent="0.25">
      <c r="A1014" s="1"/>
    </row>
    <row r="1015" spans="1:7" x14ac:dyDescent="0.25">
      <c r="A1015" s="1"/>
    </row>
    <row r="1016" spans="1:7" x14ac:dyDescent="0.25">
      <c r="A1016" s="1"/>
    </row>
    <row r="1017" spans="1:7" x14ac:dyDescent="0.25">
      <c r="A1017" s="1"/>
    </row>
    <row r="1018" spans="1:7" x14ac:dyDescent="0.25">
      <c r="A1018" s="1"/>
    </row>
    <row r="1019" spans="1:7" x14ac:dyDescent="0.25">
      <c r="A1019" s="1"/>
    </row>
    <row r="1020" spans="1:7" x14ac:dyDescent="0.25">
      <c r="A1020" s="1"/>
    </row>
    <row r="1021" spans="1:7" x14ac:dyDescent="0.25">
      <c r="A1021" s="1"/>
    </row>
    <row r="1022" spans="1:7" x14ac:dyDescent="0.25">
      <c r="A1022" s="1"/>
    </row>
    <row r="1023" spans="1:7" x14ac:dyDescent="0.25">
      <c r="A1023" s="1"/>
    </row>
    <row r="1024" spans="1:7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519"/>
  <sheetViews>
    <sheetView showGridLines="0" workbookViewId="0">
      <selection activeCell="D8" sqref="D8"/>
    </sheetView>
  </sheetViews>
  <sheetFormatPr defaultRowHeight="15" x14ac:dyDescent="0.25"/>
  <cols>
    <col min="1" max="1" width="2.140625" customWidth="1"/>
    <col min="2" max="2" width="9.85546875" style="1" customWidth="1"/>
    <col min="3" max="3" width="10.42578125" customWidth="1"/>
    <col min="4" max="4" width="11.85546875" customWidth="1"/>
    <col min="5" max="5" width="16" style="1" customWidth="1"/>
    <col min="6" max="6" width="13.85546875" style="2" customWidth="1"/>
    <col min="7" max="7" width="18.5703125" style="2" customWidth="1"/>
    <col min="8" max="8" width="11.7109375" style="2" customWidth="1"/>
  </cols>
  <sheetData>
    <row r="1" spans="2:8" ht="7.5" customHeight="1" thickBot="1" x14ac:dyDescent="0.3"/>
    <row r="2" spans="2:8" x14ac:dyDescent="0.25">
      <c r="B2" s="12" t="s">
        <v>2</v>
      </c>
      <c r="C2" s="13"/>
      <c r="D2" s="18">
        <v>0</v>
      </c>
      <c r="H2" s="5"/>
    </row>
    <row r="3" spans="2:8" x14ac:dyDescent="0.25">
      <c r="B3" s="14" t="s">
        <v>4</v>
      </c>
      <c r="C3" s="15"/>
      <c r="D3" s="19">
        <v>0.5</v>
      </c>
      <c r="H3" s="5"/>
    </row>
    <row r="4" spans="2:8" x14ac:dyDescent="0.25">
      <c r="B4" s="14" t="s">
        <v>15</v>
      </c>
      <c r="C4" s="15"/>
      <c r="D4" s="20">
        <f ca="1">G514</f>
        <v>7160</v>
      </c>
      <c r="G4" s="3"/>
      <c r="H4" s="4"/>
    </row>
    <row r="5" spans="2:8" x14ac:dyDescent="0.25">
      <c r="B5" s="14" t="s">
        <v>9</v>
      </c>
      <c r="C5" s="15"/>
      <c r="D5" s="23">
        <f ca="1">COUNTIF(E$15:E$514,"Fold")</f>
        <v>248</v>
      </c>
      <c r="G5" s="3"/>
      <c r="H5" s="4"/>
    </row>
    <row r="6" spans="2:8" x14ac:dyDescent="0.25">
      <c r="B6" s="14" t="s">
        <v>10</v>
      </c>
      <c r="C6" s="15"/>
      <c r="D6" s="23">
        <f ca="1">COUNTIF(E$15:E$514,"Call")</f>
        <v>252</v>
      </c>
      <c r="G6" s="3"/>
      <c r="H6" s="4"/>
    </row>
    <row r="7" spans="2:8" x14ac:dyDescent="0.25">
      <c r="B7" s="14" t="s">
        <v>0</v>
      </c>
      <c r="C7" s="15"/>
      <c r="D7" s="20">
        <v>70</v>
      </c>
      <c r="G7" s="3"/>
      <c r="H7" s="4"/>
    </row>
    <row r="8" spans="2:8" x14ac:dyDescent="0.25">
      <c r="B8" s="14" t="s">
        <v>1</v>
      </c>
      <c r="C8" s="15"/>
      <c r="D8" s="20">
        <v>100</v>
      </c>
      <c r="G8" s="3"/>
      <c r="H8" s="7"/>
    </row>
    <row r="9" spans="2:8" x14ac:dyDescent="0.25">
      <c r="B9" s="14" t="s">
        <v>13</v>
      </c>
      <c r="C9" s="15"/>
      <c r="D9" s="21">
        <f>D7/(D7+D8)</f>
        <v>0.41176470588235292</v>
      </c>
      <c r="G9" s="3"/>
      <c r="H9" s="7"/>
    </row>
    <row r="10" spans="2:8" x14ac:dyDescent="0.25">
      <c r="B10" s="14" t="s">
        <v>7</v>
      </c>
      <c r="C10" s="15"/>
      <c r="D10" s="20">
        <f>-SUM(C15:C514)</f>
        <v>-35000</v>
      </c>
      <c r="G10" s="3"/>
      <c r="H10" s="4"/>
    </row>
    <row r="11" spans="2:8" x14ac:dyDescent="0.25">
      <c r="B11" s="14" t="s">
        <v>12</v>
      </c>
      <c r="C11" s="15"/>
      <c r="D11" s="20">
        <f ca="1">SUMIF($F$15:$F$514,"&gt;0")+D5*D7</f>
        <v>42160</v>
      </c>
      <c r="G11" s="3"/>
      <c r="H11" s="4"/>
    </row>
    <row r="12" spans="2:8" ht="15.75" thickBot="1" x14ac:dyDescent="0.3">
      <c r="B12" s="16" t="s">
        <v>14</v>
      </c>
      <c r="C12" s="17"/>
      <c r="D12" s="22">
        <f ca="1">D4/(-D10)</f>
        <v>0.20457142857142857</v>
      </c>
      <c r="G12" s="3"/>
      <c r="H12" s="4"/>
    </row>
    <row r="13" spans="2:8" ht="15.75" thickBot="1" x14ac:dyDescent="0.3">
      <c r="B13" s="16" t="s">
        <v>16</v>
      </c>
      <c r="C13" s="17"/>
      <c r="D13" s="24">
        <v>1</v>
      </c>
    </row>
    <row r="14" spans="2:8" ht="30" x14ac:dyDescent="0.25">
      <c r="B14" s="8" t="s">
        <v>3</v>
      </c>
      <c r="C14" s="9" t="s">
        <v>0</v>
      </c>
      <c r="D14" s="9" t="s">
        <v>1</v>
      </c>
      <c r="E14" s="10" t="s">
        <v>11</v>
      </c>
      <c r="F14" s="11" t="s">
        <v>5</v>
      </c>
      <c r="G14" s="11" t="s">
        <v>6</v>
      </c>
      <c r="H14" s="9" t="s">
        <v>8</v>
      </c>
    </row>
    <row r="15" spans="2:8" x14ac:dyDescent="0.25">
      <c r="B15" s="1">
        <v>1</v>
      </c>
      <c r="C15" s="3">
        <f>D7</f>
        <v>70</v>
      </c>
      <c r="D15" s="3">
        <f>D8</f>
        <v>100</v>
      </c>
      <c r="E15" s="1" t="str">
        <f t="shared" ref="E15:E78" ca="1" si="0">IF(H15&lt;$D$3,"Fold","Call")</f>
        <v>Call</v>
      </c>
      <c r="F15" s="4">
        <f ca="1">IF(E15="Fold",D15,-C15)</f>
        <v>-70</v>
      </c>
      <c r="G15" s="4">
        <f ca="1">SUM(F$15:F15)</f>
        <v>-70</v>
      </c>
      <c r="H15" s="6">
        <f t="shared" ref="H15:H29" ca="1" si="1">RAND()</f>
        <v>0.81471981103954494</v>
      </c>
    </row>
    <row r="16" spans="2:8" x14ac:dyDescent="0.25">
      <c r="B16" s="1">
        <v>2</v>
      </c>
      <c r="C16" s="3">
        <f>C15</f>
        <v>70</v>
      </c>
      <c r="D16" s="3">
        <f>D15</f>
        <v>100</v>
      </c>
      <c r="E16" s="1" t="str">
        <f t="shared" ca="1" si="0"/>
        <v>Fold</v>
      </c>
      <c r="F16" s="4">
        <f t="shared" ref="F16:F79" ca="1" si="2">IF(E16="Fold",D16,-C16)</f>
        <v>100</v>
      </c>
      <c r="G16" s="4">
        <f ca="1">SUM(F$15:F16)</f>
        <v>30</v>
      </c>
      <c r="H16" s="6">
        <f t="shared" ca="1" si="1"/>
        <v>0.36145346542704471</v>
      </c>
    </row>
    <row r="17" spans="2:8" x14ac:dyDescent="0.25">
      <c r="B17" s="1">
        <f t="shared" ref="B17:B58" si="3">B16+1</f>
        <v>3</v>
      </c>
      <c r="C17" s="3">
        <f t="shared" ref="C17:C80" si="4">C16</f>
        <v>70</v>
      </c>
      <c r="D17" s="3">
        <f t="shared" ref="D17:D80" si="5">D16</f>
        <v>100</v>
      </c>
      <c r="E17" s="1" t="str">
        <f t="shared" ca="1" si="0"/>
        <v>Fold</v>
      </c>
      <c r="F17" s="4">
        <f t="shared" ca="1" si="2"/>
        <v>100</v>
      </c>
      <c r="G17" s="4">
        <f ca="1">SUM(F$15:F17)</f>
        <v>130</v>
      </c>
      <c r="H17" s="6">
        <f t="shared" ca="1" si="1"/>
        <v>0.13333189483682961</v>
      </c>
    </row>
    <row r="18" spans="2:8" x14ac:dyDescent="0.25">
      <c r="B18" s="1">
        <f t="shared" si="3"/>
        <v>4</v>
      </c>
      <c r="C18" s="3">
        <f t="shared" si="4"/>
        <v>70</v>
      </c>
      <c r="D18" s="3">
        <f t="shared" si="5"/>
        <v>100</v>
      </c>
      <c r="E18" s="1" t="str">
        <f t="shared" ca="1" si="0"/>
        <v>Call</v>
      </c>
      <c r="F18" s="4">
        <f t="shared" ca="1" si="2"/>
        <v>-70</v>
      </c>
      <c r="G18" s="4">
        <f ca="1">SUM(F$15:F18)</f>
        <v>60</v>
      </c>
      <c r="H18" s="6">
        <f t="shared" ca="1" si="1"/>
        <v>0.66413811360205999</v>
      </c>
    </row>
    <row r="19" spans="2:8" x14ac:dyDescent="0.25">
      <c r="B19" s="1">
        <f t="shared" si="3"/>
        <v>5</v>
      </c>
      <c r="C19" s="3">
        <f t="shared" si="4"/>
        <v>70</v>
      </c>
      <c r="D19" s="3">
        <f t="shared" si="5"/>
        <v>100</v>
      </c>
      <c r="E19" s="1" t="str">
        <f t="shared" ca="1" si="0"/>
        <v>Call</v>
      </c>
      <c r="F19" s="4">
        <f t="shared" ca="1" si="2"/>
        <v>-70</v>
      </c>
      <c r="G19" s="4">
        <f ca="1">SUM(F$15:F19)</f>
        <v>-10</v>
      </c>
      <c r="H19" s="6">
        <f t="shared" ca="1" si="1"/>
        <v>0.71500264631484778</v>
      </c>
    </row>
    <row r="20" spans="2:8" x14ac:dyDescent="0.25">
      <c r="B20" s="1">
        <f t="shared" si="3"/>
        <v>6</v>
      </c>
      <c r="C20" s="3">
        <f t="shared" si="4"/>
        <v>70</v>
      </c>
      <c r="D20" s="3">
        <f t="shared" si="5"/>
        <v>100</v>
      </c>
      <c r="E20" s="1" t="str">
        <f t="shared" ca="1" si="0"/>
        <v>Fold</v>
      </c>
      <c r="F20" s="4">
        <f t="shared" ca="1" si="2"/>
        <v>100</v>
      </c>
      <c r="G20" s="4">
        <f ca="1">SUM(F$15:F20)</f>
        <v>90</v>
      </c>
      <c r="H20" s="6">
        <f t="shared" ca="1" si="1"/>
        <v>0.38403081159822738</v>
      </c>
    </row>
    <row r="21" spans="2:8" x14ac:dyDescent="0.25">
      <c r="B21" s="1">
        <f t="shared" si="3"/>
        <v>7</v>
      </c>
      <c r="C21" s="3">
        <f t="shared" si="4"/>
        <v>70</v>
      </c>
      <c r="D21" s="3">
        <f t="shared" si="5"/>
        <v>100</v>
      </c>
      <c r="E21" s="1" t="str">
        <f t="shared" ca="1" si="0"/>
        <v>Call</v>
      </c>
      <c r="F21" s="4">
        <f t="shared" ca="1" si="2"/>
        <v>-70</v>
      </c>
      <c r="G21" s="4">
        <f ca="1">SUM(F$15:F21)</f>
        <v>20</v>
      </c>
      <c r="H21" s="6">
        <f t="shared" ca="1" si="1"/>
        <v>0.50625819885478374</v>
      </c>
    </row>
    <row r="22" spans="2:8" x14ac:dyDescent="0.25">
      <c r="B22" s="1">
        <f t="shared" si="3"/>
        <v>8</v>
      </c>
      <c r="C22" s="3">
        <f t="shared" si="4"/>
        <v>70</v>
      </c>
      <c r="D22" s="3">
        <f t="shared" si="5"/>
        <v>100</v>
      </c>
      <c r="E22" s="1" t="str">
        <f t="shared" ca="1" si="0"/>
        <v>Call</v>
      </c>
      <c r="F22" s="4">
        <f t="shared" ca="1" si="2"/>
        <v>-70</v>
      </c>
      <c r="G22" s="4">
        <f ca="1">SUM(F$15:F22)</f>
        <v>-50</v>
      </c>
      <c r="H22" s="6">
        <f t="shared" ca="1" si="1"/>
        <v>0.64619325013563167</v>
      </c>
    </row>
    <row r="23" spans="2:8" x14ac:dyDescent="0.25">
      <c r="B23" s="1">
        <f t="shared" si="3"/>
        <v>9</v>
      </c>
      <c r="C23" s="3">
        <f t="shared" si="4"/>
        <v>70</v>
      </c>
      <c r="D23" s="3">
        <f t="shared" si="5"/>
        <v>100</v>
      </c>
      <c r="E23" s="1" t="str">
        <f t="shared" ca="1" si="0"/>
        <v>Fold</v>
      </c>
      <c r="F23" s="4">
        <f t="shared" ca="1" si="2"/>
        <v>100</v>
      </c>
      <c r="G23" s="4">
        <f ca="1">SUM(F$15:F23)</f>
        <v>50</v>
      </c>
      <c r="H23" s="6">
        <f t="shared" ca="1" si="1"/>
        <v>0.45478840118999009</v>
      </c>
    </row>
    <row r="24" spans="2:8" x14ac:dyDescent="0.25">
      <c r="B24" s="1">
        <f t="shared" si="3"/>
        <v>10</v>
      </c>
      <c r="C24" s="3">
        <f t="shared" si="4"/>
        <v>70</v>
      </c>
      <c r="D24" s="3">
        <f t="shared" si="5"/>
        <v>100</v>
      </c>
      <c r="E24" s="1" t="str">
        <f t="shared" ca="1" si="0"/>
        <v>Fold</v>
      </c>
      <c r="F24" s="4">
        <f t="shared" ca="1" si="2"/>
        <v>100</v>
      </c>
      <c r="G24" s="4">
        <f ca="1">SUM(F$15:F24)</f>
        <v>150</v>
      </c>
      <c r="H24" s="6">
        <f t="shared" ca="1" si="1"/>
        <v>0.14101167686443583</v>
      </c>
    </row>
    <row r="25" spans="2:8" x14ac:dyDescent="0.25">
      <c r="B25" s="1">
        <f t="shared" si="3"/>
        <v>11</v>
      </c>
      <c r="C25" s="3">
        <f t="shared" si="4"/>
        <v>70</v>
      </c>
      <c r="D25" s="3">
        <f t="shared" si="5"/>
        <v>100</v>
      </c>
      <c r="E25" s="1" t="str">
        <f t="shared" ca="1" si="0"/>
        <v>Fold</v>
      </c>
      <c r="F25" s="4">
        <f t="shared" ca="1" si="2"/>
        <v>100</v>
      </c>
      <c r="G25" s="4">
        <f ca="1">SUM(F$15:F25)</f>
        <v>250</v>
      </c>
      <c r="H25" s="6">
        <f t="shared" ca="1" si="1"/>
        <v>0.28731173806346177</v>
      </c>
    </row>
    <row r="26" spans="2:8" x14ac:dyDescent="0.25">
      <c r="B26" s="1">
        <f t="shared" si="3"/>
        <v>12</v>
      </c>
      <c r="C26" s="3">
        <f t="shared" si="4"/>
        <v>70</v>
      </c>
      <c r="D26" s="3">
        <f t="shared" si="5"/>
        <v>100</v>
      </c>
      <c r="E26" s="1" t="str">
        <f t="shared" ca="1" si="0"/>
        <v>Call</v>
      </c>
      <c r="F26" s="4">
        <f t="shared" ca="1" si="2"/>
        <v>-70</v>
      </c>
      <c r="G26" s="4">
        <f ca="1">SUM(F$15:F26)</f>
        <v>180</v>
      </c>
      <c r="H26" s="6">
        <f t="shared" ca="1" si="1"/>
        <v>0.78108396730980501</v>
      </c>
    </row>
    <row r="27" spans="2:8" x14ac:dyDescent="0.25">
      <c r="B27" s="1">
        <f t="shared" si="3"/>
        <v>13</v>
      </c>
      <c r="C27" s="3">
        <f t="shared" si="4"/>
        <v>70</v>
      </c>
      <c r="D27" s="3">
        <f t="shared" si="5"/>
        <v>100</v>
      </c>
      <c r="E27" s="1" t="str">
        <f t="shared" ca="1" si="0"/>
        <v>Call</v>
      </c>
      <c r="F27" s="4">
        <f t="shared" ca="1" si="2"/>
        <v>-70</v>
      </c>
      <c r="G27" s="4">
        <f ca="1">SUM(F$15:F27)</f>
        <v>110</v>
      </c>
      <c r="H27" s="6">
        <f t="shared" ca="1" si="1"/>
        <v>0.99353375469610272</v>
      </c>
    </row>
    <row r="28" spans="2:8" x14ac:dyDescent="0.25">
      <c r="B28" s="1">
        <f t="shared" si="3"/>
        <v>14</v>
      </c>
      <c r="C28" s="3">
        <f t="shared" si="4"/>
        <v>70</v>
      </c>
      <c r="D28" s="3">
        <f t="shared" si="5"/>
        <v>100</v>
      </c>
      <c r="E28" s="1" t="str">
        <f t="shared" ca="1" si="0"/>
        <v>Call</v>
      </c>
      <c r="F28" s="4">
        <f t="shared" ca="1" si="2"/>
        <v>-70</v>
      </c>
      <c r="G28" s="4">
        <f ca="1">SUM(F$15:F28)</f>
        <v>40</v>
      </c>
      <c r="H28" s="6">
        <f t="shared" ca="1" si="1"/>
        <v>0.62634231324926637</v>
      </c>
    </row>
    <row r="29" spans="2:8" x14ac:dyDescent="0.25">
      <c r="B29" s="1">
        <f t="shared" si="3"/>
        <v>15</v>
      </c>
      <c r="C29" s="3">
        <f t="shared" si="4"/>
        <v>70</v>
      </c>
      <c r="D29" s="3">
        <f t="shared" si="5"/>
        <v>100</v>
      </c>
      <c r="E29" s="1" t="str">
        <f t="shared" ca="1" si="0"/>
        <v>Fold</v>
      </c>
      <c r="F29" s="4">
        <f t="shared" ca="1" si="2"/>
        <v>100</v>
      </c>
      <c r="G29" s="4">
        <f ca="1">SUM(F$15:F29)</f>
        <v>140</v>
      </c>
      <c r="H29" s="6">
        <f t="shared" ca="1" si="1"/>
        <v>0.49896900270391076</v>
      </c>
    </row>
    <row r="30" spans="2:8" x14ac:dyDescent="0.25">
      <c r="B30" s="1">
        <f t="shared" si="3"/>
        <v>16</v>
      </c>
      <c r="C30" s="3">
        <f t="shared" si="4"/>
        <v>70</v>
      </c>
      <c r="D30" s="3">
        <f t="shared" si="5"/>
        <v>100</v>
      </c>
      <c r="E30" s="1" t="str">
        <f t="shared" ca="1" si="0"/>
        <v>Call</v>
      </c>
      <c r="F30" s="4">
        <f t="shared" ca="1" si="2"/>
        <v>-70</v>
      </c>
      <c r="G30" s="4">
        <f ca="1">SUM(F$15:F30)</f>
        <v>70</v>
      </c>
      <c r="H30" s="6">
        <f t="shared" ref="H30:H93" ca="1" si="6">RAND()</f>
        <v>0.64179682279074346</v>
      </c>
    </row>
    <row r="31" spans="2:8" x14ac:dyDescent="0.25">
      <c r="B31" s="1">
        <f t="shared" si="3"/>
        <v>17</v>
      </c>
      <c r="C31" s="3">
        <f t="shared" si="4"/>
        <v>70</v>
      </c>
      <c r="D31" s="3">
        <f t="shared" si="5"/>
        <v>100</v>
      </c>
      <c r="E31" s="1" t="str">
        <f t="shared" ca="1" si="0"/>
        <v>Call</v>
      </c>
      <c r="F31" s="4">
        <f t="shared" ca="1" si="2"/>
        <v>-70</v>
      </c>
      <c r="G31" s="4">
        <f ca="1">SUM(F$15:F31)</f>
        <v>0</v>
      </c>
      <c r="H31" s="6">
        <f t="shared" ca="1" si="6"/>
        <v>0.54191288185413222</v>
      </c>
    </row>
    <row r="32" spans="2:8" x14ac:dyDescent="0.25">
      <c r="B32" s="1">
        <f t="shared" si="3"/>
        <v>18</v>
      </c>
      <c r="C32" s="3">
        <f t="shared" si="4"/>
        <v>70</v>
      </c>
      <c r="D32" s="3">
        <f t="shared" si="5"/>
        <v>100</v>
      </c>
      <c r="E32" s="1" t="str">
        <f t="shared" ca="1" si="0"/>
        <v>Call</v>
      </c>
      <c r="F32" s="4">
        <f t="shared" ca="1" si="2"/>
        <v>-70</v>
      </c>
      <c r="G32" s="4">
        <f ca="1">SUM(F$15:F32)</f>
        <v>-70</v>
      </c>
      <c r="H32" s="6">
        <f t="shared" ca="1" si="6"/>
        <v>0.74502065288867891</v>
      </c>
    </row>
    <row r="33" spans="2:8" x14ac:dyDescent="0.25">
      <c r="B33" s="1">
        <f t="shared" si="3"/>
        <v>19</v>
      </c>
      <c r="C33" s="3">
        <f t="shared" si="4"/>
        <v>70</v>
      </c>
      <c r="D33" s="3">
        <f t="shared" si="5"/>
        <v>100</v>
      </c>
      <c r="E33" s="1" t="str">
        <f t="shared" ca="1" si="0"/>
        <v>Fold</v>
      </c>
      <c r="F33" s="4">
        <f t="shared" ca="1" si="2"/>
        <v>100</v>
      </c>
      <c r="G33" s="4">
        <f ca="1">SUM(F$15:F33)</f>
        <v>30</v>
      </c>
      <c r="H33" s="6">
        <f t="shared" ca="1" si="6"/>
        <v>0.39192605553565352</v>
      </c>
    </row>
    <row r="34" spans="2:8" x14ac:dyDescent="0.25">
      <c r="B34" s="1">
        <f t="shared" si="3"/>
        <v>20</v>
      </c>
      <c r="C34" s="3">
        <f t="shared" si="4"/>
        <v>70</v>
      </c>
      <c r="D34" s="3">
        <f t="shared" si="5"/>
        <v>100</v>
      </c>
      <c r="E34" s="1" t="str">
        <f t="shared" ca="1" si="0"/>
        <v>Call</v>
      </c>
      <c r="F34" s="4">
        <f t="shared" ca="1" si="2"/>
        <v>-70</v>
      </c>
      <c r="G34" s="4">
        <f ca="1">SUM(F$15:F34)</f>
        <v>-40</v>
      </c>
      <c r="H34" s="6">
        <f t="shared" ca="1" si="6"/>
        <v>0.63589035030230967</v>
      </c>
    </row>
    <row r="35" spans="2:8" x14ac:dyDescent="0.25">
      <c r="B35" s="1">
        <f t="shared" si="3"/>
        <v>21</v>
      </c>
      <c r="C35" s="3">
        <f t="shared" si="4"/>
        <v>70</v>
      </c>
      <c r="D35" s="3">
        <f t="shared" si="5"/>
        <v>100</v>
      </c>
      <c r="E35" s="1" t="str">
        <f t="shared" ca="1" si="0"/>
        <v>Fold</v>
      </c>
      <c r="F35" s="4">
        <f t="shared" ca="1" si="2"/>
        <v>100</v>
      </c>
      <c r="G35" s="4">
        <f ca="1">SUM(F$15:F35)</f>
        <v>60</v>
      </c>
      <c r="H35" s="6">
        <f t="shared" ca="1" si="6"/>
        <v>0.22472518155402721</v>
      </c>
    </row>
    <row r="36" spans="2:8" x14ac:dyDescent="0.25">
      <c r="B36" s="1">
        <f t="shared" si="3"/>
        <v>22</v>
      </c>
      <c r="C36" s="3">
        <f t="shared" si="4"/>
        <v>70</v>
      </c>
      <c r="D36" s="3">
        <f t="shared" si="5"/>
        <v>100</v>
      </c>
      <c r="E36" s="1" t="str">
        <f t="shared" ca="1" si="0"/>
        <v>Call</v>
      </c>
      <c r="F36" s="4">
        <f t="shared" ca="1" si="2"/>
        <v>-70</v>
      </c>
      <c r="G36" s="4">
        <f ca="1">SUM(F$15:F36)</f>
        <v>-10</v>
      </c>
      <c r="H36" s="6">
        <f t="shared" ca="1" si="6"/>
        <v>0.90270830407591085</v>
      </c>
    </row>
    <row r="37" spans="2:8" x14ac:dyDescent="0.25">
      <c r="B37" s="1">
        <f t="shared" si="3"/>
        <v>23</v>
      </c>
      <c r="C37" s="3">
        <f t="shared" si="4"/>
        <v>70</v>
      </c>
      <c r="D37" s="3">
        <f t="shared" si="5"/>
        <v>100</v>
      </c>
      <c r="E37" s="1" t="str">
        <f t="shared" ca="1" si="0"/>
        <v>Call</v>
      </c>
      <c r="F37" s="4">
        <f t="shared" ca="1" si="2"/>
        <v>-70</v>
      </c>
      <c r="G37" s="4">
        <f ca="1">SUM(F$15:F37)</f>
        <v>-80</v>
      </c>
      <c r="H37" s="6">
        <f t="shared" ca="1" si="6"/>
        <v>0.68319622586393425</v>
      </c>
    </row>
    <row r="38" spans="2:8" x14ac:dyDescent="0.25">
      <c r="B38" s="1">
        <f t="shared" si="3"/>
        <v>24</v>
      </c>
      <c r="C38" s="3">
        <f t="shared" si="4"/>
        <v>70</v>
      </c>
      <c r="D38" s="3">
        <f t="shared" si="5"/>
        <v>100</v>
      </c>
      <c r="E38" s="1" t="str">
        <f t="shared" ca="1" si="0"/>
        <v>Call</v>
      </c>
      <c r="F38" s="4">
        <f t="shared" ca="1" si="2"/>
        <v>-70</v>
      </c>
      <c r="G38" s="4">
        <f ca="1">SUM(F$15:F38)</f>
        <v>-150</v>
      </c>
      <c r="H38" s="6">
        <f t="shared" ca="1" si="6"/>
        <v>0.65312534151698132</v>
      </c>
    </row>
    <row r="39" spans="2:8" x14ac:dyDescent="0.25">
      <c r="B39" s="1">
        <f t="shared" si="3"/>
        <v>25</v>
      </c>
      <c r="C39" s="3">
        <f t="shared" si="4"/>
        <v>70</v>
      </c>
      <c r="D39" s="3">
        <f t="shared" si="5"/>
        <v>100</v>
      </c>
      <c r="E39" s="1" t="str">
        <f t="shared" ca="1" si="0"/>
        <v>Fold</v>
      </c>
      <c r="F39" s="4">
        <f t="shared" ca="1" si="2"/>
        <v>100</v>
      </c>
      <c r="G39" s="4">
        <f ca="1">SUM(F$15:F39)</f>
        <v>-50</v>
      </c>
      <c r="H39" s="6">
        <f t="shared" ca="1" si="6"/>
        <v>0.20839631075474052</v>
      </c>
    </row>
    <row r="40" spans="2:8" x14ac:dyDescent="0.25">
      <c r="B40" s="1">
        <f t="shared" si="3"/>
        <v>26</v>
      </c>
      <c r="C40" s="3">
        <f t="shared" si="4"/>
        <v>70</v>
      </c>
      <c r="D40" s="3">
        <f t="shared" si="5"/>
        <v>100</v>
      </c>
      <c r="E40" s="1" t="str">
        <f t="shared" ca="1" si="0"/>
        <v>Fold</v>
      </c>
      <c r="F40" s="4">
        <f t="shared" ca="1" si="2"/>
        <v>100</v>
      </c>
      <c r="G40" s="4">
        <f ca="1">SUM(F$15:F40)</f>
        <v>50</v>
      </c>
      <c r="H40" s="6">
        <f t="shared" ca="1" si="6"/>
        <v>0.13018860223615603</v>
      </c>
    </row>
    <row r="41" spans="2:8" x14ac:dyDescent="0.25">
      <c r="B41" s="1">
        <f t="shared" si="3"/>
        <v>27</v>
      </c>
      <c r="C41" s="3">
        <f t="shared" si="4"/>
        <v>70</v>
      </c>
      <c r="D41" s="3">
        <f t="shared" si="5"/>
        <v>100</v>
      </c>
      <c r="E41" s="1" t="str">
        <f t="shared" ca="1" si="0"/>
        <v>Call</v>
      </c>
      <c r="F41" s="4">
        <f t="shared" ca="1" si="2"/>
        <v>-70</v>
      </c>
      <c r="G41" s="4">
        <f ca="1">SUM(F$15:F41)</f>
        <v>-20</v>
      </c>
      <c r="H41" s="6">
        <f t="shared" ca="1" si="6"/>
        <v>0.91737106575226168</v>
      </c>
    </row>
    <row r="42" spans="2:8" x14ac:dyDescent="0.25">
      <c r="B42" s="1">
        <f t="shared" si="3"/>
        <v>28</v>
      </c>
      <c r="C42" s="3">
        <f t="shared" si="4"/>
        <v>70</v>
      </c>
      <c r="D42" s="3">
        <f t="shared" si="5"/>
        <v>100</v>
      </c>
      <c r="E42" s="1" t="str">
        <f t="shared" ca="1" si="0"/>
        <v>Call</v>
      </c>
      <c r="F42" s="4">
        <f t="shared" ca="1" si="2"/>
        <v>-70</v>
      </c>
      <c r="G42" s="4">
        <f ca="1">SUM(F$15:F42)</f>
        <v>-90</v>
      </c>
      <c r="H42" s="6">
        <f t="shared" ca="1" si="6"/>
        <v>0.90091981965231627</v>
      </c>
    </row>
    <row r="43" spans="2:8" x14ac:dyDescent="0.25">
      <c r="B43" s="1">
        <f t="shared" si="3"/>
        <v>29</v>
      </c>
      <c r="C43" s="3">
        <f t="shared" si="4"/>
        <v>70</v>
      </c>
      <c r="D43" s="3">
        <f t="shared" si="5"/>
        <v>100</v>
      </c>
      <c r="E43" s="1" t="str">
        <f t="shared" ca="1" si="0"/>
        <v>Fold</v>
      </c>
      <c r="F43" s="4">
        <f t="shared" ca="1" si="2"/>
        <v>100</v>
      </c>
      <c r="G43" s="4">
        <f ca="1">SUM(F$15:F43)</f>
        <v>10</v>
      </c>
      <c r="H43" s="6">
        <f t="shared" ca="1" si="6"/>
        <v>0.36460475683818816</v>
      </c>
    </row>
    <row r="44" spans="2:8" x14ac:dyDescent="0.25">
      <c r="B44" s="1">
        <f t="shared" si="3"/>
        <v>30</v>
      </c>
      <c r="C44" s="3">
        <f t="shared" si="4"/>
        <v>70</v>
      </c>
      <c r="D44" s="3">
        <f t="shared" si="5"/>
        <v>100</v>
      </c>
      <c r="E44" s="1" t="str">
        <f t="shared" ca="1" si="0"/>
        <v>Call</v>
      </c>
      <c r="F44" s="4">
        <f t="shared" ca="1" si="2"/>
        <v>-70</v>
      </c>
      <c r="G44" s="4">
        <f ca="1">SUM(F$15:F44)</f>
        <v>-60</v>
      </c>
      <c r="H44" s="6">
        <f t="shared" ca="1" si="6"/>
        <v>0.67494295854371245</v>
      </c>
    </row>
    <row r="45" spans="2:8" x14ac:dyDescent="0.25">
      <c r="B45" s="1">
        <f t="shared" si="3"/>
        <v>31</v>
      </c>
      <c r="C45" s="3">
        <f t="shared" si="4"/>
        <v>70</v>
      </c>
      <c r="D45" s="3">
        <f t="shared" si="5"/>
        <v>100</v>
      </c>
      <c r="E45" s="1" t="str">
        <f t="shared" ca="1" si="0"/>
        <v>Call</v>
      </c>
      <c r="F45" s="4">
        <f t="shared" ca="1" si="2"/>
        <v>-70</v>
      </c>
      <c r="G45" s="4">
        <f ca="1">SUM(F$15:F45)</f>
        <v>-130</v>
      </c>
      <c r="H45" s="6">
        <f t="shared" ca="1" si="6"/>
        <v>0.67255686497633238</v>
      </c>
    </row>
    <row r="46" spans="2:8" x14ac:dyDescent="0.25">
      <c r="B46" s="1">
        <f t="shared" si="3"/>
        <v>32</v>
      </c>
      <c r="C46" s="3">
        <f t="shared" si="4"/>
        <v>70</v>
      </c>
      <c r="D46" s="3">
        <f t="shared" si="5"/>
        <v>100</v>
      </c>
      <c r="E46" s="1" t="str">
        <f t="shared" ca="1" si="0"/>
        <v>Fold</v>
      </c>
      <c r="F46" s="4">
        <f t="shared" ca="1" si="2"/>
        <v>100</v>
      </c>
      <c r="G46" s="4">
        <f ca="1">SUM(F$15:F46)</f>
        <v>-30</v>
      </c>
      <c r="H46" s="6">
        <f t="shared" ca="1" si="6"/>
        <v>0.40479383520676926</v>
      </c>
    </row>
    <row r="47" spans="2:8" x14ac:dyDescent="0.25">
      <c r="B47" s="1">
        <f t="shared" si="3"/>
        <v>33</v>
      </c>
      <c r="C47" s="3">
        <f t="shared" si="4"/>
        <v>70</v>
      </c>
      <c r="D47" s="3">
        <f t="shared" si="5"/>
        <v>100</v>
      </c>
      <c r="E47" s="1" t="str">
        <f t="shared" ca="1" si="0"/>
        <v>Fold</v>
      </c>
      <c r="F47" s="4">
        <f t="shared" ca="1" si="2"/>
        <v>100</v>
      </c>
      <c r="G47" s="4">
        <f ca="1">SUM(F$15:F47)</f>
        <v>70</v>
      </c>
      <c r="H47" s="6">
        <f t="shared" ca="1" si="6"/>
        <v>2.4919845129113716E-2</v>
      </c>
    </row>
    <row r="48" spans="2:8" x14ac:dyDescent="0.25">
      <c r="B48" s="1">
        <f t="shared" si="3"/>
        <v>34</v>
      </c>
      <c r="C48" s="3">
        <f t="shared" si="4"/>
        <v>70</v>
      </c>
      <c r="D48" s="3">
        <f t="shared" si="5"/>
        <v>100</v>
      </c>
      <c r="E48" s="1" t="str">
        <f t="shared" ca="1" si="0"/>
        <v>Fold</v>
      </c>
      <c r="F48" s="4">
        <f t="shared" ca="1" si="2"/>
        <v>100</v>
      </c>
      <c r="G48" s="4">
        <f ca="1">SUM(F$15:F48)</f>
        <v>170</v>
      </c>
      <c r="H48" s="6">
        <f t="shared" ca="1" si="6"/>
        <v>0.20957715962297385</v>
      </c>
    </row>
    <row r="49" spans="2:8" x14ac:dyDescent="0.25">
      <c r="B49" s="1">
        <f t="shared" si="3"/>
        <v>35</v>
      </c>
      <c r="C49" s="3">
        <f t="shared" si="4"/>
        <v>70</v>
      </c>
      <c r="D49" s="3">
        <f t="shared" si="5"/>
        <v>100</v>
      </c>
      <c r="E49" s="1" t="str">
        <f t="shared" ca="1" si="0"/>
        <v>Call</v>
      </c>
      <c r="F49" s="4">
        <f t="shared" ca="1" si="2"/>
        <v>-70</v>
      </c>
      <c r="G49" s="4">
        <f ca="1">SUM(F$15:F49)</f>
        <v>100</v>
      </c>
      <c r="H49" s="6">
        <f t="shared" ca="1" si="6"/>
        <v>0.66703741811407435</v>
      </c>
    </row>
    <row r="50" spans="2:8" x14ac:dyDescent="0.25">
      <c r="B50" s="1">
        <f t="shared" si="3"/>
        <v>36</v>
      </c>
      <c r="C50" s="3">
        <f t="shared" si="4"/>
        <v>70</v>
      </c>
      <c r="D50" s="3">
        <f t="shared" si="5"/>
        <v>100</v>
      </c>
      <c r="E50" s="1" t="str">
        <f t="shared" ca="1" si="0"/>
        <v>Call</v>
      </c>
      <c r="F50" s="4">
        <f t="shared" ca="1" si="2"/>
        <v>-70</v>
      </c>
      <c r="G50" s="4">
        <f ca="1">SUM(F$15:F50)</f>
        <v>30</v>
      </c>
      <c r="H50" s="6">
        <f t="shared" ca="1" si="6"/>
        <v>0.91480657224914219</v>
      </c>
    </row>
    <row r="51" spans="2:8" x14ac:dyDescent="0.25">
      <c r="B51" s="1">
        <f t="shared" si="3"/>
        <v>37</v>
      </c>
      <c r="C51" s="3">
        <f t="shared" si="4"/>
        <v>70</v>
      </c>
      <c r="D51" s="3">
        <f t="shared" si="5"/>
        <v>100</v>
      </c>
      <c r="E51" s="1" t="str">
        <f t="shared" ca="1" si="0"/>
        <v>Call</v>
      </c>
      <c r="F51" s="4">
        <f t="shared" ca="1" si="2"/>
        <v>-70</v>
      </c>
      <c r="G51" s="4">
        <f ca="1">SUM(F$15:F51)</f>
        <v>-40</v>
      </c>
      <c r="H51" s="6">
        <f t="shared" ca="1" si="6"/>
        <v>0.53397929422182133</v>
      </c>
    </row>
    <row r="52" spans="2:8" x14ac:dyDescent="0.25">
      <c r="B52" s="1">
        <f t="shared" si="3"/>
        <v>38</v>
      </c>
      <c r="C52" s="3">
        <f t="shared" si="4"/>
        <v>70</v>
      </c>
      <c r="D52" s="3">
        <f t="shared" si="5"/>
        <v>100</v>
      </c>
      <c r="E52" s="1" t="str">
        <f t="shared" ca="1" si="0"/>
        <v>Fold</v>
      </c>
      <c r="F52" s="4">
        <f t="shared" ca="1" si="2"/>
        <v>100</v>
      </c>
      <c r="G52" s="4">
        <f ca="1">SUM(F$15:F52)</f>
        <v>60</v>
      </c>
      <c r="H52" s="6">
        <f t="shared" ca="1" si="6"/>
        <v>0.4108453629112867</v>
      </c>
    </row>
    <row r="53" spans="2:8" x14ac:dyDescent="0.25">
      <c r="B53" s="1">
        <f t="shared" si="3"/>
        <v>39</v>
      </c>
      <c r="C53" s="3">
        <f t="shared" si="4"/>
        <v>70</v>
      </c>
      <c r="D53" s="3">
        <f t="shared" si="5"/>
        <v>100</v>
      </c>
      <c r="E53" s="1" t="str">
        <f t="shared" ca="1" si="0"/>
        <v>Call</v>
      </c>
      <c r="F53" s="4">
        <f t="shared" ca="1" si="2"/>
        <v>-70</v>
      </c>
      <c r="G53" s="4">
        <f ca="1">SUM(F$15:F53)</f>
        <v>-10</v>
      </c>
      <c r="H53" s="6">
        <f t="shared" ca="1" si="6"/>
        <v>0.52549234739019934</v>
      </c>
    </row>
    <row r="54" spans="2:8" x14ac:dyDescent="0.25">
      <c r="B54" s="1">
        <f t="shared" si="3"/>
        <v>40</v>
      </c>
      <c r="C54" s="3">
        <f t="shared" si="4"/>
        <v>70</v>
      </c>
      <c r="D54" s="3">
        <f t="shared" si="5"/>
        <v>100</v>
      </c>
      <c r="E54" s="1" t="str">
        <f t="shared" ca="1" si="0"/>
        <v>Call</v>
      </c>
      <c r="F54" s="4">
        <f t="shared" ca="1" si="2"/>
        <v>-70</v>
      </c>
      <c r="G54" s="4">
        <f ca="1">SUM(F$15:F54)</f>
        <v>-80</v>
      </c>
      <c r="H54" s="6">
        <f t="shared" ca="1" si="6"/>
        <v>0.50602825441293842</v>
      </c>
    </row>
    <row r="55" spans="2:8" x14ac:dyDescent="0.25">
      <c r="B55" s="1">
        <f t="shared" si="3"/>
        <v>41</v>
      </c>
      <c r="C55" s="3">
        <f t="shared" si="4"/>
        <v>70</v>
      </c>
      <c r="D55" s="3">
        <f t="shared" si="5"/>
        <v>100</v>
      </c>
      <c r="E55" s="1" t="str">
        <f t="shared" ca="1" si="0"/>
        <v>Fold</v>
      </c>
      <c r="F55" s="4">
        <f t="shared" ca="1" si="2"/>
        <v>100</v>
      </c>
      <c r="G55" s="4">
        <f ca="1">SUM(F$15:F55)</f>
        <v>20</v>
      </c>
      <c r="H55" s="6">
        <f t="shared" ca="1" si="6"/>
        <v>9.8396185354331367E-2</v>
      </c>
    </row>
    <row r="56" spans="2:8" x14ac:dyDescent="0.25">
      <c r="B56" s="1">
        <f t="shared" si="3"/>
        <v>42</v>
      </c>
      <c r="C56" s="3">
        <f t="shared" si="4"/>
        <v>70</v>
      </c>
      <c r="D56" s="3">
        <f t="shared" si="5"/>
        <v>100</v>
      </c>
      <c r="E56" s="1" t="str">
        <f t="shared" ca="1" si="0"/>
        <v>Fold</v>
      </c>
      <c r="F56" s="4">
        <f t="shared" ca="1" si="2"/>
        <v>100</v>
      </c>
      <c r="G56" s="4">
        <f ca="1">SUM(F$15:F56)</f>
        <v>120</v>
      </c>
      <c r="H56" s="6">
        <f t="shared" ca="1" si="6"/>
        <v>4.7856016780420174E-2</v>
      </c>
    </row>
    <row r="57" spans="2:8" x14ac:dyDescent="0.25">
      <c r="B57" s="1">
        <f t="shared" si="3"/>
        <v>43</v>
      </c>
      <c r="C57" s="3">
        <f t="shared" si="4"/>
        <v>70</v>
      </c>
      <c r="D57" s="3">
        <f t="shared" si="5"/>
        <v>100</v>
      </c>
      <c r="E57" s="1" t="str">
        <f t="shared" ca="1" si="0"/>
        <v>Fold</v>
      </c>
      <c r="F57" s="4">
        <f t="shared" ca="1" si="2"/>
        <v>100</v>
      </c>
      <c r="G57" s="4">
        <f ca="1">SUM(F$15:F57)</f>
        <v>220</v>
      </c>
      <c r="H57" s="6">
        <f t="shared" ca="1" si="6"/>
        <v>0.30082180101710509</v>
      </c>
    </row>
    <row r="58" spans="2:8" x14ac:dyDescent="0.25">
      <c r="B58" s="1">
        <f t="shared" si="3"/>
        <v>44</v>
      </c>
      <c r="C58" s="3">
        <f t="shared" si="4"/>
        <v>70</v>
      </c>
      <c r="D58" s="3">
        <f t="shared" si="5"/>
        <v>100</v>
      </c>
      <c r="E58" s="1" t="str">
        <f t="shared" ca="1" si="0"/>
        <v>Fold</v>
      </c>
      <c r="F58" s="4">
        <f t="shared" ca="1" si="2"/>
        <v>100</v>
      </c>
      <c r="G58" s="4">
        <f ca="1">SUM(F$15:F58)</f>
        <v>320</v>
      </c>
      <c r="H58" s="6">
        <f t="shared" ca="1" si="6"/>
        <v>0.45544160643626341</v>
      </c>
    </row>
    <row r="59" spans="2:8" x14ac:dyDescent="0.25">
      <c r="B59" s="1">
        <f t="shared" ref="B59:B122" si="7">B58+1</f>
        <v>45</v>
      </c>
      <c r="C59" s="3">
        <f t="shared" si="4"/>
        <v>70</v>
      </c>
      <c r="D59" s="3">
        <f t="shared" si="5"/>
        <v>100</v>
      </c>
      <c r="E59" s="1" t="str">
        <f t="shared" ca="1" si="0"/>
        <v>Fold</v>
      </c>
      <c r="F59" s="4">
        <f t="shared" ca="1" si="2"/>
        <v>100</v>
      </c>
      <c r="G59" s="4">
        <f ca="1">SUM(F$15:F59)</f>
        <v>420</v>
      </c>
      <c r="H59" s="6">
        <f t="shared" ca="1" si="6"/>
        <v>0.35872016169439935</v>
      </c>
    </row>
    <row r="60" spans="2:8" x14ac:dyDescent="0.25">
      <c r="B60" s="1">
        <f t="shared" si="7"/>
        <v>46</v>
      </c>
      <c r="C60" s="3">
        <f t="shared" si="4"/>
        <v>70</v>
      </c>
      <c r="D60" s="3">
        <f t="shared" si="5"/>
        <v>100</v>
      </c>
      <c r="E60" s="1" t="str">
        <f t="shared" ca="1" si="0"/>
        <v>Fold</v>
      </c>
      <c r="F60" s="4">
        <f t="shared" ca="1" si="2"/>
        <v>100</v>
      </c>
      <c r="G60" s="4">
        <f ca="1">SUM(F$15:F60)</f>
        <v>520</v>
      </c>
      <c r="H60" s="6">
        <f t="shared" ca="1" si="6"/>
        <v>0.2231232431539637</v>
      </c>
    </row>
    <row r="61" spans="2:8" x14ac:dyDescent="0.25">
      <c r="B61" s="1">
        <f t="shared" si="7"/>
        <v>47</v>
      </c>
      <c r="C61" s="3">
        <f t="shared" si="4"/>
        <v>70</v>
      </c>
      <c r="D61" s="3">
        <f t="shared" si="5"/>
        <v>100</v>
      </c>
      <c r="E61" s="1" t="str">
        <f t="shared" ca="1" si="0"/>
        <v>Fold</v>
      </c>
      <c r="F61" s="4">
        <f t="shared" ca="1" si="2"/>
        <v>100</v>
      </c>
      <c r="G61" s="4">
        <f ca="1">SUM(F$15:F61)</f>
        <v>620</v>
      </c>
      <c r="H61" s="6">
        <f t="shared" ca="1" si="6"/>
        <v>6.7382089023131364E-2</v>
      </c>
    </row>
    <row r="62" spans="2:8" x14ac:dyDescent="0.25">
      <c r="B62" s="1">
        <f t="shared" si="7"/>
        <v>48</v>
      </c>
      <c r="C62" s="3">
        <f t="shared" si="4"/>
        <v>70</v>
      </c>
      <c r="D62" s="3">
        <f t="shared" si="5"/>
        <v>100</v>
      </c>
      <c r="E62" s="1" t="str">
        <f t="shared" ca="1" si="0"/>
        <v>Call</v>
      </c>
      <c r="F62" s="4">
        <f t="shared" ca="1" si="2"/>
        <v>-70</v>
      </c>
      <c r="G62" s="4">
        <f ca="1">SUM(F$15:F62)</f>
        <v>550</v>
      </c>
      <c r="H62" s="6">
        <f t="shared" ca="1" si="6"/>
        <v>0.88725960064157616</v>
      </c>
    </row>
    <row r="63" spans="2:8" x14ac:dyDescent="0.25">
      <c r="B63" s="1">
        <f t="shared" si="7"/>
        <v>49</v>
      </c>
      <c r="C63" s="3">
        <f t="shared" si="4"/>
        <v>70</v>
      </c>
      <c r="D63" s="3">
        <f t="shared" si="5"/>
        <v>100</v>
      </c>
      <c r="E63" s="1" t="str">
        <f t="shared" ca="1" si="0"/>
        <v>Fold</v>
      </c>
      <c r="F63" s="4">
        <f t="shared" ca="1" si="2"/>
        <v>100</v>
      </c>
      <c r="G63" s="4">
        <f ca="1">SUM(F$15:F63)</f>
        <v>650</v>
      </c>
      <c r="H63" s="6">
        <f t="shared" ca="1" si="6"/>
        <v>0.43397578283815264</v>
      </c>
    </row>
    <row r="64" spans="2:8" x14ac:dyDescent="0.25">
      <c r="B64" s="1">
        <f t="shared" si="7"/>
        <v>50</v>
      </c>
      <c r="C64" s="3">
        <f t="shared" si="4"/>
        <v>70</v>
      </c>
      <c r="D64" s="3">
        <f t="shared" si="5"/>
        <v>100</v>
      </c>
      <c r="E64" s="1" t="str">
        <f t="shared" ca="1" si="0"/>
        <v>Call</v>
      </c>
      <c r="F64" s="4">
        <f t="shared" ca="1" si="2"/>
        <v>-70</v>
      </c>
      <c r="G64" s="4">
        <f ca="1">SUM(F$15:F64)</f>
        <v>580</v>
      </c>
      <c r="H64" s="6">
        <f t="shared" ca="1" si="6"/>
        <v>0.87754015818624476</v>
      </c>
    </row>
    <row r="65" spans="2:8" x14ac:dyDescent="0.25">
      <c r="B65" s="1">
        <f t="shared" si="7"/>
        <v>51</v>
      </c>
      <c r="C65" s="3">
        <f t="shared" si="4"/>
        <v>70</v>
      </c>
      <c r="D65" s="3">
        <f t="shared" si="5"/>
        <v>100</v>
      </c>
      <c r="E65" s="1" t="str">
        <f t="shared" ca="1" si="0"/>
        <v>Fold</v>
      </c>
      <c r="F65" s="4">
        <f t="shared" ca="1" si="2"/>
        <v>100</v>
      </c>
      <c r="G65" s="4">
        <f ca="1">SUM(F$15:F65)</f>
        <v>680</v>
      </c>
      <c r="H65" s="6">
        <f t="shared" ca="1" si="6"/>
        <v>0.3087762482391776</v>
      </c>
    </row>
    <row r="66" spans="2:8" x14ac:dyDescent="0.25">
      <c r="B66" s="1">
        <f t="shared" si="7"/>
        <v>52</v>
      </c>
      <c r="C66" s="3">
        <f t="shared" si="4"/>
        <v>70</v>
      </c>
      <c r="D66" s="3">
        <f t="shared" si="5"/>
        <v>100</v>
      </c>
      <c r="E66" s="1" t="str">
        <f t="shared" ca="1" si="0"/>
        <v>Call</v>
      </c>
      <c r="F66" s="4">
        <f t="shared" ca="1" si="2"/>
        <v>-70</v>
      </c>
      <c r="G66" s="4">
        <f ca="1">SUM(F$15:F66)</f>
        <v>610</v>
      </c>
      <c r="H66" s="6">
        <f t="shared" ca="1" si="6"/>
        <v>0.86830248252377418</v>
      </c>
    </row>
    <row r="67" spans="2:8" x14ac:dyDescent="0.25">
      <c r="B67" s="1">
        <f t="shared" si="7"/>
        <v>53</v>
      </c>
      <c r="C67" s="3">
        <f t="shared" si="4"/>
        <v>70</v>
      </c>
      <c r="D67" s="3">
        <f t="shared" si="5"/>
        <v>100</v>
      </c>
      <c r="E67" s="1" t="str">
        <f t="shared" ca="1" si="0"/>
        <v>Call</v>
      </c>
      <c r="F67" s="4">
        <f t="shared" ca="1" si="2"/>
        <v>-70</v>
      </c>
      <c r="G67" s="4">
        <f ca="1">SUM(F$15:F67)</f>
        <v>540</v>
      </c>
      <c r="H67" s="6">
        <f t="shared" ca="1" si="6"/>
        <v>0.7150159619005384</v>
      </c>
    </row>
    <row r="68" spans="2:8" x14ac:dyDescent="0.25">
      <c r="B68" s="1">
        <f t="shared" si="7"/>
        <v>54</v>
      </c>
      <c r="C68" s="3">
        <f t="shared" si="4"/>
        <v>70</v>
      </c>
      <c r="D68" s="3">
        <f t="shared" si="5"/>
        <v>100</v>
      </c>
      <c r="E68" s="1" t="str">
        <f t="shared" ca="1" si="0"/>
        <v>Fold</v>
      </c>
      <c r="F68" s="4">
        <f t="shared" ca="1" si="2"/>
        <v>100</v>
      </c>
      <c r="G68" s="4">
        <f ca="1">SUM(F$15:F68)</f>
        <v>640</v>
      </c>
      <c r="H68" s="6">
        <f t="shared" ca="1" si="6"/>
        <v>1.7098669515079101E-2</v>
      </c>
    </row>
    <row r="69" spans="2:8" x14ac:dyDescent="0.25">
      <c r="B69" s="1">
        <f t="shared" si="7"/>
        <v>55</v>
      </c>
      <c r="C69" s="3">
        <f t="shared" si="4"/>
        <v>70</v>
      </c>
      <c r="D69" s="3">
        <f t="shared" si="5"/>
        <v>100</v>
      </c>
      <c r="E69" s="1" t="str">
        <f t="shared" ca="1" si="0"/>
        <v>Call</v>
      </c>
      <c r="F69" s="4">
        <f t="shared" ca="1" si="2"/>
        <v>-70</v>
      </c>
      <c r="G69" s="4">
        <f ca="1">SUM(F$15:F69)</f>
        <v>570</v>
      </c>
      <c r="H69" s="6">
        <f t="shared" ca="1" si="6"/>
        <v>0.99827400109756315</v>
      </c>
    </row>
    <row r="70" spans="2:8" x14ac:dyDescent="0.25">
      <c r="B70" s="1">
        <f t="shared" si="7"/>
        <v>56</v>
      </c>
      <c r="C70" s="3">
        <f t="shared" si="4"/>
        <v>70</v>
      </c>
      <c r="D70" s="3">
        <f t="shared" si="5"/>
        <v>100</v>
      </c>
      <c r="E70" s="1" t="str">
        <f t="shared" ca="1" si="0"/>
        <v>Fold</v>
      </c>
      <c r="F70" s="4">
        <f t="shared" ca="1" si="2"/>
        <v>100</v>
      </c>
      <c r="G70" s="4">
        <f ca="1">SUM(F$15:F70)</f>
        <v>670</v>
      </c>
      <c r="H70" s="6">
        <f t="shared" ca="1" si="6"/>
        <v>0.46279530593018392</v>
      </c>
    </row>
    <row r="71" spans="2:8" x14ac:dyDescent="0.25">
      <c r="B71" s="1">
        <f t="shared" si="7"/>
        <v>57</v>
      </c>
      <c r="C71" s="3">
        <f t="shared" si="4"/>
        <v>70</v>
      </c>
      <c r="D71" s="3">
        <f t="shared" si="5"/>
        <v>100</v>
      </c>
      <c r="E71" s="1" t="str">
        <f t="shared" ca="1" si="0"/>
        <v>Fold</v>
      </c>
      <c r="F71" s="4">
        <f t="shared" ca="1" si="2"/>
        <v>100</v>
      </c>
      <c r="G71" s="4">
        <f ca="1">SUM(F$15:F71)</f>
        <v>770</v>
      </c>
      <c r="H71" s="6">
        <f t="shared" ca="1" si="6"/>
        <v>0.47056491233573972</v>
      </c>
    </row>
    <row r="72" spans="2:8" x14ac:dyDescent="0.25">
      <c r="B72" s="1">
        <f t="shared" si="7"/>
        <v>58</v>
      </c>
      <c r="C72" s="3">
        <f t="shared" si="4"/>
        <v>70</v>
      </c>
      <c r="D72" s="3">
        <f t="shared" si="5"/>
        <v>100</v>
      </c>
      <c r="E72" s="1" t="str">
        <f t="shared" ca="1" si="0"/>
        <v>Call</v>
      </c>
      <c r="F72" s="4">
        <f t="shared" ca="1" si="2"/>
        <v>-70</v>
      </c>
      <c r="G72" s="4">
        <f ca="1">SUM(F$15:F72)</f>
        <v>700</v>
      </c>
      <c r="H72" s="6">
        <f t="shared" ca="1" si="6"/>
        <v>0.5795704721098548</v>
      </c>
    </row>
    <row r="73" spans="2:8" x14ac:dyDescent="0.25">
      <c r="B73" s="1">
        <f t="shared" si="7"/>
        <v>59</v>
      </c>
      <c r="C73" s="3">
        <f t="shared" si="4"/>
        <v>70</v>
      </c>
      <c r="D73" s="3">
        <f t="shared" si="5"/>
        <v>100</v>
      </c>
      <c r="E73" s="1" t="str">
        <f t="shared" ca="1" si="0"/>
        <v>Fold</v>
      </c>
      <c r="F73" s="4">
        <f t="shared" ca="1" si="2"/>
        <v>100</v>
      </c>
      <c r="G73" s="4">
        <f ca="1">SUM(F$15:F73)</f>
        <v>800</v>
      </c>
      <c r="H73" s="6">
        <f t="shared" ca="1" si="6"/>
        <v>1.5498448639336582E-2</v>
      </c>
    </row>
    <row r="74" spans="2:8" x14ac:dyDescent="0.25">
      <c r="B74" s="1">
        <f t="shared" si="7"/>
        <v>60</v>
      </c>
      <c r="C74" s="3">
        <f t="shared" si="4"/>
        <v>70</v>
      </c>
      <c r="D74" s="3">
        <f t="shared" si="5"/>
        <v>100</v>
      </c>
      <c r="E74" s="1" t="str">
        <f t="shared" ca="1" si="0"/>
        <v>Fold</v>
      </c>
      <c r="F74" s="4">
        <f t="shared" ca="1" si="2"/>
        <v>100</v>
      </c>
      <c r="G74" s="4">
        <f ca="1">SUM(F$15:F74)</f>
        <v>900</v>
      </c>
      <c r="H74" s="6">
        <f t="shared" ca="1" si="6"/>
        <v>4.7182113436196271E-2</v>
      </c>
    </row>
    <row r="75" spans="2:8" x14ac:dyDescent="0.25">
      <c r="B75" s="1">
        <f t="shared" si="7"/>
        <v>61</v>
      </c>
      <c r="C75" s="3">
        <f t="shared" si="4"/>
        <v>70</v>
      </c>
      <c r="D75" s="3">
        <f t="shared" si="5"/>
        <v>100</v>
      </c>
      <c r="E75" s="1" t="str">
        <f t="shared" ca="1" si="0"/>
        <v>Fold</v>
      </c>
      <c r="F75" s="4">
        <f t="shared" ca="1" si="2"/>
        <v>100</v>
      </c>
      <c r="G75" s="4">
        <f ca="1">SUM(F$15:F75)</f>
        <v>1000</v>
      </c>
      <c r="H75" s="6">
        <f t="shared" ca="1" si="6"/>
        <v>0.49139051925080934</v>
      </c>
    </row>
    <row r="76" spans="2:8" x14ac:dyDescent="0.25">
      <c r="B76" s="1">
        <f t="shared" si="7"/>
        <v>62</v>
      </c>
      <c r="C76" s="3">
        <f t="shared" si="4"/>
        <v>70</v>
      </c>
      <c r="D76" s="3">
        <f t="shared" si="5"/>
        <v>100</v>
      </c>
      <c r="E76" s="1" t="str">
        <f t="shared" ca="1" si="0"/>
        <v>Fold</v>
      </c>
      <c r="F76" s="4">
        <f t="shared" ca="1" si="2"/>
        <v>100</v>
      </c>
      <c r="G76" s="4">
        <f ca="1">SUM(F$15:F76)</f>
        <v>1100</v>
      </c>
      <c r="H76" s="6">
        <f t="shared" ca="1" si="6"/>
        <v>0.29795989824552971</v>
      </c>
    </row>
    <row r="77" spans="2:8" x14ac:dyDescent="0.25">
      <c r="B77" s="1">
        <f t="shared" si="7"/>
        <v>63</v>
      </c>
      <c r="C77" s="3">
        <f t="shared" si="4"/>
        <v>70</v>
      </c>
      <c r="D77" s="3">
        <f t="shared" si="5"/>
        <v>100</v>
      </c>
      <c r="E77" s="1" t="str">
        <f t="shared" ca="1" si="0"/>
        <v>Fold</v>
      </c>
      <c r="F77" s="4">
        <f t="shared" ca="1" si="2"/>
        <v>100</v>
      </c>
      <c r="G77" s="4">
        <f ca="1">SUM(F$15:F77)</f>
        <v>1200</v>
      </c>
      <c r="H77" s="6">
        <f t="shared" ca="1" si="6"/>
        <v>1.6500855345849663E-2</v>
      </c>
    </row>
    <row r="78" spans="2:8" x14ac:dyDescent="0.25">
      <c r="B78" s="1">
        <f t="shared" si="7"/>
        <v>64</v>
      </c>
      <c r="C78" s="3">
        <f t="shared" si="4"/>
        <v>70</v>
      </c>
      <c r="D78" s="3">
        <f t="shared" si="5"/>
        <v>100</v>
      </c>
      <c r="E78" s="1" t="str">
        <f t="shared" ca="1" si="0"/>
        <v>Fold</v>
      </c>
      <c r="F78" s="4">
        <f t="shared" ca="1" si="2"/>
        <v>100</v>
      </c>
      <c r="G78" s="4">
        <f ca="1">SUM(F$15:F78)</f>
        <v>1300</v>
      </c>
      <c r="H78" s="6">
        <f t="shared" ca="1" si="6"/>
        <v>0.45676485224586683</v>
      </c>
    </row>
    <row r="79" spans="2:8" x14ac:dyDescent="0.25">
      <c r="B79" s="1">
        <f t="shared" si="7"/>
        <v>65</v>
      </c>
      <c r="C79" s="3">
        <f t="shared" si="4"/>
        <v>70</v>
      </c>
      <c r="D79" s="3">
        <f t="shared" si="5"/>
        <v>100</v>
      </c>
      <c r="E79" s="1" t="str">
        <f t="shared" ref="E79:E142" ca="1" si="8">IF(H79&lt;$D$3,"Fold","Call")</f>
        <v>Call</v>
      </c>
      <c r="F79" s="4">
        <f t="shared" ca="1" si="2"/>
        <v>-70</v>
      </c>
      <c r="G79" s="4">
        <f ca="1">SUM(F$15:F79)</f>
        <v>1230</v>
      </c>
      <c r="H79" s="6">
        <f t="shared" ca="1" si="6"/>
        <v>0.88024319143767216</v>
      </c>
    </row>
    <row r="80" spans="2:8" x14ac:dyDescent="0.25">
      <c r="B80" s="1">
        <f t="shared" si="7"/>
        <v>66</v>
      </c>
      <c r="C80" s="3">
        <f t="shared" si="4"/>
        <v>70</v>
      </c>
      <c r="D80" s="3">
        <f t="shared" si="5"/>
        <v>100</v>
      </c>
      <c r="E80" s="1" t="str">
        <f t="shared" ca="1" si="8"/>
        <v>Call</v>
      </c>
      <c r="F80" s="4">
        <f t="shared" ref="F80:F143" ca="1" si="9">IF(E80="Fold",D80,-C80)</f>
        <v>-70</v>
      </c>
      <c r="G80" s="4">
        <f ca="1">SUM(F$15:F80)</f>
        <v>1160</v>
      </c>
      <c r="H80" s="6">
        <f t="shared" ca="1" si="6"/>
        <v>0.67620330164195708</v>
      </c>
    </row>
    <row r="81" spans="2:8" x14ac:dyDescent="0.25">
      <c r="B81" s="1">
        <f t="shared" si="7"/>
        <v>67</v>
      </c>
      <c r="C81" s="3">
        <f t="shared" ref="C81:C144" si="10">C80</f>
        <v>70</v>
      </c>
      <c r="D81" s="3">
        <f t="shared" ref="D81:D144" si="11">D80</f>
        <v>100</v>
      </c>
      <c r="E81" s="1" t="str">
        <f t="shared" ca="1" si="8"/>
        <v>Fold</v>
      </c>
      <c r="F81" s="4">
        <f t="shared" ca="1" si="9"/>
        <v>100</v>
      </c>
      <c r="G81" s="4">
        <f ca="1">SUM(F$15:F81)</f>
        <v>1260</v>
      </c>
      <c r="H81" s="6">
        <f t="shared" ca="1" si="6"/>
        <v>9.6041929139297433E-2</v>
      </c>
    </row>
    <row r="82" spans="2:8" x14ac:dyDescent="0.25">
      <c r="B82" s="1">
        <f t="shared" si="7"/>
        <v>68</v>
      </c>
      <c r="C82" s="3">
        <f t="shared" si="10"/>
        <v>70</v>
      </c>
      <c r="D82" s="3">
        <f t="shared" si="11"/>
        <v>100</v>
      </c>
      <c r="E82" s="1" t="str">
        <f t="shared" ca="1" si="8"/>
        <v>Call</v>
      </c>
      <c r="F82" s="4">
        <f t="shared" ca="1" si="9"/>
        <v>-70</v>
      </c>
      <c r="G82" s="4">
        <f ca="1">SUM(F$15:F82)</f>
        <v>1190</v>
      </c>
      <c r="H82" s="6">
        <f t="shared" ca="1" si="6"/>
        <v>0.92532135409660887</v>
      </c>
    </row>
    <row r="83" spans="2:8" x14ac:dyDescent="0.25">
      <c r="B83" s="1">
        <f t="shared" si="7"/>
        <v>69</v>
      </c>
      <c r="C83" s="3">
        <f t="shared" si="10"/>
        <v>70</v>
      </c>
      <c r="D83" s="3">
        <f t="shared" si="11"/>
        <v>100</v>
      </c>
      <c r="E83" s="1" t="str">
        <f t="shared" ca="1" si="8"/>
        <v>Call</v>
      </c>
      <c r="F83" s="4">
        <f t="shared" ca="1" si="9"/>
        <v>-70</v>
      </c>
      <c r="G83" s="4">
        <f ca="1">SUM(F$15:F83)</f>
        <v>1120</v>
      </c>
      <c r="H83" s="6">
        <f t="shared" ca="1" si="6"/>
        <v>0.85409210899373034</v>
      </c>
    </row>
    <row r="84" spans="2:8" x14ac:dyDescent="0.25">
      <c r="B84" s="1">
        <f t="shared" si="7"/>
        <v>70</v>
      </c>
      <c r="C84" s="3">
        <f t="shared" si="10"/>
        <v>70</v>
      </c>
      <c r="D84" s="3">
        <f t="shared" si="11"/>
        <v>100</v>
      </c>
      <c r="E84" s="1" t="str">
        <f t="shared" ca="1" si="8"/>
        <v>Call</v>
      </c>
      <c r="F84" s="4">
        <f t="shared" ca="1" si="9"/>
        <v>-70</v>
      </c>
      <c r="G84" s="4">
        <f ca="1">SUM(F$15:F84)</f>
        <v>1050</v>
      </c>
      <c r="H84" s="6">
        <f t="shared" ca="1" si="6"/>
        <v>0.58946536982464548</v>
      </c>
    </row>
    <row r="85" spans="2:8" x14ac:dyDescent="0.25">
      <c r="B85" s="1">
        <f t="shared" si="7"/>
        <v>71</v>
      </c>
      <c r="C85" s="3">
        <f t="shared" si="10"/>
        <v>70</v>
      </c>
      <c r="D85" s="3">
        <f t="shared" si="11"/>
        <v>100</v>
      </c>
      <c r="E85" s="1" t="str">
        <f t="shared" ca="1" si="8"/>
        <v>Fold</v>
      </c>
      <c r="F85" s="4">
        <f t="shared" ca="1" si="9"/>
        <v>100</v>
      </c>
      <c r="G85" s="4">
        <f ca="1">SUM(F$15:F85)</f>
        <v>1150</v>
      </c>
      <c r="H85" s="6">
        <f t="shared" ca="1" si="6"/>
        <v>0.36799512110918331</v>
      </c>
    </row>
    <row r="86" spans="2:8" x14ac:dyDescent="0.25">
      <c r="B86" s="1">
        <f t="shared" si="7"/>
        <v>72</v>
      </c>
      <c r="C86" s="3">
        <f t="shared" si="10"/>
        <v>70</v>
      </c>
      <c r="D86" s="3">
        <f t="shared" si="11"/>
        <v>100</v>
      </c>
      <c r="E86" s="1" t="str">
        <f t="shared" ca="1" si="8"/>
        <v>Fold</v>
      </c>
      <c r="F86" s="4">
        <f t="shared" ca="1" si="9"/>
        <v>100</v>
      </c>
      <c r="G86" s="4">
        <f ca="1">SUM(F$15:F86)</f>
        <v>1250</v>
      </c>
      <c r="H86" s="6">
        <f t="shared" ca="1" si="6"/>
        <v>0.16185932170854045</v>
      </c>
    </row>
    <row r="87" spans="2:8" x14ac:dyDescent="0.25">
      <c r="B87" s="1">
        <f t="shared" si="7"/>
        <v>73</v>
      </c>
      <c r="C87" s="3">
        <f t="shared" si="10"/>
        <v>70</v>
      </c>
      <c r="D87" s="3">
        <f t="shared" si="11"/>
        <v>100</v>
      </c>
      <c r="E87" s="1" t="str">
        <f t="shared" ca="1" si="8"/>
        <v>Call</v>
      </c>
      <c r="F87" s="4">
        <f t="shared" ca="1" si="9"/>
        <v>-70</v>
      </c>
      <c r="G87" s="4">
        <f ca="1">SUM(F$15:F87)</f>
        <v>1180</v>
      </c>
      <c r="H87" s="6">
        <f t="shared" ca="1" si="6"/>
        <v>0.58112951242413224</v>
      </c>
    </row>
    <row r="88" spans="2:8" x14ac:dyDescent="0.25">
      <c r="B88" s="1">
        <f t="shared" si="7"/>
        <v>74</v>
      </c>
      <c r="C88" s="3">
        <f t="shared" si="10"/>
        <v>70</v>
      </c>
      <c r="D88" s="3">
        <f t="shared" si="11"/>
        <v>100</v>
      </c>
      <c r="E88" s="1" t="str">
        <f t="shared" ca="1" si="8"/>
        <v>Call</v>
      </c>
      <c r="F88" s="4">
        <f t="shared" ca="1" si="9"/>
        <v>-70</v>
      </c>
      <c r="G88" s="4">
        <f ca="1">SUM(F$15:F88)</f>
        <v>1110</v>
      </c>
      <c r="H88" s="6">
        <f t="shared" ca="1" si="6"/>
        <v>0.73634845157029194</v>
      </c>
    </row>
    <row r="89" spans="2:8" x14ac:dyDescent="0.25">
      <c r="B89" s="1">
        <f t="shared" si="7"/>
        <v>75</v>
      </c>
      <c r="C89" s="3">
        <f t="shared" si="10"/>
        <v>70</v>
      </c>
      <c r="D89" s="3">
        <f t="shared" si="11"/>
        <v>100</v>
      </c>
      <c r="E89" s="1" t="str">
        <f t="shared" ca="1" si="8"/>
        <v>Fold</v>
      </c>
      <c r="F89" s="4">
        <f t="shared" ca="1" si="9"/>
        <v>100</v>
      </c>
      <c r="G89" s="4">
        <f ca="1">SUM(F$15:F89)</f>
        <v>1210</v>
      </c>
      <c r="H89" s="6">
        <f t="shared" ca="1" si="6"/>
        <v>0.17144343459668354</v>
      </c>
    </row>
    <row r="90" spans="2:8" x14ac:dyDescent="0.25">
      <c r="B90" s="1">
        <f t="shared" si="7"/>
        <v>76</v>
      </c>
      <c r="C90" s="3">
        <f t="shared" si="10"/>
        <v>70</v>
      </c>
      <c r="D90" s="3">
        <f t="shared" si="11"/>
        <v>100</v>
      </c>
      <c r="E90" s="1" t="str">
        <f t="shared" ca="1" si="8"/>
        <v>Call</v>
      </c>
      <c r="F90" s="4">
        <f t="shared" ca="1" si="9"/>
        <v>-70</v>
      </c>
      <c r="G90" s="4">
        <f ca="1">SUM(F$15:F90)</f>
        <v>1140</v>
      </c>
      <c r="H90" s="6">
        <f t="shared" ca="1" si="6"/>
        <v>0.59772507315053769</v>
      </c>
    </row>
    <row r="91" spans="2:8" x14ac:dyDescent="0.25">
      <c r="B91" s="1">
        <f t="shared" si="7"/>
        <v>77</v>
      </c>
      <c r="C91" s="3">
        <f t="shared" si="10"/>
        <v>70</v>
      </c>
      <c r="D91" s="3">
        <f t="shared" si="11"/>
        <v>100</v>
      </c>
      <c r="E91" s="1" t="str">
        <f t="shared" ca="1" si="8"/>
        <v>Call</v>
      </c>
      <c r="F91" s="4">
        <f t="shared" ca="1" si="9"/>
        <v>-70</v>
      </c>
      <c r="G91" s="4">
        <f ca="1">SUM(F$15:F91)</f>
        <v>1070</v>
      </c>
      <c r="H91" s="6">
        <f t="shared" ca="1" si="6"/>
        <v>0.84791990702685027</v>
      </c>
    </row>
    <row r="92" spans="2:8" x14ac:dyDescent="0.25">
      <c r="B92" s="1">
        <f t="shared" si="7"/>
        <v>78</v>
      </c>
      <c r="C92" s="3">
        <f t="shared" si="10"/>
        <v>70</v>
      </c>
      <c r="D92" s="3">
        <f t="shared" si="11"/>
        <v>100</v>
      </c>
      <c r="E92" s="1" t="str">
        <f t="shared" ca="1" si="8"/>
        <v>Fold</v>
      </c>
      <c r="F92" s="4">
        <f t="shared" ca="1" si="9"/>
        <v>100</v>
      </c>
      <c r="G92" s="4">
        <f ca="1">SUM(F$15:F92)</f>
        <v>1170</v>
      </c>
      <c r="H92" s="6">
        <f t="shared" ca="1" si="6"/>
        <v>0.39806023375734922</v>
      </c>
    </row>
    <row r="93" spans="2:8" x14ac:dyDescent="0.25">
      <c r="B93" s="1">
        <f t="shared" si="7"/>
        <v>79</v>
      </c>
      <c r="C93" s="3">
        <f t="shared" si="10"/>
        <v>70</v>
      </c>
      <c r="D93" s="3">
        <f t="shared" si="11"/>
        <v>100</v>
      </c>
      <c r="E93" s="1" t="str">
        <f t="shared" ca="1" si="8"/>
        <v>Fold</v>
      </c>
      <c r="F93" s="4">
        <f t="shared" ca="1" si="9"/>
        <v>100</v>
      </c>
      <c r="G93" s="4">
        <f ca="1">SUM(F$15:F93)</f>
        <v>1270</v>
      </c>
      <c r="H93" s="6">
        <f t="shared" ca="1" si="6"/>
        <v>7.7797658586950202E-2</v>
      </c>
    </row>
    <row r="94" spans="2:8" x14ac:dyDescent="0.25">
      <c r="B94" s="1">
        <f t="shared" si="7"/>
        <v>80</v>
      </c>
      <c r="C94" s="3">
        <f t="shared" si="10"/>
        <v>70</v>
      </c>
      <c r="D94" s="3">
        <f t="shared" si="11"/>
        <v>100</v>
      </c>
      <c r="E94" s="1" t="str">
        <f t="shared" ca="1" si="8"/>
        <v>Fold</v>
      </c>
      <c r="F94" s="4">
        <f t="shared" ca="1" si="9"/>
        <v>100</v>
      </c>
      <c r="G94" s="4">
        <f ca="1">SUM(F$15:F94)</f>
        <v>1370</v>
      </c>
      <c r="H94" s="6">
        <f t="shared" ref="H94:H157" ca="1" si="12">RAND()</f>
        <v>0.33082218319788592</v>
      </c>
    </row>
    <row r="95" spans="2:8" x14ac:dyDescent="0.25">
      <c r="B95" s="1">
        <f t="shared" si="7"/>
        <v>81</v>
      </c>
      <c r="C95" s="3">
        <f t="shared" si="10"/>
        <v>70</v>
      </c>
      <c r="D95" s="3">
        <f t="shared" si="11"/>
        <v>100</v>
      </c>
      <c r="E95" s="1" t="str">
        <f t="shared" ca="1" si="8"/>
        <v>Fold</v>
      </c>
      <c r="F95" s="4">
        <f t="shared" ca="1" si="9"/>
        <v>100</v>
      </c>
      <c r="G95" s="4">
        <f ca="1">SUM(F$15:F95)</f>
        <v>1470</v>
      </c>
      <c r="H95" s="6">
        <f t="shared" ca="1" si="12"/>
        <v>0.17866653899405516</v>
      </c>
    </row>
    <row r="96" spans="2:8" x14ac:dyDescent="0.25">
      <c r="B96" s="1">
        <f t="shared" si="7"/>
        <v>82</v>
      </c>
      <c r="C96" s="3">
        <f t="shared" si="10"/>
        <v>70</v>
      </c>
      <c r="D96" s="3">
        <f t="shared" si="11"/>
        <v>100</v>
      </c>
      <c r="E96" s="1" t="str">
        <f t="shared" ca="1" si="8"/>
        <v>Fold</v>
      </c>
      <c r="F96" s="4">
        <f t="shared" ca="1" si="9"/>
        <v>100</v>
      </c>
      <c r="G96" s="4">
        <f ca="1">SUM(F$15:F96)</f>
        <v>1570</v>
      </c>
      <c r="H96" s="6">
        <f t="shared" ca="1" si="12"/>
        <v>1.7686327291024484E-2</v>
      </c>
    </row>
    <row r="97" spans="2:8" x14ac:dyDescent="0.25">
      <c r="B97" s="1">
        <f t="shared" si="7"/>
        <v>83</v>
      </c>
      <c r="C97" s="3">
        <f t="shared" si="10"/>
        <v>70</v>
      </c>
      <c r="D97" s="3">
        <f t="shared" si="11"/>
        <v>100</v>
      </c>
      <c r="E97" s="1" t="str">
        <f t="shared" ca="1" si="8"/>
        <v>Fold</v>
      </c>
      <c r="F97" s="4">
        <f t="shared" ca="1" si="9"/>
        <v>100</v>
      </c>
      <c r="G97" s="4">
        <f ca="1">SUM(F$15:F97)</f>
        <v>1670</v>
      </c>
      <c r="H97" s="6">
        <f t="shared" ca="1" si="12"/>
        <v>0.16992846532660943</v>
      </c>
    </row>
    <row r="98" spans="2:8" x14ac:dyDescent="0.25">
      <c r="B98" s="1">
        <f t="shared" si="7"/>
        <v>84</v>
      </c>
      <c r="C98" s="3">
        <f t="shared" si="10"/>
        <v>70</v>
      </c>
      <c r="D98" s="3">
        <f t="shared" si="11"/>
        <v>100</v>
      </c>
      <c r="E98" s="1" t="str">
        <f t="shared" ca="1" si="8"/>
        <v>Fold</v>
      </c>
      <c r="F98" s="4">
        <f t="shared" ca="1" si="9"/>
        <v>100</v>
      </c>
      <c r="G98" s="4">
        <f ca="1">SUM(F$15:F98)</f>
        <v>1770</v>
      </c>
      <c r="H98" s="6">
        <f t="shared" ca="1" si="12"/>
        <v>5.9332783349951956E-2</v>
      </c>
    </row>
    <row r="99" spans="2:8" x14ac:dyDescent="0.25">
      <c r="B99" s="1">
        <f t="shared" si="7"/>
        <v>85</v>
      </c>
      <c r="C99" s="3">
        <f t="shared" si="10"/>
        <v>70</v>
      </c>
      <c r="D99" s="3">
        <f t="shared" si="11"/>
        <v>100</v>
      </c>
      <c r="E99" s="1" t="str">
        <f t="shared" ca="1" si="8"/>
        <v>Call</v>
      </c>
      <c r="F99" s="4">
        <f t="shared" ca="1" si="9"/>
        <v>-70</v>
      </c>
      <c r="G99" s="4">
        <f ca="1">SUM(F$15:F99)</f>
        <v>1700</v>
      </c>
      <c r="H99" s="6">
        <f t="shared" ca="1" si="12"/>
        <v>0.65962249519651817</v>
      </c>
    </row>
    <row r="100" spans="2:8" x14ac:dyDescent="0.25">
      <c r="B100" s="1">
        <f t="shared" si="7"/>
        <v>86</v>
      </c>
      <c r="C100" s="3">
        <f t="shared" si="10"/>
        <v>70</v>
      </c>
      <c r="D100" s="3">
        <f t="shared" si="11"/>
        <v>100</v>
      </c>
      <c r="E100" s="1" t="str">
        <f t="shared" ca="1" si="8"/>
        <v>Fold</v>
      </c>
      <c r="F100" s="4">
        <f t="shared" ca="1" si="9"/>
        <v>100</v>
      </c>
      <c r="G100" s="4">
        <f ca="1">SUM(F$15:F100)</f>
        <v>1800</v>
      </c>
      <c r="H100" s="6">
        <f t="shared" ca="1" si="12"/>
        <v>0.1117516298445389</v>
      </c>
    </row>
    <row r="101" spans="2:8" x14ac:dyDescent="0.25">
      <c r="B101" s="1">
        <f t="shared" si="7"/>
        <v>87</v>
      </c>
      <c r="C101" s="3">
        <f t="shared" si="10"/>
        <v>70</v>
      </c>
      <c r="D101" s="3">
        <f t="shared" si="11"/>
        <v>100</v>
      </c>
      <c r="E101" s="1" t="str">
        <f t="shared" ca="1" si="8"/>
        <v>Call</v>
      </c>
      <c r="F101" s="4">
        <f t="shared" ca="1" si="9"/>
        <v>-70</v>
      </c>
      <c r="G101" s="4">
        <f ca="1">SUM(F$15:F101)</f>
        <v>1730</v>
      </c>
      <c r="H101" s="6">
        <f t="shared" ca="1" si="12"/>
        <v>0.90967200125050685</v>
      </c>
    </row>
    <row r="102" spans="2:8" x14ac:dyDescent="0.25">
      <c r="B102" s="1">
        <f t="shared" si="7"/>
        <v>88</v>
      </c>
      <c r="C102" s="3">
        <f t="shared" si="10"/>
        <v>70</v>
      </c>
      <c r="D102" s="3">
        <f t="shared" si="11"/>
        <v>100</v>
      </c>
      <c r="E102" s="1" t="str">
        <f t="shared" ca="1" si="8"/>
        <v>Fold</v>
      </c>
      <c r="F102" s="4">
        <f t="shared" ca="1" si="9"/>
        <v>100</v>
      </c>
      <c r="G102" s="4">
        <f ca="1">SUM(F$15:F102)</f>
        <v>1830</v>
      </c>
      <c r="H102" s="6">
        <f t="shared" ca="1" si="12"/>
        <v>3.8885820332175136E-3</v>
      </c>
    </row>
    <row r="103" spans="2:8" x14ac:dyDescent="0.25">
      <c r="B103" s="1">
        <f t="shared" si="7"/>
        <v>89</v>
      </c>
      <c r="C103" s="3">
        <f t="shared" si="10"/>
        <v>70</v>
      </c>
      <c r="D103" s="3">
        <f t="shared" si="11"/>
        <v>100</v>
      </c>
      <c r="E103" s="1" t="str">
        <f t="shared" ca="1" si="8"/>
        <v>Fold</v>
      </c>
      <c r="F103" s="4">
        <f t="shared" ca="1" si="9"/>
        <v>100</v>
      </c>
      <c r="G103" s="4">
        <f ca="1">SUM(F$15:F103)</f>
        <v>1930</v>
      </c>
      <c r="H103" s="6">
        <f t="shared" ca="1" si="12"/>
        <v>0.21930241675425977</v>
      </c>
    </row>
    <row r="104" spans="2:8" x14ac:dyDescent="0.25">
      <c r="B104" s="1">
        <f t="shared" si="7"/>
        <v>90</v>
      </c>
      <c r="C104" s="3">
        <f t="shared" si="10"/>
        <v>70</v>
      </c>
      <c r="D104" s="3">
        <f t="shared" si="11"/>
        <v>100</v>
      </c>
      <c r="E104" s="1" t="str">
        <f t="shared" ca="1" si="8"/>
        <v>Fold</v>
      </c>
      <c r="F104" s="4">
        <f t="shared" ca="1" si="9"/>
        <v>100</v>
      </c>
      <c r="G104" s="4">
        <f ca="1">SUM(F$15:F104)</f>
        <v>2030</v>
      </c>
      <c r="H104" s="6">
        <f t="shared" ca="1" si="12"/>
        <v>0.12596502182747782</v>
      </c>
    </row>
    <row r="105" spans="2:8" x14ac:dyDescent="0.25">
      <c r="B105" s="1">
        <f t="shared" si="7"/>
        <v>91</v>
      </c>
      <c r="C105" s="3">
        <f t="shared" si="10"/>
        <v>70</v>
      </c>
      <c r="D105" s="3">
        <f t="shared" si="11"/>
        <v>100</v>
      </c>
      <c r="E105" s="1" t="str">
        <f t="shared" ca="1" si="8"/>
        <v>Call</v>
      </c>
      <c r="F105" s="4">
        <f t="shared" ca="1" si="9"/>
        <v>-70</v>
      </c>
      <c r="G105" s="4">
        <f ca="1">SUM(F$15:F105)</f>
        <v>1960</v>
      </c>
      <c r="H105" s="6">
        <f t="shared" ca="1" si="12"/>
        <v>0.78900315139334132</v>
      </c>
    </row>
    <row r="106" spans="2:8" x14ac:dyDescent="0.25">
      <c r="B106" s="1">
        <f t="shared" si="7"/>
        <v>92</v>
      </c>
      <c r="C106" s="3">
        <f t="shared" si="10"/>
        <v>70</v>
      </c>
      <c r="D106" s="3">
        <f t="shared" si="11"/>
        <v>100</v>
      </c>
      <c r="E106" s="1" t="str">
        <f t="shared" ca="1" si="8"/>
        <v>Fold</v>
      </c>
      <c r="F106" s="4">
        <f t="shared" ca="1" si="9"/>
        <v>100</v>
      </c>
      <c r="G106" s="4">
        <f ca="1">SUM(F$15:F106)</f>
        <v>2060</v>
      </c>
      <c r="H106" s="6">
        <f t="shared" ca="1" si="12"/>
        <v>6.5889555099943098E-2</v>
      </c>
    </row>
    <row r="107" spans="2:8" x14ac:dyDescent="0.25">
      <c r="B107" s="1">
        <f t="shared" si="7"/>
        <v>93</v>
      </c>
      <c r="C107" s="3">
        <f t="shared" si="10"/>
        <v>70</v>
      </c>
      <c r="D107" s="3">
        <f t="shared" si="11"/>
        <v>100</v>
      </c>
      <c r="E107" s="1" t="str">
        <f t="shared" ca="1" si="8"/>
        <v>Call</v>
      </c>
      <c r="F107" s="4">
        <f t="shared" ca="1" si="9"/>
        <v>-70</v>
      </c>
      <c r="G107" s="4">
        <f ca="1">SUM(F$15:F107)</f>
        <v>1990</v>
      </c>
      <c r="H107" s="6">
        <f t="shared" ca="1" si="12"/>
        <v>0.76579441249957259</v>
      </c>
    </row>
    <row r="108" spans="2:8" x14ac:dyDescent="0.25">
      <c r="B108" s="1">
        <f t="shared" si="7"/>
        <v>94</v>
      </c>
      <c r="C108" s="3">
        <f t="shared" si="10"/>
        <v>70</v>
      </c>
      <c r="D108" s="3">
        <f t="shared" si="11"/>
        <v>100</v>
      </c>
      <c r="E108" s="1" t="str">
        <f t="shared" ca="1" si="8"/>
        <v>Call</v>
      </c>
      <c r="F108" s="4">
        <f t="shared" ca="1" si="9"/>
        <v>-70</v>
      </c>
      <c r="G108" s="4">
        <f ca="1">SUM(F$15:F108)</f>
        <v>1920</v>
      </c>
      <c r="H108" s="6">
        <f t="shared" ca="1" si="12"/>
        <v>0.7354706471180561</v>
      </c>
    </row>
    <row r="109" spans="2:8" x14ac:dyDescent="0.25">
      <c r="B109" s="1">
        <f t="shared" si="7"/>
        <v>95</v>
      </c>
      <c r="C109" s="3">
        <f t="shared" si="10"/>
        <v>70</v>
      </c>
      <c r="D109" s="3">
        <f t="shared" si="11"/>
        <v>100</v>
      </c>
      <c r="E109" s="1" t="str">
        <f t="shared" ca="1" si="8"/>
        <v>Call</v>
      </c>
      <c r="F109" s="4">
        <f t="shared" ca="1" si="9"/>
        <v>-70</v>
      </c>
      <c r="G109" s="4">
        <f ca="1">SUM(F$15:F109)</f>
        <v>1850</v>
      </c>
      <c r="H109" s="6">
        <f t="shared" ca="1" si="12"/>
        <v>0.56098240393908472</v>
      </c>
    </row>
    <row r="110" spans="2:8" x14ac:dyDescent="0.25">
      <c r="B110" s="1">
        <f t="shared" si="7"/>
        <v>96</v>
      </c>
      <c r="C110" s="3">
        <f t="shared" si="10"/>
        <v>70</v>
      </c>
      <c r="D110" s="3">
        <f t="shared" si="11"/>
        <v>100</v>
      </c>
      <c r="E110" s="1" t="str">
        <f t="shared" ca="1" si="8"/>
        <v>Fold</v>
      </c>
      <c r="F110" s="4">
        <f t="shared" ca="1" si="9"/>
        <v>100</v>
      </c>
      <c r="G110" s="4">
        <f ca="1">SUM(F$15:F110)</f>
        <v>1950</v>
      </c>
      <c r="H110" s="6">
        <f t="shared" ca="1" si="12"/>
        <v>0.1088266996207653</v>
      </c>
    </row>
    <row r="111" spans="2:8" x14ac:dyDescent="0.25">
      <c r="B111" s="1">
        <f t="shared" si="7"/>
        <v>97</v>
      </c>
      <c r="C111" s="3">
        <f t="shared" si="10"/>
        <v>70</v>
      </c>
      <c r="D111" s="3">
        <f t="shared" si="11"/>
        <v>100</v>
      </c>
      <c r="E111" s="1" t="str">
        <f t="shared" ca="1" si="8"/>
        <v>Fold</v>
      </c>
      <c r="F111" s="4">
        <f t="shared" ca="1" si="9"/>
        <v>100</v>
      </c>
      <c r="G111" s="4">
        <f ca="1">SUM(F$15:F111)</f>
        <v>2050</v>
      </c>
      <c r="H111" s="6">
        <f t="shared" ca="1" si="12"/>
        <v>6.1543090587460658E-2</v>
      </c>
    </row>
    <row r="112" spans="2:8" x14ac:dyDescent="0.25">
      <c r="B112" s="1">
        <f t="shared" si="7"/>
        <v>98</v>
      </c>
      <c r="C112" s="3">
        <f t="shared" si="10"/>
        <v>70</v>
      </c>
      <c r="D112" s="3">
        <f t="shared" si="11"/>
        <v>100</v>
      </c>
      <c r="E112" s="1" t="str">
        <f t="shared" ca="1" si="8"/>
        <v>Call</v>
      </c>
      <c r="F112" s="4">
        <f t="shared" ca="1" si="9"/>
        <v>-70</v>
      </c>
      <c r="G112" s="4">
        <f ca="1">SUM(F$15:F112)</f>
        <v>1980</v>
      </c>
      <c r="H112" s="6">
        <f t="shared" ca="1" si="12"/>
        <v>0.9455592291110978</v>
      </c>
    </row>
    <row r="113" spans="2:8" x14ac:dyDescent="0.25">
      <c r="B113" s="1">
        <f t="shared" si="7"/>
        <v>99</v>
      </c>
      <c r="C113" s="3">
        <f t="shared" si="10"/>
        <v>70</v>
      </c>
      <c r="D113" s="3">
        <f t="shared" si="11"/>
        <v>100</v>
      </c>
      <c r="E113" s="1" t="str">
        <f t="shared" ca="1" si="8"/>
        <v>Call</v>
      </c>
      <c r="F113" s="4">
        <f t="shared" ca="1" si="9"/>
        <v>-70</v>
      </c>
      <c r="G113" s="4">
        <f ca="1">SUM(F$15:F113)</f>
        <v>1910</v>
      </c>
      <c r="H113" s="6">
        <f t="shared" ca="1" si="12"/>
        <v>0.52026994217727784</v>
      </c>
    </row>
    <row r="114" spans="2:8" x14ac:dyDescent="0.25">
      <c r="B114" s="1">
        <f t="shared" si="7"/>
        <v>100</v>
      </c>
      <c r="C114" s="3">
        <f t="shared" si="10"/>
        <v>70</v>
      </c>
      <c r="D114" s="3">
        <f t="shared" si="11"/>
        <v>100</v>
      </c>
      <c r="E114" s="1" t="str">
        <f t="shared" ca="1" si="8"/>
        <v>Call</v>
      </c>
      <c r="F114" s="4">
        <f t="shared" ca="1" si="9"/>
        <v>-70</v>
      </c>
      <c r="G114" s="4">
        <f ca="1">SUM(F$15:F114)</f>
        <v>1840</v>
      </c>
      <c r="H114" s="6">
        <f t="shared" ca="1" si="12"/>
        <v>0.99229671355935922</v>
      </c>
    </row>
    <row r="115" spans="2:8" x14ac:dyDescent="0.25">
      <c r="B115" s="1">
        <f t="shared" si="7"/>
        <v>101</v>
      </c>
      <c r="C115" s="3">
        <f t="shared" si="10"/>
        <v>70</v>
      </c>
      <c r="D115" s="3">
        <f t="shared" si="11"/>
        <v>100</v>
      </c>
      <c r="E115" s="1" t="str">
        <f t="shared" ca="1" si="8"/>
        <v>Call</v>
      </c>
      <c r="F115" s="4">
        <f t="shared" ca="1" si="9"/>
        <v>-70</v>
      </c>
      <c r="G115" s="4">
        <f ca="1">SUM(F$15:F115)</f>
        <v>1770</v>
      </c>
      <c r="H115" s="6">
        <f t="shared" ca="1" si="12"/>
        <v>0.92812885063688311</v>
      </c>
    </row>
    <row r="116" spans="2:8" x14ac:dyDescent="0.25">
      <c r="B116" s="1">
        <f t="shared" si="7"/>
        <v>102</v>
      </c>
      <c r="C116" s="3">
        <f t="shared" si="10"/>
        <v>70</v>
      </c>
      <c r="D116" s="3">
        <f t="shared" si="11"/>
        <v>100</v>
      </c>
      <c r="E116" s="1" t="str">
        <f t="shared" ca="1" si="8"/>
        <v>Fold</v>
      </c>
      <c r="F116" s="4">
        <f t="shared" ca="1" si="9"/>
        <v>100</v>
      </c>
      <c r="G116" s="4">
        <f ca="1">SUM(F$15:F116)</f>
        <v>1870</v>
      </c>
      <c r="H116" s="6">
        <f t="shared" ca="1" si="12"/>
        <v>0.38112505387013595</v>
      </c>
    </row>
    <row r="117" spans="2:8" x14ac:dyDescent="0.25">
      <c r="B117" s="1">
        <f t="shared" si="7"/>
        <v>103</v>
      </c>
      <c r="C117" s="3">
        <f t="shared" si="10"/>
        <v>70</v>
      </c>
      <c r="D117" s="3">
        <f t="shared" si="11"/>
        <v>100</v>
      </c>
      <c r="E117" s="1" t="str">
        <f t="shared" ca="1" si="8"/>
        <v>Call</v>
      </c>
      <c r="F117" s="4">
        <f t="shared" ca="1" si="9"/>
        <v>-70</v>
      </c>
      <c r="G117" s="4">
        <f ca="1">SUM(F$15:F117)</f>
        <v>1800</v>
      </c>
      <c r="H117" s="6">
        <f t="shared" ca="1" si="12"/>
        <v>0.62367298267193116</v>
      </c>
    </row>
    <row r="118" spans="2:8" x14ac:dyDescent="0.25">
      <c r="B118" s="1">
        <f t="shared" si="7"/>
        <v>104</v>
      </c>
      <c r="C118" s="3">
        <f t="shared" si="10"/>
        <v>70</v>
      </c>
      <c r="D118" s="3">
        <f t="shared" si="11"/>
        <v>100</v>
      </c>
      <c r="E118" s="1" t="str">
        <f t="shared" ca="1" si="8"/>
        <v>Fold</v>
      </c>
      <c r="F118" s="4">
        <f t="shared" ca="1" si="9"/>
        <v>100</v>
      </c>
      <c r="G118" s="4">
        <f ca="1">SUM(F$15:F118)</f>
        <v>1900</v>
      </c>
      <c r="H118" s="6">
        <f t="shared" ca="1" si="12"/>
        <v>0.23786025611693817</v>
      </c>
    </row>
    <row r="119" spans="2:8" x14ac:dyDescent="0.25">
      <c r="B119" s="1">
        <f t="shared" si="7"/>
        <v>105</v>
      </c>
      <c r="C119" s="3">
        <f t="shared" si="10"/>
        <v>70</v>
      </c>
      <c r="D119" s="3">
        <f t="shared" si="11"/>
        <v>100</v>
      </c>
      <c r="E119" s="1" t="str">
        <f t="shared" ca="1" si="8"/>
        <v>Fold</v>
      </c>
      <c r="F119" s="4">
        <f t="shared" ca="1" si="9"/>
        <v>100</v>
      </c>
      <c r="G119" s="4">
        <f ca="1">SUM(F$15:F119)</f>
        <v>2000</v>
      </c>
      <c r="H119" s="6">
        <f t="shared" ca="1" si="12"/>
        <v>0.27684922379922217</v>
      </c>
    </row>
    <row r="120" spans="2:8" x14ac:dyDescent="0.25">
      <c r="B120" s="1">
        <f t="shared" si="7"/>
        <v>106</v>
      </c>
      <c r="C120" s="3">
        <f t="shared" si="10"/>
        <v>70</v>
      </c>
      <c r="D120" s="3">
        <f t="shared" si="11"/>
        <v>100</v>
      </c>
      <c r="E120" s="1" t="str">
        <f t="shared" ca="1" si="8"/>
        <v>Fold</v>
      </c>
      <c r="F120" s="4">
        <f t="shared" ca="1" si="9"/>
        <v>100</v>
      </c>
      <c r="G120" s="4">
        <f ca="1">SUM(F$15:F120)</f>
        <v>2100</v>
      </c>
      <c r="H120" s="6">
        <f t="shared" ca="1" si="12"/>
        <v>0.31636252405263676</v>
      </c>
    </row>
    <row r="121" spans="2:8" x14ac:dyDescent="0.25">
      <c r="B121" s="1">
        <f t="shared" si="7"/>
        <v>107</v>
      </c>
      <c r="C121" s="3">
        <f t="shared" si="10"/>
        <v>70</v>
      </c>
      <c r="D121" s="3">
        <f t="shared" si="11"/>
        <v>100</v>
      </c>
      <c r="E121" s="1" t="str">
        <f t="shared" ca="1" si="8"/>
        <v>Fold</v>
      </c>
      <c r="F121" s="4">
        <f t="shared" ca="1" si="9"/>
        <v>100</v>
      </c>
      <c r="G121" s="4">
        <f ca="1">SUM(F$15:F121)</f>
        <v>2200</v>
      </c>
      <c r="H121" s="6">
        <f t="shared" ca="1" si="12"/>
        <v>0.18901033272125811</v>
      </c>
    </row>
    <row r="122" spans="2:8" x14ac:dyDescent="0.25">
      <c r="B122" s="1">
        <f t="shared" si="7"/>
        <v>108</v>
      </c>
      <c r="C122" s="3">
        <f t="shared" si="10"/>
        <v>70</v>
      </c>
      <c r="D122" s="3">
        <f t="shared" si="11"/>
        <v>100</v>
      </c>
      <c r="E122" s="1" t="str">
        <f t="shared" ca="1" si="8"/>
        <v>Fold</v>
      </c>
      <c r="F122" s="4">
        <f t="shared" ca="1" si="9"/>
        <v>100</v>
      </c>
      <c r="G122" s="4">
        <f ca="1">SUM(F$15:F122)</f>
        <v>2300</v>
      </c>
      <c r="H122" s="6">
        <f t="shared" ca="1" si="12"/>
        <v>0.14187165126733448</v>
      </c>
    </row>
    <row r="123" spans="2:8" x14ac:dyDescent="0.25">
      <c r="B123" s="1">
        <f t="shared" ref="B123:B186" si="13">B122+1</f>
        <v>109</v>
      </c>
      <c r="C123" s="3">
        <f t="shared" si="10"/>
        <v>70</v>
      </c>
      <c r="D123" s="3">
        <f t="shared" si="11"/>
        <v>100</v>
      </c>
      <c r="E123" s="1" t="str">
        <f t="shared" ca="1" si="8"/>
        <v>Call</v>
      </c>
      <c r="F123" s="4">
        <f t="shared" ca="1" si="9"/>
        <v>-70</v>
      </c>
      <c r="G123" s="4">
        <f ca="1">SUM(F$15:F123)</f>
        <v>2230</v>
      </c>
      <c r="H123" s="6">
        <f t="shared" ca="1" si="12"/>
        <v>0.96975384661299113</v>
      </c>
    </row>
    <row r="124" spans="2:8" x14ac:dyDescent="0.25">
      <c r="B124" s="1">
        <f t="shared" si="13"/>
        <v>110</v>
      </c>
      <c r="C124" s="3">
        <f t="shared" si="10"/>
        <v>70</v>
      </c>
      <c r="D124" s="3">
        <f t="shared" si="11"/>
        <v>100</v>
      </c>
      <c r="E124" s="1" t="str">
        <f t="shared" ca="1" si="8"/>
        <v>Call</v>
      </c>
      <c r="F124" s="4">
        <f t="shared" ca="1" si="9"/>
        <v>-70</v>
      </c>
      <c r="G124" s="4">
        <f ca="1">SUM(F$15:F124)</f>
        <v>2160</v>
      </c>
      <c r="H124" s="6">
        <f t="shared" ca="1" si="12"/>
        <v>0.54418734389013002</v>
      </c>
    </row>
    <row r="125" spans="2:8" x14ac:dyDescent="0.25">
      <c r="B125" s="1">
        <f t="shared" si="13"/>
        <v>111</v>
      </c>
      <c r="C125" s="3">
        <f t="shared" si="10"/>
        <v>70</v>
      </c>
      <c r="D125" s="3">
        <f t="shared" si="11"/>
        <v>100</v>
      </c>
      <c r="E125" s="1" t="str">
        <f t="shared" ca="1" si="8"/>
        <v>Call</v>
      </c>
      <c r="F125" s="4">
        <f t="shared" ca="1" si="9"/>
        <v>-70</v>
      </c>
      <c r="G125" s="4">
        <f ca="1">SUM(F$15:F125)</f>
        <v>2090</v>
      </c>
      <c r="H125" s="6">
        <f t="shared" ca="1" si="12"/>
        <v>0.88387595092286875</v>
      </c>
    </row>
    <row r="126" spans="2:8" x14ac:dyDescent="0.25">
      <c r="B126" s="1">
        <f t="shared" si="13"/>
        <v>112</v>
      </c>
      <c r="C126" s="3">
        <f t="shared" si="10"/>
        <v>70</v>
      </c>
      <c r="D126" s="3">
        <f t="shared" si="11"/>
        <v>100</v>
      </c>
      <c r="E126" s="1" t="str">
        <f t="shared" ca="1" si="8"/>
        <v>Fold</v>
      </c>
      <c r="F126" s="4">
        <f t="shared" ca="1" si="9"/>
        <v>100</v>
      </c>
      <c r="G126" s="4">
        <f ca="1">SUM(F$15:F126)</f>
        <v>2190</v>
      </c>
      <c r="H126" s="6">
        <f t="shared" ca="1" si="12"/>
        <v>0.4984409067921669</v>
      </c>
    </row>
    <row r="127" spans="2:8" x14ac:dyDescent="0.25">
      <c r="B127" s="1">
        <f t="shared" si="13"/>
        <v>113</v>
      </c>
      <c r="C127" s="3">
        <f t="shared" si="10"/>
        <v>70</v>
      </c>
      <c r="D127" s="3">
        <f t="shared" si="11"/>
        <v>100</v>
      </c>
      <c r="E127" s="1" t="str">
        <f t="shared" ca="1" si="8"/>
        <v>Fold</v>
      </c>
      <c r="F127" s="4">
        <f t="shared" ca="1" si="9"/>
        <v>100</v>
      </c>
      <c r="G127" s="4">
        <f ca="1">SUM(F$15:F127)</f>
        <v>2290</v>
      </c>
      <c r="H127" s="6">
        <f t="shared" ca="1" si="12"/>
        <v>1.620162394294633E-3</v>
      </c>
    </row>
    <row r="128" spans="2:8" x14ac:dyDescent="0.25">
      <c r="B128" s="1">
        <f t="shared" si="13"/>
        <v>114</v>
      </c>
      <c r="C128" s="3">
        <f t="shared" si="10"/>
        <v>70</v>
      </c>
      <c r="D128" s="3">
        <f t="shared" si="11"/>
        <v>100</v>
      </c>
      <c r="E128" s="1" t="str">
        <f t="shared" ca="1" si="8"/>
        <v>Call</v>
      </c>
      <c r="F128" s="4">
        <f t="shared" ca="1" si="9"/>
        <v>-70</v>
      </c>
      <c r="G128" s="4">
        <f ca="1">SUM(F$15:F128)</f>
        <v>2220</v>
      </c>
      <c r="H128" s="6">
        <f t="shared" ca="1" si="12"/>
        <v>0.68284370009588324</v>
      </c>
    </row>
    <row r="129" spans="2:8" x14ac:dyDescent="0.25">
      <c r="B129" s="1">
        <f t="shared" si="13"/>
        <v>115</v>
      </c>
      <c r="C129" s="3">
        <f t="shared" si="10"/>
        <v>70</v>
      </c>
      <c r="D129" s="3">
        <f t="shared" si="11"/>
        <v>100</v>
      </c>
      <c r="E129" s="1" t="str">
        <f t="shared" ca="1" si="8"/>
        <v>Call</v>
      </c>
      <c r="F129" s="4">
        <f t="shared" ca="1" si="9"/>
        <v>-70</v>
      </c>
      <c r="G129" s="4">
        <f ca="1">SUM(F$15:F129)</f>
        <v>2150</v>
      </c>
      <c r="H129" s="6">
        <f t="shared" ca="1" si="12"/>
        <v>0.95783785937767552</v>
      </c>
    </row>
    <row r="130" spans="2:8" x14ac:dyDescent="0.25">
      <c r="B130" s="1">
        <f t="shared" si="13"/>
        <v>116</v>
      </c>
      <c r="C130" s="3">
        <f t="shared" si="10"/>
        <v>70</v>
      </c>
      <c r="D130" s="3">
        <f t="shared" si="11"/>
        <v>100</v>
      </c>
      <c r="E130" s="1" t="str">
        <f t="shared" ca="1" si="8"/>
        <v>Call</v>
      </c>
      <c r="F130" s="4">
        <f t="shared" ca="1" si="9"/>
        <v>-70</v>
      </c>
      <c r="G130" s="4">
        <f ca="1">SUM(F$15:F130)</f>
        <v>2080</v>
      </c>
      <c r="H130" s="6">
        <f t="shared" ca="1" si="12"/>
        <v>0.53204199918610517</v>
      </c>
    </row>
    <row r="131" spans="2:8" x14ac:dyDescent="0.25">
      <c r="B131" s="1">
        <f t="shared" si="13"/>
        <v>117</v>
      </c>
      <c r="C131" s="3">
        <f t="shared" si="10"/>
        <v>70</v>
      </c>
      <c r="D131" s="3">
        <f t="shared" si="11"/>
        <v>100</v>
      </c>
      <c r="E131" s="1" t="str">
        <f t="shared" ca="1" si="8"/>
        <v>Call</v>
      </c>
      <c r="F131" s="4">
        <f t="shared" ca="1" si="9"/>
        <v>-70</v>
      </c>
      <c r="G131" s="4">
        <f ca="1">SUM(F$15:F131)</f>
        <v>2010</v>
      </c>
      <c r="H131" s="6">
        <f t="shared" ca="1" si="12"/>
        <v>0.91169094763102954</v>
      </c>
    </row>
    <row r="132" spans="2:8" x14ac:dyDescent="0.25">
      <c r="B132" s="1">
        <f t="shared" si="13"/>
        <v>118</v>
      </c>
      <c r="C132" s="3">
        <f t="shared" si="10"/>
        <v>70</v>
      </c>
      <c r="D132" s="3">
        <f t="shared" si="11"/>
        <v>100</v>
      </c>
      <c r="E132" s="1" t="str">
        <f t="shared" ca="1" si="8"/>
        <v>Call</v>
      </c>
      <c r="F132" s="4">
        <f t="shared" ca="1" si="9"/>
        <v>-70</v>
      </c>
      <c r="G132" s="4">
        <f ca="1">SUM(F$15:F132)</f>
        <v>1940</v>
      </c>
      <c r="H132" s="6">
        <f t="shared" ca="1" si="12"/>
        <v>0.67038722501499348</v>
      </c>
    </row>
    <row r="133" spans="2:8" x14ac:dyDescent="0.25">
      <c r="B133" s="1">
        <f t="shared" si="13"/>
        <v>119</v>
      </c>
      <c r="C133" s="3">
        <f t="shared" si="10"/>
        <v>70</v>
      </c>
      <c r="D133" s="3">
        <f t="shared" si="11"/>
        <v>100</v>
      </c>
      <c r="E133" s="1" t="str">
        <f t="shared" ca="1" si="8"/>
        <v>Call</v>
      </c>
      <c r="F133" s="4">
        <f t="shared" ca="1" si="9"/>
        <v>-70</v>
      </c>
      <c r="G133" s="4">
        <f ca="1">SUM(F$15:F133)</f>
        <v>1870</v>
      </c>
      <c r="H133" s="6">
        <f t="shared" ca="1" si="12"/>
        <v>0.73542642004432879</v>
      </c>
    </row>
    <row r="134" spans="2:8" x14ac:dyDescent="0.25">
      <c r="B134" s="1">
        <f t="shared" si="13"/>
        <v>120</v>
      </c>
      <c r="C134" s="3">
        <f t="shared" si="10"/>
        <v>70</v>
      </c>
      <c r="D134" s="3">
        <f t="shared" si="11"/>
        <v>100</v>
      </c>
      <c r="E134" s="1" t="str">
        <f t="shared" ca="1" si="8"/>
        <v>Fold</v>
      </c>
      <c r="F134" s="4">
        <f t="shared" ca="1" si="9"/>
        <v>100</v>
      </c>
      <c r="G134" s="4">
        <f ca="1">SUM(F$15:F134)</f>
        <v>1970</v>
      </c>
      <c r="H134" s="6">
        <f t="shared" ca="1" si="12"/>
        <v>0.3234671903373002</v>
      </c>
    </row>
    <row r="135" spans="2:8" x14ac:dyDescent="0.25">
      <c r="B135" s="1">
        <f t="shared" si="13"/>
        <v>121</v>
      </c>
      <c r="C135" s="3">
        <f t="shared" si="10"/>
        <v>70</v>
      </c>
      <c r="D135" s="3">
        <f t="shared" si="11"/>
        <v>100</v>
      </c>
      <c r="E135" s="1" t="str">
        <f t="shared" ca="1" si="8"/>
        <v>Fold</v>
      </c>
      <c r="F135" s="4">
        <f t="shared" ca="1" si="9"/>
        <v>100</v>
      </c>
      <c r="G135" s="4">
        <f ca="1">SUM(F$15:F135)</f>
        <v>2070</v>
      </c>
      <c r="H135" s="6">
        <f t="shared" ca="1" si="12"/>
        <v>0.45888347196775459</v>
      </c>
    </row>
    <row r="136" spans="2:8" x14ac:dyDescent="0.25">
      <c r="B136" s="1">
        <f t="shared" si="13"/>
        <v>122</v>
      </c>
      <c r="C136" s="3">
        <f t="shared" si="10"/>
        <v>70</v>
      </c>
      <c r="D136" s="3">
        <f t="shared" si="11"/>
        <v>100</v>
      </c>
      <c r="E136" s="1" t="str">
        <f t="shared" ca="1" si="8"/>
        <v>Fold</v>
      </c>
      <c r="F136" s="4">
        <f t="shared" ca="1" si="9"/>
        <v>100</v>
      </c>
      <c r="G136" s="4">
        <f ca="1">SUM(F$15:F136)</f>
        <v>2170</v>
      </c>
      <c r="H136" s="6">
        <f t="shared" ca="1" si="12"/>
        <v>0.32743052798386196</v>
      </c>
    </row>
    <row r="137" spans="2:8" x14ac:dyDescent="0.25">
      <c r="B137" s="1">
        <f t="shared" si="13"/>
        <v>123</v>
      </c>
      <c r="C137" s="3">
        <f t="shared" si="10"/>
        <v>70</v>
      </c>
      <c r="D137" s="3">
        <f t="shared" si="11"/>
        <v>100</v>
      </c>
      <c r="E137" s="1" t="str">
        <f t="shared" ca="1" si="8"/>
        <v>Fold</v>
      </c>
      <c r="F137" s="4">
        <f t="shared" ca="1" si="9"/>
        <v>100</v>
      </c>
      <c r="G137" s="4">
        <f ca="1">SUM(F$15:F137)</f>
        <v>2270</v>
      </c>
      <c r="H137" s="6">
        <f t="shared" ca="1" si="12"/>
        <v>0.33205140520285381</v>
      </c>
    </row>
    <row r="138" spans="2:8" x14ac:dyDescent="0.25">
      <c r="B138" s="1">
        <f t="shared" si="13"/>
        <v>124</v>
      </c>
      <c r="C138" s="3">
        <f t="shared" si="10"/>
        <v>70</v>
      </c>
      <c r="D138" s="3">
        <f t="shared" si="11"/>
        <v>100</v>
      </c>
      <c r="E138" s="1" t="str">
        <f t="shared" ca="1" si="8"/>
        <v>Fold</v>
      </c>
      <c r="F138" s="4">
        <f t="shared" ca="1" si="9"/>
        <v>100</v>
      </c>
      <c r="G138" s="4">
        <f ca="1">SUM(F$15:F138)</f>
        <v>2370</v>
      </c>
      <c r="H138" s="6">
        <f t="shared" ca="1" si="12"/>
        <v>2.3364155966084432E-2</v>
      </c>
    </row>
    <row r="139" spans="2:8" x14ac:dyDescent="0.25">
      <c r="B139" s="1">
        <f t="shared" si="13"/>
        <v>125</v>
      </c>
      <c r="C139" s="3">
        <f t="shared" si="10"/>
        <v>70</v>
      </c>
      <c r="D139" s="3">
        <f t="shared" si="11"/>
        <v>100</v>
      </c>
      <c r="E139" s="1" t="str">
        <f t="shared" ca="1" si="8"/>
        <v>Fold</v>
      </c>
      <c r="F139" s="4">
        <f t="shared" ca="1" si="9"/>
        <v>100</v>
      </c>
      <c r="G139" s="4">
        <f ca="1">SUM(F$15:F139)</f>
        <v>2470</v>
      </c>
      <c r="H139" s="6">
        <f t="shared" ca="1" si="12"/>
        <v>0.1161874837683804</v>
      </c>
    </row>
    <row r="140" spans="2:8" x14ac:dyDescent="0.25">
      <c r="B140" s="1">
        <f t="shared" si="13"/>
        <v>126</v>
      </c>
      <c r="C140" s="3">
        <f t="shared" si="10"/>
        <v>70</v>
      </c>
      <c r="D140" s="3">
        <f t="shared" si="11"/>
        <v>100</v>
      </c>
      <c r="E140" s="1" t="str">
        <f t="shared" ca="1" si="8"/>
        <v>Call</v>
      </c>
      <c r="F140" s="4">
        <f t="shared" ca="1" si="9"/>
        <v>-70</v>
      </c>
      <c r="G140" s="4">
        <f ca="1">SUM(F$15:F140)</f>
        <v>2400</v>
      </c>
      <c r="H140" s="6">
        <f t="shared" ca="1" si="12"/>
        <v>0.60723411728190413</v>
      </c>
    </row>
    <row r="141" spans="2:8" x14ac:dyDescent="0.25">
      <c r="B141" s="1">
        <f t="shared" si="13"/>
        <v>127</v>
      </c>
      <c r="C141" s="3">
        <f t="shared" si="10"/>
        <v>70</v>
      </c>
      <c r="D141" s="3">
        <f t="shared" si="11"/>
        <v>100</v>
      </c>
      <c r="E141" s="1" t="str">
        <f t="shared" ca="1" si="8"/>
        <v>Call</v>
      </c>
      <c r="F141" s="4">
        <f t="shared" ca="1" si="9"/>
        <v>-70</v>
      </c>
      <c r="G141" s="4">
        <f ca="1">SUM(F$15:F141)</f>
        <v>2330</v>
      </c>
      <c r="H141" s="6">
        <f t="shared" ca="1" si="12"/>
        <v>0.74451160203647271</v>
      </c>
    </row>
    <row r="142" spans="2:8" x14ac:dyDescent="0.25">
      <c r="B142" s="1">
        <f t="shared" si="13"/>
        <v>128</v>
      </c>
      <c r="C142" s="3">
        <f t="shared" si="10"/>
        <v>70</v>
      </c>
      <c r="D142" s="3">
        <f t="shared" si="11"/>
        <v>100</v>
      </c>
      <c r="E142" s="1" t="str">
        <f t="shared" ca="1" si="8"/>
        <v>Call</v>
      </c>
      <c r="F142" s="4">
        <f t="shared" ca="1" si="9"/>
        <v>-70</v>
      </c>
      <c r="G142" s="4">
        <f ca="1">SUM(F$15:F142)</f>
        <v>2260</v>
      </c>
      <c r="H142" s="6">
        <f t="shared" ca="1" si="12"/>
        <v>0.861820787746019</v>
      </c>
    </row>
    <row r="143" spans="2:8" x14ac:dyDescent="0.25">
      <c r="B143" s="1">
        <f t="shared" si="13"/>
        <v>129</v>
      </c>
      <c r="C143" s="3">
        <f t="shared" si="10"/>
        <v>70</v>
      </c>
      <c r="D143" s="3">
        <f t="shared" si="11"/>
        <v>100</v>
      </c>
      <c r="E143" s="1" t="str">
        <f t="shared" ref="E143:E206" ca="1" si="14">IF(H143&lt;$D$3,"Fold","Call")</f>
        <v>Call</v>
      </c>
      <c r="F143" s="4">
        <f t="shared" ca="1" si="9"/>
        <v>-70</v>
      </c>
      <c r="G143" s="4">
        <f ca="1">SUM(F$15:F143)</f>
        <v>2190</v>
      </c>
      <c r="H143" s="6">
        <f t="shared" ca="1" si="12"/>
        <v>0.63237441429837415</v>
      </c>
    </row>
    <row r="144" spans="2:8" x14ac:dyDescent="0.25">
      <c r="B144" s="1">
        <f t="shared" si="13"/>
        <v>130</v>
      </c>
      <c r="C144" s="3">
        <f t="shared" si="10"/>
        <v>70</v>
      </c>
      <c r="D144" s="3">
        <f t="shared" si="11"/>
        <v>100</v>
      </c>
      <c r="E144" s="1" t="str">
        <f t="shared" ca="1" si="14"/>
        <v>Fold</v>
      </c>
      <c r="F144" s="4">
        <f t="shared" ref="F144:F207" ca="1" si="15">IF(E144="Fold",D144,-C144)</f>
        <v>100</v>
      </c>
      <c r="G144" s="4">
        <f ca="1">SUM(F$15:F144)</f>
        <v>2290</v>
      </c>
      <c r="H144" s="6">
        <f t="shared" ca="1" si="12"/>
        <v>3.4283369959706156E-2</v>
      </c>
    </row>
    <row r="145" spans="2:8" x14ac:dyDescent="0.25">
      <c r="B145" s="1">
        <f t="shared" si="13"/>
        <v>131</v>
      </c>
      <c r="C145" s="3">
        <f t="shared" ref="C145:C208" si="16">C144</f>
        <v>70</v>
      </c>
      <c r="D145" s="3">
        <f t="shared" ref="D145:D208" si="17">D144</f>
        <v>100</v>
      </c>
      <c r="E145" s="1" t="str">
        <f t="shared" ca="1" si="14"/>
        <v>Fold</v>
      </c>
      <c r="F145" s="4">
        <f t="shared" ca="1" si="15"/>
        <v>100</v>
      </c>
      <c r="G145" s="4">
        <f ca="1">SUM(F$15:F145)</f>
        <v>2390</v>
      </c>
      <c r="H145" s="6">
        <f t="shared" ca="1" si="12"/>
        <v>0.35554065591769701</v>
      </c>
    </row>
    <row r="146" spans="2:8" x14ac:dyDescent="0.25">
      <c r="B146" s="1">
        <f t="shared" si="13"/>
        <v>132</v>
      </c>
      <c r="C146" s="3">
        <f t="shared" si="16"/>
        <v>70</v>
      </c>
      <c r="D146" s="3">
        <f t="shared" si="17"/>
        <v>100</v>
      </c>
      <c r="E146" s="1" t="str">
        <f t="shared" ca="1" si="14"/>
        <v>Call</v>
      </c>
      <c r="F146" s="4">
        <f t="shared" ca="1" si="15"/>
        <v>-70</v>
      </c>
      <c r="G146" s="4">
        <f ca="1">SUM(F$15:F146)</f>
        <v>2320</v>
      </c>
      <c r="H146" s="6">
        <f t="shared" ca="1" si="12"/>
        <v>0.73485443248667559</v>
      </c>
    </row>
    <row r="147" spans="2:8" x14ac:dyDescent="0.25">
      <c r="B147" s="1">
        <f t="shared" si="13"/>
        <v>133</v>
      </c>
      <c r="C147" s="3">
        <f t="shared" si="16"/>
        <v>70</v>
      </c>
      <c r="D147" s="3">
        <f t="shared" si="17"/>
        <v>100</v>
      </c>
      <c r="E147" s="1" t="str">
        <f t="shared" ca="1" si="14"/>
        <v>Fold</v>
      </c>
      <c r="F147" s="4">
        <f t="shared" ca="1" si="15"/>
        <v>100</v>
      </c>
      <c r="G147" s="4">
        <f ca="1">SUM(F$15:F147)</f>
        <v>2420</v>
      </c>
      <c r="H147" s="6">
        <f t="shared" ca="1" si="12"/>
        <v>0.38721856149762468</v>
      </c>
    </row>
    <row r="148" spans="2:8" x14ac:dyDescent="0.25">
      <c r="B148" s="1">
        <f t="shared" si="13"/>
        <v>134</v>
      </c>
      <c r="C148" s="3">
        <f t="shared" si="16"/>
        <v>70</v>
      </c>
      <c r="D148" s="3">
        <f t="shared" si="17"/>
        <v>100</v>
      </c>
      <c r="E148" s="1" t="str">
        <f t="shared" ca="1" si="14"/>
        <v>Fold</v>
      </c>
      <c r="F148" s="4">
        <f t="shared" ca="1" si="15"/>
        <v>100</v>
      </c>
      <c r="G148" s="4">
        <f ca="1">SUM(F$15:F148)</f>
        <v>2520</v>
      </c>
      <c r="H148" s="6">
        <f t="shared" ca="1" si="12"/>
        <v>0.36804719098147132</v>
      </c>
    </row>
    <row r="149" spans="2:8" x14ac:dyDescent="0.25">
      <c r="B149" s="1">
        <f t="shared" si="13"/>
        <v>135</v>
      </c>
      <c r="C149" s="3">
        <f t="shared" si="16"/>
        <v>70</v>
      </c>
      <c r="D149" s="3">
        <f t="shared" si="17"/>
        <v>100</v>
      </c>
      <c r="E149" s="1" t="str">
        <f t="shared" ca="1" si="14"/>
        <v>Call</v>
      </c>
      <c r="F149" s="4">
        <f t="shared" ca="1" si="15"/>
        <v>-70</v>
      </c>
      <c r="G149" s="4">
        <f ca="1">SUM(F$15:F149)</f>
        <v>2450</v>
      </c>
      <c r="H149" s="6">
        <f t="shared" ca="1" si="12"/>
        <v>0.92700355102924048</v>
      </c>
    </row>
    <row r="150" spans="2:8" x14ac:dyDescent="0.25">
      <c r="B150" s="1">
        <f t="shared" si="13"/>
        <v>136</v>
      </c>
      <c r="C150" s="3">
        <f t="shared" si="16"/>
        <v>70</v>
      </c>
      <c r="D150" s="3">
        <f t="shared" si="17"/>
        <v>100</v>
      </c>
      <c r="E150" s="1" t="str">
        <f t="shared" ca="1" si="14"/>
        <v>Fold</v>
      </c>
      <c r="F150" s="4">
        <f t="shared" ca="1" si="15"/>
        <v>100</v>
      </c>
      <c r="G150" s="4">
        <f ca="1">SUM(F$15:F150)</f>
        <v>2550</v>
      </c>
      <c r="H150" s="6">
        <f t="shared" ca="1" si="12"/>
        <v>0.28923738406876565</v>
      </c>
    </row>
    <row r="151" spans="2:8" x14ac:dyDescent="0.25">
      <c r="B151" s="1">
        <f t="shared" si="13"/>
        <v>137</v>
      </c>
      <c r="C151" s="3">
        <f t="shared" si="16"/>
        <v>70</v>
      </c>
      <c r="D151" s="3">
        <f t="shared" si="17"/>
        <v>100</v>
      </c>
      <c r="E151" s="1" t="str">
        <f t="shared" ca="1" si="14"/>
        <v>Call</v>
      </c>
      <c r="F151" s="4">
        <f t="shared" ca="1" si="15"/>
        <v>-70</v>
      </c>
      <c r="G151" s="4">
        <f ca="1">SUM(F$15:F151)</f>
        <v>2480</v>
      </c>
      <c r="H151" s="6">
        <f t="shared" ca="1" si="12"/>
        <v>0.83135728803271114</v>
      </c>
    </row>
    <row r="152" spans="2:8" x14ac:dyDescent="0.25">
      <c r="B152" s="1">
        <f t="shared" si="13"/>
        <v>138</v>
      </c>
      <c r="C152" s="3">
        <f t="shared" si="16"/>
        <v>70</v>
      </c>
      <c r="D152" s="3">
        <f t="shared" si="17"/>
        <v>100</v>
      </c>
      <c r="E152" s="1" t="str">
        <f t="shared" ca="1" si="14"/>
        <v>Fold</v>
      </c>
      <c r="F152" s="4">
        <f t="shared" ca="1" si="15"/>
        <v>100</v>
      </c>
      <c r="G152" s="4">
        <f ca="1">SUM(F$15:F152)</f>
        <v>2580</v>
      </c>
      <c r="H152" s="6">
        <f t="shared" ca="1" si="12"/>
        <v>0.15341951320741631</v>
      </c>
    </row>
    <row r="153" spans="2:8" x14ac:dyDescent="0.25">
      <c r="B153" s="1">
        <f t="shared" si="13"/>
        <v>139</v>
      </c>
      <c r="C153" s="3">
        <f t="shared" si="16"/>
        <v>70</v>
      </c>
      <c r="D153" s="3">
        <f t="shared" si="17"/>
        <v>100</v>
      </c>
      <c r="E153" s="1" t="str">
        <f t="shared" ca="1" si="14"/>
        <v>Call</v>
      </c>
      <c r="F153" s="4">
        <f t="shared" ca="1" si="15"/>
        <v>-70</v>
      </c>
      <c r="G153" s="4">
        <f ca="1">SUM(F$15:F153)</f>
        <v>2510</v>
      </c>
      <c r="H153" s="6">
        <f t="shared" ca="1" si="12"/>
        <v>0.99281598323447084</v>
      </c>
    </row>
    <row r="154" spans="2:8" x14ac:dyDescent="0.25">
      <c r="B154" s="1">
        <f t="shared" si="13"/>
        <v>140</v>
      </c>
      <c r="C154" s="3">
        <f t="shared" si="16"/>
        <v>70</v>
      </c>
      <c r="D154" s="3">
        <f t="shared" si="17"/>
        <v>100</v>
      </c>
      <c r="E154" s="1" t="str">
        <f t="shared" ca="1" si="14"/>
        <v>Call</v>
      </c>
      <c r="F154" s="4">
        <f t="shared" ca="1" si="15"/>
        <v>-70</v>
      </c>
      <c r="G154" s="4">
        <f ca="1">SUM(F$15:F154)</f>
        <v>2440</v>
      </c>
      <c r="H154" s="6">
        <f t="shared" ca="1" si="12"/>
        <v>0.78495145961181401</v>
      </c>
    </row>
    <row r="155" spans="2:8" x14ac:dyDescent="0.25">
      <c r="B155" s="1">
        <f t="shared" si="13"/>
        <v>141</v>
      </c>
      <c r="C155" s="3">
        <f t="shared" si="16"/>
        <v>70</v>
      </c>
      <c r="D155" s="3">
        <f t="shared" si="17"/>
        <v>100</v>
      </c>
      <c r="E155" s="1" t="str">
        <f t="shared" ca="1" si="14"/>
        <v>Fold</v>
      </c>
      <c r="F155" s="4">
        <f t="shared" ca="1" si="15"/>
        <v>100</v>
      </c>
      <c r="G155" s="4">
        <f ca="1">SUM(F$15:F155)</f>
        <v>2540</v>
      </c>
      <c r="H155" s="6">
        <f t="shared" ca="1" si="12"/>
        <v>0.26448835035178198</v>
      </c>
    </row>
    <row r="156" spans="2:8" x14ac:dyDescent="0.25">
      <c r="B156" s="1">
        <f t="shared" si="13"/>
        <v>142</v>
      </c>
      <c r="C156" s="3">
        <f t="shared" si="16"/>
        <v>70</v>
      </c>
      <c r="D156" s="3">
        <f t="shared" si="17"/>
        <v>100</v>
      </c>
      <c r="E156" s="1" t="str">
        <f t="shared" ca="1" si="14"/>
        <v>Call</v>
      </c>
      <c r="F156" s="4">
        <f t="shared" ca="1" si="15"/>
        <v>-70</v>
      </c>
      <c r="G156" s="4">
        <f ca="1">SUM(F$15:F156)</f>
        <v>2470</v>
      </c>
      <c r="H156" s="6">
        <f t="shared" ca="1" si="12"/>
        <v>0.90937007735176734</v>
      </c>
    </row>
    <row r="157" spans="2:8" x14ac:dyDescent="0.25">
      <c r="B157" s="1">
        <f t="shared" si="13"/>
        <v>143</v>
      </c>
      <c r="C157" s="3">
        <f t="shared" si="16"/>
        <v>70</v>
      </c>
      <c r="D157" s="3">
        <f t="shared" si="17"/>
        <v>100</v>
      </c>
      <c r="E157" s="1" t="str">
        <f t="shared" ca="1" si="14"/>
        <v>Call</v>
      </c>
      <c r="F157" s="4">
        <f t="shared" ca="1" si="15"/>
        <v>-70</v>
      </c>
      <c r="G157" s="4">
        <f ca="1">SUM(F$15:F157)</f>
        <v>2400</v>
      </c>
      <c r="H157" s="6">
        <f t="shared" ca="1" si="12"/>
        <v>0.59425900155302647</v>
      </c>
    </row>
    <row r="158" spans="2:8" x14ac:dyDescent="0.25">
      <c r="B158" s="1">
        <f t="shared" si="13"/>
        <v>144</v>
      </c>
      <c r="C158" s="3">
        <f t="shared" si="16"/>
        <v>70</v>
      </c>
      <c r="D158" s="3">
        <f t="shared" si="17"/>
        <v>100</v>
      </c>
      <c r="E158" s="1" t="str">
        <f t="shared" ca="1" si="14"/>
        <v>Call</v>
      </c>
      <c r="F158" s="4">
        <f t="shared" ca="1" si="15"/>
        <v>-70</v>
      </c>
      <c r="G158" s="4">
        <f ca="1">SUM(F$15:F158)</f>
        <v>2330</v>
      </c>
      <c r="H158" s="6">
        <f t="shared" ref="H158:H221" ca="1" si="18">RAND()</f>
        <v>0.5317176937594853</v>
      </c>
    </row>
    <row r="159" spans="2:8" x14ac:dyDescent="0.25">
      <c r="B159" s="1">
        <f t="shared" si="13"/>
        <v>145</v>
      </c>
      <c r="C159" s="3">
        <f t="shared" si="16"/>
        <v>70</v>
      </c>
      <c r="D159" s="3">
        <f t="shared" si="17"/>
        <v>100</v>
      </c>
      <c r="E159" s="1" t="str">
        <f t="shared" ca="1" si="14"/>
        <v>Call</v>
      </c>
      <c r="F159" s="4">
        <f t="shared" ca="1" si="15"/>
        <v>-70</v>
      </c>
      <c r="G159" s="4">
        <f ca="1">SUM(F$15:F159)</f>
        <v>2260</v>
      </c>
      <c r="H159" s="6">
        <f t="shared" ca="1" si="18"/>
        <v>0.76788756349310738</v>
      </c>
    </row>
    <row r="160" spans="2:8" x14ac:dyDescent="0.25">
      <c r="B160" s="1">
        <f t="shared" si="13"/>
        <v>146</v>
      </c>
      <c r="C160" s="3">
        <f t="shared" si="16"/>
        <v>70</v>
      </c>
      <c r="D160" s="3">
        <f t="shared" si="17"/>
        <v>100</v>
      </c>
      <c r="E160" s="1" t="str">
        <f t="shared" ca="1" si="14"/>
        <v>Fold</v>
      </c>
      <c r="F160" s="4">
        <f t="shared" ca="1" si="15"/>
        <v>100</v>
      </c>
      <c r="G160" s="4">
        <f ca="1">SUM(F$15:F160)</f>
        <v>2360</v>
      </c>
      <c r="H160" s="6">
        <f t="shared" ca="1" si="18"/>
        <v>8.547920373260065E-2</v>
      </c>
    </row>
    <row r="161" spans="2:8" x14ac:dyDescent="0.25">
      <c r="B161" s="1">
        <f t="shared" si="13"/>
        <v>147</v>
      </c>
      <c r="C161" s="3">
        <f t="shared" si="16"/>
        <v>70</v>
      </c>
      <c r="D161" s="3">
        <f t="shared" si="17"/>
        <v>100</v>
      </c>
      <c r="E161" s="1" t="str">
        <f t="shared" ca="1" si="14"/>
        <v>Fold</v>
      </c>
      <c r="F161" s="4">
        <f t="shared" ca="1" si="15"/>
        <v>100</v>
      </c>
      <c r="G161" s="4">
        <f ca="1">SUM(F$15:F161)</f>
        <v>2460</v>
      </c>
      <c r="H161" s="6">
        <f t="shared" ca="1" si="18"/>
        <v>0.36777074611948479</v>
      </c>
    </row>
    <row r="162" spans="2:8" x14ac:dyDescent="0.25">
      <c r="B162" s="1">
        <f t="shared" si="13"/>
        <v>148</v>
      </c>
      <c r="C162" s="3">
        <f t="shared" si="16"/>
        <v>70</v>
      </c>
      <c r="D162" s="3">
        <f t="shared" si="17"/>
        <v>100</v>
      </c>
      <c r="E162" s="1" t="str">
        <f t="shared" ca="1" si="14"/>
        <v>Fold</v>
      </c>
      <c r="F162" s="4">
        <f t="shared" ca="1" si="15"/>
        <v>100</v>
      </c>
      <c r="G162" s="4">
        <f ca="1">SUM(F$15:F162)</f>
        <v>2560</v>
      </c>
      <c r="H162" s="6">
        <f t="shared" ca="1" si="18"/>
        <v>0.11113456214497908</v>
      </c>
    </row>
    <row r="163" spans="2:8" x14ac:dyDescent="0.25">
      <c r="B163" s="1">
        <f t="shared" si="13"/>
        <v>149</v>
      </c>
      <c r="C163" s="3">
        <f t="shared" si="16"/>
        <v>70</v>
      </c>
      <c r="D163" s="3">
        <f t="shared" si="17"/>
        <v>100</v>
      </c>
      <c r="E163" s="1" t="str">
        <f t="shared" ca="1" si="14"/>
        <v>Call</v>
      </c>
      <c r="F163" s="4">
        <f t="shared" ca="1" si="15"/>
        <v>-70</v>
      </c>
      <c r="G163" s="4">
        <f ca="1">SUM(F$15:F163)</f>
        <v>2490</v>
      </c>
      <c r="H163" s="6">
        <f t="shared" ca="1" si="18"/>
        <v>0.60568148060368099</v>
      </c>
    </row>
    <row r="164" spans="2:8" x14ac:dyDescent="0.25">
      <c r="B164" s="1">
        <f t="shared" si="13"/>
        <v>150</v>
      </c>
      <c r="C164" s="3">
        <f t="shared" si="16"/>
        <v>70</v>
      </c>
      <c r="D164" s="3">
        <f t="shared" si="17"/>
        <v>100</v>
      </c>
      <c r="E164" s="1" t="str">
        <f t="shared" ca="1" si="14"/>
        <v>Fold</v>
      </c>
      <c r="F164" s="4">
        <f t="shared" ca="1" si="15"/>
        <v>100</v>
      </c>
      <c r="G164" s="4">
        <f ca="1">SUM(F$15:F164)</f>
        <v>2590</v>
      </c>
      <c r="H164" s="6">
        <f t="shared" ca="1" si="18"/>
        <v>0.4851216800451611</v>
      </c>
    </row>
    <row r="165" spans="2:8" x14ac:dyDescent="0.25">
      <c r="B165" s="1">
        <f t="shared" si="13"/>
        <v>151</v>
      </c>
      <c r="C165" s="3">
        <f t="shared" si="16"/>
        <v>70</v>
      </c>
      <c r="D165" s="3">
        <f t="shared" si="17"/>
        <v>100</v>
      </c>
      <c r="E165" s="1" t="str">
        <f t="shared" ca="1" si="14"/>
        <v>Fold</v>
      </c>
      <c r="F165" s="4">
        <f t="shared" ca="1" si="15"/>
        <v>100</v>
      </c>
      <c r="G165" s="4">
        <f ca="1">SUM(F$15:F165)</f>
        <v>2690</v>
      </c>
      <c r="H165" s="6">
        <f t="shared" ca="1" si="18"/>
        <v>3.9911080074516936E-2</v>
      </c>
    </row>
    <row r="166" spans="2:8" x14ac:dyDescent="0.25">
      <c r="B166" s="1">
        <f t="shared" si="13"/>
        <v>152</v>
      </c>
      <c r="C166" s="3">
        <f t="shared" si="16"/>
        <v>70</v>
      </c>
      <c r="D166" s="3">
        <f t="shared" si="17"/>
        <v>100</v>
      </c>
      <c r="E166" s="1" t="str">
        <f t="shared" ca="1" si="14"/>
        <v>Fold</v>
      </c>
      <c r="F166" s="4">
        <f t="shared" ca="1" si="15"/>
        <v>100</v>
      </c>
      <c r="G166" s="4">
        <f ca="1">SUM(F$15:F166)</f>
        <v>2790</v>
      </c>
      <c r="H166" s="6">
        <f t="shared" ca="1" si="18"/>
        <v>0.2342552072415619</v>
      </c>
    </row>
    <row r="167" spans="2:8" x14ac:dyDescent="0.25">
      <c r="B167" s="1">
        <f t="shared" si="13"/>
        <v>153</v>
      </c>
      <c r="C167" s="3">
        <f t="shared" si="16"/>
        <v>70</v>
      </c>
      <c r="D167" s="3">
        <f t="shared" si="17"/>
        <v>100</v>
      </c>
      <c r="E167" s="1" t="str">
        <f t="shared" ca="1" si="14"/>
        <v>Fold</v>
      </c>
      <c r="F167" s="4">
        <f t="shared" ca="1" si="15"/>
        <v>100</v>
      </c>
      <c r="G167" s="4">
        <f ca="1">SUM(F$15:F167)</f>
        <v>2890</v>
      </c>
      <c r="H167" s="6">
        <f t="shared" ca="1" si="18"/>
        <v>9.1671828555096369E-2</v>
      </c>
    </row>
    <row r="168" spans="2:8" x14ac:dyDescent="0.25">
      <c r="B168" s="1">
        <f t="shared" si="13"/>
        <v>154</v>
      </c>
      <c r="C168" s="3">
        <f t="shared" si="16"/>
        <v>70</v>
      </c>
      <c r="D168" s="3">
        <f t="shared" si="17"/>
        <v>100</v>
      </c>
      <c r="E168" s="1" t="str">
        <f t="shared" ca="1" si="14"/>
        <v>Fold</v>
      </c>
      <c r="F168" s="4">
        <f t="shared" ca="1" si="15"/>
        <v>100</v>
      </c>
      <c r="G168" s="4">
        <f ca="1">SUM(F$15:F168)</f>
        <v>2990</v>
      </c>
      <c r="H168" s="6">
        <f t="shared" ca="1" si="18"/>
        <v>0.33921517037138338</v>
      </c>
    </row>
    <row r="169" spans="2:8" x14ac:dyDescent="0.25">
      <c r="B169" s="1">
        <f t="shared" si="13"/>
        <v>155</v>
      </c>
      <c r="C169" s="3">
        <f t="shared" si="16"/>
        <v>70</v>
      </c>
      <c r="D169" s="3">
        <f t="shared" si="17"/>
        <v>100</v>
      </c>
      <c r="E169" s="1" t="str">
        <f t="shared" ca="1" si="14"/>
        <v>Call</v>
      </c>
      <c r="F169" s="4">
        <f t="shared" ca="1" si="15"/>
        <v>-70</v>
      </c>
      <c r="G169" s="4">
        <f ca="1">SUM(F$15:F169)</f>
        <v>2920</v>
      </c>
      <c r="H169" s="6">
        <f t="shared" ca="1" si="18"/>
        <v>0.6749035450107036</v>
      </c>
    </row>
    <row r="170" spans="2:8" x14ac:dyDescent="0.25">
      <c r="B170" s="1">
        <f t="shared" si="13"/>
        <v>156</v>
      </c>
      <c r="C170" s="3">
        <f t="shared" si="16"/>
        <v>70</v>
      </c>
      <c r="D170" s="3">
        <f t="shared" si="17"/>
        <v>100</v>
      </c>
      <c r="E170" s="1" t="str">
        <f t="shared" ca="1" si="14"/>
        <v>Call</v>
      </c>
      <c r="F170" s="4">
        <f t="shared" ca="1" si="15"/>
        <v>-70</v>
      </c>
      <c r="G170" s="4">
        <f ca="1">SUM(F$15:F170)</f>
        <v>2850</v>
      </c>
      <c r="H170" s="6">
        <f t="shared" ca="1" si="18"/>
        <v>0.62085316636511922</v>
      </c>
    </row>
    <row r="171" spans="2:8" x14ac:dyDescent="0.25">
      <c r="B171" s="1">
        <f t="shared" si="13"/>
        <v>157</v>
      </c>
      <c r="C171" s="3">
        <f t="shared" si="16"/>
        <v>70</v>
      </c>
      <c r="D171" s="3">
        <f t="shared" si="17"/>
        <v>100</v>
      </c>
      <c r="E171" s="1" t="str">
        <f t="shared" ca="1" si="14"/>
        <v>Call</v>
      </c>
      <c r="F171" s="4">
        <f t="shared" ca="1" si="15"/>
        <v>-70</v>
      </c>
      <c r="G171" s="4">
        <f ca="1">SUM(F$15:F171)</f>
        <v>2780</v>
      </c>
      <c r="H171" s="6">
        <f t="shared" ca="1" si="18"/>
        <v>0.95506135187395902</v>
      </c>
    </row>
    <row r="172" spans="2:8" x14ac:dyDescent="0.25">
      <c r="B172" s="1">
        <f t="shared" si="13"/>
        <v>158</v>
      </c>
      <c r="C172" s="3">
        <f t="shared" si="16"/>
        <v>70</v>
      </c>
      <c r="D172" s="3">
        <f t="shared" si="17"/>
        <v>100</v>
      </c>
      <c r="E172" s="1" t="str">
        <f t="shared" ca="1" si="14"/>
        <v>Call</v>
      </c>
      <c r="F172" s="4">
        <f t="shared" ca="1" si="15"/>
        <v>-70</v>
      </c>
      <c r="G172" s="4">
        <f ca="1">SUM(F$15:F172)</f>
        <v>2710</v>
      </c>
      <c r="H172" s="6">
        <f t="shared" ca="1" si="18"/>
        <v>0.61204610460250841</v>
      </c>
    </row>
    <row r="173" spans="2:8" x14ac:dyDescent="0.25">
      <c r="B173" s="1">
        <f t="shared" si="13"/>
        <v>159</v>
      </c>
      <c r="C173" s="3">
        <f t="shared" si="16"/>
        <v>70</v>
      </c>
      <c r="D173" s="3">
        <f t="shared" si="17"/>
        <v>100</v>
      </c>
      <c r="E173" s="1" t="str">
        <f t="shared" ca="1" si="14"/>
        <v>Fold</v>
      </c>
      <c r="F173" s="4">
        <f t="shared" ca="1" si="15"/>
        <v>100</v>
      </c>
      <c r="G173" s="4">
        <f ca="1">SUM(F$15:F173)</f>
        <v>2810</v>
      </c>
      <c r="H173" s="6">
        <f t="shared" ca="1" si="18"/>
        <v>1.8399985954782538E-2</v>
      </c>
    </row>
    <row r="174" spans="2:8" x14ac:dyDescent="0.25">
      <c r="B174" s="1">
        <f t="shared" si="13"/>
        <v>160</v>
      </c>
      <c r="C174" s="3">
        <f t="shared" si="16"/>
        <v>70</v>
      </c>
      <c r="D174" s="3">
        <f t="shared" si="17"/>
        <v>100</v>
      </c>
      <c r="E174" s="1" t="str">
        <f t="shared" ca="1" si="14"/>
        <v>Fold</v>
      </c>
      <c r="F174" s="4">
        <f t="shared" ca="1" si="15"/>
        <v>100</v>
      </c>
      <c r="G174" s="4">
        <f ca="1">SUM(F$15:F174)</f>
        <v>2910</v>
      </c>
      <c r="H174" s="6">
        <f t="shared" ca="1" si="18"/>
        <v>0.25593866389155528</v>
      </c>
    </row>
    <row r="175" spans="2:8" x14ac:dyDescent="0.25">
      <c r="B175" s="1">
        <f t="shared" si="13"/>
        <v>161</v>
      </c>
      <c r="C175" s="3">
        <f t="shared" si="16"/>
        <v>70</v>
      </c>
      <c r="D175" s="3">
        <f t="shared" si="17"/>
        <v>100</v>
      </c>
      <c r="E175" s="1" t="str">
        <f t="shared" ca="1" si="14"/>
        <v>Fold</v>
      </c>
      <c r="F175" s="4">
        <f t="shared" ca="1" si="15"/>
        <v>100</v>
      </c>
      <c r="G175" s="4">
        <f ca="1">SUM(F$15:F175)</f>
        <v>3010</v>
      </c>
      <c r="H175" s="6">
        <f t="shared" ca="1" si="18"/>
        <v>0.29470427423198275</v>
      </c>
    </row>
    <row r="176" spans="2:8" x14ac:dyDescent="0.25">
      <c r="B176" s="1">
        <f t="shared" si="13"/>
        <v>162</v>
      </c>
      <c r="C176" s="3">
        <f t="shared" si="16"/>
        <v>70</v>
      </c>
      <c r="D176" s="3">
        <f t="shared" si="17"/>
        <v>100</v>
      </c>
      <c r="E176" s="1" t="str">
        <f t="shared" ca="1" si="14"/>
        <v>Call</v>
      </c>
      <c r="F176" s="4">
        <f t="shared" ca="1" si="15"/>
        <v>-70</v>
      </c>
      <c r="G176" s="4">
        <f ca="1">SUM(F$15:F176)</f>
        <v>2940</v>
      </c>
      <c r="H176" s="6">
        <f t="shared" ca="1" si="18"/>
        <v>0.78884993867823483</v>
      </c>
    </row>
    <row r="177" spans="2:8" x14ac:dyDescent="0.25">
      <c r="B177" s="1">
        <f t="shared" si="13"/>
        <v>163</v>
      </c>
      <c r="C177" s="3">
        <f t="shared" si="16"/>
        <v>70</v>
      </c>
      <c r="D177" s="3">
        <f t="shared" si="17"/>
        <v>100</v>
      </c>
      <c r="E177" s="1" t="str">
        <f t="shared" ca="1" si="14"/>
        <v>Call</v>
      </c>
      <c r="F177" s="4">
        <f t="shared" ca="1" si="15"/>
        <v>-70</v>
      </c>
      <c r="G177" s="4">
        <f ca="1">SUM(F$15:F177)</f>
        <v>2870</v>
      </c>
      <c r="H177" s="6">
        <f t="shared" ca="1" si="18"/>
        <v>0.85891308829734592</v>
      </c>
    </row>
    <row r="178" spans="2:8" x14ac:dyDescent="0.25">
      <c r="B178" s="1">
        <f t="shared" si="13"/>
        <v>164</v>
      </c>
      <c r="C178" s="3">
        <f t="shared" si="16"/>
        <v>70</v>
      </c>
      <c r="D178" s="3">
        <f t="shared" si="17"/>
        <v>100</v>
      </c>
      <c r="E178" s="1" t="str">
        <f t="shared" ca="1" si="14"/>
        <v>Fold</v>
      </c>
      <c r="F178" s="4">
        <f t="shared" ca="1" si="15"/>
        <v>100</v>
      </c>
      <c r="G178" s="4">
        <f ca="1">SUM(F$15:F178)</f>
        <v>2970</v>
      </c>
      <c r="H178" s="6">
        <f t="shared" ca="1" si="18"/>
        <v>0.48206373973144589</v>
      </c>
    </row>
    <row r="179" spans="2:8" x14ac:dyDescent="0.25">
      <c r="B179" s="1">
        <f t="shared" si="13"/>
        <v>165</v>
      </c>
      <c r="C179" s="3">
        <f t="shared" si="16"/>
        <v>70</v>
      </c>
      <c r="D179" s="3">
        <f t="shared" si="17"/>
        <v>100</v>
      </c>
      <c r="E179" s="1" t="str">
        <f t="shared" ca="1" si="14"/>
        <v>Call</v>
      </c>
      <c r="F179" s="4">
        <f t="shared" ca="1" si="15"/>
        <v>-70</v>
      </c>
      <c r="G179" s="4">
        <f ca="1">SUM(F$15:F179)</f>
        <v>2900</v>
      </c>
      <c r="H179" s="6">
        <f t="shared" ca="1" si="18"/>
        <v>0.60602157659951006</v>
      </c>
    </row>
    <row r="180" spans="2:8" x14ac:dyDescent="0.25">
      <c r="B180" s="1">
        <f t="shared" si="13"/>
        <v>166</v>
      </c>
      <c r="C180" s="3">
        <f t="shared" si="16"/>
        <v>70</v>
      </c>
      <c r="D180" s="3">
        <f t="shared" si="17"/>
        <v>100</v>
      </c>
      <c r="E180" s="1" t="str">
        <f t="shared" ca="1" si="14"/>
        <v>Fold</v>
      </c>
      <c r="F180" s="4">
        <f t="shared" ca="1" si="15"/>
        <v>100</v>
      </c>
      <c r="G180" s="4">
        <f ca="1">SUM(F$15:F180)</f>
        <v>3000</v>
      </c>
      <c r="H180" s="6">
        <f t="shared" ca="1" si="18"/>
        <v>0.32718286784587669</v>
      </c>
    </row>
    <row r="181" spans="2:8" x14ac:dyDescent="0.25">
      <c r="B181" s="1">
        <f t="shared" si="13"/>
        <v>167</v>
      </c>
      <c r="C181" s="3">
        <f t="shared" si="16"/>
        <v>70</v>
      </c>
      <c r="D181" s="3">
        <f t="shared" si="17"/>
        <v>100</v>
      </c>
      <c r="E181" s="1" t="str">
        <f t="shared" ca="1" si="14"/>
        <v>Call</v>
      </c>
      <c r="F181" s="4">
        <f t="shared" ca="1" si="15"/>
        <v>-70</v>
      </c>
      <c r="G181" s="4">
        <f ca="1">SUM(F$15:F181)</f>
        <v>2930</v>
      </c>
      <c r="H181" s="6">
        <f t="shared" ca="1" si="18"/>
        <v>0.62871930706117074</v>
      </c>
    </row>
    <row r="182" spans="2:8" x14ac:dyDescent="0.25">
      <c r="B182" s="1">
        <f t="shared" si="13"/>
        <v>168</v>
      </c>
      <c r="C182" s="3">
        <f t="shared" si="16"/>
        <v>70</v>
      </c>
      <c r="D182" s="3">
        <f t="shared" si="17"/>
        <v>100</v>
      </c>
      <c r="E182" s="1" t="str">
        <f t="shared" ca="1" si="14"/>
        <v>Fold</v>
      </c>
      <c r="F182" s="4">
        <f t="shared" ca="1" si="15"/>
        <v>100</v>
      </c>
      <c r="G182" s="4">
        <f ca="1">SUM(F$15:F182)</f>
        <v>3030</v>
      </c>
      <c r="H182" s="6">
        <f t="shared" ca="1" si="18"/>
        <v>0.4657510626080843</v>
      </c>
    </row>
    <row r="183" spans="2:8" x14ac:dyDescent="0.25">
      <c r="B183" s="1">
        <f t="shared" si="13"/>
        <v>169</v>
      </c>
      <c r="C183" s="3">
        <f t="shared" si="16"/>
        <v>70</v>
      </c>
      <c r="D183" s="3">
        <f t="shared" si="17"/>
        <v>100</v>
      </c>
      <c r="E183" s="1" t="str">
        <f t="shared" ca="1" si="14"/>
        <v>Call</v>
      </c>
      <c r="F183" s="4">
        <f t="shared" ca="1" si="15"/>
        <v>-70</v>
      </c>
      <c r="G183" s="4">
        <f ca="1">SUM(F$15:F183)</f>
        <v>2960</v>
      </c>
      <c r="H183" s="6">
        <f t="shared" ca="1" si="18"/>
        <v>0.75542828670660711</v>
      </c>
    </row>
    <row r="184" spans="2:8" x14ac:dyDescent="0.25">
      <c r="B184" s="1">
        <f t="shared" si="13"/>
        <v>170</v>
      </c>
      <c r="C184" s="3">
        <f t="shared" si="16"/>
        <v>70</v>
      </c>
      <c r="D184" s="3">
        <f t="shared" si="17"/>
        <v>100</v>
      </c>
      <c r="E184" s="1" t="str">
        <f t="shared" ca="1" si="14"/>
        <v>Fold</v>
      </c>
      <c r="F184" s="4">
        <f t="shared" ca="1" si="15"/>
        <v>100</v>
      </c>
      <c r="G184" s="4">
        <f ca="1">SUM(F$15:F184)</f>
        <v>3060</v>
      </c>
      <c r="H184" s="6">
        <f t="shared" ca="1" si="18"/>
        <v>0.27953595004644971</v>
      </c>
    </row>
    <row r="185" spans="2:8" x14ac:dyDescent="0.25">
      <c r="B185" s="1">
        <f t="shared" si="13"/>
        <v>171</v>
      </c>
      <c r="C185" s="3">
        <f t="shared" si="16"/>
        <v>70</v>
      </c>
      <c r="D185" s="3">
        <f t="shared" si="17"/>
        <v>100</v>
      </c>
      <c r="E185" s="1" t="str">
        <f t="shared" ca="1" si="14"/>
        <v>Fold</v>
      </c>
      <c r="F185" s="4">
        <f t="shared" ca="1" si="15"/>
        <v>100</v>
      </c>
      <c r="G185" s="4">
        <f ca="1">SUM(F$15:F185)</f>
        <v>3160</v>
      </c>
      <c r="H185" s="6">
        <f t="shared" ca="1" si="18"/>
        <v>4.5826785597831043E-2</v>
      </c>
    </row>
    <row r="186" spans="2:8" x14ac:dyDescent="0.25">
      <c r="B186" s="1">
        <f t="shared" si="13"/>
        <v>172</v>
      </c>
      <c r="C186" s="3">
        <f t="shared" si="16"/>
        <v>70</v>
      </c>
      <c r="D186" s="3">
        <f t="shared" si="17"/>
        <v>100</v>
      </c>
      <c r="E186" s="1" t="str">
        <f t="shared" ca="1" si="14"/>
        <v>Call</v>
      </c>
      <c r="F186" s="4">
        <f t="shared" ca="1" si="15"/>
        <v>-70</v>
      </c>
      <c r="G186" s="4">
        <f ca="1">SUM(F$15:F186)</f>
        <v>3090</v>
      </c>
      <c r="H186" s="6">
        <f t="shared" ca="1" si="18"/>
        <v>0.76234369563260707</v>
      </c>
    </row>
    <row r="187" spans="2:8" x14ac:dyDescent="0.25">
      <c r="B187" s="1">
        <f t="shared" ref="B187:B190" si="19">B186+1</f>
        <v>173</v>
      </c>
      <c r="C187" s="3">
        <f t="shared" si="16"/>
        <v>70</v>
      </c>
      <c r="D187" s="3">
        <f t="shared" si="17"/>
        <v>100</v>
      </c>
      <c r="E187" s="1" t="str">
        <f t="shared" ca="1" si="14"/>
        <v>Fold</v>
      </c>
      <c r="F187" s="4">
        <f t="shared" ca="1" si="15"/>
        <v>100</v>
      </c>
      <c r="G187" s="4">
        <f ca="1">SUM(F$15:F187)</f>
        <v>3190</v>
      </c>
      <c r="H187" s="6">
        <f t="shared" ca="1" si="18"/>
        <v>4.3961849964039179E-2</v>
      </c>
    </row>
    <row r="188" spans="2:8" x14ac:dyDescent="0.25">
      <c r="B188" s="1">
        <f t="shared" si="19"/>
        <v>174</v>
      </c>
      <c r="C188" s="3">
        <f t="shared" si="16"/>
        <v>70</v>
      </c>
      <c r="D188" s="3">
        <f t="shared" si="17"/>
        <v>100</v>
      </c>
      <c r="E188" s="1" t="str">
        <f t="shared" ca="1" si="14"/>
        <v>Call</v>
      </c>
      <c r="F188" s="4">
        <f t="shared" ca="1" si="15"/>
        <v>-70</v>
      </c>
      <c r="G188" s="4">
        <f ca="1">SUM(F$15:F188)</f>
        <v>3120</v>
      </c>
      <c r="H188" s="6">
        <f t="shared" ca="1" si="18"/>
        <v>0.95420599187615895</v>
      </c>
    </row>
    <row r="189" spans="2:8" x14ac:dyDescent="0.25">
      <c r="B189" s="1">
        <f t="shared" si="19"/>
        <v>175</v>
      </c>
      <c r="C189" s="3">
        <f t="shared" si="16"/>
        <v>70</v>
      </c>
      <c r="D189" s="3">
        <f t="shared" si="17"/>
        <v>100</v>
      </c>
      <c r="E189" s="1" t="str">
        <f t="shared" ca="1" si="14"/>
        <v>Call</v>
      </c>
      <c r="F189" s="4">
        <f t="shared" ca="1" si="15"/>
        <v>-70</v>
      </c>
      <c r="G189" s="4">
        <f ca="1">SUM(F$15:F189)</f>
        <v>3050</v>
      </c>
      <c r="H189" s="6">
        <f t="shared" ca="1" si="18"/>
        <v>0.79615362716717986</v>
      </c>
    </row>
    <row r="190" spans="2:8" x14ac:dyDescent="0.25">
      <c r="B190" s="1">
        <f t="shared" si="19"/>
        <v>176</v>
      </c>
      <c r="C190" s="3">
        <f t="shared" si="16"/>
        <v>70</v>
      </c>
      <c r="D190" s="3">
        <f t="shared" si="17"/>
        <v>100</v>
      </c>
      <c r="E190" s="1" t="str">
        <f t="shared" ca="1" si="14"/>
        <v>Call</v>
      </c>
      <c r="F190" s="4">
        <f t="shared" ca="1" si="15"/>
        <v>-70</v>
      </c>
      <c r="G190" s="4">
        <f ca="1">SUM(F$15:F190)</f>
        <v>2980</v>
      </c>
      <c r="H190" s="6">
        <f t="shared" ca="1" si="18"/>
        <v>0.95355623612924267</v>
      </c>
    </row>
    <row r="191" spans="2:8" x14ac:dyDescent="0.25">
      <c r="B191" s="1">
        <f t="shared" ref="B191:B254" si="20">B190+1</f>
        <v>177</v>
      </c>
      <c r="C191" s="3">
        <f t="shared" si="16"/>
        <v>70</v>
      </c>
      <c r="D191" s="3">
        <f t="shared" si="17"/>
        <v>100</v>
      </c>
      <c r="E191" s="1" t="str">
        <f t="shared" ca="1" si="14"/>
        <v>Fold</v>
      </c>
      <c r="F191" s="4">
        <f t="shared" ca="1" si="15"/>
        <v>100</v>
      </c>
      <c r="G191" s="4">
        <f ca="1">SUM(F$15:F191)</f>
        <v>3080</v>
      </c>
      <c r="H191" s="6">
        <f t="shared" ca="1" si="18"/>
        <v>0.17369221923528833</v>
      </c>
    </row>
    <row r="192" spans="2:8" x14ac:dyDescent="0.25">
      <c r="B192" s="1">
        <f t="shared" si="20"/>
        <v>178</v>
      </c>
      <c r="C192" s="3">
        <f t="shared" si="16"/>
        <v>70</v>
      </c>
      <c r="D192" s="3">
        <f t="shared" si="17"/>
        <v>100</v>
      </c>
      <c r="E192" s="1" t="str">
        <f t="shared" ca="1" si="14"/>
        <v>Fold</v>
      </c>
      <c r="F192" s="4">
        <f t="shared" ca="1" si="15"/>
        <v>100</v>
      </c>
      <c r="G192" s="4">
        <f ca="1">SUM(F$15:F192)</f>
        <v>3180</v>
      </c>
      <c r="H192" s="6">
        <f t="shared" ca="1" si="18"/>
        <v>0.36138139067138408</v>
      </c>
    </row>
    <row r="193" spans="2:8" x14ac:dyDescent="0.25">
      <c r="B193" s="1">
        <f t="shared" si="20"/>
        <v>179</v>
      </c>
      <c r="C193" s="3">
        <f t="shared" si="16"/>
        <v>70</v>
      </c>
      <c r="D193" s="3">
        <f t="shared" si="17"/>
        <v>100</v>
      </c>
      <c r="E193" s="1" t="str">
        <f t="shared" ca="1" si="14"/>
        <v>Call</v>
      </c>
      <c r="F193" s="4">
        <f t="shared" ca="1" si="15"/>
        <v>-70</v>
      </c>
      <c r="G193" s="4">
        <f ca="1">SUM(F$15:F193)</f>
        <v>3110</v>
      </c>
      <c r="H193" s="6">
        <f t="shared" ca="1" si="18"/>
        <v>0.81459229678996936</v>
      </c>
    </row>
    <row r="194" spans="2:8" x14ac:dyDescent="0.25">
      <c r="B194" s="1">
        <f t="shared" si="20"/>
        <v>180</v>
      </c>
      <c r="C194" s="3">
        <f t="shared" si="16"/>
        <v>70</v>
      </c>
      <c r="D194" s="3">
        <f t="shared" si="17"/>
        <v>100</v>
      </c>
      <c r="E194" s="1" t="str">
        <f t="shared" ca="1" si="14"/>
        <v>Fold</v>
      </c>
      <c r="F194" s="4">
        <f t="shared" ca="1" si="15"/>
        <v>100</v>
      </c>
      <c r="G194" s="4">
        <f ca="1">SUM(F$15:F194)</f>
        <v>3210</v>
      </c>
      <c r="H194" s="6">
        <f t="shared" ca="1" si="18"/>
        <v>0.17656082397859307</v>
      </c>
    </row>
    <row r="195" spans="2:8" x14ac:dyDescent="0.25">
      <c r="B195" s="1">
        <f t="shared" si="20"/>
        <v>181</v>
      </c>
      <c r="C195" s="3">
        <f t="shared" si="16"/>
        <v>70</v>
      </c>
      <c r="D195" s="3">
        <f t="shared" si="17"/>
        <v>100</v>
      </c>
      <c r="E195" s="1" t="str">
        <f t="shared" ca="1" si="14"/>
        <v>Fold</v>
      </c>
      <c r="F195" s="4">
        <f t="shared" ca="1" si="15"/>
        <v>100</v>
      </c>
      <c r="G195" s="4">
        <f ca="1">SUM(F$15:F195)</f>
        <v>3310</v>
      </c>
      <c r="H195" s="6">
        <f t="shared" ca="1" si="18"/>
        <v>0.46411076571676846</v>
      </c>
    </row>
    <row r="196" spans="2:8" x14ac:dyDescent="0.25">
      <c r="B196" s="1">
        <f t="shared" si="20"/>
        <v>182</v>
      </c>
      <c r="C196" s="3">
        <f t="shared" si="16"/>
        <v>70</v>
      </c>
      <c r="D196" s="3">
        <f t="shared" si="17"/>
        <v>100</v>
      </c>
      <c r="E196" s="1" t="str">
        <f t="shared" ca="1" si="14"/>
        <v>Call</v>
      </c>
      <c r="F196" s="4">
        <f t="shared" ca="1" si="15"/>
        <v>-70</v>
      </c>
      <c r="G196" s="4">
        <f ca="1">SUM(F$15:F196)</f>
        <v>3240</v>
      </c>
      <c r="H196" s="6">
        <f t="shared" ca="1" si="18"/>
        <v>0.61058099500087815</v>
      </c>
    </row>
    <row r="197" spans="2:8" x14ac:dyDescent="0.25">
      <c r="B197" s="1">
        <f t="shared" si="20"/>
        <v>183</v>
      </c>
      <c r="C197" s="3">
        <f t="shared" si="16"/>
        <v>70</v>
      </c>
      <c r="D197" s="3">
        <f t="shared" si="17"/>
        <v>100</v>
      </c>
      <c r="E197" s="1" t="str">
        <f t="shared" ca="1" si="14"/>
        <v>Call</v>
      </c>
      <c r="F197" s="4">
        <f t="shared" ca="1" si="15"/>
        <v>-70</v>
      </c>
      <c r="G197" s="4">
        <f ca="1">SUM(F$15:F197)</f>
        <v>3170</v>
      </c>
      <c r="H197" s="6">
        <f t="shared" ca="1" si="18"/>
        <v>0.56274858156685847</v>
      </c>
    </row>
    <row r="198" spans="2:8" x14ac:dyDescent="0.25">
      <c r="B198" s="1">
        <f t="shared" si="20"/>
        <v>184</v>
      </c>
      <c r="C198" s="3">
        <f t="shared" si="16"/>
        <v>70</v>
      </c>
      <c r="D198" s="3">
        <f t="shared" si="17"/>
        <v>100</v>
      </c>
      <c r="E198" s="1" t="str">
        <f t="shared" ca="1" si="14"/>
        <v>Fold</v>
      </c>
      <c r="F198" s="4">
        <f t="shared" ca="1" si="15"/>
        <v>100</v>
      </c>
      <c r="G198" s="4">
        <f ca="1">SUM(F$15:F198)</f>
        <v>3270</v>
      </c>
      <c r="H198" s="6">
        <f t="shared" ca="1" si="18"/>
        <v>0.36169188625621429</v>
      </c>
    </row>
    <row r="199" spans="2:8" x14ac:dyDescent="0.25">
      <c r="B199" s="1">
        <f t="shared" si="20"/>
        <v>185</v>
      </c>
      <c r="C199" s="3">
        <f t="shared" si="16"/>
        <v>70</v>
      </c>
      <c r="D199" s="3">
        <f t="shared" si="17"/>
        <v>100</v>
      </c>
      <c r="E199" s="1" t="str">
        <f t="shared" ca="1" si="14"/>
        <v>Call</v>
      </c>
      <c r="F199" s="4">
        <f t="shared" ca="1" si="15"/>
        <v>-70</v>
      </c>
      <c r="G199" s="4">
        <f ca="1">SUM(F$15:F199)</f>
        <v>3200</v>
      </c>
      <c r="H199" s="6">
        <f t="shared" ca="1" si="18"/>
        <v>0.93594720571593693</v>
      </c>
    </row>
    <row r="200" spans="2:8" x14ac:dyDescent="0.25">
      <c r="B200" s="1">
        <f t="shared" si="20"/>
        <v>186</v>
      </c>
      <c r="C200" s="3">
        <f t="shared" si="16"/>
        <v>70</v>
      </c>
      <c r="D200" s="3">
        <f t="shared" si="17"/>
        <v>100</v>
      </c>
      <c r="E200" s="1" t="str">
        <f t="shared" ca="1" si="14"/>
        <v>Call</v>
      </c>
      <c r="F200" s="4">
        <f t="shared" ca="1" si="15"/>
        <v>-70</v>
      </c>
      <c r="G200" s="4">
        <f ca="1">SUM(F$15:F200)</f>
        <v>3130</v>
      </c>
      <c r="H200" s="6">
        <f t="shared" ca="1" si="18"/>
        <v>0.79498394658564808</v>
      </c>
    </row>
    <row r="201" spans="2:8" x14ac:dyDescent="0.25">
      <c r="B201" s="1">
        <f t="shared" si="20"/>
        <v>187</v>
      </c>
      <c r="C201" s="3">
        <f t="shared" si="16"/>
        <v>70</v>
      </c>
      <c r="D201" s="3">
        <f t="shared" si="17"/>
        <v>100</v>
      </c>
      <c r="E201" s="1" t="str">
        <f t="shared" ca="1" si="14"/>
        <v>Fold</v>
      </c>
      <c r="F201" s="4">
        <f t="shared" ca="1" si="15"/>
        <v>100</v>
      </c>
      <c r="G201" s="4">
        <f ca="1">SUM(F$15:F201)</f>
        <v>3230</v>
      </c>
      <c r="H201" s="6">
        <f t="shared" ca="1" si="18"/>
        <v>0.25458776927869831</v>
      </c>
    </row>
    <row r="202" spans="2:8" x14ac:dyDescent="0.25">
      <c r="B202" s="1">
        <f t="shared" si="20"/>
        <v>188</v>
      </c>
      <c r="C202" s="3">
        <f t="shared" si="16"/>
        <v>70</v>
      </c>
      <c r="D202" s="3">
        <f t="shared" si="17"/>
        <v>100</v>
      </c>
      <c r="E202" s="1" t="str">
        <f t="shared" ca="1" si="14"/>
        <v>Fold</v>
      </c>
      <c r="F202" s="4">
        <f t="shared" ca="1" si="15"/>
        <v>100</v>
      </c>
      <c r="G202" s="4">
        <f ca="1">SUM(F$15:F202)</f>
        <v>3330</v>
      </c>
      <c r="H202" s="6">
        <f t="shared" ca="1" si="18"/>
        <v>0.49676038135036804</v>
      </c>
    </row>
    <row r="203" spans="2:8" x14ac:dyDescent="0.25">
      <c r="B203" s="1">
        <f t="shared" si="20"/>
        <v>189</v>
      </c>
      <c r="C203" s="3">
        <f t="shared" si="16"/>
        <v>70</v>
      </c>
      <c r="D203" s="3">
        <f t="shared" si="17"/>
        <v>100</v>
      </c>
      <c r="E203" s="1" t="str">
        <f t="shared" ca="1" si="14"/>
        <v>Call</v>
      </c>
      <c r="F203" s="4">
        <f t="shared" ca="1" si="15"/>
        <v>-70</v>
      </c>
      <c r="G203" s="4">
        <f ca="1">SUM(F$15:F203)</f>
        <v>3260</v>
      </c>
      <c r="H203" s="6">
        <f t="shared" ca="1" si="18"/>
        <v>0.57520758754516554</v>
      </c>
    </row>
    <row r="204" spans="2:8" x14ac:dyDescent="0.25">
      <c r="B204" s="1">
        <f t="shared" si="20"/>
        <v>190</v>
      </c>
      <c r="C204" s="3">
        <f t="shared" si="16"/>
        <v>70</v>
      </c>
      <c r="D204" s="3">
        <f t="shared" si="17"/>
        <v>100</v>
      </c>
      <c r="E204" s="1" t="str">
        <f t="shared" ca="1" si="14"/>
        <v>Call</v>
      </c>
      <c r="F204" s="4">
        <f t="shared" ca="1" si="15"/>
        <v>-70</v>
      </c>
      <c r="G204" s="4">
        <f ca="1">SUM(F$15:F204)</f>
        <v>3190</v>
      </c>
      <c r="H204" s="6">
        <f t="shared" ca="1" si="18"/>
        <v>0.81505035791545521</v>
      </c>
    </row>
    <row r="205" spans="2:8" x14ac:dyDescent="0.25">
      <c r="B205" s="1">
        <f t="shared" si="20"/>
        <v>191</v>
      </c>
      <c r="C205" s="3">
        <f t="shared" si="16"/>
        <v>70</v>
      </c>
      <c r="D205" s="3">
        <f t="shared" si="17"/>
        <v>100</v>
      </c>
      <c r="E205" s="1" t="str">
        <f t="shared" ca="1" si="14"/>
        <v>Fold</v>
      </c>
      <c r="F205" s="4">
        <f t="shared" ca="1" si="15"/>
        <v>100</v>
      </c>
      <c r="G205" s="4">
        <f ca="1">SUM(F$15:F205)</f>
        <v>3290</v>
      </c>
      <c r="H205" s="6">
        <f t="shared" ca="1" si="18"/>
        <v>0.41339217035658382</v>
      </c>
    </row>
    <row r="206" spans="2:8" x14ac:dyDescent="0.25">
      <c r="B206" s="1">
        <f t="shared" si="20"/>
        <v>192</v>
      </c>
      <c r="C206" s="3">
        <f t="shared" si="16"/>
        <v>70</v>
      </c>
      <c r="D206" s="3">
        <f t="shared" si="17"/>
        <v>100</v>
      </c>
      <c r="E206" s="1" t="str">
        <f t="shared" ca="1" si="14"/>
        <v>Call</v>
      </c>
      <c r="F206" s="4">
        <f t="shared" ca="1" si="15"/>
        <v>-70</v>
      </c>
      <c r="G206" s="4">
        <f ca="1">SUM(F$15:F206)</f>
        <v>3220</v>
      </c>
      <c r="H206" s="6">
        <f t="shared" ca="1" si="18"/>
        <v>0.82504455213437333</v>
      </c>
    </row>
    <row r="207" spans="2:8" x14ac:dyDescent="0.25">
      <c r="B207" s="1">
        <f t="shared" si="20"/>
        <v>193</v>
      </c>
      <c r="C207" s="3">
        <f t="shared" si="16"/>
        <v>70</v>
      </c>
      <c r="D207" s="3">
        <f t="shared" si="17"/>
        <v>100</v>
      </c>
      <c r="E207" s="1" t="str">
        <f t="shared" ref="E207:E270" ca="1" si="21">IF(H207&lt;$D$3,"Fold","Call")</f>
        <v>Call</v>
      </c>
      <c r="F207" s="4">
        <f t="shared" ca="1" si="15"/>
        <v>-70</v>
      </c>
      <c r="G207" s="4">
        <f ca="1">SUM(F$15:F207)</f>
        <v>3150</v>
      </c>
      <c r="H207" s="6">
        <f t="shared" ca="1" si="18"/>
        <v>0.96993978702964412</v>
      </c>
    </row>
    <row r="208" spans="2:8" x14ac:dyDescent="0.25">
      <c r="B208" s="1">
        <f t="shared" si="20"/>
        <v>194</v>
      </c>
      <c r="C208" s="3">
        <f t="shared" si="16"/>
        <v>70</v>
      </c>
      <c r="D208" s="3">
        <f t="shared" si="17"/>
        <v>100</v>
      </c>
      <c r="E208" s="1" t="str">
        <f t="shared" ca="1" si="21"/>
        <v>Call</v>
      </c>
      <c r="F208" s="4">
        <f t="shared" ref="F208:F271" ca="1" si="22">IF(E208="Fold",D208,-C208)</f>
        <v>-70</v>
      </c>
      <c r="G208" s="4">
        <f ca="1">SUM(F$15:F208)</f>
        <v>3080</v>
      </c>
      <c r="H208" s="6">
        <f t="shared" ca="1" si="18"/>
        <v>0.73818891255452479</v>
      </c>
    </row>
    <row r="209" spans="2:8" x14ac:dyDescent="0.25">
      <c r="B209" s="1">
        <f t="shared" si="20"/>
        <v>195</v>
      </c>
      <c r="C209" s="3">
        <f t="shared" ref="C209:C272" si="23">C208</f>
        <v>70</v>
      </c>
      <c r="D209" s="3">
        <f t="shared" ref="D209:D272" si="24">D208</f>
        <v>100</v>
      </c>
      <c r="E209" s="1" t="str">
        <f t="shared" ca="1" si="21"/>
        <v>Call</v>
      </c>
      <c r="F209" s="4">
        <f t="shared" ca="1" si="22"/>
        <v>-70</v>
      </c>
      <c r="G209" s="4">
        <f ca="1">SUM(F$15:F209)</f>
        <v>3010</v>
      </c>
      <c r="H209" s="6">
        <f t="shared" ca="1" si="18"/>
        <v>0.989222455521653</v>
      </c>
    </row>
    <row r="210" spans="2:8" x14ac:dyDescent="0.25">
      <c r="B210" s="1">
        <f t="shared" si="20"/>
        <v>196</v>
      </c>
      <c r="C210" s="3">
        <f t="shared" si="23"/>
        <v>70</v>
      </c>
      <c r="D210" s="3">
        <f t="shared" si="24"/>
        <v>100</v>
      </c>
      <c r="E210" s="1" t="str">
        <f t="shared" ca="1" si="21"/>
        <v>Call</v>
      </c>
      <c r="F210" s="4">
        <f t="shared" ca="1" si="22"/>
        <v>-70</v>
      </c>
      <c r="G210" s="4">
        <f ca="1">SUM(F$15:F210)</f>
        <v>2940</v>
      </c>
      <c r="H210" s="6">
        <f t="shared" ca="1" si="18"/>
        <v>0.88987449788776374</v>
      </c>
    </row>
    <row r="211" spans="2:8" x14ac:dyDescent="0.25">
      <c r="B211" s="1">
        <f t="shared" si="20"/>
        <v>197</v>
      </c>
      <c r="C211" s="3">
        <f t="shared" si="23"/>
        <v>70</v>
      </c>
      <c r="D211" s="3">
        <f t="shared" si="24"/>
        <v>100</v>
      </c>
      <c r="E211" s="1" t="str">
        <f t="shared" ca="1" si="21"/>
        <v>Call</v>
      </c>
      <c r="F211" s="4">
        <f t="shared" ca="1" si="22"/>
        <v>-70</v>
      </c>
      <c r="G211" s="4">
        <f ca="1">SUM(F$15:F211)</f>
        <v>2870</v>
      </c>
      <c r="H211" s="6">
        <f t="shared" ca="1" si="18"/>
        <v>0.89449899952370382</v>
      </c>
    </row>
    <row r="212" spans="2:8" x14ac:dyDescent="0.25">
      <c r="B212" s="1">
        <f t="shared" si="20"/>
        <v>198</v>
      </c>
      <c r="C212" s="3">
        <f t="shared" si="23"/>
        <v>70</v>
      </c>
      <c r="D212" s="3">
        <f t="shared" si="24"/>
        <v>100</v>
      </c>
      <c r="E212" s="1" t="str">
        <f t="shared" ca="1" si="21"/>
        <v>Fold</v>
      </c>
      <c r="F212" s="4">
        <f t="shared" ca="1" si="22"/>
        <v>100</v>
      </c>
      <c r="G212" s="4">
        <f ca="1">SUM(F$15:F212)</f>
        <v>2970</v>
      </c>
      <c r="H212" s="6">
        <f t="shared" ca="1" si="18"/>
        <v>0.22257183977473027</v>
      </c>
    </row>
    <row r="213" spans="2:8" x14ac:dyDescent="0.25">
      <c r="B213" s="1">
        <f t="shared" si="20"/>
        <v>199</v>
      </c>
      <c r="C213" s="3">
        <f t="shared" si="23"/>
        <v>70</v>
      </c>
      <c r="D213" s="3">
        <f t="shared" si="24"/>
        <v>100</v>
      </c>
      <c r="E213" s="1" t="str">
        <f t="shared" ca="1" si="21"/>
        <v>Fold</v>
      </c>
      <c r="F213" s="4">
        <f t="shared" ca="1" si="22"/>
        <v>100</v>
      </c>
      <c r="G213" s="4">
        <f ca="1">SUM(F$15:F213)</f>
        <v>3070</v>
      </c>
      <c r="H213" s="6">
        <f t="shared" ca="1" si="18"/>
        <v>5.6128817169232015E-2</v>
      </c>
    </row>
    <row r="214" spans="2:8" x14ac:dyDescent="0.25">
      <c r="B214" s="1">
        <f t="shared" si="20"/>
        <v>200</v>
      </c>
      <c r="C214" s="3">
        <f t="shared" si="23"/>
        <v>70</v>
      </c>
      <c r="D214" s="3">
        <f t="shared" si="24"/>
        <v>100</v>
      </c>
      <c r="E214" s="1" t="str">
        <f t="shared" ca="1" si="21"/>
        <v>Fold</v>
      </c>
      <c r="F214" s="4">
        <f t="shared" ca="1" si="22"/>
        <v>100</v>
      </c>
      <c r="G214" s="4">
        <f ca="1">SUM(F$15:F214)</f>
        <v>3170</v>
      </c>
      <c r="H214" s="6">
        <f t="shared" ca="1" si="18"/>
        <v>5.7782813371924591E-2</v>
      </c>
    </row>
    <row r="215" spans="2:8" x14ac:dyDescent="0.25">
      <c r="B215" s="1">
        <f t="shared" si="20"/>
        <v>201</v>
      </c>
      <c r="C215" s="3">
        <f t="shared" si="23"/>
        <v>70</v>
      </c>
      <c r="D215" s="3">
        <f t="shared" si="24"/>
        <v>100</v>
      </c>
      <c r="E215" s="1" t="str">
        <f t="shared" ca="1" si="21"/>
        <v>Call</v>
      </c>
      <c r="F215" s="4">
        <f t="shared" ca="1" si="22"/>
        <v>-70</v>
      </c>
      <c r="G215" s="4">
        <f ca="1">SUM(F$15:F215)</f>
        <v>3100</v>
      </c>
      <c r="H215" s="6">
        <f t="shared" ca="1" si="18"/>
        <v>0.7249457936046203</v>
      </c>
    </row>
    <row r="216" spans="2:8" x14ac:dyDescent="0.25">
      <c r="B216" s="1">
        <f t="shared" si="20"/>
        <v>202</v>
      </c>
      <c r="C216" s="3">
        <f t="shared" si="23"/>
        <v>70</v>
      </c>
      <c r="D216" s="3">
        <f t="shared" si="24"/>
        <v>100</v>
      </c>
      <c r="E216" s="1" t="str">
        <f t="shared" ca="1" si="21"/>
        <v>Fold</v>
      </c>
      <c r="F216" s="4">
        <f t="shared" ca="1" si="22"/>
        <v>100</v>
      </c>
      <c r="G216" s="4">
        <f ca="1">SUM(F$15:F216)</f>
        <v>3200</v>
      </c>
      <c r="H216" s="6">
        <f t="shared" ca="1" si="18"/>
        <v>0.13927061969190946</v>
      </c>
    </row>
    <row r="217" spans="2:8" x14ac:dyDescent="0.25">
      <c r="B217" s="1">
        <f t="shared" si="20"/>
        <v>203</v>
      </c>
      <c r="C217" s="3">
        <f t="shared" si="23"/>
        <v>70</v>
      </c>
      <c r="D217" s="3">
        <f t="shared" si="24"/>
        <v>100</v>
      </c>
      <c r="E217" s="1" t="str">
        <f t="shared" ca="1" si="21"/>
        <v>Fold</v>
      </c>
      <c r="F217" s="4">
        <f t="shared" ca="1" si="22"/>
        <v>100</v>
      </c>
      <c r="G217" s="4">
        <f ca="1">SUM(F$15:F217)</f>
        <v>3300</v>
      </c>
      <c r="H217" s="6">
        <f t="shared" ca="1" si="18"/>
        <v>2.1386921618765986E-2</v>
      </c>
    </row>
    <row r="218" spans="2:8" x14ac:dyDescent="0.25">
      <c r="B218" s="1">
        <f t="shared" si="20"/>
        <v>204</v>
      </c>
      <c r="C218" s="3">
        <f t="shared" si="23"/>
        <v>70</v>
      </c>
      <c r="D218" s="3">
        <f t="shared" si="24"/>
        <v>100</v>
      </c>
      <c r="E218" s="1" t="str">
        <f t="shared" ca="1" si="21"/>
        <v>Fold</v>
      </c>
      <c r="F218" s="4">
        <f t="shared" ca="1" si="22"/>
        <v>100</v>
      </c>
      <c r="G218" s="4">
        <f ca="1">SUM(F$15:F218)</f>
        <v>3400</v>
      </c>
      <c r="H218" s="6">
        <f t="shared" ca="1" si="18"/>
        <v>0.12444574235544414</v>
      </c>
    </row>
    <row r="219" spans="2:8" x14ac:dyDescent="0.25">
      <c r="B219" s="1">
        <f t="shared" si="20"/>
        <v>205</v>
      </c>
      <c r="C219" s="3">
        <f t="shared" si="23"/>
        <v>70</v>
      </c>
      <c r="D219" s="3">
        <f t="shared" si="24"/>
        <v>100</v>
      </c>
      <c r="E219" s="1" t="str">
        <f t="shared" ca="1" si="21"/>
        <v>Call</v>
      </c>
      <c r="F219" s="4">
        <f t="shared" ca="1" si="22"/>
        <v>-70</v>
      </c>
      <c r="G219" s="4">
        <f ca="1">SUM(F$15:F219)</f>
        <v>3330</v>
      </c>
      <c r="H219" s="6">
        <f t="shared" ca="1" si="18"/>
        <v>0.64025550520477881</v>
      </c>
    </row>
    <row r="220" spans="2:8" x14ac:dyDescent="0.25">
      <c r="B220" s="1">
        <f t="shared" si="20"/>
        <v>206</v>
      </c>
      <c r="C220" s="3">
        <f t="shared" si="23"/>
        <v>70</v>
      </c>
      <c r="D220" s="3">
        <f t="shared" si="24"/>
        <v>100</v>
      </c>
      <c r="E220" s="1" t="str">
        <f t="shared" ca="1" si="21"/>
        <v>Call</v>
      </c>
      <c r="F220" s="4">
        <f t="shared" ca="1" si="22"/>
        <v>-70</v>
      </c>
      <c r="G220" s="4">
        <f ca="1">SUM(F$15:F220)</f>
        <v>3260</v>
      </c>
      <c r="H220" s="6">
        <f t="shared" ca="1" si="18"/>
        <v>0.75954203017038546</v>
      </c>
    </row>
    <row r="221" spans="2:8" x14ac:dyDescent="0.25">
      <c r="B221" s="1">
        <f t="shared" si="20"/>
        <v>207</v>
      </c>
      <c r="C221" s="3">
        <f t="shared" si="23"/>
        <v>70</v>
      </c>
      <c r="D221" s="3">
        <f t="shared" si="24"/>
        <v>100</v>
      </c>
      <c r="E221" s="1" t="str">
        <f t="shared" ca="1" si="21"/>
        <v>Call</v>
      </c>
      <c r="F221" s="4">
        <f t="shared" ca="1" si="22"/>
        <v>-70</v>
      </c>
      <c r="G221" s="4">
        <f ca="1">SUM(F$15:F221)</f>
        <v>3190</v>
      </c>
      <c r="H221" s="6">
        <f t="shared" ca="1" si="18"/>
        <v>0.81788775668153446</v>
      </c>
    </row>
    <row r="222" spans="2:8" x14ac:dyDescent="0.25">
      <c r="B222" s="1">
        <f t="shared" si="20"/>
        <v>208</v>
      </c>
      <c r="C222" s="3">
        <f t="shared" si="23"/>
        <v>70</v>
      </c>
      <c r="D222" s="3">
        <f t="shared" si="24"/>
        <v>100</v>
      </c>
      <c r="E222" s="1" t="str">
        <f t="shared" ca="1" si="21"/>
        <v>Call</v>
      </c>
      <c r="F222" s="4">
        <f t="shared" ca="1" si="22"/>
        <v>-70</v>
      </c>
      <c r="G222" s="4">
        <f ca="1">SUM(F$15:F222)</f>
        <v>3120</v>
      </c>
      <c r="H222" s="6">
        <f t="shared" ref="H222:H285" ca="1" si="25">RAND()</f>
        <v>0.75070197929285409</v>
      </c>
    </row>
    <row r="223" spans="2:8" x14ac:dyDescent="0.25">
      <c r="B223" s="1">
        <f t="shared" si="20"/>
        <v>209</v>
      </c>
      <c r="C223" s="3">
        <f t="shared" si="23"/>
        <v>70</v>
      </c>
      <c r="D223" s="3">
        <f t="shared" si="24"/>
        <v>100</v>
      </c>
      <c r="E223" s="1" t="str">
        <f t="shared" ca="1" si="21"/>
        <v>Call</v>
      </c>
      <c r="F223" s="4">
        <f t="shared" ca="1" si="22"/>
        <v>-70</v>
      </c>
      <c r="G223" s="4">
        <f ca="1">SUM(F$15:F223)</f>
        <v>3050</v>
      </c>
      <c r="H223" s="6">
        <f t="shared" ca="1" si="25"/>
        <v>0.53030913090614729</v>
      </c>
    </row>
    <row r="224" spans="2:8" x14ac:dyDescent="0.25">
      <c r="B224" s="1">
        <f t="shared" si="20"/>
        <v>210</v>
      </c>
      <c r="C224" s="3">
        <f t="shared" si="23"/>
        <v>70</v>
      </c>
      <c r="D224" s="3">
        <f t="shared" si="24"/>
        <v>100</v>
      </c>
      <c r="E224" s="1" t="str">
        <f t="shared" ca="1" si="21"/>
        <v>Fold</v>
      </c>
      <c r="F224" s="4">
        <f t="shared" ca="1" si="22"/>
        <v>100</v>
      </c>
      <c r="G224" s="4">
        <f ca="1">SUM(F$15:F224)</f>
        <v>3150</v>
      </c>
      <c r="H224" s="6">
        <f t="shared" ca="1" si="25"/>
        <v>0.40646661017073815</v>
      </c>
    </row>
    <row r="225" spans="2:8" x14ac:dyDescent="0.25">
      <c r="B225" s="1">
        <f t="shared" si="20"/>
        <v>211</v>
      </c>
      <c r="C225" s="3">
        <f t="shared" si="23"/>
        <v>70</v>
      </c>
      <c r="D225" s="3">
        <f t="shared" si="24"/>
        <v>100</v>
      </c>
      <c r="E225" s="1" t="str">
        <f t="shared" ca="1" si="21"/>
        <v>Call</v>
      </c>
      <c r="F225" s="4">
        <f t="shared" ca="1" si="22"/>
        <v>-70</v>
      </c>
      <c r="G225" s="4">
        <f ca="1">SUM(F$15:F225)</f>
        <v>3080</v>
      </c>
      <c r="H225" s="6">
        <f t="shared" ca="1" si="25"/>
        <v>0.75973542612400358</v>
      </c>
    </row>
    <row r="226" spans="2:8" x14ac:dyDescent="0.25">
      <c r="B226" s="1">
        <f t="shared" si="20"/>
        <v>212</v>
      </c>
      <c r="C226" s="3">
        <f t="shared" si="23"/>
        <v>70</v>
      </c>
      <c r="D226" s="3">
        <f t="shared" si="24"/>
        <v>100</v>
      </c>
      <c r="E226" s="1" t="str">
        <f t="shared" ca="1" si="21"/>
        <v>Fold</v>
      </c>
      <c r="F226" s="4">
        <f t="shared" ca="1" si="22"/>
        <v>100</v>
      </c>
      <c r="G226" s="4">
        <f ca="1">SUM(F$15:F226)</f>
        <v>3180</v>
      </c>
      <c r="H226" s="6">
        <f t="shared" ca="1" si="25"/>
        <v>0.27497062238628867</v>
      </c>
    </row>
    <row r="227" spans="2:8" x14ac:dyDescent="0.25">
      <c r="B227" s="1">
        <f t="shared" si="20"/>
        <v>213</v>
      </c>
      <c r="C227" s="3">
        <f t="shared" si="23"/>
        <v>70</v>
      </c>
      <c r="D227" s="3">
        <f t="shared" si="24"/>
        <v>100</v>
      </c>
      <c r="E227" s="1" t="str">
        <f t="shared" ca="1" si="21"/>
        <v>Call</v>
      </c>
      <c r="F227" s="4">
        <f t="shared" ca="1" si="22"/>
        <v>-70</v>
      </c>
      <c r="G227" s="4">
        <f ca="1">SUM(F$15:F227)</f>
        <v>3110</v>
      </c>
      <c r="H227" s="6">
        <f t="shared" ca="1" si="25"/>
        <v>0.6375005023193907</v>
      </c>
    </row>
    <row r="228" spans="2:8" x14ac:dyDescent="0.25">
      <c r="B228" s="1">
        <f t="shared" si="20"/>
        <v>214</v>
      </c>
      <c r="C228" s="3">
        <f t="shared" si="23"/>
        <v>70</v>
      </c>
      <c r="D228" s="3">
        <f t="shared" si="24"/>
        <v>100</v>
      </c>
      <c r="E228" s="1" t="str">
        <f t="shared" ca="1" si="21"/>
        <v>Fold</v>
      </c>
      <c r="F228" s="4">
        <f t="shared" ca="1" si="22"/>
        <v>100</v>
      </c>
      <c r="G228" s="4">
        <f ca="1">SUM(F$15:F228)</f>
        <v>3210</v>
      </c>
      <c r="H228" s="6">
        <f t="shared" ca="1" si="25"/>
        <v>3.7930113029303048E-3</v>
      </c>
    </row>
    <row r="229" spans="2:8" x14ac:dyDescent="0.25">
      <c r="B229" s="1">
        <f t="shared" si="20"/>
        <v>215</v>
      </c>
      <c r="C229" s="3">
        <f t="shared" si="23"/>
        <v>70</v>
      </c>
      <c r="D229" s="3">
        <f t="shared" si="24"/>
        <v>100</v>
      </c>
      <c r="E229" s="1" t="str">
        <f t="shared" ca="1" si="21"/>
        <v>Fold</v>
      </c>
      <c r="F229" s="4">
        <f t="shared" ca="1" si="22"/>
        <v>100</v>
      </c>
      <c r="G229" s="4">
        <f ca="1">SUM(F$15:F229)</f>
        <v>3310</v>
      </c>
      <c r="H229" s="6">
        <f t="shared" ca="1" si="25"/>
        <v>0.39147976707424803</v>
      </c>
    </row>
    <row r="230" spans="2:8" x14ac:dyDescent="0.25">
      <c r="B230" s="1">
        <f t="shared" si="20"/>
        <v>216</v>
      </c>
      <c r="C230" s="3">
        <f t="shared" si="23"/>
        <v>70</v>
      </c>
      <c r="D230" s="3">
        <f t="shared" si="24"/>
        <v>100</v>
      </c>
      <c r="E230" s="1" t="str">
        <f t="shared" ca="1" si="21"/>
        <v>Call</v>
      </c>
      <c r="F230" s="4">
        <f t="shared" ca="1" si="22"/>
        <v>-70</v>
      </c>
      <c r="G230" s="4">
        <f ca="1">SUM(F$15:F230)</f>
        <v>3240</v>
      </c>
      <c r="H230" s="6">
        <f t="shared" ca="1" si="25"/>
        <v>0.55145271486608372</v>
      </c>
    </row>
    <row r="231" spans="2:8" x14ac:dyDescent="0.25">
      <c r="B231" s="1">
        <f t="shared" si="20"/>
        <v>217</v>
      </c>
      <c r="C231" s="3">
        <f t="shared" si="23"/>
        <v>70</v>
      </c>
      <c r="D231" s="3">
        <f t="shared" si="24"/>
        <v>100</v>
      </c>
      <c r="E231" s="1" t="str">
        <f t="shared" ca="1" si="21"/>
        <v>Fold</v>
      </c>
      <c r="F231" s="4">
        <f t="shared" ca="1" si="22"/>
        <v>100</v>
      </c>
      <c r="G231" s="4">
        <f ca="1">SUM(F$15:F231)</f>
        <v>3340</v>
      </c>
      <c r="H231" s="6">
        <f t="shared" ca="1" si="25"/>
        <v>2.4138749857953723E-2</v>
      </c>
    </row>
    <row r="232" spans="2:8" x14ac:dyDescent="0.25">
      <c r="B232" s="1">
        <f t="shared" si="20"/>
        <v>218</v>
      </c>
      <c r="C232" s="3">
        <f t="shared" si="23"/>
        <v>70</v>
      </c>
      <c r="D232" s="3">
        <f t="shared" si="24"/>
        <v>100</v>
      </c>
      <c r="E232" s="1" t="str">
        <f t="shared" ca="1" si="21"/>
        <v>Fold</v>
      </c>
      <c r="F232" s="4">
        <f t="shared" ca="1" si="22"/>
        <v>100</v>
      </c>
      <c r="G232" s="4">
        <f ca="1">SUM(F$15:F232)</f>
        <v>3440</v>
      </c>
      <c r="H232" s="6">
        <f t="shared" ca="1" si="25"/>
        <v>0.41151047116179529</v>
      </c>
    </row>
    <row r="233" spans="2:8" x14ac:dyDescent="0.25">
      <c r="B233" s="1">
        <f t="shared" si="20"/>
        <v>219</v>
      </c>
      <c r="C233" s="3">
        <f t="shared" si="23"/>
        <v>70</v>
      </c>
      <c r="D233" s="3">
        <f t="shared" si="24"/>
        <v>100</v>
      </c>
      <c r="E233" s="1" t="str">
        <f t="shared" ca="1" si="21"/>
        <v>Fold</v>
      </c>
      <c r="F233" s="4">
        <f t="shared" ca="1" si="22"/>
        <v>100</v>
      </c>
      <c r="G233" s="4">
        <f ca="1">SUM(F$15:F233)</f>
        <v>3540</v>
      </c>
      <c r="H233" s="6">
        <f t="shared" ca="1" si="25"/>
        <v>0.12540438203317383</v>
      </c>
    </row>
    <row r="234" spans="2:8" x14ac:dyDescent="0.25">
      <c r="B234" s="1">
        <f t="shared" si="20"/>
        <v>220</v>
      </c>
      <c r="C234" s="3">
        <f t="shared" si="23"/>
        <v>70</v>
      </c>
      <c r="D234" s="3">
        <f t="shared" si="24"/>
        <v>100</v>
      </c>
      <c r="E234" s="1" t="str">
        <f t="shared" ca="1" si="21"/>
        <v>Call</v>
      </c>
      <c r="F234" s="4">
        <f t="shared" ca="1" si="22"/>
        <v>-70</v>
      </c>
      <c r="G234" s="4">
        <f ca="1">SUM(F$15:F234)</f>
        <v>3470</v>
      </c>
      <c r="H234" s="6">
        <f t="shared" ca="1" si="25"/>
        <v>0.58874047838306487</v>
      </c>
    </row>
    <row r="235" spans="2:8" x14ac:dyDescent="0.25">
      <c r="B235" s="1">
        <f t="shared" si="20"/>
        <v>221</v>
      </c>
      <c r="C235" s="3">
        <f t="shared" si="23"/>
        <v>70</v>
      </c>
      <c r="D235" s="3">
        <f t="shared" si="24"/>
        <v>100</v>
      </c>
      <c r="E235" s="1" t="str">
        <f t="shared" ca="1" si="21"/>
        <v>Call</v>
      </c>
      <c r="F235" s="4">
        <f t="shared" ca="1" si="22"/>
        <v>-70</v>
      </c>
      <c r="G235" s="4">
        <f ca="1">SUM(F$15:F235)</f>
        <v>3400</v>
      </c>
      <c r="H235" s="6">
        <f t="shared" ca="1" si="25"/>
        <v>0.65036466790280811</v>
      </c>
    </row>
    <row r="236" spans="2:8" x14ac:dyDescent="0.25">
      <c r="B236" s="1">
        <f t="shared" si="20"/>
        <v>222</v>
      </c>
      <c r="C236" s="3">
        <f t="shared" si="23"/>
        <v>70</v>
      </c>
      <c r="D236" s="3">
        <f t="shared" si="24"/>
        <v>100</v>
      </c>
      <c r="E236" s="1" t="str">
        <f t="shared" ca="1" si="21"/>
        <v>Call</v>
      </c>
      <c r="F236" s="4">
        <f t="shared" ca="1" si="22"/>
        <v>-70</v>
      </c>
      <c r="G236" s="4">
        <f ca="1">SUM(F$15:F236)</f>
        <v>3330</v>
      </c>
      <c r="H236" s="6">
        <f t="shared" ca="1" si="25"/>
        <v>0.87275297022993259</v>
      </c>
    </row>
    <row r="237" spans="2:8" x14ac:dyDescent="0.25">
      <c r="B237" s="1">
        <f t="shared" si="20"/>
        <v>223</v>
      </c>
      <c r="C237" s="3">
        <f t="shared" si="23"/>
        <v>70</v>
      </c>
      <c r="D237" s="3">
        <f t="shared" si="24"/>
        <v>100</v>
      </c>
      <c r="E237" s="1" t="str">
        <f t="shared" ca="1" si="21"/>
        <v>Call</v>
      </c>
      <c r="F237" s="4">
        <f t="shared" ca="1" si="22"/>
        <v>-70</v>
      </c>
      <c r="G237" s="4">
        <f ca="1">SUM(F$15:F237)</f>
        <v>3260</v>
      </c>
      <c r="H237" s="6">
        <f t="shared" ca="1" si="25"/>
        <v>0.64824747000479599</v>
      </c>
    </row>
    <row r="238" spans="2:8" x14ac:dyDescent="0.25">
      <c r="B238" s="1">
        <f t="shared" si="20"/>
        <v>224</v>
      </c>
      <c r="C238" s="3">
        <f t="shared" si="23"/>
        <v>70</v>
      </c>
      <c r="D238" s="3">
        <f t="shared" si="24"/>
        <v>100</v>
      </c>
      <c r="E238" s="1" t="str">
        <f t="shared" ca="1" si="21"/>
        <v>Call</v>
      </c>
      <c r="F238" s="4">
        <f t="shared" ca="1" si="22"/>
        <v>-70</v>
      </c>
      <c r="G238" s="4">
        <f ca="1">SUM(F$15:F238)</f>
        <v>3190</v>
      </c>
      <c r="H238" s="6">
        <f t="shared" ca="1" si="25"/>
        <v>0.77684382504302685</v>
      </c>
    </row>
    <row r="239" spans="2:8" x14ac:dyDescent="0.25">
      <c r="B239" s="1">
        <f t="shared" si="20"/>
        <v>225</v>
      </c>
      <c r="C239" s="3">
        <f t="shared" si="23"/>
        <v>70</v>
      </c>
      <c r="D239" s="3">
        <f t="shared" si="24"/>
        <v>100</v>
      </c>
      <c r="E239" s="1" t="str">
        <f t="shared" ca="1" si="21"/>
        <v>Fold</v>
      </c>
      <c r="F239" s="4">
        <f t="shared" ca="1" si="22"/>
        <v>100</v>
      </c>
      <c r="G239" s="4">
        <f ca="1">SUM(F$15:F239)</f>
        <v>3290</v>
      </c>
      <c r="H239" s="6">
        <f t="shared" ca="1" si="25"/>
        <v>0.23271720936679929</v>
      </c>
    </row>
    <row r="240" spans="2:8" x14ac:dyDescent="0.25">
      <c r="B240" s="1">
        <f t="shared" si="20"/>
        <v>226</v>
      </c>
      <c r="C240" s="3">
        <f t="shared" si="23"/>
        <v>70</v>
      </c>
      <c r="D240" s="3">
        <f t="shared" si="24"/>
        <v>100</v>
      </c>
      <c r="E240" s="1" t="str">
        <f t="shared" ca="1" si="21"/>
        <v>Call</v>
      </c>
      <c r="F240" s="4">
        <f t="shared" ca="1" si="22"/>
        <v>-70</v>
      </c>
      <c r="G240" s="4">
        <f ca="1">SUM(F$15:F240)</f>
        <v>3220</v>
      </c>
      <c r="H240" s="6">
        <f t="shared" ca="1" si="25"/>
        <v>0.80562160760718526</v>
      </c>
    </row>
    <row r="241" spans="2:8" x14ac:dyDescent="0.25">
      <c r="B241" s="1">
        <f t="shared" si="20"/>
        <v>227</v>
      </c>
      <c r="C241" s="3">
        <f t="shared" si="23"/>
        <v>70</v>
      </c>
      <c r="D241" s="3">
        <f t="shared" si="24"/>
        <v>100</v>
      </c>
      <c r="E241" s="1" t="str">
        <f t="shared" ca="1" si="21"/>
        <v>Fold</v>
      </c>
      <c r="F241" s="4">
        <f t="shared" ca="1" si="22"/>
        <v>100</v>
      </c>
      <c r="G241" s="4">
        <f ca="1">SUM(F$15:F241)</f>
        <v>3320</v>
      </c>
      <c r="H241" s="6">
        <f t="shared" ca="1" si="25"/>
        <v>0.20528515391338065</v>
      </c>
    </row>
    <row r="242" spans="2:8" x14ac:dyDescent="0.25">
      <c r="B242" s="1">
        <f t="shared" si="20"/>
        <v>228</v>
      </c>
      <c r="C242" s="3">
        <f t="shared" si="23"/>
        <v>70</v>
      </c>
      <c r="D242" s="3">
        <f t="shared" si="24"/>
        <v>100</v>
      </c>
      <c r="E242" s="1" t="str">
        <f t="shared" ca="1" si="21"/>
        <v>Fold</v>
      </c>
      <c r="F242" s="4">
        <f t="shared" ca="1" si="22"/>
        <v>100</v>
      </c>
      <c r="G242" s="4">
        <f ca="1">SUM(F$15:F242)</f>
        <v>3420</v>
      </c>
      <c r="H242" s="6">
        <f t="shared" ca="1" si="25"/>
        <v>0.26671160643914582</v>
      </c>
    </row>
    <row r="243" spans="2:8" x14ac:dyDescent="0.25">
      <c r="B243" s="1">
        <f t="shared" si="20"/>
        <v>229</v>
      </c>
      <c r="C243" s="3">
        <f t="shared" si="23"/>
        <v>70</v>
      </c>
      <c r="D243" s="3">
        <f t="shared" si="24"/>
        <v>100</v>
      </c>
      <c r="E243" s="1" t="str">
        <f t="shared" ca="1" si="21"/>
        <v>Fold</v>
      </c>
      <c r="F243" s="4">
        <f t="shared" ca="1" si="22"/>
        <v>100</v>
      </c>
      <c r="G243" s="4">
        <f ca="1">SUM(F$15:F243)</f>
        <v>3520</v>
      </c>
      <c r="H243" s="6">
        <f t="shared" ca="1" si="25"/>
        <v>0.14173561232659149</v>
      </c>
    </row>
    <row r="244" spans="2:8" x14ac:dyDescent="0.25">
      <c r="B244" s="1">
        <f t="shared" si="20"/>
        <v>230</v>
      </c>
      <c r="C244" s="3">
        <f t="shared" si="23"/>
        <v>70</v>
      </c>
      <c r="D244" s="3">
        <f t="shared" si="24"/>
        <v>100</v>
      </c>
      <c r="E244" s="1" t="str">
        <f t="shared" ca="1" si="21"/>
        <v>Call</v>
      </c>
      <c r="F244" s="4">
        <f t="shared" ca="1" si="22"/>
        <v>-70</v>
      </c>
      <c r="G244" s="4">
        <f ca="1">SUM(F$15:F244)</f>
        <v>3450</v>
      </c>
      <c r="H244" s="6">
        <f t="shared" ca="1" si="25"/>
        <v>0.8019554765383281</v>
      </c>
    </row>
    <row r="245" spans="2:8" x14ac:dyDescent="0.25">
      <c r="B245" s="1">
        <f t="shared" si="20"/>
        <v>231</v>
      </c>
      <c r="C245" s="3">
        <f t="shared" si="23"/>
        <v>70</v>
      </c>
      <c r="D245" s="3">
        <f t="shared" si="24"/>
        <v>100</v>
      </c>
      <c r="E245" s="1" t="str">
        <f t="shared" ca="1" si="21"/>
        <v>Fold</v>
      </c>
      <c r="F245" s="4">
        <f t="shared" ca="1" si="22"/>
        <v>100</v>
      </c>
      <c r="G245" s="4">
        <f ca="1">SUM(F$15:F245)</f>
        <v>3550</v>
      </c>
      <c r="H245" s="6">
        <f t="shared" ca="1" si="25"/>
        <v>0.25705240090620041</v>
      </c>
    </row>
    <row r="246" spans="2:8" x14ac:dyDescent="0.25">
      <c r="B246" s="1">
        <f t="shared" si="20"/>
        <v>232</v>
      </c>
      <c r="C246" s="3">
        <f t="shared" si="23"/>
        <v>70</v>
      </c>
      <c r="D246" s="3">
        <f t="shared" si="24"/>
        <v>100</v>
      </c>
      <c r="E246" s="1" t="str">
        <f t="shared" ca="1" si="21"/>
        <v>Call</v>
      </c>
      <c r="F246" s="4">
        <f t="shared" ca="1" si="22"/>
        <v>-70</v>
      </c>
      <c r="G246" s="4">
        <f ca="1">SUM(F$15:F246)</f>
        <v>3480</v>
      </c>
      <c r="H246" s="6">
        <f t="shared" ca="1" si="25"/>
        <v>0.71439836157019498</v>
      </c>
    </row>
    <row r="247" spans="2:8" x14ac:dyDescent="0.25">
      <c r="B247" s="1">
        <f t="shared" si="20"/>
        <v>233</v>
      </c>
      <c r="C247" s="3">
        <f t="shared" si="23"/>
        <v>70</v>
      </c>
      <c r="D247" s="3">
        <f t="shared" si="24"/>
        <v>100</v>
      </c>
      <c r="E247" s="1" t="str">
        <f t="shared" ca="1" si="21"/>
        <v>Fold</v>
      </c>
      <c r="F247" s="4">
        <f t="shared" ca="1" si="22"/>
        <v>100</v>
      </c>
      <c r="G247" s="4">
        <f ca="1">SUM(F$15:F247)</f>
        <v>3580</v>
      </c>
      <c r="H247" s="6">
        <f t="shared" ca="1" si="25"/>
        <v>0.20280197721256654</v>
      </c>
    </row>
    <row r="248" spans="2:8" x14ac:dyDescent="0.25">
      <c r="B248" s="1">
        <f t="shared" si="20"/>
        <v>234</v>
      </c>
      <c r="C248" s="3">
        <f t="shared" si="23"/>
        <v>70</v>
      </c>
      <c r="D248" s="3">
        <f t="shared" si="24"/>
        <v>100</v>
      </c>
      <c r="E248" s="1" t="str">
        <f t="shared" ca="1" si="21"/>
        <v>Fold</v>
      </c>
      <c r="F248" s="4">
        <f t="shared" ca="1" si="22"/>
        <v>100</v>
      </c>
      <c r="G248" s="4">
        <f ca="1">SUM(F$15:F248)</f>
        <v>3680</v>
      </c>
      <c r="H248" s="6">
        <f t="shared" ca="1" si="25"/>
        <v>0.42051317052452886</v>
      </c>
    </row>
    <row r="249" spans="2:8" x14ac:dyDescent="0.25">
      <c r="B249" s="1">
        <f t="shared" si="20"/>
        <v>235</v>
      </c>
      <c r="C249" s="3">
        <f t="shared" si="23"/>
        <v>70</v>
      </c>
      <c r="D249" s="3">
        <f t="shared" si="24"/>
        <v>100</v>
      </c>
      <c r="E249" s="1" t="str">
        <f t="shared" ca="1" si="21"/>
        <v>Call</v>
      </c>
      <c r="F249" s="4">
        <f t="shared" ca="1" si="22"/>
        <v>-70</v>
      </c>
      <c r="G249" s="4">
        <f ca="1">SUM(F$15:F249)</f>
        <v>3610</v>
      </c>
      <c r="H249" s="6">
        <f t="shared" ca="1" si="25"/>
        <v>0.8894317244586567</v>
      </c>
    </row>
    <row r="250" spans="2:8" x14ac:dyDescent="0.25">
      <c r="B250" s="1">
        <f t="shared" si="20"/>
        <v>236</v>
      </c>
      <c r="C250" s="3">
        <f t="shared" si="23"/>
        <v>70</v>
      </c>
      <c r="D250" s="3">
        <f t="shared" si="24"/>
        <v>100</v>
      </c>
      <c r="E250" s="1" t="str">
        <f t="shared" ca="1" si="21"/>
        <v>Call</v>
      </c>
      <c r="F250" s="4">
        <f t="shared" ca="1" si="22"/>
        <v>-70</v>
      </c>
      <c r="G250" s="4">
        <f ca="1">SUM(F$15:F250)</f>
        <v>3540</v>
      </c>
      <c r="H250" s="6">
        <f t="shared" ca="1" si="25"/>
        <v>0.76962454027335603</v>
      </c>
    </row>
    <row r="251" spans="2:8" x14ac:dyDescent="0.25">
      <c r="B251" s="1">
        <f t="shared" si="20"/>
        <v>237</v>
      </c>
      <c r="C251" s="3">
        <f t="shared" si="23"/>
        <v>70</v>
      </c>
      <c r="D251" s="3">
        <f t="shared" si="24"/>
        <v>100</v>
      </c>
      <c r="E251" s="1" t="str">
        <f t="shared" ca="1" si="21"/>
        <v>Call</v>
      </c>
      <c r="F251" s="4">
        <f t="shared" ca="1" si="22"/>
        <v>-70</v>
      </c>
      <c r="G251" s="4">
        <f ca="1">SUM(F$15:F251)</f>
        <v>3470</v>
      </c>
      <c r="H251" s="6">
        <f t="shared" ca="1" si="25"/>
        <v>0.73568696348911999</v>
      </c>
    </row>
    <row r="252" spans="2:8" x14ac:dyDescent="0.25">
      <c r="B252" s="1">
        <f t="shared" si="20"/>
        <v>238</v>
      </c>
      <c r="C252" s="3">
        <f t="shared" si="23"/>
        <v>70</v>
      </c>
      <c r="D252" s="3">
        <f t="shared" si="24"/>
        <v>100</v>
      </c>
      <c r="E252" s="1" t="str">
        <f t="shared" ca="1" si="21"/>
        <v>Fold</v>
      </c>
      <c r="F252" s="4">
        <f t="shared" ca="1" si="22"/>
        <v>100</v>
      </c>
      <c r="G252" s="4">
        <f ca="1">SUM(F$15:F252)</f>
        <v>3570</v>
      </c>
      <c r="H252" s="6">
        <f t="shared" ca="1" si="25"/>
        <v>0.40419264201183525</v>
      </c>
    </row>
    <row r="253" spans="2:8" x14ac:dyDescent="0.25">
      <c r="B253" s="1">
        <f t="shared" si="20"/>
        <v>239</v>
      </c>
      <c r="C253" s="3">
        <f t="shared" si="23"/>
        <v>70</v>
      </c>
      <c r="D253" s="3">
        <f t="shared" si="24"/>
        <v>100</v>
      </c>
      <c r="E253" s="1" t="str">
        <f t="shared" ca="1" si="21"/>
        <v>Fold</v>
      </c>
      <c r="F253" s="4">
        <f t="shared" ca="1" si="22"/>
        <v>100</v>
      </c>
      <c r="G253" s="4">
        <f ca="1">SUM(F$15:F253)</f>
        <v>3670</v>
      </c>
      <c r="H253" s="6">
        <f t="shared" ca="1" si="25"/>
        <v>0.22489295234977569</v>
      </c>
    </row>
    <row r="254" spans="2:8" x14ac:dyDescent="0.25">
      <c r="B254" s="1">
        <f t="shared" si="20"/>
        <v>240</v>
      </c>
      <c r="C254" s="3">
        <f t="shared" si="23"/>
        <v>70</v>
      </c>
      <c r="D254" s="3">
        <f t="shared" si="24"/>
        <v>100</v>
      </c>
      <c r="E254" s="1" t="str">
        <f t="shared" ca="1" si="21"/>
        <v>Fold</v>
      </c>
      <c r="F254" s="4">
        <f t="shared" ca="1" si="22"/>
        <v>100</v>
      </c>
      <c r="G254" s="4">
        <f ca="1">SUM(F$15:F254)</f>
        <v>3770</v>
      </c>
      <c r="H254" s="6">
        <f t="shared" ca="1" si="25"/>
        <v>0.24492742205287654</v>
      </c>
    </row>
    <row r="255" spans="2:8" x14ac:dyDescent="0.25">
      <c r="B255" s="1">
        <f t="shared" ref="B255:B318" si="26">B254+1</f>
        <v>241</v>
      </c>
      <c r="C255" s="3">
        <f t="shared" si="23"/>
        <v>70</v>
      </c>
      <c r="D255" s="3">
        <f t="shared" si="24"/>
        <v>100</v>
      </c>
      <c r="E255" s="1" t="str">
        <f t="shared" ca="1" si="21"/>
        <v>Fold</v>
      </c>
      <c r="F255" s="4">
        <f t="shared" ca="1" si="22"/>
        <v>100</v>
      </c>
      <c r="G255" s="4">
        <f ca="1">SUM(F$15:F255)</f>
        <v>3870</v>
      </c>
      <c r="H255" s="6">
        <f t="shared" ca="1" si="25"/>
        <v>0.48070718225376363</v>
      </c>
    </row>
    <row r="256" spans="2:8" x14ac:dyDescent="0.25">
      <c r="B256" s="1">
        <f t="shared" si="26"/>
        <v>242</v>
      </c>
      <c r="C256" s="3">
        <f t="shared" si="23"/>
        <v>70</v>
      </c>
      <c r="D256" s="3">
        <f t="shared" si="24"/>
        <v>100</v>
      </c>
      <c r="E256" s="1" t="str">
        <f t="shared" ca="1" si="21"/>
        <v>Fold</v>
      </c>
      <c r="F256" s="4">
        <f t="shared" ca="1" si="22"/>
        <v>100</v>
      </c>
      <c r="G256" s="4">
        <f ca="1">SUM(F$15:F256)</f>
        <v>3970</v>
      </c>
      <c r="H256" s="6">
        <f t="shared" ca="1" si="25"/>
        <v>0.27720180182324861</v>
      </c>
    </row>
    <row r="257" spans="2:8" x14ac:dyDescent="0.25">
      <c r="B257" s="1">
        <f t="shared" si="26"/>
        <v>243</v>
      </c>
      <c r="C257" s="3">
        <f t="shared" si="23"/>
        <v>70</v>
      </c>
      <c r="D257" s="3">
        <f t="shared" si="24"/>
        <v>100</v>
      </c>
      <c r="E257" s="1" t="str">
        <f t="shared" ca="1" si="21"/>
        <v>Call</v>
      </c>
      <c r="F257" s="4">
        <f t="shared" ca="1" si="22"/>
        <v>-70</v>
      </c>
      <c r="G257" s="4">
        <f ca="1">SUM(F$15:F257)</f>
        <v>3900</v>
      </c>
      <c r="H257" s="6">
        <f t="shared" ca="1" si="25"/>
        <v>0.94620823741512272</v>
      </c>
    </row>
    <row r="258" spans="2:8" x14ac:dyDescent="0.25">
      <c r="B258" s="1">
        <f t="shared" si="26"/>
        <v>244</v>
      </c>
      <c r="C258" s="3">
        <f t="shared" si="23"/>
        <v>70</v>
      </c>
      <c r="D258" s="3">
        <f t="shared" si="24"/>
        <v>100</v>
      </c>
      <c r="E258" s="1" t="str">
        <f t="shared" ca="1" si="21"/>
        <v>Call</v>
      </c>
      <c r="F258" s="4">
        <f t="shared" ca="1" si="22"/>
        <v>-70</v>
      </c>
      <c r="G258" s="4">
        <f ca="1">SUM(F$15:F258)</f>
        <v>3830</v>
      </c>
      <c r="H258" s="6">
        <f t="shared" ca="1" si="25"/>
        <v>0.70040226765512203</v>
      </c>
    </row>
    <row r="259" spans="2:8" x14ac:dyDescent="0.25">
      <c r="B259" s="1">
        <f t="shared" si="26"/>
        <v>245</v>
      </c>
      <c r="C259" s="3">
        <f t="shared" si="23"/>
        <v>70</v>
      </c>
      <c r="D259" s="3">
        <f t="shared" si="24"/>
        <v>100</v>
      </c>
      <c r="E259" s="1" t="str">
        <f t="shared" ca="1" si="21"/>
        <v>Call</v>
      </c>
      <c r="F259" s="4">
        <f t="shared" ca="1" si="22"/>
        <v>-70</v>
      </c>
      <c r="G259" s="4">
        <f ca="1">SUM(F$15:F259)</f>
        <v>3760</v>
      </c>
      <c r="H259" s="6">
        <f t="shared" ca="1" si="25"/>
        <v>0.55303549565541732</v>
      </c>
    </row>
    <row r="260" spans="2:8" x14ac:dyDescent="0.25">
      <c r="B260" s="1">
        <f t="shared" si="26"/>
        <v>246</v>
      </c>
      <c r="C260" s="3">
        <f t="shared" si="23"/>
        <v>70</v>
      </c>
      <c r="D260" s="3">
        <f t="shared" si="24"/>
        <v>100</v>
      </c>
      <c r="E260" s="1" t="str">
        <f t="shared" ca="1" si="21"/>
        <v>Fold</v>
      </c>
      <c r="F260" s="4">
        <f t="shared" ca="1" si="22"/>
        <v>100</v>
      </c>
      <c r="G260" s="4">
        <f ca="1">SUM(F$15:F260)</f>
        <v>3860</v>
      </c>
      <c r="H260" s="6">
        <f t="shared" ca="1" si="25"/>
        <v>0.18622088434922457</v>
      </c>
    </row>
    <row r="261" spans="2:8" x14ac:dyDescent="0.25">
      <c r="B261" s="1">
        <f t="shared" si="26"/>
        <v>247</v>
      </c>
      <c r="C261" s="3">
        <f t="shared" si="23"/>
        <v>70</v>
      </c>
      <c r="D261" s="3">
        <f t="shared" si="24"/>
        <v>100</v>
      </c>
      <c r="E261" s="1" t="str">
        <f t="shared" ca="1" si="21"/>
        <v>Call</v>
      </c>
      <c r="F261" s="4">
        <f t="shared" ca="1" si="22"/>
        <v>-70</v>
      </c>
      <c r="G261" s="4">
        <f ca="1">SUM(F$15:F261)</f>
        <v>3790</v>
      </c>
      <c r="H261" s="6">
        <f t="shared" ca="1" si="25"/>
        <v>0.9876914921617862</v>
      </c>
    </row>
    <row r="262" spans="2:8" x14ac:dyDescent="0.25">
      <c r="B262" s="1">
        <f t="shared" si="26"/>
        <v>248</v>
      </c>
      <c r="C262" s="3">
        <f t="shared" si="23"/>
        <v>70</v>
      </c>
      <c r="D262" s="3">
        <f t="shared" si="24"/>
        <v>100</v>
      </c>
      <c r="E262" s="1" t="str">
        <f t="shared" ca="1" si="21"/>
        <v>Fold</v>
      </c>
      <c r="F262" s="4">
        <f t="shared" ca="1" si="22"/>
        <v>100</v>
      </c>
      <c r="G262" s="4">
        <f ca="1">SUM(F$15:F262)</f>
        <v>3890</v>
      </c>
      <c r="H262" s="6">
        <f t="shared" ca="1" si="25"/>
        <v>0.43587257164447923</v>
      </c>
    </row>
    <row r="263" spans="2:8" x14ac:dyDescent="0.25">
      <c r="B263" s="1">
        <f t="shared" si="26"/>
        <v>249</v>
      </c>
      <c r="C263" s="3">
        <f t="shared" si="23"/>
        <v>70</v>
      </c>
      <c r="D263" s="3">
        <f t="shared" si="24"/>
        <v>100</v>
      </c>
      <c r="E263" s="1" t="str">
        <f t="shared" ca="1" si="21"/>
        <v>Call</v>
      </c>
      <c r="F263" s="4">
        <f t="shared" ca="1" si="22"/>
        <v>-70</v>
      </c>
      <c r="G263" s="4">
        <f ca="1">SUM(F$15:F263)</f>
        <v>3820</v>
      </c>
      <c r="H263" s="6">
        <f t="shared" ca="1" si="25"/>
        <v>0.85804643991369933</v>
      </c>
    </row>
    <row r="264" spans="2:8" x14ac:dyDescent="0.25">
      <c r="B264" s="1">
        <f t="shared" si="26"/>
        <v>250</v>
      </c>
      <c r="C264" s="3">
        <f t="shared" si="23"/>
        <v>70</v>
      </c>
      <c r="D264" s="3">
        <f t="shared" si="24"/>
        <v>100</v>
      </c>
      <c r="E264" s="1" t="str">
        <f t="shared" ca="1" si="21"/>
        <v>Call</v>
      </c>
      <c r="F264" s="4">
        <f t="shared" ca="1" si="22"/>
        <v>-70</v>
      </c>
      <c r="G264" s="4">
        <f ca="1">SUM(F$15:F264)</f>
        <v>3750</v>
      </c>
      <c r="H264" s="6">
        <f t="shared" ca="1" si="25"/>
        <v>0.90745565965214103</v>
      </c>
    </row>
    <row r="265" spans="2:8" x14ac:dyDescent="0.25">
      <c r="B265" s="1">
        <f t="shared" si="26"/>
        <v>251</v>
      </c>
      <c r="C265" s="3">
        <f t="shared" si="23"/>
        <v>70</v>
      </c>
      <c r="D265" s="3">
        <f t="shared" si="24"/>
        <v>100</v>
      </c>
      <c r="E265" s="1" t="str">
        <f t="shared" ca="1" si="21"/>
        <v>Fold</v>
      </c>
      <c r="F265" s="4">
        <f t="shared" ca="1" si="22"/>
        <v>100</v>
      </c>
      <c r="G265" s="4">
        <f ca="1">SUM(F$15:F265)</f>
        <v>3850</v>
      </c>
      <c r="H265" s="6">
        <f t="shared" ca="1" si="25"/>
        <v>0.44511723915197876</v>
      </c>
    </row>
    <row r="266" spans="2:8" x14ac:dyDescent="0.25">
      <c r="B266" s="1">
        <f t="shared" si="26"/>
        <v>252</v>
      </c>
      <c r="C266" s="3">
        <f t="shared" si="23"/>
        <v>70</v>
      </c>
      <c r="D266" s="3">
        <f t="shared" si="24"/>
        <v>100</v>
      </c>
      <c r="E266" s="1" t="str">
        <f t="shared" ca="1" si="21"/>
        <v>Call</v>
      </c>
      <c r="F266" s="4">
        <f t="shared" ca="1" si="22"/>
        <v>-70</v>
      </c>
      <c r="G266" s="4">
        <f ca="1">SUM(F$15:F266)</f>
        <v>3780</v>
      </c>
      <c r="H266" s="6">
        <f t="shared" ca="1" si="25"/>
        <v>0.91294422157897559</v>
      </c>
    </row>
    <row r="267" spans="2:8" x14ac:dyDescent="0.25">
      <c r="B267" s="1">
        <f t="shared" si="26"/>
        <v>253</v>
      </c>
      <c r="C267" s="3">
        <f t="shared" si="23"/>
        <v>70</v>
      </c>
      <c r="D267" s="3">
        <f t="shared" si="24"/>
        <v>100</v>
      </c>
      <c r="E267" s="1" t="str">
        <f t="shared" ca="1" si="21"/>
        <v>Call</v>
      </c>
      <c r="F267" s="4">
        <f t="shared" ca="1" si="22"/>
        <v>-70</v>
      </c>
      <c r="G267" s="4">
        <f ca="1">SUM(F$15:F267)</f>
        <v>3710</v>
      </c>
      <c r="H267" s="6">
        <f t="shared" ca="1" si="25"/>
        <v>0.56648842639632002</v>
      </c>
    </row>
    <row r="268" spans="2:8" x14ac:dyDescent="0.25">
      <c r="B268" s="1">
        <f t="shared" si="26"/>
        <v>254</v>
      </c>
      <c r="C268" s="3">
        <f t="shared" si="23"/>
        <v>70</v>
      </c>
      <c r="D268" s="3">
        <f t="shared" si="24"/>
        <v>100</v>
      </c>
      <c r="E268" s="1" t="str">
        <f t="shared" ca="1" si="21"/>
        <v>Fold</v>
      </c>
      <c r="F268" s="4">
        <f t="shared" ca="1" si="22"/>
        <v>100</v>
      </c>
      <c r="G268" s="4">
        <f ca="1">SUM(F$15:F268)</f>
        <v>3810</v>
      </c>
      <c r="H268" s="6">
        <f t="shared" ca="1" si="25"/>
        <v>0.21955776670288607</v>
      </c>
    </row>
    <row r="269" spans="2:8" x14ac:dyDescent="0.25">
      <c r="B269" s="1">
        <f t="shared" si="26"/>
        <v>255</v>
      </c>
      <c r="C269" s="3">
        <f t="shared" si="23"/>
        <v>70</v>
      </c>
      <c r="D269" s="3">
        <f t="shared" si="24"/>
        <v>100</v>
      </c>
      <c r="E269" s="1" t="str">
        <f t="shared" ca="1" si="21"/>
        <v>Fold</v>
      </c>
      <c r="F269" s="4">
        <f t="shared" ca="1" si="22"/>
        <v>100</v>
      </c>
      <c r="G269" s="4">
        <f ca="1">SUM(F$15:F269)</f>
        <v>3910</v>
      </c>
      <c r="H269" s="6">
        <f t="shared" ca="1" si="25"/>
        <v>0.12470335783792075</v>
      </c>
    </row>
    <row r="270" spans="2:8" x14ac:dyDescent="0.25">
      <c r="B270" s="1">
        <f t="shared" si="26"/>
        <v>256</v>
      </c>
      <c r="C270" s="3">
        <f t="shared" si="23"/>
        <v>70</v>
      </c>
      <c r="D270" s="3">
        <f t="shared" si="24"/>
        <v>100</v>
      </c>
      <c r="E270" s="1" t="str">
        <f t="shared" ca="1" si="21"/>
        <v>Fold</v>
      </c>
      <c r="F270" s="4">
        <f t="shared" ca="1" si="22"/>
        <v>100</v>
      </c>
      <c r="G270" s="4">
        <f ca="1">SUM(F$15:F270)</f>
        <v>4010</v>
      </c>
      <c r="H270" s="6">
        <f t="shared" ca="1" si="25"/>
        <v>0.34329804498427019</v>
      </c>
    </row>
    <row r="271" spans="2:8" x14ac:dyDescent="0.25">
      <c r="B271" s="1">
        <f t="shared" si="26"/>
        <v>257</v>
      </c>
      <c r="C271" s="3">
        <f t="shared" si="23"/>
        <v>70</v>
      </c>
      <c r="D271" s="3">
        <f t="shared" si="24"/>
        <v>100</v>
      </c>
      <c r="E271" s="1" t="str">
        <f t="shared" ref="E271:E334" ca="1" si="27">IF(H271&lt;$D$3,"Fold","Call")</f>
        <v>Call</v>
      </c>
      <c r="F271" s="4">
        <f t="shared" ca="1" si="22"/>
        <v>-70</v>
      </c>
      <c r="G271" s="4">
        <f ca="1">SUM(F$15:F271)</f>
        <v>3940</v>
      </c>
      <c r="H271" s="6">
        <f t="shared" ca="1" si="25"/>
        <v>0.9866117126388062</v>
      </c>
    </row>
    <row r="272" spans="2:8" x14ac:dyDescent="0.25">
      <c r="B272" s="1">
        <f t="shared" si="26"/>
        <v>258</v>
      </c>
      <c r="C272" s="3">
        <f t="shared" si="23"/>
        <v>70</v>
      </c>
      <c r="D272" s="3">
        <f t="shared" si="24"/>
        <v>100</v>
      </c>
      <c r="E272" s="1" t="str">
        <f t="shared" ca="1" si="27"/>
        <v>Call</v>
      </c>
      <c r="F272" s="4">
        <f t="shared" ref="F272:F335" ca="1" si="28">IF(E272="Fold",D272,-C272)</f>
        <v>-70</v>
      </c>
      <c r="G272" s="4">
        <f ca="1">SUM(F$15:F272)</f>
        <v>3870</v>
      </c>
      <c r="H272" s="6">
        <f t="shared" ca="1" si="25"/>
        <v>0.7098805528442691</v>
      </c>
    </row>
    <row r="273" spans="2:8" x14ac:dyDescent="0.25">
      <c r="B273" s="1">
        <f t="shared" si="26"/>
        <v>259</v>
      </c>
      <c r="C273" s="3">
        <f t="shared" ref="C273:C336" si="29">C272</f>
        <v>70</v>
      </c>
      <c r="D273" s="3">
        <f t="shared" ref="D273:D336" si="30">D272</f>
        <v>100</v>
      </c>
      <c r="E273" s="1" t="str">
        <f t="shared" ca="1" si="27"/>
        <v>Call</v>
      </c>
      <c r="F273" s="4">
        <f t="shared" ca="1" si="28"/>
        <v>-70</v>
      </c>
      <c r="G273" s="4">
        <f ca="1">SUM(F$15:F273)</f>
        <v>3800</v>
      </c>
      <c r="H273" s="6">
        <f t="shared" ca="1" si="25"/>
        <v>0.85520738473371982</v>
      </c>
    </row>
    <row r="274" spans="2:8" x14ac:dyDescent="0.25">
      <c r="B274" s="1">
        <f t="shared" si="26"/>
        <v>260</v>
      </c>
      <c r="C274" s="3">
        <f t="shared" si="29"/>
        <v>70</v>
      </c>
      <c r="D274" s="3">
        <f t="shared" si="30"/>
        <v>100</v>
      </c>
      <c r="E274" s="1" t="str">
        <f t="shared" ca="1" si="27"/>
        <v>Fold</v>
      </c>
      <c r="F274" s="4">
        <f t="shared" ca="1" si="28"/>
        <v>100</v>
      </c>
      <c r="G274" s="4">
        <f ca="1">SUM(F$15:F274)</f>
        <v>3900</v>
      </c>
      <c r="H274" s="6">
        <f t="shared" ca="1" si="25"/>
        <v>0.16238936324169195</v>
      </c>
    </row>
    <row r="275" spans="2:8" x14ac:dyDescent="0.25">
      <c r="B275" s="1">
        <f t="shared" si="26"/>
        <v>261</v>
      </c>
      <c r="C275" s="3">
        <f t="shared" si="29"/>
        <v>70</v>
      </c>
      <c r="D275" s="3">
        <f t="shared" si="30"/>
        <v>100</v>
      </c>
      <c r="E275" s="1" t="str">
        <f t="shared" ca="1" si="27"/>
        <v>Fold</v>
      </c>
      <c r="F275" s="4">
        <f t="shared" ca="1" si="28"/>
        <v>100</v>
      </c>
      <c r="G275" s="4">
        <f ca="1">SUM(F$15:F275)</f>
        <v>4000</v>
      </c>
      <c r="H275" s="6">
        <f t="shared" ca="1" si="25"/>
        <v>0.12574417313447506</v>
      </c>
    </row>
    <row r="276" spans="2:8" x14ac:dyDescent="0.25">
      <c r="B276" s="1">
        <f t="shared" si="26"/>
        <v>262</v>
      </c>
      <c r="C276" s="3">
        <f t="shared" si="29"/>
        <v>70</v>
      </c>
      <c r="D276" s="3">
        <f t="shared" si="30"/>
        <v>100</v>
      </c>
      <c r="E276" s="1" t="str">
        <f t="shared" ca="1" si="27"/>
        <v>Fold</v>
      </c>
      <c r="F276" s="4">
        <f t="shared" ca="1" si="28"/>
        <v>100</v>
      </c>
      <c r="G276" s="4">
        <f ca="1">SUM(F$15:F276)</f>
        <v>4100</v>
      </c>
      <c r="H276" s="6">
        <f t="shared" ca="1" si="25"/>
        <v>0.17828299989890173</v>
      </c>
    </row>
    <row r="277" spans="2:8" x14ac:dyDescent="0.25">
      <c r="B277" s="1">
        <f t="shared" si="26"/>
        <v>263</v>
      </c>
      <c r="C277" s="3">
        <f t="shared" si="29"/>
        <v>70</v>
      </c>
      <c r="D277" s="3">
        <f t="shared" si="30"/>
        <v>100</v>
      </c>
      <c r="E277" s="1" t="str">
        <f t="shared" ca="1" si="27"/>
        <v>Fold</v>
      </c>
      <c r="F277" s="4">
        <f t="shared" ca="1" si="28"/>
        <v>100</v>
      </c>
      <c r="G277" s="4">
        <f ca="1">SUM(F$15:F277)</f>
        <v>4200</v>
      </c>
      <c r="H277" s="6">
        <f t="shared" ca="1" si="25"/>
        <v>0.1149649173709697</v>
      </c>
    </row>
    <row r="278" spans="2:8" x14ac:dyDescent="0.25">
      <c r="B278" s="1">
        <f t="shared" si="26"/>
        <v>264</v>
      </c>
      <c r="C278" s="3">
        <f t="shared" si="29"/>
        <v>70</v>
      </c>
      <c r="D278" s="3">
        <f t="shared" si="30"/>
        <v>100</v>
      </c>
      <c r="E278" s="1" t="str">
        <f t="shared" ca="1" si="27"/>
        <v>Fold</v>
      </c>
      <c r="F278" s="4">
        <f t="shared" ca="1" si="28"/>
        <v>100</v>
      </c>
      <c r="G278" s="4">
        <f ca="1">SUM(F$15:F278)</f>
        <v>4300</v>
      </c>
      <c r="H278" s="6">
        <f t="shared" ca="1" si="25"/>
        <v>0.34413545022161907</v>
      </c>
    </row>
    <row r="279" spans="2:8" x14ac:dyDescent="0.25">
      <c r="B279" s="1">
        <f t="shared" si="26"/>
        <v>265</v>
      </c>
      <c r="C279" s="3">
        <f t="shared" si="29"/>
        <v>70</v>
      </c>
      <c r="D279" s="3">
        <f t="shared" si="30"/>
        <v>100</v>
      </c>
      <c r="E279" s="1" t="str">
        <f t="shared" ca="1" si="27"/>
        <v>Call</v>
      </c>
      <c r="F279" s="4">
        <f t="shared" ca="1" si="28"/>
        <v>-70</v>
      </c>
      <c r="G279" s="4">
        <f ca="1">SUM(F$15:F279)</f>
        <v>4230</v>
      </c>
      <c r="H279" s="6">
        <f t="shared" ca="1" si="25"/>
        <v>0.78904214079035462</v>
      </c>
    </row>
    <row r="280" spans="2:8" x14ac:dyDescent="0.25">
      <c r="B280" s="1">
        <f t="shared" si="26"/>
        <v>266</v>
      </c>
      <c r="C280" s="3">
        <f t="shared" si="29"/>
        <v>70</v>
      </c>
      <c r="D280" s="3">
        <f t="shared" si="30"/>
        <v>100</v>
      </c>
      <c r="E280" s="1" t="str">
        <f t="shared" ca="1" si="27"/>
        <v>Call</v>
      </c>
      <c r="F280" s="4">
        <f t="shared" ca="1" si="28"/>
        <v>-70</v>
      </c>
      <c r="G280" s="4">
        <f ca="1">SUM(F$15:F280)</f>
        <v>4160</v>
      </c>
      <c r="H280" s="6">
        <f t="shared" ca="1" si="25"/>
        <v>0.68700008856437067</v>
      </c>
    </row>
    <row r="281" spans="2:8" x14ac:dyDescent="0.25">
      <c r="B281" s="1">
        <f t="shared" si="26"/>
        <v>267</v>
      </c>
      <c r="C281" s="3">
        <f t="shared" si="29"/>
        <v>70</v>
      </c>
      <c r="D281" s="3">
        <f t="shared" si="30"/>
        <v>100</v>
      </c>
      <c r="E281" s="1" t="str">
        <f t="shared" ca="1" si="27"/>
        <v>Call</v>
      </c>
      <c r="F281" s="4">
        <f t="shared" ca="1" si="28"/>
        <v>-70</v>
      </c>
      <c r="G281" s="4">
        <f ca="1">SUM(F$15:F281)</f>
        <v>4090</v>
      </c>
      <c r="H281" s="6">
        <f t="shared" ca="1" si="25"/>
        <v>0.50253982021563459</v>
      </c>
    </row>
    <row r="282" spans="2:8" x14ac:dyDescent="0.25">
      <c r="B282" s="1">
        <f t="shared" si="26"/>
        <v>268</v>
      </c>
      <c r="C282" s="3">
        <f t="shared" si="29"/>
        <v>70</v>
      </c>
      <c r="D282" s="3">
        <f t="shared" si="30"/>
        <v>100</v>
      </c>
      <c r="E282" s="1" t="str">
        <f t="shared" ca="1" si="27"/>
        <v>Fold</v>
      </c>
      <c r="F282" s="4">
        <f t="shared" ca="1" si="28"/>
        <v>100</v>
      </c>
      <c r="G282" s="4">
        <f ca="1">SUM(F$15:F282)</f>
        <v>4190</v>
      </c>
      <c r="H282" s="6">
        <f t="shared" ca="1" si="25"/>
        <v>0.40631310046002966</v>
      </c>
    </row>
    <row r="283" spans="2:8" x14ac:dyDescent="0.25">
      <c r="B283" s="1">
        <f t="shared" si="26"/>
        <v>269</v>
      </c>
      <c r="C283" s="3">
        <f t="shared" si="29"/>
        <v>70</v>
      </c>
      <c r="D283" s="3">
        <f t="shared" si="30"/>
        <v>100</v>
      </c>
      <c r="E283" s="1" t="str">
        <f t="shared" ca="1" si="27"/>
        <v>Call</v>
      </c>
      <c r="F283" s="4">
        <f t="shared" ca="1" si="28"/>
        <v>-70</v>
      </c>
      <c r="G283" s="4">
        <f ca="1">SUM(F$15:F283)</f>
        <v>4120</v>
      </c>
      <c r="H283" s="6">
        <f t="shared" ca="1" si="25"/>
        <v>0.72222818541389677</v>
      </c>
    </row>
    <row r="284" spans="2:8" x14ac:dyDescent="0.25">
      <c r="B284" s="1">
        <f t="shared" si="26"/>
        <v>270</v>
      </c>
      <c r="C284" s="3">
        <f t="shared" si="29"/>
        <v>70</v>
      </c>
      <c r="D284" s="3">
        <f t="shared" si="30"/>
        <v>100</v>
      </c>
      <c r="E284" s="1" t="str">
        <f t="shared" ca="1" si="27"/>
        <v>Fold</v>
      </c>
      <c r="F284" s="4">
        <f t="shared" ca="1" si="28"/>
        <v>100</v>
      </c>
      <c r="G284" s="4">
        <f ca="1">SUM(F$15:F284)</f>
        <v>4220</v>
      </c>
      <c r="H284" s="6">
        <f t="shared" ca="1" si="25"/>
        <v>0.31581271735610927</v>
      </c>
    </row>
    <row r="285" spans="2:8" x14ac:dyDescent="0.25">
      <c r="B285" s="1">
        <f t="shared" si="26"/>
        <v>271</v>
      </c>
      <c r="C285" s="3">
        <f t="shared" si="29"/>
        <v>70</v>
      </c>
      <c r="D285" s="3">
        <f t="shared" si="30"/>
        <v>100</v>
      </c>
      <c r="E285" s="1" t="str">
        <f t="shared" ca="1" si="27"/>
        <v>Fold</v>
      </c>
      <c r="F285" s="4">
        <f t="shared" ca="1" si="28"/>
        <v>100</v>
      </c>
      <c r="G285" s="4">
        <f ca="1">SUM(F$15:F285)</f>
        <v>4320</v>
      </c>
      <c r="H285" s="6">
        <f t="shared" ca="1" si="25"/>
        <v>0.29855391537664089</v>
      </c>
    </row>
    <row r="286" spans="2:8" x14ac:dyDescent="0.25">
      <c r="B286" s="1">
        <f t="shared" si="26"/>
        <v>272</v>
      </c>
      <c r="C286" s="3">
        <f t="shared" si="29"/>
        <v>70</v>
      </c>
      <c r="D286" s="3">
        <f t="shared" si="30"/>
        <v>100</v>
      </c>
      <c r="E286" s="1" t="str">
        <f t="shared" ca="1" si="27"/>
        <v>Fold</v>
      </c>
      <c r="F286" s="4">
        <f t="shared" ca="1" si="28"/>
        <v>100</v>
      </c>
      <c r="G286" s="4">
        <f ca="1">SUM(F$15:F286)</f>
        <v>4420</v>
      </c>
      <c r="H286" s="6">
        <f t="shared" ref="H286:H349" ca="1" si="31">RAND()</f>
        <v>0.12910943442612188</v>
      </c>
    </row>
    <row r="287" spans="2:8" x14ac:dyDescent="0.25">
      <c r="B287" s="1">
        <f t="shared" si="26"/>
        <v>273</v>
      </c>
      <c r="C287" s="3">
        <f t="shared" si="29"/>
        <v>70</v>
      </c>
      <c r="D287" s="3">
        <f t="shared" si="30"/>
        <v>100</v>
      </c>
      <c r="E287" s="1" t="str">
        <f t="shared" ca="1" si="27"/>
        <v>Fold</v>
      </c>
      <c r="F287" s="4">
        <f t="shared" ca="1" si="28"/>
        <v>100</v>
      </c>
      <c r="G287" s="4">
        <f ca="1">SUM(F$15:F287)</f>
        <v>4520</v>
      </c>
      <c r="H287" s="6">
        <f t="shared" ca="1" si="31"/>
        <v>0.25334065893334912</v>
      </c>
    </row>
    <row r="288" spans="2:8" x14ac:dyDescent="0.25">
      <c r="B288" s="1">
        <f t="shared" si="26"/>
        <v>274</v>
      </c>
      <c r="C288" s="3">
        <f t="shared" si="29"/>
        <v>70</v>
      </c>
      <c r="D288" s="3">
        <f t="shared" si="30"/>
        <v>100</v>
      </c>
      <c r="E288" s="1" t="str">
        <f t="shared" ca="1" si="27"/>
        <v>Call</v>
      </c>
      <c r="F288" s="4">
        <f t="shared" ca="1" si="28"/>
        <v>-70</v>
      </c>
      <c r="G288" s="4">
        <f ca="1">SUM(F$15:F288)</f>
        <v>4450</v>
      </c>
      <c r="H288" s="6">
        <f t="shared" ca="1" si="31"/>
        <v>0.85274878431953149</v>
      </c>
    </row>
    <row r="289" spans="2:8" x14ac:dyDescent="0.25">
      <c r="B289" s="1">
        <f t="shared" si="26"/>
        <v>275</v>
      </c>
      <c r="C289" s="3">
        <f t="shared" si="29"/>
        <v>70</v>
      </c>
      <c r="D289" s="3">
        <f t="shared" si="30"/>
        <v>100</v>
      </c>
      <c r="E289" s="1" t="str">
        <f t="shared" ca="1" si="27"/>
        <v>Call</v>
      </c>
      <c r="F289" s="4">
        <f t="shared" ca="1" si="28"/>
        <v>-70</v>
      </c>
      <c r="G289" s="4">
        <f ca="1">SUM(F$15:F289)</f>
        <v>4380</v>
      </c>
      <c r="H289" s="6">
        <f t="shared" ca="1" si="31"/>
        <v>0.50907630925735481</v>
      </c>
    </row>
    <row r="290" spans="2:8" x14ac:dyDescent="0.25">
      <c r="B290" s="1">
        <f t="shared" si="26"/>
        <v>276</v>
      </c>
      <c r="C290" s="3">
        <f t="shared" si="29"/>
        <v>70</v>
      </c>
      <c r="D290" s="3">
        <f t="shared" si="30"/>
        <v>100</v>
      </c>
      <c r="E290" s="1" t="str">
        <f t="shared" ca="1" si="27"/>
        <v>Call</v>
      </c>
      <c r="F290" s="4">
        <f t="shared" ca="1" si="28"/>
        <v>-70</v>
      </c>
      <c r="G290" s="4">
        <f ca="1">SUM(F$15:F290)</f>
        <v>4310</v>
      </c>
      <c r="H290" s="6">
        <f t="shared" ca="1" si="31"/>
        <v>0.56467014590416487</v>
      </c>
    </row>
    <row r="291" spans="2:8" x14ac:dyDescent="0.25">
      <c r="B291" s="1">
        <f t="shared" si="26"/>
        <v>277</v>
      </c>
      <c r="C291" s="3">
        <f t="shared" si="29"/>
        <v>70</v>
      </c>
      <c r="D291" s="3">
        <f t="shared" si="30"/>
        <v>100</v>
      </c>
      <c r="E291" s="1" t="str">
        <f t="shared" ca="1" si="27"/>
        <v>Fold</v>
      </c>
      <c r="F291" s="4">
        <f t="shared" ca="1" si="28"/>
        <v>100</v>
      </c>
      <c r="G291" s="4">
        <f ca="1">SUM(F$15:F291)</f>
        <v>4410</v>
      </c>
      <c r="H291" s="6">
        <f t="shared" ca="1" si="31"/>
        <v>0.21078449621697948</v>
      </c>
    </row>
    <row r="292" spans="2:8" x14ac:dyDescent="0.25">
      <c r="B292" s="1">
        <f t="shared" si="26"/>
        <v>278</v>
      </c>
      <c r="C292" s="3">
        <f t="shared" si="29"/>
        <v>70</v>
      </c>
      <c r="D292" s="3">
        <f t="shared" si="30"/>
        <v>100</v>
      </c>
      <c r="E292" s="1" t="str">
        <f t="shared" ca="1" si="27"/>
        <v>Fold</v>
      </c>
      <c r="F292" s="4">
        <f t="shared" ca="1" si="28"/>
        <v>100</v>
      </c>
      <c r="G292" s="4">
        <f ca="1">SUM(F$15:F292)</f>
        <v>4510</v>
      </c>
      <c r="H292" s="6">
        <f t="shared" ca="1" si="31"/>
        <v>0.40925315657198247</v>
      </c>
    </row>
    <row r="293" spans="2:8" x14ac:dyDescent="0.25">
      <c r="B293" s="1">
        <f t="shared" si="26"/>
        <v>279</v>
      </c>
      <c r="C293" s="3">
        <f t="shared" si="29"/>
        <v>70</v>
      </c>
      <c r="D293" s="3">
        <f t="shared" si="30"/>
        <v>100</v>
      </c>
      <c r="E293" s="1" t="str">
        <f t="shared" ca="1" si="27"/>
        <v>Fold</v>
      </c>
      <c r="F293" s="4">
        <f t="shared" ca="1" si="28"/>
        <v>100</v>
      </c>
      <c r="G293" s="4">
        <f ca="1">SUM(F$15:F293)</f>
        <v>4610</v>
      </c>
      <c r="H293" s="6">
        <f t="shared" ca="1" si="31"/>
        <v>0.45761714003009257</v>
      </c>
    </row>
    <row r="294" spans="2:8" x14ac:dyDescent="0.25">
      <c r="B294" s="1">
        <f t="shared" si="26"/>
        <v>280</v>
      </c>
      <c r="C294" s="3">
        <f t="shared" si="29"/>
        <v>70</v>
      </c>
      <c r="D294" s="3">
        <f t="shared" si="30"/>
        <v>100</v>
      </c>
      <c r="E294" s="1" t="str">
        <f t="shared" ca="1" si="27"/>
        <v>Call</v>
      </c>
      <c r="F294" s="4">
        <f t="shared" ca="1" si="28"/>
        <v>-70</v>
      </c>
      <c r="G294" s="4">
        <f ca="1">SUM(F$15:F294)</f>
        <v>4540</v>
      </c>
      <c r="H294" s="6">
        <f t="shared" ca="1" si="31"/>
        <v>0.81871435614982002</v>
      </c>
    </row>
    <row r="295" spans="2:8" x14ac:dyDescent="0.25">
      <c r="B295" s="1">
        <f t="shared" si="26"/>
        <v>281</v>
      </c>
      <c r="C295" s="3">
        <f t="shared" si="29"/>
        <v>70</v>
      </c>
      <c r="D295" s="3">
        <f t="shared" si="30"/>
        <v>100</v>
      </c>
      <c r="E295" s="1" t="str">
        <f t="shared" ca="1" si="27"/>
        <v>Fold</v>
      </c>
      <c r="F295" s="4">
        <f t="shared" ca="1" si="28"/>
        <v>100</v>
      </c>
      <c r="G295" s="4">
        <f ca="1">SUM(F$15:F295)</f>
        <v>4640</v>
      </c>
      <c r="H295" s="6">
        <f t="shared" ca="1" si="31"/>
        <v>0.33275126139486566</v>
      </c>
    </row>
    <row r="296" spans="2:8" x14ac:dyDescent="0.25">
      <c r="B296" s="1">
        <f t="shared" si="26"/>
        <v>282</v>
      </c>
      <c r="C296" s="3">
        <f t="shared" si="29"/>
        <v>70</v>
      </c>
      <c r="D296" s="3">
        <f t="shared" si="30"/>
        <v>100</v>
      </c>
      <c r="E296" s="1" t="str">
        <f t="shared" ca="1" si="27"/>
        <v>Call</v>
      </c>
      <c r="F296" s="4">
        <f t="shared" ca="1" si="28"/>
        <v>-70</v>
      </c>
      <c r="G296" s="4">
        <f ca="1">SUM(F$15:F296)</f>
        <v>4570</v>
      </c>
      <c r="H296" s="6">
        <f t="shared" ca="1" si="31"/>
        <v>0.57266865433516001</v>
      </c>
    </row>
    <row r="297" spans="2:8" x14ac:dyDescent="0.25">
      <c r="B297" s="1">
        <f t="shared" si="26"/>
        <v>283</v>
      </c>
      <c r="C297" s="3">
        <f t="shared" si="29"/>
        <v>70</v>
      </c>
      <c r="D297" s="3">
        <f t="shared" si="30"/>
        <v>100</v>
      </c>
      <c r="E297" s="1" t="str">
        <f t="shared" ca="1" si="27"/>
        <v>Fold</v>
      </c>
      <c r="F297" s="4">
        <f t="shared" ca="1" si="28"/>
        <v>100</v>
      </c>
      <c r="G297" s="4">
        <f ca="1">SUM(F$15:F297)</f>
        <v>4670</v>
      </c>
      <c r="H297" s="6">
        <f t="shared" ca="1" si="31"/>
        <v>0.1211959470603543</v>
      </c>
    </row>
    <row r="298" spans="2:8" x14ac:dyDescent="0.25">
      <c r="B298" s="1">
        <f t="shared" si="26"/>
        <v>284</v>
      </c>
      <c r="C298" s="3">
        <f t="shared" si="29"/>
        <v>70</v>
      </c>
      <c r="D298" s="3">
        <f t="shared" si="30"/>
        <v>100</v>
      </c>
      <c r="E298" s="1" t="str">
        <f t="shared" ca="1" si="27"/>
        <v>Fold</v>
      </c>
      <c r="F298" s="4">
        <f t="shared" ca="1" si="28"/>
        <v>100</v>
      </c>
      <c r="G298" s="4">
        <f ca="1">SUM(F$15:F298)</f>
        <v>4770</v>
      </c>
      <c r="H298" s="6">
        <f t="shared" ca="1" si="31"/>
        <v>0.29792586070158023</v>
      </c>
    </row>
    <row r="299" spans="2:8" x14ac:dyDescent="0.25">
      <c r="B299" s="1">
        <f t="shared" si="26"/>
        <v>285</v>
      </c>
      <c r="C299" s="3">
        <f t="shared" si="29"/>
        <v>70</v>
      </c>
      <c r="D299" s="3">
        <f t="shared" si="30"/>
        <v>100</v>
      </c>
      <c r="E299" s="1" t="str">
        <f t="shared" ca="1" si="27"/>
        <v>Call</v>
      </c>
      <c r="F299" s="4">
        <f t="shared" ca="1" si="28"/>
        <v>-70</v>
      </c>
      <c r="G299" s="4">
        <f ca="1">SUM(F$15:F299)</f>
        <v>4700</v>
      </c>
      <c r="H299" s="6">
        <f t="shared" ca="1" si="31"/>
        <v>0.97478403747777376</v>
      </c>
    </row>
    <row r="300" spans="2:8" x14ac:dyDescent="0.25">
      <c r="B300" s="1">
        <f t="shared" si="26"/>
        <v>286</v>
      </c>
      <c r="C300" s="3">
        <f t="shared" si="29"/>
        <v>70</v>
      </c>
      <c r="D300" s="3">
        <f t="shared" si="30"/>
        <v>100</v>
      </c>
      <c r="E300" s="1" t="str">
        <f t="shared" ca="1" si="27"/>
        <v>Fold</v>
      </c>
      <c r="F300" s="4">
        <f t="shared" ca="1" si="28"/>
        <v>100</v>
      </c>
      <c r="G300" s="4">
        <f ca="1">SUM(F$15:F300)</f>
        <v>4800</v>
      </c>
      <c r="H300" s="6">
        <f t="shared" ca="1" si="31"/>
        <v>0.15392185198177322</v>
      </c>
    </row>
    <row r="301" spans="2:8" x14ac:dyDescent="0.25">
      <c r="B301" s="1">
        <f t="shared" si="26"/>
        <v>287</v>
      </c>
      <c r="C301" s="3">
        <f t="shared" si="29"/>
        <v>70</v>
      </c>
      <c r="D301" s="3">
        <f t="shared" si="30"/>
        <v>100</v>
      </c>
      <c r="E301" s="1" t="str">
        <f t="shared" ca="1" si="27"/>
        <v>Call</v>
      </c>
      <c r="F301" s="4">
        <f t="shared" ca="1" si="28"/>
        <v>-70</v>
      </c>
      <c r="G301" s="4">
        <f ca="1">SUM(F$15:F301)</f>
        <v>4730</v>
      </c>
      <c r="H301" s="6">
        <f t="shared" ca="1" si="31"/>
        <v>0.51399206721719926</v>
      </c>
    </row>
    <row r="302" spans="2:8" x14ac:dyDescent="0.25">
      <c r="B302" s="1">
        <f t="shared" si="26"/>
        <v>288</v>
      </c>
      <c r="C302" s="3">
        <f t="shared" si="29"/>
        <v>70</v>
      </c>
      <c r="D302" s="3">
        <f t="shared" si="30"/>
        <v>100</v>
      </c>
      <c r="E302" s="1" t="str">
        <f t="shared" ca="1" si="27"/>
        <v>Fold</v>
      </c>
      <c r="F302" s="4">
        <f t="shared" ca="1" si="28"/>
        <v>100</v>
      </c>
      <c r="G302" s="4">
        <f ca="1">SUM(F$15:F302)</f>
        <v>4830</v>
      </c>
      <c r="H302" s="6">
        <f t="shared" ca="1" si="31"/>
        <v>0.46134227658406002</v>
      </c>
    </row>
    <row r="303" spans="2:8" x14ac:dyDescent="0.25">
      <c r="B303" s="1">
        <f t="shared" si="26"/>
        <v>289</v>
      </c>
      <c r="C303" s="3">
        <f t="shared" si="29"/>
        <v>70</v>
      </c>
      <c r="D303" s="3">
        <f t="shared" si="30"/>
        <v>100</v>
      </c>
      <c r="E303" s="1" t="str">
        <f t="shared" ca="1" si="27"/>
        <v>Fold</v>
      </c>
      <c r="F303" s="4">
        <f t="shared" ca="1" si="28"/>
        <v>100</v>
      </c>
      <c r="G303" s="4">
        <f ca="1">SUM(F$15:F303)</f>
        <v>4930</v>
      </c>
      <c r="H303" s="6">
        <f t="shared" ca="1" si="31"/>
        <v>0.48987024405598778</v>
      </c>
    </row>
    <row r="304" spans="2:8" x14ac:dyDescent="0.25">
      <c r="B304" s="1">
        <f t="shared" si="26"/>
        <v>290</v>
      </c>
      <c r="C304" s="3">
        <f t="shared" si="29"/>
        <v>70</v>
      </c>
      <c r="D304" s="3">
        <f t="shared" si="30"/>
        <v>100</v>
      </c>
      <c r="E304" s="1" t="str">
        <f t="shared" ca="1" si="27"/>
        <v>Call</v>
      </c>
      <c r="F304" s="4">
        <f t="shared" ca="1" si="28"/>
        <v>-70</v>
      </c>
      <c r="G304" s="4">
        <f ca="1">SUM(F$15:F304)</f>
        <v>4860</v>
      </c>
      <c r="H304" s="6">
        <f t="shared" ca="1" si="31"/>
        <v>0.68874953977130626</v>
      </c>
    </row>
    <row r="305" spans="2:8" x14ac:dyDescent="0.25">
      <c r="B305" s="1">
        <f t="shared" si="26"/>
        <v>291</v>
      </c>
      <c r="C305" s="3">
        <f t="shared" si="29"/>
        <v>70</v>
      </c>
      <c r="D305" s="3">
        <f t="shared" si="30"/>
        <v>100</v>
      </c>
      <c r="E305" s="1" t="str">
        <f t="shared" ca="1" si="27"/>
        <v>Call</v>
      </c>
      <c r="F305" s="4">
        <f t="shared" ca="1" si="28"/>
        <v>-70</v>
      </c>
      <c r="G305" s="4">
        <f ca="1">SUM(F$15:F305)</f>
        <v>4790</v>
      </c>
      <c r="H305" s="6">
        <f t="shared" ca="1" si="31"/>
        <v>0.79273748734388727</v>
      </c>
    </row>
    <row r="306" spans="2:8" x14ac:dyDescent="0.25">
      <c r="B306" s="1">
        <f t="shared" si="26"/>
        <v>292</v>
      </c>
      <c r="C306" s="3">
        <f t="shared" si="29"/>
        <v>70</v>
      </c>
      <c r="D306" s="3">
        <f t="shared" si="30"/>
        <v>100</v>
      </c>
      <c r="E306" s="1" t="str">
        <f t="shared" ca="1" si="27"/>
        <v>Call</v>
      </c>
      <c r="F306" s="4">
        <f t="shared" ca="1" si="28"/>
        <v>-70</v>
      </c>
      <c r="G306" s="4">
        <f ca="1">SUM(F$15:F306)</f>
        <v>4720</v>
      </c>
      <c r="H306" s="6">
        <f t="shared" ca="1" si="31"/>
        <v>0.54229286479853289</v>
      </c>
    </row>
    <row r="307" spans="2:8" x14ac:dyDescent="0.25">
      <c r="B307" s="1">
        <f t="shared" si="26"/>
        <v>293</v>
      </c>
      <c r="C307" s="3">
        <f t="shared" si="29"/>
        <v>70</v>
      </c>
      <c r="D307" s="3">
        <f t="shared" si="30"/>
        <v>100</v>
      </c>
      <c r="E307" s="1" t="str">
        <f t="shared" ca="1" si="27"/>
        <v>Call</v>
      </c>
      <c r="F307" s="4">
        <f t="shared" ca="1" si="28"/>
        <v>-70</v>
      </c>
      <c r="G307" s="4">
        <f ca="1">SUM(F$15:F307)</f>
        <v>4650</v>
      </c>
      <c r="H307" s="6">
        <f t="shared" ca="1" si="31"/>
        <v>0.92606524180108263</v>
      </c>
    </row>
    <row r="308" spans="2:8" x14ac:dyDescent="0.25">
      <c r="B308" s="1">
        <f t="shared" si="26"/>
        <v>294</v>
      </c>
      <c r="C308" s="3">
        <f t="shared" si="29"/>
        <v>70</v>
      </c>
      <c r="D308" s="3">
        <f t="shared" si="30"/>
        <v>100</v>
      </c>
      <c r="E308" s="1" t="str">
        <f t="shared" ca="1" si="27"/>
        <v>Fold</v>
      </c>
      <c r="F308" s="4">
        <f t="shared" ca="1" si="28"/>
        <v>100</v>
      </c>
      <c r="G308" s="4">
        <f ca="1">SUM(F$15:F308)</f>
        <v>4750</v>
      </c>
      <c r="H308" s="6">
        <f t="shared" ca="1" si="31"/>
        <v>0.22439658942483498</v>
      </c>
    </row>
    <row r="309" spans="2:8" x14ac:dyDescent="0.25">
      <c r="B309" s="1">
        <f t="shared" si="26"/>
        <v>295</v>
      </c>
      <c r="C309" s="3">
        <f t="shared" si="29"/>
        <v>70</v>
      </c>
      <c r="D309" s="3">
        <f t="shared" si="30"/>
        <v>100</v>
      </c>
      <c r="E309" s="1" t="str">
        <f t="shared" ca="1" si="27"/>
        <v>Call</v>
      </c>
      <c r="F309" s="4">
        <f t="shared" ca="1" si="28"/>
        <v>-70</v>
      </c>
      <c r="G309" s="4">
        <f ca="1">SUM(F$15:F309)</f>
        <v>4680</v>
      </c>
      <c r="H309" s="6">
        <f t="shared" ca="1" si="31"/>
        <v>0.97270309644869501</v>
      </c>
    </row>
    <row r="310" spans="2:8" x14ac:dyDescent="0.25">
      <c r="B310" s="1">
        <f t="shared" si="26"/>
        <v>296</v>
      </c>
      <c r="C310" s="3">
        <f t="shared" si="29"/>
        <v>70</v>
      </c>
      <c r="D310" s="3">
        <f t="shared" si="30"/>
        <v>100</v>
      </c>
      <c r="E310" s="1" t="str">
        <f t="shared" ca="1" si="27"/>
        <v>Call</v>
      </c>
      <c r="F310" s="4">
        <f t="shared" ca="1" si="28"/>
        <v>-70</v>
      </c>
      <c r="G310" s="4">
        <f ca="1">SUM(F$15:F310)</f>
        <v>4610</v>
      </c>
      <c r="H310" s="6">
        <f t="shared" ca="1" si="31"/>
        <v>0.69448897058561088</v>
      </c>
    </row>
    <row r="311" spans="2:8" x14ac:dyDescent="0.25">
      <c r="B311" s="1">
        <f t="shared" si="26"/>
        <v>297</v>
      </c>
      <c r="C311" s="3">
        <f t="shared" si="29"/>
        <v>70</v>
      </c>
      <c r="D311" s="3">
        <f t="shared" si="30"/>
        <v>100</v>
      </c>
      <c r="E311" s="1" t="str">
        <f t="shared" ca="1" si="27"/>
        <v>Fold</v>
      </c>
      <c r="F311" s="4">
        <f t="shared" ca="1" si="28"/>
        <v>100</v>
      </c>
      <c r="G311" s="4">
        <f ca="1">SUM(F$15:F311)</f>
        <v>4710</v>
      </c>
      <c r="H311" s="6">
        <f t="shared" ca="1" si="31"/>
        <v>4.2996927186334744E-2</v>
      </c>
    </row>
    <row r="312" spans="2:8" x14ac:dyDescent="0.25">
      <c r="B312" s="1">
        <f t="shared" si="26"/>
        <v>298</v>
      </c>
      <c r="C312" s="3">
        <f t="shared" si="29"/>
        <v>70</v>
      </c>
      <c r="D312" s="3">
        <f t="shared" si="30"/>
        <v>100</v>
      </c>
      <c r="E312" s="1" t="str">
        <f t="shared" ca="1" si="27"/>
        <v>Fold</v>
      </c>
      <c r="F312" s="4">
        <f t="shared" ca="1" si="28"/>
        <v>100</v>
      </c>
      <c r="G312" s="4">
        <f ca="1">SUM(F$15:F312)</f>
        <v>4810</v>
      </c>
      <c r="H312" s="6">
        <f t="shared" ca="1" si="31"/>
        <v>0.35373535947935553</v>
      </c>
    </row>
    <row r="313" spans="2:8" x14ac:dyDescent="0.25">
      <c r="B313" s="1">
        <f t="shared" si="26"/>
        <v>299</v>
      </c>
      <c r="C313" s="3">
        <f t="shared" si="29"/>
        <v>70</v>
      </c>
      <c r="D313" s="3">
        <f t="shared" si="30"/>
        <v>100</v>
      </c>
      <c r="E313" s="1" t="str">
        <f t="shared" ca="1" si="27"/>
        <v>Fold</v>
      </c>
      <c r="F313" s="4">
        <f t="shared" ca="1" si="28"/>
        <v>100</v>
      </c>
      <c r="G313" s="4">
        <f ca="1">SUM(F$15:F313)</f>
        <v>4910</v>
      </c>
      <c r="H313" s="6">
        <f t="shared" ca="1" si="31"/>
        <v>0.48162326790023913</v>
      </c>
    </row>
    <row r="314" spans="2:8" x14ac:dyDescent="0.25">
      <c r="B314" s="1">
        <f t="shared" si="26"/>
        <v>300</v>
      </c>
      <c r="C314" s="3">
        <f t="shared" si="29"/>
        <v>70</v>
      </c>
      <c r="D314" s="3">
        <f t="shared" si="30"/>
        <v>100</v>
      </c>
      <c r="E314" s="1" t="str">
        <f t="shared" ca="1" si="27"/>
        <v>Call</v>
      </c>
      <c r="F314" s="4">
        <f t="shared" ca="1" si="28"/>
        <v>-70</v>
      </c>
      <c r="G314" s="4">
        <f ca="1">SUM(F$15:F314)</f>
        <v>4840</v>
      </c>
      <c r="H314" s="6">
        <f t="shared" ca="1" si="31"/>
        <v>0.79553079427447093</v>
      </c>
    </row>
    <row r="315" spans="2:8" x14ac:dyDescent="0.25">
      <c r="B315" s="1">
        <f t="shared" si="26"/>
        <v>301</v>
      </c>
      <c r="C315" s="3">
        <f t="shared" si="29"/>
        <v>70</v>
      </c>
      <c r="D315" s="3">
        <f t="shared" si="30"/>
        <v>100</v>
      </c>
      <c r="E315" s="1" t="str">
        <f t="shared" ca="1" si="27"/>
        <v>Call</v>
      </c>
      <c r="F315" s="4">
        <f t="shared" ca="1" si="28"/>
        <v>-70</v>
      </c>
      <c r="G315" s="4">
        <f ca="1">SUM(F$15:F315)</f>
        <v>4770</v>
      </c>
      <c r="H315" s="6">
        <f t="shared" ca="1" si="31"/>
        <v>0.75891444828294841</v>
      </c>
    </row>
    <row r="316" spans="2:8" x14ac:dyDescent="0.25">
      <c r="B316" s="1">
        <f t="shared" si="26"/>
        <v>302</v>
      </c>
      <c r="C316" s="3">
        <f t="shared" si="29"/>
        <v>70</v>
      </c>
      <c r="D316" s="3">
        <f t="shared" si="30"/>
        <v>100</v>
      </c>
      <c r="E316" s="1" t="str">
        <f t="shared" ca="1" si="27"/>
        <v>Fold</v>
      </c>
      <c r="F316" s="4">
        <f t="shared" ca="1" si="28"/>
        <v>100</v>
      </c>
      <c r="G316" s="4">
        <f ca="1">SUM(F$15:F316)</f>
        <v>4870</v>
      </c>
      <c r="H316" s="6">
        <f t="shared" ca="1" si="31"/>
        <v>0.45752924543691387</v>
      </c>
    </row>
    <row r="317" spans="2:8" x14ac:dyDescent="0.25">
      <c r="B317" s="1">
        <f t="shared" si="26"/>
        <v>303</v>
      </c>
      <c r="C317" s="3">
        <f t="shared" si="29"/>
        <v>70</v>
      </c>
      <c r="D317" s="3">
        <f t="shared" si="30"/>
        <v>100</v>
      </c>
      <c r="E317" s="1" t="str">
        <f t="shared" ca="1" si="27"/>
        <v>Call</v>
      </c>
      <c r="F317" s="4">
        <f t="shared" ca="1" si="28"/>
        <v>-70</v>
      </c>
      <c r="G317" s="4">
        <f ca="1">SUM(F$15:F317)</f>
        <v>4800</v>
      </c>
      <c r="H317" s="6">
        <f t="shared" ca="1" si="31"/>
        <v>0.64987516850625371</v>
      </c>
    </row>
    <row r="318" spans="2:8" x14ac:dyDescent="0.25">
      <c r="B318" s="1">
        <f t="shared" si="26"/>
        <v>304</v>
      </c>
      <c r="C318" s="3">
        <f t="shared" si="29"/>
        <v>70</v>
      </c>
      <c r="D318" s="3">
        <f t="shared" si="30"/>
        <v>100</v>
      </c>
      <c r="E318" s="1" t="str">
        <f t="shared" ca="1" si="27"/>
        <v>Call</v>
      </c>
      <c r="F318" s="4">
        <f t="shared" ca="1" si="28"/>
        <v>-70</v>
      </c>
      <c r="G318" s="4">
        <f ca="1">SUM(F$15:F318)</f>
        <v>4730</v>
      </c>
      <c r="H318" s="6">
        <f t="shared" ca="1" si="31"/>
        <v>0.84500069697744029</v>
      </c>
    </row>
    <row r="319" spans="2:8" x14ac:dyDescent="0.25">
      <c r="B319" s="1">
        <f t="shared" ref="B319:B382" si="32">B318+1</f>
        <v>305</v>
      </c>
      <c r="C319" s="3">
        <f t="shared" si="29"/>
        <v>70</v>
      </c>
      <c r="D319" s="3">
        <f t="shared" si="30"/>
        <v>100</v>
      </c>
      <c r="E319" s="1" t="str">
        <f t="shared" ca="1" si="27"/>
        <v>Fold</v>
      </c>
      <c r="F319" s="4">
        <f t="shared" ca="1" si="28"/>
        <v>100</v>
      </c>
      <c r="G319" s="4">
        <f ca="1">SUM(F$15:F319)</f>
        <v>4830</v>
      </c>
      <c r="H319" s="6">
        <f t="shared" ca="1" si="31"/>
        <v>0.23390855665883437</v>
      </c>
    </row>
    <row r="320" spans="2:8" x14ac:dyDescent="0.25">
      <c r="B320" s="1">
        <f t="shared" si="32"/>
        <v>306</v>
      </c>
      <c r="C320" s="3">
        <f t="shared" si="29"/>
        <v>70</v>
      </c>
      <c r="D320" s="3">
        <f t="shared" si="30"/>
        <v>100</v>
      </c>
      <c r="E320" s="1" t="str">
        <f t="shared" ca="1" si="27"/>
        <v>Call</v>
      </c>
      <c r="F320" s="4">
        <f t="shared" ca="1" si="28"/>
        <v>-70</v>
      </c>
      <c r="G320" s="4">
        <f ca="1">SUM(F$15:F320)</f>
        <v>4760</v>
      </c>
      <c r="H320" s="6">
        <f t="shared" ca="1" si="31"/>
        <v>0.61847010638291677</v>
      </c>
    </row>
    <row r="321" spans="2:8" x14ac:dyDescent="0.25">
      <c r="B321" s="1">
        <f t="shared" si="32"/>
        <v>307</v>
      </c>
      <c r="C321" s="3">
        <f t="shared" si="29"/>
        <v>70</v>
      </c>
      <c r="D321" s="3">
        <f t="shared" si="30"/>
        <v>100</v>
      </c>
      <c r="E321" s="1" t="str">
        <f t="shared" ca="1" si="27"/>
        <v>Call</v>
      </c>
      <c r="F321" s="4">
        <f t="shared" ca="1" si="28"/>
        <v>-70</v>
      </c>
      <c r="G321" s="4">
        <f ca="1">SUM(F$15:F321)</f>
        <v>4690</v>
      </c>
      <c r="H321" s="6">
        <f t="shared" ca="1" si="31"/>
        <v>0.92740507535764549</v>
      </c>
    </row>
    <row r="322" spans="2:8" x14ac:dyDescent="0.25">
      <c r="B322" s="1">
        <f t="shared" si="32"/>
        <v>308</v>
      </c>
      <c r="C322" s="3">
        <f t="shared" si="29"/>
        <v>70</v>
      </c>
      <c r="D322" s="3">
        <f t="shared" si="30"/>
        <v>100</v>
      </c>
      <c r="E322" s="1" t="str">
        <f t="shared" ca="1" si="27"/>
        <v>Call</v>
      </c>
      <c r="F322" s="4">
        <f t="shared" ca="1" si="28"/>
        <v>-70</v>
      </c>
      <c r="G322" s="4">
        <f ca="1">SUM(F$15:F322)</f>
        <v>4620</v>
      </c>
      <c r="H322" s="6">
        <f t="shared" ca="1" si="31"/>
        <v>0.50942152180443057</v>
      </c>
    </row>
    <row r="323" spans="2:8" x14ac:dyDescent="0.25">
      <c r="B323" s="1">
        <f t="shared" si="32"/>
        <v>309</v>
      </c>
      <c r="C323" s="3">
        <f t="shared" si="29"/>
        <v>70</v>
      </c>
      <c r="D323" s="3">
        <f t="shared" si="30"/>
        <v>100</v>
      </c>
      <c r="E323" s="1" t="str">
        <f t="shared" ca="1" si="27"/>
        <v>Fold</v>
      </c>
      <c r="F323" s="4">
        <f t="shared" ca="1" si="28"/>
        <v>100</v>
      </c>
      <c r="G323" s="4">
        <f ca="1">SUM(F$15:F323)</f>
        <v>4720</v>
      </c>
      <c r="H323" s="6">
        <f t="shared" ca="1" si="31"/>
        <v>3.7943782712571816E-2</v>
      </c>
    </row>
    <row r="324" spans="2:8" x14ac:dyDescent="0.25">
      <c r="B324" s="1">
        <f t="shared" si="32"/>
        <v>310</v>
      </c>
      <c r="C324" s="3">
        <f t="shared" si="29"/>
        <v>70</v>
      </c>
      <c r="D324" s="3">
        <f t="shared" si="30"/>
        <v>100</v>
      </c>
      <c r="E324" s="1" t="str">
        <f t="shared" ca="1" si="27"/>
        <v>Fold</v>
      </c>
      <c r="F324" s="4">
        <f t="shared" ca="1" si="28"/>
        <v>100</v>
      </c>
      <c r="G324" s="4">
        <f ca="1">SUM(F$15:F324)</f>
        <v>4820</v>
      </c>
      <c r="H324" s="6">
        <f t="shared" ca="1" si="31"/>
        <v>0.13346932354327168</v>
      </c>
    </row>
    <row r="325" spans="2:8" x14ac:dyDescent="0.25">
      <c r="B325" s="1">
        <f t="shared" si="32"/>
        <v>311</v>
      </c>
      <c r="C325" s="3">
        <f t="shared" si="29"/>
        <v>70</v>
      </c>
      <c r="D325" s="3">
        <f t="shared" si="30"/>
        <v>100</v>
      </c>
      <c r="E325" s="1" t="str">
        <f t="shared" ca="1" si="27"/>
        <v>Call</v>
      </c>
      <c r="F325" s="4">
        <f t="shared" ca="1" si="28"/>
        <v>-70</v>
      </c>
      <c r="G325" s="4">
        <f ca="1">SUM(F$15:F325)</f>
        <v>4750</v>
      </c>
      <c r="H325" s="6">
        <f t="shared" ca="1" si="31"/>
        <v>0.67695392647195973</v>
      </c>
    </row>
    <row r="326" spans="2:8" x14ac:dyDescent="0.25">
      <c r="B326" s="1">
        <f t="shared" si="32"/>
        <v>312</v>
      </c>
      <c r="C326" s="3">
        <f t="shared" si="29"/>
        <v>70</v>
      </c>
      <c r="D326" s="3">
        <f t="shared" si="30"/>
        <v>100</v>
      </c>
      <c r="E326" s="1" t="str">
        <f t="shared" ca="1" si="27"/>
        <v>Call</v>
      </c>
      <c r="F326" s="4">
        <f t="shared" ca="1" si="28"/>
        <v>-70</v>
      </c>
      <c r="G326" s="4">
        <f ca="1">SUM(F$15:F326)</f>
        <v>4680</v>
      </c>
      <c r="H326" s="6">
        <f t="shared" ca="1" si="31"/>
        <v>0.96480994999514669</v>
      </c>
    </row>
    <row r="327" spans="2:8" x14ac:dyDescent="0.25">
      <c r="B327" s="1">
        <f t="shared" si="32"/>
        <v>313</v>
      </c>
      <c r="C327" s="3">
        <f t="shared" si="29"/>
        <v>70</v>
      </c>
      <c r="D327" s="3">
        <f t="shared" si="30"/>
        <v>100</v>
      </c>
      <c r="E327" s="1" t="str">
        <f t="shared" ca="1" si="27"/>
        <v>Call</v>
      </c>
      <c r="F327" s="4">
        <f t="shared" ca="1" si="28"/>
        <v>-70</v>
      </c>
      <c r="G327" s="4">
        <f ca="1">SUM(F$15:F327)</f>
        <v>4610</v>
      </c>
      <c r="H327" s="6">
        <f t="shared" ca="1" si="31"/>
        <v>0.88014290360372682</v>
      </c>
    </row>
    <row r="328" spans="2:8" x14ac:dyDescent="0.25">
      <c r="B328" s="1">
        <f t="shared" si="32"/>
        <v>314</v>
      </c>
      <c r="C328" s="3">
        <f t="shared" si="29"/>
        <v>70</v>
      </c>
      <c r="D328" s="3">
        <f t="shared" si="30"/>
        <v>100</v>
      </c>
      <c r="E328" s="1" t="str">
        <f t="shared" ca="1" si="27"/>
        <v>Fold</v>
      </c>
      <c r="F328" s="4">
        <f t="shared" ca="1" si="28"/>
        <v>100</v>
      </c>
      <c r="G328" s="4">
        <f ca="1">SUM(F$15:F328)</f>
        <v>4710</v>
      </c>
      <c r="H328" s="6">
        <f t="shared" ca="1" si="31"/>
        <v>0.45096900495231318</v>
      </c>
    </row>
    <row r="329" spans="2:8" x14ac:dyDescent="0.25">
      <c r="B329" s="1">
        <f t="shared" si="32"/>
        <v>315</v>
      </c>
      <c r="C329" s="3">
        <f t="shared" si="29"/>
        <v>70</v>
      </c>
      <c r="D329" s="3">
        <f t="shared" si="30"/>
        <v>100</v>
      </c>
      <c r="E329" s="1" t="str">
        <f t="shared" ca="1" si="27"/>
        <v>Fold</v>
      </c>
      <c r="F329" s="4">
        <f t="shared" ca="1" si="28"/>
        <v>100</v>
      </c>
      <c r="G329" s="4">
        <f ca="1">SUM(F$15:F329)</f>
        <v>4810</v>
      </c>
      <c r="H329" s="6">
        <f t="shared" ca="1" si="31"/>
        <v>9.1644164306031062E-2</v>
      </c>
    </row>
    <row r="330" spans="2:8" x14ac:dyDescent="0.25">
      <c r="B330" s="1">
        <f t="shared" si="32"/>
        <v>316</v>
      </c>
      <c r="C330" s="3">
        <f t="shared" si="29"/>
        <v>70</v>
      </c>
      <c r="D330" s="3">
        <f t="shared" si="30"/>
        <v>100</v>
      </c>
      <c r="E330" s="1" t="str">
        <f t="shared" ca="1" si="27"/>
        <v>Fold</v>
      </c>
      <c r="F330" s="4">
        <f t="shared" ca="1" si="28"/>
        <v>100</v>
      </c>
      <c r="G330" s="4">
        <f ca="1">SUM(F$15:F330)</f>
        <v>4910</v>
      </c>
      <c r="H330" s="6">
        <f t="shared" ca="1" si="31"/>
        <v>0.38057076815687574</v>
      </c>
    </row>
    <row r="331" spans="2:8" x14ac:dyDescent="0.25">
      <c r="B331" s="1">
        <f t="shared" si="32"/>
        <v>317</v>
      </c>
      <c r="C331" s="3">
        <f t="shared" si="29"/>
        <v>70</v>
      </c>
      <c r="D331" s="3">
        <f t="shared" si="30"/>
        <v>100</v>
      </c>
      <c r="E331" s="1" t="str">
        <f t="shared" ca="1" si="27"/>
        <v>Call</v>
      </c>
      <c r="F331" s="4">
        <f t="shared" ca="1" si="28"/>
        <v>-70</v>
      </c>
      <c r="G331" s="4">
        <f ca="1">SUM(F$15:F331)</f>
        <v>4840</v>
      </c>
      <c r="H331" s="6">
        <f t="shared" ca="1" si="31"/>
        <v>0.81913581575907202</v>
      </c>
    </row>
    <row r="332" spans="2:8" x14ac:dyDescent="0.25">
      <c r="B332" s="1">
        <f t="shared" si="32"/>
        <v>318</v>
      </c>
      <c r="C332" s="3">
        <f t="shared" si="29"/>
        <v>70</v>
      </c>
      <c r="D332" s="3">
        <f t="shared" si="30"/>
        <v>100</v>
      </c>
      <c r="E332" s="1" t="str">
        <f t="shared" ca="1" si="27"/>
        <v>Fold</v>
      </c>
      <c r="F332" s="4">
        <f t="shared" ca="1" si="28"/>
        <v>100</v>
      </c>
      <c r="G332" s="4">
        <f ca="1">SUM(F$15:F332)</f>
        <v>4940</v>
      </c>
      <c r="H332" s="6">
        <f t="shared" ca="1" si="31"/>
        <v>0.4151950715283288</v>
      </c>
    </row>
    <row r="333" spans="2:8" x14ac:dyDescent="0.25">
      <c r="B333" s="1">
        <f t="shared" si="32"/>
        <v>319</v>
      </c>
      <c r="C333" s="3">
        <f t="shared" si="29"/>
        <v>70</v>
      </c>
      <c r="D333" s="3">
        <f t="shared" si="30"/>
        <v>100</v>
      </c>
      <c r="E333" s="1" t="str">
        <f t="shared" ca="1" si="27"/>
        <v>Fold</v>
      </c>
      <c r="F333" s="4">
        <f t="shared" ca="1" si="28"/>
        <v>100</v>
      </c>
      <c r="G333" s="4">
        <f ca="1">SUM(F$15:F333)</f>
        <v>5040</v>
      </c>
      <c r="H333" s="6">
        <f t="shared" ca="1" si="31"/>
        <v>0.44862922834180674</v>
      </c>
    </row>
    <row r="334" spans="2:8" x14ac:dyDescent="0.25">
      <c r="B334" s="1">
        <f t="shared" si="32"/>
        <v>320</v>
      </c>
      <c r="C334" s="3">
        <f t="shared" si="29"/>
        <v>70</v>
      </c>
      <c r="D334" s="3">
        <f t="shared" si="30"/>
        <v>100</v>
      </c>
      <c r="E334" s="1" t="str">
        <f t="shared" ca="1" si="27"/>
        <v>Fold</v>
      </c>
      <c r="F334" s="4">
        <f t="shared" ca="1" si="28"/>
        <v>100</v>
      </c>
      <c r="G334" s="4">
        <f ca="1">SUM(F$15:F334)</f>
        <v>5140</v>
      </c>
      <c r="H334" s="6">
        <f t="shared" ca="1" si="31"/>
        <v>0.42116190059195802</v>
      </c>
    </row>
    <row r="335" spans="2:8" x14ac:dyDescent="0.25">
      <c r="B335" s="1">
        <f t="shared" si="32"/>
        <v>321</v>
      </c>
      <c r="C335" s="3">
        <f t="shared" si="29"/>
        <v>70</v>
      </c>
      <c r="D335" s="3">
        <f t="shared" si="30"/>
        <v>100</v>
      </c>
      <c r="E335" s="1" t="str">
        <f t="shared" ref="E335:E398" ca="1" si="33">IF(H335&lt;$D$3,"Fold","Call")</f>
        <v>Call</v>
      </c>
      <c r="F335" s="4">
        <f t="shared" ca="1" si="28"/>
        <v>-70</v>
      </c>
      <c r="G335" s="4">
        <f ca="1">SUM(F$15:F335)</f>
        <v>5070</v>
      </c>
      <c r="H335" s="6">
        <f t="shared" ca="1" si="31"/>
        <v>0.94655973311016539</v>
      </c>
    </row>
    <row r="336" spans="2:8" x14ac:dyDescent="0.25">
      <c r="B336" s="1">
        <f t="shared" si="32"/>
        <v>322</v>
      </c>
      <c r="C336" s="3">
        <f t="shared" si="29"/>
        <v>70</v>
      </c>
      <c r="D336" s="3">
        <f t="shared" si="30"/>
        <v>100</v>
      </c>
      <c r="E336" s="1" t="str">
        <f t="shared" ca="1" si="33"/>
        <v>Fold</v>
      </c>
      <c r="F336" s="4">
        <f t="shared" ref="F336:F399" ca="1" si="34">IF(E336="Fold",D336,-C336)</f>
        <v>100</v>
      </c>
      <c r="G336" s="4">
        <f ca="1">SUM(F$15:F336)</f>
        <v>5170</v>
      </c>
      <c r="H336" s="6">
        <f t="shared" ca="1" si="31"/>
        <v>2.416276136280604E-2</v>
      </c>
    </row>
    <row r="337" spans="2:8" x14ac:dyDescent="0.25">
      <c r="B337" s="1">
        <f t="shared" si="32"/>
        <v>323</v>
      </c>
      <c r="C337" s="3">
        <f t="shared" ref="C337:C400" si="35">C336</f>
        <v>70</v>
      </c>
      <c r="D337" s="3">
        <f t="shared" ref="D337:D400" si="36">D336</f>
        <v>100</v>
      </c>
      <c r="E337" s="1" t="str">
        <f t="shared" ca="1" si="33"/>
        <v>Call</v>
      </c>
      <c r="F337" s="4">
        <f t="shared" ca="1" si="34"/>
        <v>-70</v>
      </c>
      <c r="G337" s="4">
        <f ca="1">SUM(F$15:F337)</f>
        <v>5100</v>
      </c>
      <c r="H337" s="6">
        <f t="shared" ca="1" si="31"/>
        <v>0.7547354225604187</v>
      </c>
    </row>
    <row r="338" spans="2:8" x14ac:dyDescent="0.25">
      <c r="B338" s="1">
        <f t="shared" si="32"/>
        <v>324</v>
      </c>
      <c r="C338" s="3">
        <f t="shared" si="35"/>
        <v>70</v>
      </c>
      <c r="D338" s="3">
        <f t="shared" si="36"/>
        <v>100</v>
      </c>
      <c r="E338" s="1" t="str">
        <f t="shared" ca="1" si="33"/>
        <v>Fold</v>
      </c>
      <c r="F338" s="4">
        <f t="shared" ca="1" si="34"/>
        <v>100</v>
      </c>
      <c r="G338" s="4">
        <f ca="1">SUM(F$15:F338)</f>
        <v>5200</v>
      </c>
      <c r="H338" s="6">
        <f t="shared" ca="1" si="31"/>
        <v>0.26706264702565274</v>
      </c>
    </row>
    <row r="339" spans="2:8" x14ac:dyDescent="0.25">
      <c r="B339" s="1">
        <f t="shared" si="32"/>
        <v>325</v>
      </c>
      <c r="C339" s="3">
        <f t="shared" si="35"/>
        <v>70</v>
      </c>
      <c r="D339" s="3">
        <f t="shared" si="36"/>
        <v>100</v>
      </c>
      <c r="E339" s="1" t="str">
        <f t="shared" ca="1" si="33"/>
        <v>Fold</v>
      </c>
      <c r="F339" s="4">
        <f t="shared" ca="1" si="34"/>
        <v>100</v>
      </c>
      <c r="G339" s="4">
        <f ca="1">SUM(F$15:F339)</f>
        <v>5300</v>
      </c>
      <c r="H339" s="6">
        <f t="shared" ca="1" si="31"/>
        <v>0.38567335463033758</v>
      </c>
    </row>
    <row r="340" spans="2:8" x14ac:dyDescent="0.25">
      <c r="B340" s="1">
        <f t="shared" si="32"/>
        <v>326</v>
      </c>
      <c r="C340" s="3">
        <f t="shared" si="35"/>
        <v>70</v>
      </c>
      <c r="D340" s="3">
        <f t="shared" si="36"/>
        <v>100</v>
      </c>
      <c r="E340" s="1" t="str">
        <f t="shared" ca="1" si="33"/>
        <v>Call</v>
      </c>
      <c r="F340" s="4">
        <f t="shared" ca="1" si="34"/>
        <v>-70</v>
      </c>
      <c r="G340" s="4">
        <f ca="1">SUM(F$15:F340)</f>
        <v>5230</v>
      </c>
      <c r="H340" s="6">
        <f t="shared" ca="1" si="31"/>
        <v>0.80555491475424956</v>
      </c>
    </row>
    <row r="341" spans="2:8" x14ac:dyDescent="0.25">
      <c r="B341" s="1">
        <f t="shared" si="32"/>
        <v>327</v>
      </c>
      <c r="C341" s="3">
        <f t="shared" si="35"/>
        <v>70</v>
      </c>
      <c r="D341" s="3">
        <f t="shared" si="36"/>
        <v>100</v>
      </c>
      <c r="E341" s="1" t="str">
        <f t="shared" ca="1" si="33"/>
        <v>Fold</v>
      </c>
      <c r="F341" s="4">
        <f t="shared" ca="1" si="34"/>
        <v>100</v>
      </c>
      <c r="G341" s="4">
        <f ca="1">SUM(F$15:F341)</f>
        <v>5330</v>
      </c>
      <c r="H341" s="6">
        <f t="shared" ca="1" si="31"/>
        <v>1.6832651383892339E-2</v>
      </c>
    </row>
    <row r="342" spans="2:8" x14ac:dyDescent="0.25">
      <c r="B342" s="1">
        <f t="shared" si="32"/>
        <v>328</v>
      </c>
      <c r="C342" s="3">
        <f t="shared" si="35"/>
        <v>70</v>
      </c>
      <c r="D342" s="3">
        <f t="shared" si="36"/>
        <v>100</v>
      </c>
      <c r="E342" s="1" t="str">
        <f t="shared" ca="1" si="33"/>
        <v>Fold</v>
      </c>
      <c r="F342" s="4">
        <f t="shared" ca="1" si="34"/>
        <v>100</v>
      </c>
      <c r="G342" s="4">
        <f ca="1">SUM(F$15:F342)</f>
        <v>5430</v>
      </c>
      <c r="H342" s="6">
        <f t="shared" ca="1" si="31"/>
        <v>0.47310477475182144</v>
      </c>
    </row>
    <row r="343" spans="2:8" x14ac:dyDescent="0.25">
      <c r="B343" s="1">
        <f t="shared" si="32"/>
        <v>329</v>
      </c>
      <c r="C343" s="3">
        <f t="shared" si="35"/>
        <v>70</v>
      </c>
      <c r="D343" s="3">
        <f t="shared" si="36"/>
        <v>100</v>
      </c>
      <c r="E343" s="1" t="str">
        <f t="shared" ca="1" si="33"/>
        <v>Call</v>
      </c>
      <c r="F343" s="4">
        <f t="shared" ca="1" si="34"/>
        <v>-70</v>
      </c>
      <c r="G343" s="4">
        <f ca="1">SUM(F$15:F343)</f>
        <v>5360</v>
      </c>
      <c r="H343" s="6">
        <f t="shared" ca="1" si="31"/>
        <v>0.74905507954072403</v>
      </c>
    </row>
    <row r="344" spans="2:8" x14ac:dyDescent="0.25">
      <c r="B344" s="1">
        <f t="shared" si="32"/>
        <v>330</v>
      </c>
      <c r="C344" s="3">
        <f t="shared" si="35"/>
        <v>70</v>
      </c>
      <c r="D344" s="3">
        <f t="shared" si="36"/>
        <v>100</v>
      </c>
      <c r="E344" s="1" t="str">
        <f t="shared" ca="1" si="33"/>
        <v>Fold</v>
      </c>
      <c r="F344" s="4">
        <f t="shared" ca="1" si="34"/>
        <v>100</v>
      </c>
      <c r="G344" s="4">
        <f ca="1">SUM(F$15:F344)</f>
        <v>5460</v>
      </c>
      <c r="H344" s="6">
        <f t="shared" ca="1" si="31"/>
        <v>2.1319419026914033E-2</v>
      </c>
    </row>
    <row r="345" spans="2:8" x14ac:dyDescent="0.25">
      <c r="B345" s="1">
        <f t="shared" si="32"/>
        <v>331</v>
      </c>
      <c r="C345" s="3">
        <f t="shared" si="35"/>
        <v>70</v>
      </c>
      <c r="D345" s="3">
        <f t="shared" si="36"/>
        <v>100</v>
      </c>
      <c r="E345" s="1" t="str">
        <f t="shared" ca="1" si="33"/>
        <v>Fold</v>
      </c>
      <c r="F345" s="4">
        <f t="shared" ca="1" si="34"/>
        <v>100</v>
      </c>
      <c r="G345" s="4">
        <f ca="1">SUM(F$15:F345)</f>
        <v>5560</v>
      </c>
      <c r="H345" s="6">
        <f t="shared" ca="1" si="31"/>
        <v>0.15997315621159103</v>
      </c>
    </row>
    <row r="346" spans="2:8" x14ac:dyDescent="0.25">
      <c r="B346" s="1">
        <f t="shared" si="32"/>
        <v>332</v>
      </c>
      <c r="C346" s="3">
        <f t="shared" si="35"/>
        <v>70</v>
      </c>
      <c r="D346" s="3">
        <f t="shared" si="36"/>
        <v>100</v>
      </c>
      <c r="E346" s="1" t="str">
        <f t="shared" ca="1" si="33"/>
        <v>Call</v>
      </c>
      <c r="F346" s="4">
        <f t="shared" ca="1" si="34"/>
        <v>-70</v>
      </c>
      <c r="G346" s="4">
        <f ca="1">SUM(F$15:F346)</f>
        <v>5490</v>
      </c>
      <c r="H346" s="6">
        <f t="shared" ca="1" si="31"/>
        <v>0.66785727159480479</v>
      </c>
    </row>
    <row r="347" spans="2:8" x14ac:dyDescent="0.25">
      <c r="B347" s="1">
        <f t="shared" si="32"/>
        <v>333</v>
      </c>
      <c r="C347" s="3">
        <f t="shared" si="35"/>
        <v>70</v>
      </c>
      <c r="D347" s="3">
        <f t="shared" si="36"/>
        <v>100</v>
      </c>
      <c r="E347" s="1" t="str">
        <f t="shared" ca="1" si="33"/>
        <v>Call</v>
      </c>
      <c r="F347" s="4">
        <f t="shared" ca="1" si="34"/>
        <v>-70</v>
      </c>
      <c r="G347" s="4">
        <f ca="1">SUM(F$15:F347)</f>
        <v>5420</v>
      </c>
      <c r="H347" s="6">
        <f t="shared" ca="1" si="31"/>
        <v>0.74324948228723442</v>
      </c>
    </row>
    <row r="348" spans="2:8" x14ac:dyDescent="0.25">
      <c r="B348" s="1">
        <f t="shared" si="32"/>
        <v>334</v>
      </c>
      <c r="C348" s="3">
        <f t="shared" si="35"/>
        <v>70</v>
      </c>
      <c r="D348" s="3">
        <f t="shared" si="36"/>
        <v>100</v>
      </c>
      <c r="E348" s="1" t="str">
        <f t="shared" ca="1" si="33"/>
        <v>Call</v>
      </c>
      <c r="F348" s="4">
        <f t="shared" ca="1" si="34"/>
        <v>-70</v>
      </c>
      <c r="G348" s="4">
        <f ca="1">SUM(F$15:F348)</f>
        <v>5350</v>
      </c>
      <c r="H348" s="6">
        <f t="shared" ca="1" si="31"/>
        <v>0.73713548630106085</v>
      </c>
    </row>
    <row r="349" spans="2:8" x14ac:dyDescent="0.25">
      <c r="B349" s="1">
        <f t="shared" si="32"/>
        <v>335</v>
      </c>
      <c r="C349" s="3">
        <f t="shared" si="35"/>
        <v>70</v>
      </c>
      <c r="D349" s="3">
        <f t="shared" si="36"/>
        <v>100</v>
      </c>
      <c r="E349" s="1" t="str">
        <f t="shared" ca="1" si="33"/>
        <v>Fold</v>
      </c>
      <c r="F349" s="4">
        <f t="shared" ca="1" si="34"/>
        <v>100</v>
      </c>
      <c r="G349" s="4">
        <f ca="1">SUM(F$15:F349)</f>
        <v>5450</v>
      </c>
      <c r="H349" s="6">
        <f t="shared" ca="1" si="31"/>
        <v>0.39419995823799103</v>
      </c>
    </row>
    <row r="350" spans="2:8" x14ac:dyDescent="0.25">
      <c r="B350" s="1">
        <f t="shared" si="32"/>
        <v>336</v>
      </c>
      <c r="C350" s="3">
        <f t="shared" si="35"/>
        <v>70</v>
      </c>
      <c r="D350" s="3">
        <f t="shared" si="36"/>
        <v>100</v>
      </c>
      <c r="E350" s="1" t="str">
        <f t="shared" ca="1" si="33"/>
        <v>Fold</v>
      </c>
      <c r="F350" s="4">
        <f t="shared" ca="1" si="34"/>
        <v>100</v>
      </c>
      <c r="G350" s="4">
        <f ca="1">SUM(F$15:F350)</f>
        <v>5550</v>
      </c>
      <c r="H350" s="6">
        <f t="shared" ref="H350:H413" ca="1" si="37">RAND()</f>
        <v>3.3405094835624594E-2</v>
      </c>
    </row>
    <row r="351" spans="2:8" x14ac:dyDescent="0.25">
      <c r="B351" s="1">
        <f t="shared" si="32"/>
        <v>337</v>
      </c>
      <c r="C351" s="3">
        <f t="shared" si="35"/>
        <v>70</v>
      </c>
      <c r="D351" s="3">
        <f t="shared" si="36"/>
        <v>100</v>
      </c>
      <c r="E351" s="1" t="str">
        <f t="shared" ca="1" si="33"/>
        <v>Fold</v>
      </c>
      <c r="F351" s="4">
        <f t="shared" ca="1" si="34"/>
        <v>100</v>
      </c>
      <c r="G351" s="4">
        <f ca="1">SUM(F$15:F351)</f>
        <v>5650</v>
      </c>
      <c r="H351" s="6">
        <f t="shared" ca="1" si="37"/>
        <v>0.39641406798052914</v>
      </c>
    </row>
    <row r="352" spans="2:8" x14ac:dyDescent="0.25">
      <c r="B352" s="1">
        <f t="shared" si="32"/>
        <v>338</v>
      </c>
      <c r="C352" s="3">
        <f t="shared" si="35"/>
        <v>70</v>
      </c>
      <c r="D352" s="3">
        <f t="shared" si="36"/>
        <v>100</v>
      </c>
      <c r="E352" s="1" t="str">
        <f t="shared" ca="1" si="33"/>
        <v>Fold</v>
      </c>
      <c r="F352" s="4">
        <f t="shared" ca="1" si="34"/>
        <v>100</v>
      </c>
      <c r="G352" s="4">
        <f ca="1">SUM(F$15:F352)</f>
        <v>5750</v>
      </c>
      <c r="H352" s="6">
        <f t="shared" ca="1" si="37"/>
        <v>0.30453021724737983</v>
      </c>
    </row>
    <row r="353" spans="2:8" x14ac:dyDescent="0.25">
      <c r="B353" s="1">
        <f t="shared" si="32"/>
        <v>339</v>
      </c>
      <c r="C353" s="3">
        <f t="shared" si="35"/>
        <v>70</v>
      </c>
      <c r="D353" s="3">
        <f t="shared" si="36"/>
        <v>100</v>
      </c>
      <c r="E353" s="1" t="str">
        <f t="shared" ca="1" si="33"/>
        <v>Call</v>
      </c>
      <c r="F353" s="4">
        <f t="shared" ca="1" si="34"/>
        <v>-70</v>
      </c>
      <c r="G353" s="4">
        <f ca="1">SUM(F$15:F353)</f>
        <v>5680</v>
      </c>
      <c r="H353" s="6">
        <f t="shared" ca="1" si="37"/>
        <v>0.62271437314432976</v>
      </c>
    </row>
    <row r="354" spans="2:8" x14ac:dyDescent="0.25">
      <c r="B354" s="1">
        <f t="shared" si="32"/>
        <v>340</v>
      </c>
      <c r="C354" s="3">
        <f t="shared" si="35"/>
        <v>70</v>
      </c>
      <c r="D354" s="3">
        <f t="shared" si="36"/>
        <v>100</v>
      </c>
      <c r="E354" s="1" t="str">
        <f t="shared" ca="1" si="33"/>
        <v>Call</v>
      </c>
      <c r="F354" s="4">
        <f t="shared" ca="1" si="34"/>
        <v>-70</v>
      </c>
      <c r="G354" s="4">
        <f ca="1">SUM(F$15:F354)</f>
        <v>5610</v>
      </c>
      <c r="H354" s="6">
        <f t="shared" ca="1" si="37"/>
        <v>0.65795032971682488</v>
      </c>
    </row>
    <row r="355" spans="2:8" x14ac:dyDescent="0.25">
      <c r="B355" s="1">
        <f t="shared" si="32"/>
        <v>341</v>
      </c>
      <c r="C355" s="3">
        <f t="shared" si="35"/>
        <v>70</v>
      </c>
      <c r="D355" s="3">
        <f t="shared" si="36"/>
        <v>100</v>
      </c>
      <c r="E355" s="1" t="str">
        <f t="shared" ca="1" si="33"/>
        <v>Fold</v>
      </c>
      <c r="F355" s="4">
        <f t="shared" ca="1" si="34"/>
        <v>100</v>
      </c>
      <c r="G355" s="4">
        <f ca="1">SUM(F$15:F355)</f>
        <v>5710</v>
      </c>
      <c r="H355" s="6">
        <f t="shared" ca="1" si="37"/>
        <v>0.30497492561475659</v>
      </c>
    </row>
    <row r="356" spans="2:8" x14ac:dyDescent="0.25">
      <c r="B356" s="1">
        <f t="shared" si="32"/>
        <v>342</v>
      </c>
      <c r="C356" s="3">
        <f t="shared" si="35"/>
        <v>70</v>
      </c>
      <c r="D356" s="3">
        <f t="shared" si="36"/>
        <v>100</v>
      </c>
      <c r="E356" s="1" t="str">
        <f t="shared" ca="1" si="33"/>
        <v>Call</v>
      </c>
      <c r="F356" s="4">
        <f t="shared" ca="1" si="34"/>
        <v>-70</v>
      </c>
      <c r="G356" s="4">
        <f ca="1">SUM(F$15:F356)</f>
        <v>5640</v>
      </c>
      <c r="H356" s="6">
        <f t="shared" ca="1" si="37"/>
        <v>0.63214073268294368</v>
      </c>
    </row>
    <row r="357" spans="2:8" x14ac:dyDescent="0.25">
      <c r="B357" s="1">
        <f t="shared" si="32"/>
        <v>343</v>
      </c>
      <c r="C357" s="3">
        <f t="shared" si="35"/>
        <v>70</v>
      </c>
      <c r="D357" s="3">
        <f t="shared" si="36"/>
        <v>100</v>
      </c>
      <c r="E357" s="1" t="str">
        <f t="shared" ca="1" si="33"/>
        <v>Fold</v>
      </c>
      <c r="F357" s="4">
        <f t="shared" ca="1" si="34"/>
        <v>100</v>
      </c>
      <c r="G357" s="4">
        <f ca="1">SUM(F$15:F357)</f>
        <v>5740</v>
      </c>
      <c r="H357" s="6">
        <f t="shared" ca="1" si="37"/>
        <v>0.37992368115246233</v>
      </c>
    </row>
    <row r="358" spans="2:8" x14ac:dyDescent="0.25">
      <c r="B358" s="1">
        <f t="shared" si="32"/>
        <v>344</v>
      </c>
      <c r="C358" s="3">
        <f t="shared" si="35"/>
        <v>70</v>
      </c>
      <c r="D358" s="3">
        <f t="shared" si="36"/>
        <v>100</v>
      </c>
      <c r="E358" s="1" t="str">
        <f t="shared" ca="1" si="33"/>
        <v>Fold</v>
      </c>
      <c r="F358" s="4">
        <f t="shared" ca="1" si="34"/>
        <v>100</v>
      </c>
      <c r="G358" s="4">
        <f ca="1">SUM(F$15:F358)</f>
        <v>5840</v>
      </c>
      <c r="H358" s="6">
        <f t="shared" ca="1" si="37"/>
        <v>0.47450275586438395</v>
      </c>
    </row>
    <row r="359" spans="2:8" x14ac:dyDescent="0.25">
      <c r="B359" s="1">
        <f t="shared" si="32"/>
        <v>345</v>
      </c>
      <c r="C359" s="3">
        <f t="shared" si="35"/>
        <v>70</v>
      </c>
      <c r="D359" s="3">
        <f t="shared" si="36"/>
        <v>100</v>
      </c>
      <c r="E359" s="1" t="str">
        <f t="shared" ca="1" si="33"/>
        <v>Call</v>
      </c>
      <c r="F359" s="4">
        <f t="shared" ca="1" si="34"/>
        <v>-70</v>
      </c>
      <c r="G359" s="4">
        <f ca="1">SUM(F$15:F359)</f>
        <v>5770</v>
      </c>
      <c r="H359" s="6">
        <f t="shared" ca="1" si="37"/>
        <v>0.51517980950872544</v>
      </c>
    </row>
    <row r="360" spans="2:8" x14ac:dyDescent="0.25">
      <c r="B360" s="1">
        <f t="shared" si="32"/>
        <v>346</v>
      </c>
      <c r="C360" s="3">
        <f t="shared" si="35"/>
        <v>70</v>
      </c>
      <c r="D360" s="3">
        <f t="shared" si="36"/>
        <v>100</v>
      </c>
      <c r="E360" s="1" t="str">
        <f t="shared" ca="1" si="33"/>
        <v>Call</v>
      </c>
      <c r="F360" s="4">
        <f t="shared" ca="1" si="34"/>
        <v>-70</v>
      </c>
      <c r="G360" s="4">
        <f ca="1">SUM(F$15:F360)</f>
        <v>5700</v>
      </c>
      <c r="H360" s="6">
        <f t="shared" ca="1" si="37"/>
        <v>0.80610872336436878</v>
      </c>
    </row>
    <row r="361" spans="2:8" x14ac:dyDescent="0.25">
      <c r="B361" s="1">
        <f t="shared" si="32"/>
        <v>347</v>
      </c>
      <c r="C361" s="3">
        <f t="shared" si="35"/>
        <v>70</v>
      </c>
      <c r="D361" s="3">
        <f t="shared" si="36"/>
        <v>100</v>
      </c>
      <c r="E361" s="1" t="str">
        <f t="shared" ca="1" si="33"/>
        <v>Fold</v>
      </c>
      <c r="F361" s="4">
        <f t="shared" ca="1" si="34"/>
        <v>100</v>
      </c>
      <c r="G361" s="4">
        <f ca="1">SUM(F$15:F361)</f>
        <v>5800</v>
      </c>
      <c r="H361" s="6">
        <f t="shared" ca="1" si="37"/>
        <v>8.0658536226668187E-2</v>
      </c>
    </row>
    <row r="362" spans="2:8" x14ac:dyDescent="0.25">
      <c r="B362" s="1">
        <f t="shared" si="32"/>
        <v>348</v>
      </c>
      <c r="C362" s="3">
        <f t="shared" si="35"/>
        <v>70</v>
      </c>
      <c r="D362" s="3">
        <f t="shared" si="36"/>
        <v>100</v>
      </c>
      <c r="E362" s="1" t="str">
        <f t="shared" ca="1" si="33"/>
        <v>Fold</v>
      </c>
      <c r="F362" s="4">
        <f t="shared" ca="1" si="34"/>
        <v>100</v>
      </c>
      <c r="G362" s="4">
        <f ca="1">SUM(F$15:F362)</f>
        <v>5900</v>
      </c>
      <c r="H362" s="6">
        <f t="shared" ca="1" si="37"/>
        <v>0.28708146843102245</v>
      </c>
    </row>
    <row r="363" spans="2:8" x14ac:dyDescent="0.25">
      <c r="B363" s="1">
        <f t="shared" si="32"/>
        <v>349</v>
      </c>
      <c r="C363" s="3">
        <f t="shared" si="35"/>
        <v>70</v>
      </c>
      <c r="D363" s="3">
        <f t="shared" si="36"/>
        <v>100</v>
      </c>
      <c r="E363" s="1" t="str">
        <f t="shared" ca="1" si="33"/>
        <v>Call</v>
      </c>
      <c r="F363" s="4">
        <f t="shared" ca="1" si="34"/>
        <v>-70</v>
      </c>
      <c r="G363" s="4">
        <f ca="1">SUM(F$15:F363)</f>
        <v>5830</v>
      </c>
      <c r="H363" s="6">
        <f t="shared" ca="1" si="37"/>
        <v>0.93622601076662493</v>
      </c>
    </row>
    <row r="364" spans="2:8" x14ac:dyDescent="0.25">
      <c r="B364" s="1">
        <f t="shared" si="32"/>
        <v>350</v>
      </c>
      <c r="C364" s="3">
        <f t="shared" si="35"/>
        <v>70</v>
      </c>
      <c r="D364" s="3">
        <f t="shared" si="36"/>
        <v>100</v>
      </c>
      <c r="E364" s="1" t="str">
        <f t="shared" ca="1" si="33"/>
        <v>Fold</v>
      </c>
      <c r="F364" s="4">
        <f t="shared" ca="1" si="34"/>
        <v>100</v>
      </c>
      <c r="G364" s="4">
        <f ca="1">SUM(F$15:F364)</f>
        <v>5930</v>
      </c>
      <c r="H364" s="6">
        <f t="shared" ca="1" si="37"/>
        <v>0.18124104923581719</v>
      </c>
    </row>
    <row r="365" spans="2:8" x14ac:dyDescent="0.25">
      <c r="B365" s="1">
        <f t="shared" si="32"/>
        <v>351</v>
      </c>
      <c r="C365" s="3">
        <f t="shared" si="35"/>
        <v>70</v>
      </c>
      <c r="D365" s="3">
        <f t="shared" si="36"/>
        <v>100</v>
      </c>
      <c r="E365" s="1" t="str">
        <f t="shared" ca="1" si="33"/>
        <v>Call</v>
      </c>
      <c r="F365" s="4">
        <f t="shared" ca="1" si="34"/>
        <v>-70</v>
      </c>
      <c r="G365" s="4">
        <f ca="1">SUM(F$15:F365)</f>
        <v>5860</v>
      </c>
      <c r="H365" s="6">
        <f t="shared" ca="1" si="37"/>
        <v>0.91908078246934422</v>
      </c>
    </row>
    <row r="366" spans="2:8" x14ac:dyDescent="0.25">
      <c r="B366" s="1">
        <f t="shared" si="32"/>
        <v>352</v>
      </c>
      <c r="C366" s="3">
        <f t="shared" si="35"/>
        <v>70</v>
      </c>
      <c r="D366" s="3">
        <f t="shared" si="36"/>
        <v>100</v>
      </c>
      <c r="E366" s="1" t="str">
        <f t="shared" ca="1" si="33"/>
        <v>Fold</v>
      </c>
      <c r="F366" s="4">
        <f t="shared" ca="1" si="34"/>
        <v>100</v>
      </c>
      <c r="G366" s="4">
        <f ca="1">SUM(F$15:F366)</f>
        <v>5960</v>
      </c>
      <c r="H366" s="6">
        <f t="shared" ca="1" si="37"/>
        <v>0.40687098671724231</v>
      </c>
    </row>
    <row r="367" spans="2:8" x14ac:dyDescent="0.25">
      <c r="B367" s="1">
        <f t="shared" si="32"/>
        <v>353</v>
      </c>
      <c r="C367" s="3">
        <f t="shared" si="35"/>
        <v>70</v>
      </c>
      <c r="D367" s="3">
        <f t="shared" si="36"/>
        <v>100</v>
      </c>
      <c r="E367" s="1" t="str">
        <f t="shared" ca="1" si="33"/>
        <v>Call</v>
      </c>
      <c r="F367" s="4">
        <f t="shared" ca="1" si="34"/>
        <v>-70</v>
      </c>
      <c r="G367" s="4">
        <f ca="1">SUM(F$15:F367)</f>
        <v>5890</v>
      </c>
      <c r="H367" s="6">
        <f t="shared" ca="1" si="37"/>
        <v>0.55708959790593571</v>
      </c>
    </row>
    <row r="368" spans="2:8" x14ac:dyDescent="0.25">
      <c r="B368" s="1">
        <f t="shared" si="32"/>
        <v>354</v>
      </c>
      <c r="C368" s="3">
        <f t="shared" si="35"/>
        <v>70</v>
      </c>
      <c r="D368" s="3">
        <f t="shared" si="36"/>
        <v>100</v>
      </c>
      <c r="E368" s="1" t="str">
        <f t="shared" ca="1" si="33"/>
        <v>Fold</v>
      </c>
      <c r="F368" s="4">
        <f t="shared" ca="1" si="34"/>
        <v>100</v>
      </c>
      <c r="G368" s="4">
        <f ca="1">SUM(F$15:F368)</f>
        <v>5990</v>
      </c>
      <c r="H368" s="6">
        <f t="shared" ca="1" si="37"/>
        <v>0.49259209259049586</v>
      </c>
    </row>
    <row r="369" spans="2:8" x14ac:dyDescent="0.25">
      <c r="B369" s="1">
        <f t="shared" si="32"/>
        <v>355</v>
      </c>
      <c r="C369" s="3">
        <f t="shared" si="35"/>
        <v>70</v>
      </c>
      <c r="D369" s="3">
        <f t="shared" si="36"/>
        <v>100</v>
      </c>
      <c r="E369" s="1" t="str">
        <f t="shared" ca="1" si="33"/>
        <v>Call</v>
      </c>
      <c r="F369" s="4">
        <f t="shared" ca="1" si="34"/>
        <v>-70</v>
      </c>
      <c r="G369" s="4">
        <f ca="1">SUM(F$15:F369)</f>
        <v>5920</v>
      </c>
      <c r="H369" s="6">
        <f t="shared" ca="1" si="37"/>
        <v>0.70900018822584832</v>
      </c>
    </row>
    <row r="370" spans="2:8" x14ac:dyDescent="0.25">
      <c r="B370" s="1">
        <f t="shared" si="32"/>
        <v>356</v>
      </c>
      <c r="C370" s="3">
        <f t="shared" si="35"/>
        <v>70</v>
      </c>
      <c r="D370" s="3">
        <f t="shared" si="36"/>
        <v>100</v>
      </c>
      <c r="E370" s="1" t="str">
        <f t="shared" ca="1" si="33"/>
        <v>Fold</v>
      </c>
      <c r="F370" s="4">
        <f t="shared" ca="1" si="34"/>
        <v>100</v>
      </c>
      <c r="G370" s="4">
        <f ca="1">SUM(F$15:F370)</f>
        <v>6020</v>
      </c>
      <c r="H370" s="6">
        <f t="shared" ca="1" si="37"/>
        <v>4.2355486977405765E-2</v>
      </c>
    </row>
    <row r="371" spans="2:8" x14ac:dyDescent="0.25">
      <c r="B371" s="1">
        <f t="shared" si="32"/>
        <v>357</v>
      </c>
      <c r="C371" s="3">
        <f t="shared" si="35"/>
        <v>70</v>
      </c>
      <c r="D371" s="3">
        <f t="shared" si="36"/>
        <v>100</v>
      </c>
      <c r="E371" s="1" t="str">
        <f t="shared" ca="1" si="33"/>
        <v>Call</v>
      </c>
      <c r="F371" s="4">
        <f t="shared" ca="1" si="34"/>
        <v>-70</v>
      </c>
      <c r="G371" s="4">
        <f ca="1">SUM(F$15:F371)</f>
        <v>5950</v>
      </c>
      <c r="H371" s="6">
        <f t="shared" ca="1" si="37"/>
        <v>0.60158840331175401</v>
      </c>
    </row>
    <row r="372" spans="2:8" x14ac:dyDescent="0.25">
      <c r="B372" s="1">
        <f t="shared" si="32"/>
        <v>358</v>
      </c>
      <c r="C372" s="3">
        <f t="shared" si="35"/>
        <v>70</v>
      </c>
      <c r="D372" s="3">
        <f t="shared" si="36"/>
        <v>100</v>
      </c>
      <c r="E372" s="1" t="str">
        <f t="shared" ca="1" si="33"/>
        <v>Call</v>
      </c>
      <c r="F372" s="4">
        <f t="shared" ca="1" si="34"/>
        <v>-70</v>
      </c>
      <c r="G372" s="4">
        <f ca="1">SUM(F$15:F372)</f>
        <v>5880</v>
      </c>
      <c r="H372" s="6">
        <f t="shared" ca="1" si="37"/>
        <v>0.65554099929545007</v>
      </c>
    </row>
    <row r="373" spans="2:8" x14ac:dyDescent="0.25">
      <c r="B373" s="1">
        <f t="shared" si="32"/>
        <v>359</v>
      </c>
      <c r="C373" s="3">
        <f t="shared" si="35"/>
        <v>70</v>
      </c>
      <c r="D373" s="3">
        <f t="shared" si="36"/>
        <v>100</v>
      </c>
      <c r="E373" s="1" t="str">
        <f t="shared" ca="1" si="33"/>
        <v>Call</v>
      </c>
      <c r="F373" s="4">
        <f t="shared" ca="1" si="34"/>
        <v>-70</v>
      </c>
      <c r="G373" s="4">
        <f ca="1">SUM(F$15:F373)</f>
        <v>5810</v>
      </c>
      <c r="H373" s="6">
        <f t="shared" ca="1" si="37"/>
        <v>0.64956822332901665</v>
      </c>
    </row>
    <row r="374" spans="2:8" x14ac:dyDescent="0.25">
      <c r="B374" s="1">
        <f t="shared" si="32"/>
        <v>360</v>
      </c>
      <c r="C374" s="3">
        <f t="shared" si="35"/>
        <v>70</v>
      </c>
      <c r="D374" s="3">
        <f t="shared" si="36"/>
        <v>100</v>
      </c>
      <c r="E374" s="1" t="str">
        <f t="shared" ca="1" si="33"/>
        <v>Call</v>
      </c>
      <c r="F374" s="4">
        <f t="shared" ca="1" si="34"/>
        <v>-70</v>
      </c>
      <c r="G374" s="4">
        <f ca="1">SUM(F$15:F374)</f>
        <v>5740</v>
      </c>
      <c r="H374" s="6">
        <f t="shared" ca="1" si="37"/>
        <v>0.55301300932203601</v>
      </c>
    </row>
    <row r="375" spans="2:8" x14ac:dyDescent="0.25">
      <c r="B375" s="1">
        <f t="shared" si="32"/>
        <v>361</v>
      </c>
      <c r="C375" s="3">
        <f t="shared" si="35"/>
        <v>70</v>
      </c>
      <c r="D375" s="3">
        <f t="shared" si="36"/>
        <v>100</v>
      </c>
      <c r="E375" s="1" t="str">
        <f t="shared" ca="1" si="33"/>
        <v>Fold</v>
      </c>
      <c r="F375" s="4">
        <f t="shared" ca="1" si="34"/>
        <v>100</v>
      </c>
      <c r="G375" s="4">
        <f ca="1">SUM(F$15:F375)</f>
        <v>5840</v>
      </c>
      <c r="H375" s="6">
        <f t="shared" ca="1" si="37"/>
        <v>9.8045391099855106E-2</v>
      </c>
    </row>
    <row r="376" spans="2:8" x14ac:dyDescent="0.25">
      <c r="B376" s="1">
        <f t="shared" si="32"/>
        <v>362</v>
      </c>
      <c r="C376" s="3">
        <f t="shared" si="35"/>
        <v>70</v>
      </c>
      <c r="D376" s="3">
        <f t="shared" si="36"/>
        <v>100</v>
      </c>
      <c r="E376" s="1" t="str">
        <f t="shared" ca="1" si="33"/>
        <v>Call</v>
      </c>
      <c r="F376" s="4">
        <f t="shared" ca="1" si="34"/>
        <v>-70</v>
      </c>
      <c r="G376" s="4">
        <f ca="1">SUM(F$15:F376)</f>
        <v>5770</v>
      </c>
      <c r="H376" s="6">
        <f t="shared" ca="1" si="37"/>
        <v>0.88076608830809955</v>
      </c>
    </row>
    <row r="377" spans="2:8" x14ac:dyDescent="0.25">
      <c r="B377" s="1">
        <f t="shared" si="32"/>
        <v>363</v>
      </c>
      <c r="C377" s="3">
        <f t="shared" si="35"/>
        <v>70</v>
      </c>
      <c r="D377" s="3">
        <f t="shared" si="36"/>
        <v>100</v>
      </c>
      <c r="E377" s="1" t="str">
        <f t="shared" ca="1" si="33"/>
        <v>Call</v>
      </c>
      <c r="F377" s="4">
        <f t="shared" ca="1" si="34"/>
        <v>-70</v>
      </c>
      <c r="G377" s="4">
        <f ca="1">SUM(F$15:F377)</f>
        <v>5700</v>
      </c>
      <c r="H377" s="6">
        <f t="shared" ca="1" si="37"/>
        <v>0.64182015595205255</v>
      </c>
    </row>
    <row r="378" spans="2:8" x14ac:dyDescent="0.25">
      <c r="B378" s="1">
        <f t="shared" si="32"/>
        <v>364</v>
      </c>
      <c r="C378" s="3">
        <f t="shared" si="35"/>
        <v>70</v>
      </c>
      <c r="D378" s="3">
        <f t="shared" si="36"/>
        <v>100</v>
      </c>
      <c r="E378" s="1" t="str">
        <f t="shared" ca="1" si="33"/>
        <v>Fold</v>
      </c>
      <c r="F378" s="4">
        <f t="shared" ca="1" si="34"/>
        <v>100</v>
      </c>
      <c r="G378" s="4">
        <f ca="1">SUM(F$15:F378)</f>
        <v>5800</v>
      </c>
      <c r="H378" s="6">
        <f t="shared" ca="1" si="37"/>
        <v>0.17888878376766226</v>
      </c>
    </row>
    <row r="379" spans="2:8" x14ac:dyDescent="0.25">
      <c r="B379" s="1">
        <f t="shared" si="32"/>
        <v>365</v>
      </c>
      <c r="C379" s="3">
        <f t="shared" si="35"/>
        <v>70</v>
      </c>
      <c r="D379" s="3">
        <f t="shared" si="36"/>
        <v>100</v>
      </c>
      <c r="E379" s="1" t="str">
        <f t="shared" ca="1" si="33"/>
        <v>Call</v>
      </c>
      <c r="F379" s="4">
        <f t="shared" ca="1" si="34"/>
        <v>-70</v>
      </c>
      <c r="G379" s="4">
        <f ca="1">SUM(F$15:F379)</f>
        <v>5730</v>
      </c>
      <c r="H379" s="6">
        <f t="shared" ca="1" si="37"/>
        <v>0.78475810413060232</v>
      </c>
    </row>
    <row r="380" spans="2:8" x14ac:dyDescent="0.25">
      <c r="B380" s="1">
        <f t="shared" si="32"/>
        <v>366</v>
      </c>
      <c r="C380" s="3">
        <f t="shared" si="35"/>
        <v>70</v>
      </c>
      <c r="D380" s="3">
        <f t="shared" si="36"/>
        <v>100</v>
      </c>
      <c r="E380" s="1" t="str">
        <f t="shared" ca="1" si="33"/>
        <v>Fold</v>
      </c>
      <c r="F380" s="4">
        <f t="shared" ca="1" si="34"/>
        <v>100</v>
      </c>
      <c r="G380" s="4">
        <f ca="1">SUM(F$15:F380)</f>
        <v>5830</v>
      </c>
      <c r="H380" s="6">
        <f t="shared" ca="1" si="37"/>
        <v>8.8999155608199043E-2</v>
      </c>
    </row>
    <row r="381" spans="2:8" x14ac:dyDescent="0.25">
      <c r="B381" s="1">
        <f t="shared" si="32"/>
        <v>367</v>
      </c>
      <c r="C381" s="3">
        <f t="shared" si="35"/>
        <v>70</v>
      </c>
      <c r="D381" s="3">
        <f t="shared" si="36"/>
        <v>100</v>
      </c>
      <c r="E381" s="1" t="str">
        <f t="shared" ca="1" si="33"/>
        <v>Fold</v>
      </c>
      <c r="F381" s="4">
        <f t="shared" ca="1" si="34"/>
        <v>100</v>
      </c>
      <c r="G381" s="4">
        <f ca="1">SUM(F$15:F381)</f>
        <v>5930</v>
      </c>
      <c r="H381" s="6">
        <f t="shared" ca="1" si="37"/>
        <v>0.14799103610669173</v>
      </c>
    </row>
    <row r="382" spans="2:8" x14ac:dyDescent="0.25">
      <c r="B382" s="1">
        <f t="shared" si="32"/>
        <v>368</v>
      </c>
      <c r="C382" s="3">
        <f t="shared" si="35"/>
        <v>70</v>
      </c>
      <c r="D382" s="3">
        <f t="shared" si="36"/>
        <v>100</v>
      </c>
      <c r="E382" s="1" t="str">
        <f t="shared" ca="1" si="33"/>
        <v>Fold</v>
      </c>
      <c r="F382" s="4">
        <f t="shared" ca="1" si="34"/>
        <v>100</v>
      </c>
      <c r="G382" s="4">
        <f ca="1">SUM(F$15:F382)</f>
        <v>6030</v>
      </c>
      <c r="H382" s="6">
        <f t="shared" ca="1" si="37"/>
        <v>8.8894426010477812E-2</v>
      </c>
    </row>
    <row r="383" spans="2:8" x14ac:dyDescent="0.25">
      <c r="B383" s="1">
        <f t="shared" ref="B383:B446" si="38">B382+1</f>
        <v>369</v>
      </c>
      <c r="C383" s="3">
        <f t="shared" si="35"/>
        <v>70</v>
      </c>
      <c r="D383" s="3">
        <f t="shared" si="36"/>
        <v>100</v>
      </c>
      <c r="E383" s="1" t="str">
        <f t="shared" ca="1" si="33"/>
        <v>Fold</v>
      </c>
      <c r="F383" s="4">
        <f t="shared" ca="1" si="34"/>
        <v>100</v>
      </c>
      <c r="G383" s="4">
        <f ca="1">SUM(F$15:F383)</f>
        <v>6130</v>
      </c>
      <c r="H383" s="6">
        <f t="shared" ca="1" si="37"/>
        <v>0.34922349706328004</v>
      </c>
    </row>
    <row r="384" spans="2:8" x14ac:dyDescent="0.25">
      <c r="B384" s="1">
        <f t="shared" si="38"/>
        <v>370</v>
      </c>
      <c r="C384" s="3">
        <f t="shared" si="35"/>
        <v>70</v>
      </c>
      <c r="D384" s="3">
        <f t="shared" si="36"/>
        <v>100</v>
      </c>
      <c r="E384" s="1" t="str">
        <f t="shared" ca="1" si="33"/>
        <v>Call</v>
      </c>
      <c r="F384" s="4">
        <f t="shared" ca="1" si="34"/>
        <v>-70</v>
      </c>
      <c r="G384" s="4">
        <f ca="1">SUM(F$15:F384)</f>
        <v>6060</v>
      </c>
      <c r="H384" s="6">
        <f t="shared" ca="1" si="37"/>
        <v>0.61636429470990173</v>
      </c>
    </row>
    <row r="385" spans="2:8" x14ac:dyDescent="0.25">
      <c r="B385" s="1">
        <f t="shared" si="38"/>
        <v>371</v>
      </c>
      <c r="C385" s="3">
        <f t="shared" si="35"/>
        <v>70</v>
      </c>
      <c r="D385" s="3">
        <f t="shared" si="36"/>
        <v>100</v>
      </c>
      <c r="E385" s="1" t="str">
        <f t="shared" ca="1" si="33"/>
        <v>Call</v>
      </c>
      <c r="F385" s="4">
        <f t="shared" ca="1" si="34"/>
        <v>-70</v>
      </c>
      <c r="G385" s="4">
        <f ca="1">SUM(F$15:F385)</f>
        <v>5990</v>
      </c>
      <c r="H385" s="6">
        <f t="shared" ca="1" si="37"/>
        <v>0.86670405035805942</v>
      </c>
    </row>
    <row r="386" spans="2:8" x14ac:dyDescent="0.25">
      <c r="B386" s="1">
        <f t="shared" si="38"/>
        <v>372</v>
      </c>
      <c r="C386" s="3">
        <f t="shared" si="35"/>
        <v>70</v>
      </c>
      <c r="D386" s="3">
        <f t="shared" si="36"/>
        <v>100</v>
      </c>
      <c r="E386" s="1" t="str">
        <f t="shared" ca="1" si="33"/>
        <v>Call</v>
      </c>
      <c r="F386" s="4">
        <f t="shared" ca="1" si="34"/>
        <v>-70</v>
      </c>
      <c r="G386" s="4">
        <f ca="1">SUM(F$15:F386)</f>
        <v>5920</v>
      </c>
      <c r="H386" s="6">
        <f t="shared" ca="1" si="37"/>
        <v>0.99138730840479883</v>
      </c>
    </row>
    <row r="387" spans="2:8" x14ac:dyDescent="0.25">
      <c r="B387" s="1">
        <f t="shared" si="38"/>
        <v>373</v>
      </c>
      <c r="C387" s="3">
        <f t="shared" si="35"/>
        <v>70</v>
      </c>
      <c r="D387" s="3">
        <f t="shared" si="36"/>
        <v>100</v>
      </c>
      <c r="E387" s="1" t="str">
        <f t="shared" ca="1" si="33"/>
        <v>Call</v>
      </c>
      <c r="F387" s="4">
        <f t="shared" ca="1" si="34"/>
        <v>-70</v>
      </c>
      <c r="G387" s="4">
        <f ca="1">SUM(F$15:F387)</f>
        <v>5850</v>
      </c>
      <c r="H387" s="6">
        <f t="shared" ca="1" si="37"/>
        <v>0.9882785821924982</v>
      </c>
    </row>
    <row r="388" spans="2:8" x14ac:dyDescent="0.25">
      <c r="B388" s="1">
        <f t="shared" si="38"/>
        <v>374</v>
      </c>
      <c r="C388" s="3">
        <f t="shared" si="35"/>
        <v>70</v>
      </c>
      <c r="D388" s="3">
        <f t="shared" si="36"/>
        <v>100</v>
      </c>
      <c r="E388" s="1" t="str">
        <f t="shared" ca="1" si="33"/>
        <v>Call</v>
      </c>
      <c r="F388" s="4">
        <f t="shared" ca="1" si="34"/>
        <v>-70</v>
      </c>
      <c r="G388" s="4">
        <f ca="1">SUM(F$15:F388)</f>
        <v>5780</v>
      </c>
      <c r="H388" s="6">
        <f t="shared" ca="1" si="37"/>
        <v>0.7092976007195213</v>
      </c>
    </row>
    <row r="389" spans="2:8" x14ac:dyDescent="0.25">
      <c r="B389" s="1">
        <f t="shared" si="38"/>
        <v>375</v>
      </c>
      <c r="C389" s="3">
        <f t="shared" si="35"/>
        <v>70</v>
      </c>
      <c r="D389" s="3">
        <f t="shared" si="36"/>
        <v>100</v>
      </c>
      <c r="E389" s="1" t="str">
        <f t="shared" ca="1" si="33"/>
        <v>Call</v>
      </c>
      <c r="F389" s="4">
        <f t="shared" ca="1" si="34"/>
        <v>-70</v>
      </c>
      <c r="G389" s="4">
        <f ca="1">SUM(F$15:F389)</f>
        <v>5710</v>
      </c>
      <c r="H389" s="6">
        <f t="shared" ca="1" si="37"/>
        <v>0.87350670449131784</v>
      </c>
    </row>
    <row r="390" spans="2:8" x14ac:dyDescent="0.25">
      <c r="B390" s="1">
        <f t="shared" si="38"/>
        <v>376</v>
      </c>
      <c r="C390" s="3">
        <f t="shared" si="35"/>
        <v>70</v>
      </c>
      <c r="D390" s="3">
        <f t="shared" si="36"/>
        <v>100</v>
      </c>
      <c r="E390" s="1" t="str">
        <f t="shared" ca="1" si="33"/>
        <v>Fold</v>
      </c>
      <c r="F390" s="4">
        <f t="shared" ca="1" si="34"/>
        <v>100</v>
      </c>
      <c r="G390" s="4">
        <f ca="1">SUM(F$15:F390)</f>
        <v>5810</v>
      </c>
      <c r="H390" s="6">
        <f t="shared" ca="1" si="37"/>
        <v>0.21162132468732531</v>
      </c>
    </row>
    <row r="391" spans="2:8" x14ac:dyDescent="0.25">
      <c r="B391" s="1">
        <f t="shared" si="38"/>
        <v>377</v>
      </c>
      <c r="C391" s="3">
        <f t="shared" si="35"/>
        <v>70</v>
      </c>
      <c r="D391" s="3">
        <f t="shared" si="36"/>
        <v>100</v>
      </c>
      <c r="E391" s="1" t="str">
        <f t="shared" ca="1" si="33"/>
        <v>Call</v>
      </c>
      <c r="F391" s="4">
        <f t="shared" ca="1" si="34"/>
        <v>-70</v>
      </c>
      <c r="G391" s="4">
        <f ca="1">SUM(F$15:F391)</f>
        <v>5740</v>
      </c>
      <c r="H391" s="6">
        <f t="shared" ca="1" si="37"/>
        <v>0.95763400044812164</v>
      </c>
    </row>
    <row r="392" spans="2:8" x14ac:dyDescent="0.25">
      <c r="B392" s="1">
        <f t="shared" si="38"/>
        <v>378</v>
      </c>
      <c r="C392" s="3">
        <f t="shared" si="35"/>
        <v>70</v>
      </c>
      <c r="D392" s="3">
        <f t="shared" si="36"/>
        <v>100</v>
      </c>
      <c r="E392" s="1" t="str">
        <f t="shared" ca="1" si="33"/>
        <v>Call</v>
      </c>
      <c r="F392" s="4">
        <f t="shared" ca="1" si="34"/>
        <v>-70</v>
      </c>
      <c r="G392" s="4">
        <f ca="1">SUM(F$15:F392)</f>
        <v>5670</v>
      </c>
      <c r="H392" s="6">
        <f t="shared" ca="1" si="37"/>
        <v>0.57196721382952298</v>
      </c>
    </row>
    <row r="393" spans="2:8" x14ac:dyDescent="0.25">
      <c r="B393" s="1">
        <f t="shared" si="38"/>
        <v>379</v>
      </c>
      <c r="C393" s="3">
        <f t="shared" si="35"/>
        <v>70</v>
      </c>
      <c r="D393" s="3">
        <f t="shared" si="36"/>
        <v>100</v>
      </c>
      <c r="E393" s="1" t="str">
        <f t="shared" ca="1" si="33"/>
        <v>Fold</v>
      </c>
      <c r="F393" s="4">
        <f t="shared" ca="1" si="34"/>
        <v>100</v>
      </c>
      <c r="G393" s="4">
        <f ca="1">SUM(F$15:F393)</f>
        <v>5770</v>
      </c>
      <c r="H393" s="6">
        <f t="shared" ca="1" si="37"/>
        <v>0.4723412478768374</v>
      </c>
    </row>
    <row r="394" spans="2:8" x14ac:dyDescent="0.25">
      <c r="B394" s="1">
        <f t="shared" si="38"/>
        <v>380</v>
      </c>
      <c r="C394" s="3">
        <f t="shared" si="35"/>
        <v>70</v>
      </c>
      <c r="D394" s="3">
        <f t="shared" si="36"/>
        <v>100</v>
      </c>
      <c r="E394" s="1" t="str">
        <f t="shared" ca="1" si="33"/>
        <v>Call</v>
      </c>
      <c r="F394" s="4">
        <f t="shared" ca="1" si="34"/>
        <v>-70</v>
      </c>
      <c r="G394" s="4">
        <f ca="1">SUM(F$15:F394)</f>
        <v>5700</v>
      </c>
      <c r="H394" s="6">
        <f t="shared" ca="1" si="37"/>
        <v>0.75684913193425185</v>
      </c>
    </row>
    <row r="395" spans="2:8" x14ac:dyDescent="0.25">
      <c r="B395" s="1">
        <f t="shared" si="38"/>
        <v>381</v>
      </c>
      <c r="C395" s="3">
        <f t="shared" si="35"/>
        <v>70</v>
      </c>
      <c r="D395" s="3">
        <f t="shared" si="36"/>
        <v>100</v>
      </c>
      <c r="E395" s="1" t="str">
        <f t="shared" ca="1" si="33"/>
        <v>Call</v>
      </c>
      <c r="F395" s="4">
        <f t="shared" ca="1" si="34"/>
        <v>-70</v>
      </c>
      <c r="G395" s="4">
        <f ca="1">SUM(F$15:F395)</f>
        <v>5630</v>
      </c>
      <c r="H395" s="6">
        <f t="shared" ca="1" si="37"/>
        <v>0.77258782852893881</v>
      </c>
    </row>
    <row r="396" spans="2:8" x14ac:dyDescent="0.25">
      <c r="B396" s="1">
        <f t="shared" si="38"/>
        <v>382</v>
      </c>
      <c r="C396" s="3">
        <f t="shared" si="35"/>
        <v>70</v>
      </c>
      <c r="D396" s="3">
        <f t="shared" si="36"/>
        <v>100</v>
      </c>
      <c r="E396" s="1" t="str">
        <f t="shared" ca="1" si="33"/>
        <v>Fold</v>
      </c>
      <c r="F396" s="4">
        <f t="shared" ca="1" si="34"/>
        <v>100</v>
      </c>
      <c r="G396" s="4">
        <f ca="1">SUM(F$15:F396)</f>
        <v>5730</v>
      </c>
      <c r="H396" s="6">
        <f t="shared" ca="1" si="37"/>
        <v>0.24087361003094687</v>
      </c>
    </row>
    <row r="397" spans="2:8" x14ac:dyDescent="0.25">
      <c r="B397" s="1">
        <f t="shared" si="38"/>
        <v>383</v>
      </c>
      <c r="C397" s="3">
        <f t="shared" si="35"/>
        <v>70</v>
      </c>
      <c r="D397" s="3">
        <f t="shared" si="36"/>
        <v>100</v>
      </c>
      <c r="E397" s="1" t="str">
        <f t="shared" ca="1" si="33"/>
        <v>Fold</v>
      </c>
      <c r="F397" s="4">
        <f t="shared" ca="1" si="34"/>
        <v>100</v>
      </c>
      <c r="G397" s="4">
        <f ca="1">SUM(F$15:F397)</f>
        <v>5830</v>
      </c>
      <c r="H397" s="6">
        <f t="shared" ca="1" si="37"/>
        <v>0.32576296886138689</v>
      </c>
    </row>
    <row r="398" spans="2:8" x14ac:dyDescent="0.25">
      <c r="B398" s="1">
        <f t="shared" si="38"/>
        <v>384</v>
      </c>
      <c r="C398" s="3">
        <f t="shared" si="35"/>
        <v>70</v>
      </c>
      <c r="D398" s="3">
        <f t="shared" si="36"/>
        <v>100</v>
      </c>
      <c r="E398" s="1" t="str">
        <f t="shared" ca="1" si="33"/>
        <v>Call</v>
      </c>
      <c r="F398" s="4">
        <f t="shared" ca="1" si="34"/>
        <v>-70</v>
      </c>
      <c r="G398" s="4">
        <f ca="1">SUM(F$15:F398)</f>
        <v>5760</v>
      </c>
      <c r="H398" s="6">
        <f t="shared" ca="1" si="37"/>
        <v>0.54598422159713444</v>
      </c>
    </row>
    <row r="399" spans="2:8" x14ac:dyDescent="0.25">
      <c r="B399" s="1">
        <f t="shared" si="38"/>
        <v>385</v>
      </c>
      <c r="C399" s="3">
        <f t="shared" si="35"/>
        <v>70</v>
      </c>
      <c r="D399" s="3">
        <f t="shared" si="36"/>
        <v>100</v>
      </c>
      <c r="E399" s="1" t="str">
        <f t="shared" ref="E399:E462" ca="1" si="39">IF(H399&lt;$D$3,"Fold","Call")</f>
        <v>Call</v>
      </c>
      <c r="F399" s="4">
        <f t="shared" ca="1" si="34"/>
        <v>-70</v>
      </c>
      <c r="G399" s="4">
        <f ca="1">SUM(F$15:F399)</f>
        <v>5690</v>
      </c>
      <c r="H399" s="6">
        <f t="shared" ca="1" si="37"/>
        <v>0.86970266519938588</v>
      </c>
    </row>
    <row r="400" spans="2:8" x14ac:dyDescent="0.25">
      <c r="B400" s="1">
        <f t="shared" si="38"/>
        <v>386</v>
      </c>
      <c r="C400" s="3">
        <f t="shared" si="35"/>
        <v>70</v>
      </c>
      <c r="D400" s="3">
        <f t="shared" si="36"/>
        <v>100</v>
      </c>
      <c r="E400" s="1" t="str">
        <f t="shared" ca="1" si="39"/>
        <v>Call</v>
      </c>
      <c r="F400" s="4">
        <f t="shared" ref="F400:F463" ca="1" si="40">IF(E400="Fold",D400,-C400)</f>
        <v>-70</v>
      </c>
      <c r="G400" s="4">
        <f ca="1">SUM(F$15:F400)</f>
        <v>5620</v>
      </c>
      <c r="H400" s="6">
        <f t="shared" ca="1" si="37"/>
        <v>0.87772113998127776</v>
      </c>
    </row>
    <row r="401" spans="2:8" x14ac:dyDescent="0.25">
      <c r="B401" s="1">
        <f t="shared" si="38"/>
        <v>387</v>
      </c>
      <c r="C401" s="3">
        <f t="shared" ref="C401:C464" si="41">C400</f>
        <v>70</v>
      </c>
      <c r="D401" s="3">
        <f t="shared" ref="D401:D464" si="42">D400</f>
        <v>100</v>
      </c>
      <c r="E401" s="1" t="str">
        <f t="shared" ca="1" si="39"/>
        <v>Call</v>
      </c>
      <c r="F401" s="4">
        <f t="shared" ca="1" si="40"/>
        <v>-70</v>
      </c>
      <c r="G401" s="4">
        <f ca="1">SUM(F$15:F401)</f>
        <v>5550</v>
      </c>
      <c r="H401" s="6">
        <f t="shared" ca="1" si="37"/>
        <v>0.50234402126284483</v>
      </c>
    </row>
    <row r="402" spans="2:8" x14ac:dyDescent="0.25">
      <c r="B402" s="1">
        <f t="shared" si="38"/>
        <v>388</v>
      </c>
      <c r="C402" s="3">
        <f t="shared" si="41"/>
        <v>70</v>
      </c>
      <c r="D402" s="3">
        <f t="shared" si="42"/>
        <v>100</v>
      </c>
      <c r="E402" s="1" t="str">
        <f t="shared" ca="1" si="39"/>
        <v>Fold</v>
      </c>
      <c r="F402" s="4">
        <f t="shared" ca="1" si="40"/>
        <v>100</v>
      </c>
      <c r="G402" s="4">
        <f ca="1">SUM(F$15:F402)</f>
        <v>5650</v>
      </c>
      <c r="H402" s="6">
        <f t="shared" ca="1" si="37"/>
        <v>0.33362770458913271</v>
      </c>
    </row>
    <row r="403" spans="2:8" x14ac:dyDescent="0.25">
      <c r="B403" s="1">
        <f t="shared" si="38"/>
        <v>389</v>
      </c>
      <c r="C403" s="3">
        <f t="shared" si="41"/>
        <v>70</v>
      </c>
      <c r="D403" s="3">
        <f t="shared" si="42"/>
        <v>100</v>
      </c>
      <c r="E403" s="1" t="str">
        <f t="shared" ca="1" si="39"/>
        <v>Call</v>
      </c>
      <c r="F403" s="4">
        <f t="shared" ca="1" si="40"/>
        <v>-70</v>
      </c>
      <c r="G403" s="4">
        <f ca="1">SUM(F$15:F403)</f>
        <v>5580</v>
      </c>
      <c r="H403" s="6">
        <f t="shared" ca="1" si="37"/>
        <v>0.76147731164006072</v>
      </c>
    </row>
    <row r="404" spans="2:8" x14ac:dyDescent="0.25">
      <c r="B404" s="1">
        <f t="shared" si="38"/>
        <v>390</v>
      </c>
      <c r="C404" s="3">
        <f t="shared" si="41"/>
        <v>70</v>
      </c>
      <c r="D404" s="3">
        <f t="shared" si="42"/>
        <v>100</v>
      </c>
      <c r="E404" s="1" t="str">
        <f t="shared" ca="1" si="39"/>
        <v>Call</v>
      </c>
      <c r="F404" s="4">
        <f t="shared" ca="1" si="40"/>
        <v>-70</v>
      </c>
      <c r="G404" s="4">
        <f ca="1">SUM(F$15:F404)</f>
        <v>5510</v>
      </c>
      <c r="H404" s="6">
        <f t="shared" ca="1" si="37"/>
        <v>0.83292575569070559</v>
      </c>
    </row>
    <row r="405" spans="2:8" x14ac:dyDescent="0.25">
      <c r="B405" s="1">
        <f t="shared" si="38"/>
        <v>391</v>
      </c>
      <c r="C405" s="3">
        <f t="shared" si="41"/>
        <v>70</v>
      </c>
      <c r="D405" s="3">
        <f t="shared" si="42"/>
        <v>100</v>
      </c>
      <c r="E405" s="1" t="str">
        <f t="shared" ca="1" si="39"/>
        <v>Call</v>
      </c>
      <c r="F405" s="4">
        <f t="shared" ca="1" si="40"/>
        <v>-70</v>
      </c>
      <c r="G405" s="4">
        <f ca="1">SUM(F$15:F405)</f>
        <v>5440</v>
      </c>
      <c r="H405" s="6">
        <f t="shared" ca="1" si="37"/>
        <v>0.86437707111642748</v>
      </c>
    </row>
    <row r="406" spans="2:8" x14ac:dyDescent="0.25">
      <c r="B406" s="1">
        <f t="shared" si="38"/>
        <v>392</v>
      </c>
      <c r="C406" s="3">
        <f t="shared" si="41"/>
        <v>70</v>
      </c>
      <c r="D406" s="3">
        <f t="shared" si="42"/>
        <v>100</v>
      </c>
      <c r="E406" s="1" t="str">
        <f t="shared" ca="1" si="39"/>
        <v>Call</v>
      </c>
      <c r="F406" s="4">
        <f t="shared" ca="1" si="40"/>
        <v>-70</v>
      </c>
      <c r="G406" s="4">
        <f ca="1">SUM(F$15:F406)</f>
        <v>5370</v>
      </c>
      <c r="H406" s="6">
        <f t="shared" ca="1" si="37"/>
        <v>0.58006238578993718</v>
      </c>
    </row>
    <row r="407" spans="2:8" x14ac:dyDescent="0.25">
      <c r="B407" s="1">
        <f t="shared" si="38"/>
        <v>393</v>
      </c>
      <c r="C407" s="3">
        <f t="shared" si="41"/>
        <v>70</v>
      </c>
      <c r="D407" s="3">
        <f t="shared" si="42"/>
        <v>100</v>
      </c>
      <c r="E407" s="1" t="str">
        <f t="shared" ca="1" si="39"/>
        <v>Call</v>
      </c>
      <c r="F407" s="4">
        <f t="shared" ca="1" si="40"/>
        <v>-70</v>
      </c>
      <c r="G407" s="4">
        <f ca="1">SUM(F$15:F407)</f>
        <v>5300</v>
      </c>
      <c r="H407" s="6">
        <f t="shared" ca="1" si="37"/>
        <v>0.68377494712160425</v>
      </c>
    </row>
    <row r="408" spans="2:8" x14ac:dyDescent="0.25">
      <c r="B408" s="1">
        <f t="shared" si="38"/>
        <v>394</v>
      </c>
      <c r="C408" s="3">
        <f t="shared" si="41"/>
        <v>70</v>
      </c>
      <c r="D408" s="3">
        <f t="shared" si="42"/>
        <v>100</v>
      </c>
      <c r="E408" s="1" t="str">
        <f t="shared" ca="1" si="39"/>
        <v>Call</v>
      </c>
      <c r="F408" s="4">
        <f t="shared" ca="1" si="40"/>
        <v>-70</v>
      </c>
      <c r="G408" s="4">
        <f ca="1">SUM(F$15:F408)</f>
        <v>5230</v>
      </c>
      <c r="H408" s="6">
        <f t="shared" ca="1" si="37"/>
        <v>0.59061703559388667</v>
      </c>
    </row>
    <row r="409" spans="2:8" x14ac:dyDescent="0.25">
      <c r="B409" s="1">
        <f t="shared" si="38"/>
        <v>395</v>
      </c>
      <c r="C409" s="3">
        <f t="shared" si="41"/>
        <v>70</v>
      </c>
      <c r="D409" s="3">
        <f t="shared" si="42"/>
        <v>100</v>
      </c>
      <c r="E409" s="1" t="str">
        <f t="shared" ca="1" si="39"/>
        <v>Fold</v>
      </c>
      <c r="F409" s="4">
        <f t="shared" ca="1" si="40"/>
        <v>100</v>
      </c>
      <c r="G409" s="4">
        <f ca="1">SUM(F$15:F409)</f>
        <v>5330</v>
      </c>
      <c r="H409" s="6">
        <f t="shared" ca="1" si="37"/>
        <v>4.1110546653840063E-2</v>
      </c>
    </row>
    <row r="410" spans="2:8" x14ac:dyDescent="0.25">
      <c r="B410" s="1">
        <f t="shared" si="38"/>
        <v>396</v>
      </c>
      <c r="C410" s="3">
        <f t="shared" si="41"/>
        <v>70</v>
      </c>
      <c r="D410" s="3">
        <f t="shared" si="42"/>
        <v>100</v>
      </c>
      <c r="E410" s="1" t="str">
        <f t="shared" ca="1" si="39"/>
        <v>Fold</v>
      </c>
      <c r="F410" s="4">
        <f t="shared" ca="1" si="40"/>
        <v>100</v>
      </c>
      <c r="G410" s="4">
        <f ca="1">SUM(F$15:F410)</f>
        <v>5430</v>
      </c>
      <c r="H410" s="6">
        <f t="shared" ca="1" si="37"/>
        <v>0.16431291722038088</v>
      </c>
    </row>
    <row r="411" spans="2:8" x14ac:dyDescent="0.25">
      <c r="B411" s="1">
        <f t="shared" si="38"/>
        <v>397</v>
      </c>
      <c r="C411" s="3">
        <f t="shared" si="41"/>
        <v>70</v>
      </c>
      <c r="D411" s="3">
        <f t="shared" si="42"/>
        <v>100</v>
      </c>
      <c r="E411" s="1" t="str">
        <f t="shared" ca="1" si="39"/>
        <v>Call</v>
      </c>
      <c r="F411" s="4">
        <f t="shared" ca="1" si="40"/>
        <v>-70</v>
      </c>
      <c r="G411" s="4">
        <f ca="1">SUM(F$15:F411)</f>
        <v>5360</v>
      </c>
      <c r="H411" s="6">
        <f t="shared" ca="1" si="37"/>
        <v>0.83790095423232402</v>
      </c>
    </row>
    <row r="412" spans="2:8" x14ac:dyDescent="0.25">
      <c r="B412" s="1">
        <f t="shared" si="38"/>
        <v>398</v>
      </c>
      <c r="C412" s="3">
        <f t="shared" si="41"/>
        <v>70</v>
      </c>
      <c r="D412" s="3">
        <f t="shared" si="42"/>
        <v>100</v>
      </c>
      <c r="E412" s="1" t="str">
        <f t="shared" ca="1" si="39"/>
        <v>Fold</v>
      </c>
      <c r="F412" s="4">
        <f t="shared" ca="1" si="40"/>
        <v>100</v>
      </c>
      <c r="G412" s="4">
        <f ca="1">SUM(F$15:F412)</f>
        <v>5460</v>
      </c>
      <c r="H412" s="6">
        <f t="shared" ca="1" si="37"/>
        <v>0.29633831333695793</v>
      </c>
    </row>
    <row r="413" spans="2:8" x14ac:dyDescent="0.25">
      <c r="B413" s="1">
        <f t="shared" si="38"/>
        <v>399</v>
      </c>
      <c r="C413" s="3">
        <f t="shared" si="41"/>
        <v>70</v>
      </c>
      <c r="D413" s="3">
        <f t="shared" si="42"/>
        <v>100</v>
      </c>
      <c r="E413" s="1" t="str">
        <f t="shared" ca="1" si="39"/>
        <v>Fold</v>
      </c>
      <c r="F413" s="4">
        <f t="shared" ca="1" si="40"/>
        <v>100</v>
      </c>
      <c r="G413" s="4">
        <f ca="1">SUM(F$15:F413)</f>
        <v>5560</v>
      </c>
      <c r="H413" s="6">
        <f t="shared" ca="1" si="37"/>
        <v>0.26192496846849267</v>
      </c>
    </row>
    <row r="414" spans="2:8" x14ac:dyDescent="0.25">
      <c r="B414" s="1">
        <f t="shared" si="38"/>
        <v>400</v>
      </c>
      <c r="C414" s="3">
        <f t="shared" si="41"/>
        <v>70</v>
      </c>
      <c r="D414" s="3">
        <f t="shared" si="42"/>
        <v>100</v>
      </c>
      <c r="E414" s="1" t="str">
        <f t="shared" ca="1" si="39"/>
        <v>Fold</v>
      </c>
      <c r="F414" s="4">
        <f t="shared" ca="1" si="40"/>
        <v>100</v>
      </c>
      <c r="G414" s="4">
        <f ca="1">SUM(F$15:F414)</f>
        <v>5660</v>
      </c>
      <c r="H414" s="6">
        <f t="shared" ref="H414:H477" ca="1" si="43">RAND()</f>
        <v>0.48513164044042867</v>
      </c>
    </row>
    <row r="415" spans="2:8" x14ac:dyDescent="0.25">
      <c r="B415" s="1">
        <f t="shared" si="38"/>
        <v>401</v>
      </c>
      <c r="C415" s="3">
        <f t="shared" si="41"/>
        <v>70</v>
      </c>
      <c r="D415" s="3">
        <f t="shared" si="42"/>
        <v>100</v>
      </c>
      <c r="E415" s="1" t="str">
        <f t="shared" ca="1" si="39"/>
        <v>Fold</v>
      </c>
      <c r="F415" s="4">
        <f t="shared" ca="1" si="40"/>
        <v>100</v>
      </c>
      <c r="G415" s="4">
        <f ca="1">SUM(F$15:F415)</f>
        <v>5760</v>
      </c>
      <c r="H415" s="6">
        <f t="shared" ca="1" si="43"/>
        <v>0.13405180222705337</v>
      </c>
    </row>
    <row r="416" spans="2:8" x14ac:dyDescent="0.25">
      <c r="B416" s="1">
        <f t="shared" si="38"/>
        <v>402</v>
      </c>
      <c r="C416" s="3">
        <f t="shared" si="41"/>
        <v>70</v>
      </c>
      <c r="D416" s="3">
        <f t="shared" si="42"/>
        <v>100</v>
      </c>
      <c r="E416" s="1" t="str">
        <f t="shared" ca="1" si="39"/>
        <v>Call</v>
      </c>
      <c r="F416" s="4">
        <f t="shared" ca="1" si="40"/>
        <v>-70</v>
      </c>
      <c r="G416" s="4">
        <f ca="1">SUM(F$15:F416)</f>
        <v>5690</v>
      </c>
      <c r="H416" s="6">
        <f t="shared" ca="1" si="43"/>
        <v>0.61836064337703156</v>
      </c>
    </row>
    <row r="417" spans="2:8" x14ac:dyDescent="0.25">
      <c r="B417" s="1">
        <f t="shared" si="38"/>
        <v>403</v>
      </c>
      <c r="C417" s="3">
        <f t="shared" si="41"/>
        <v>70</v>
      </c>
      <c r="D417" s="3">
        <f t="shared" si="42"/>
        <v>100</v>
      </c>
      <c r="E417" s="1" t="str">
        <f t="shared" ca="1" si="39"/>
        <v>Fold</v>
      </c>
      <c r="F417" s="4">
        <f t="shared" ca="1" si="40"/>
        <v>100</v>
      </c>
      <c r="G417" s="4">
        <f ca="1">SUM(F$15:F417)</f>
        <v>5790</v>
      </c>
      <c r="H417" s="6">
        <f t="shared" ca="1" si="43"/>
        <v>6.5098551568997354E-2</v>
      </c>
    </row>
    <row r="418" spans="2:8" x14ac:dyDescent="0.25">
      <c r="B418" s="1">
        <f t="shared" si="38"/>
        <v>404</v>
      </c>
      <c r="C418" s="3">
        <f t="shared" si="41"/>
        <v>70</v>
      </c>
      <c r="D418" s="3">
        <f t="shared" si="42"/>
        <v>100</v>
      </c>
      <c r="E418" s="1" t="str">
        <f t="shared" ca="1" si="39"/>
        <v>Call</v>
      </c>
      <c r="F418" s="4">
        <f t="shared" ca="1" si="40"/>
        <v>-70</v>
      </c>
      <c r="G418" s="4">
        <f ca="1">SUM(F$15:F418)</f>
        <v>5720</v>
      </c>
      <c r="H418" s="6">
        <f t="shared" ca="1" si="43"/>
        <v>0.97983660782606063</v>
      </c>
    </row>
    <row r="419" spans="2:8" x14ac:dyDescent="0.25">
      <c r="B419" s="1">
        <f t="shared" si="38"/>
        <v>405</v>
      </c>
      <c r="C419" s="3">
        <f t="shared" si="41"/>
        <v>70</v>
      </c>
      <c r="D419" s="3">
        <f t="shared" si="42"/>
        <v>100</v>
      </c>
      <c r="E419" s="1" t="str">
        <f t="shared" ca="1" si="39"/>
        <v>Call</v>
      </c>
      <c r="F419" s="4">
        <f t="shared" ca="1" si="40"/>
        <v>-70</v>
      </c>
      <c r="G419" s="4">
        <f ca="1">SUM(F$15:F419)</f>
        <v>5650</v>
      </c>
      <c r="H419" s="6">
        <f t="shared" ca="1" si="43"/>
        <v>0.62237824499426075</v>
      </c>
    </row>
    <row r="420" spans="2:8" x14ac:dyDescent="0.25">
      <c r="B420" s="1">
        <f t="shared" si="38"/>
        <v>406</v>
      </c>
      <c r="C420" s="3">
        <f t="shared" si="41"/>
        <v>70</v>
      </c>
      <c r="D420" s="3">
        <f t="shared" si="42"/>
        <v>100</v>
      </c>
      <c r="E420" s="1" t="str">
        <f t="shared" ca="1" si="39"/>
        <v>Call</v>
      </c>
      <c r="F420" s="4">
        <f t="shared" ca="1" si="40"/>
        <v>-70</v>
      </c>
      <c r="G420" s="4">
        <f ca="1">SUM(F$15:F420)</f>
        <v>5580</v>
      </c>
      <c r="H420" s="6">
        <f t="shared" ca="1" si="43"/>
        <v>0.61476536256939274</v>
      </c>
    </row>
    <row r="421" spans="2:8" x14ac:dyDescent="0.25">
      <c r="B421" s="1">
        <f t="shared" si="38"/>
        <v>407</v>
      </c>
      <c r="C421" s="3">
        <f t="shared" si="41"/>
        <v>70</v>
      </c>
      <c r="D421" s="3">
        <f t="shared" si="42"/>
        <v>100</v>
      </c>
      <c r="E421" s="1" t="str">
        <f t="shared" ca="1" si="39"/>
        <v>Fold</v>
      </c>
      <c r="F421" s="4">
        <f t="shared" ca="1" si="40"/>
        <v>100</v>
      </c>
      <c r="G421" s="4">
        <f ca="1">SUM(F$15:F421)</f>
        <v>5680</v>
      </c>
      <c r="H421" s="6">
        <f t="shared" ca="1" si="43"/>
        <v>0.45573009850451773</v>
      </c>
    </row>
    <row r="422" spans="2:8" x14ac:dyDescent="0.25">
      <c r="B422" s="1">
        <f t="shared" si="38"/>
        <v>408</v>
      </c>
      <c r="C422" s="3">
        <f t="shared" si="41"/>
        <v>70</v>
      </c>
      <c r="D422" s="3">
        <f t="shared" si="42"/>
        <v>100</v>
      </c>
      <c r="E422" s="1" t="str">
        <f t="shared" ca="1" si="39"/>
        <v>Fold</v>
      </c>
      <c r="F422" s="4">
        <f t="shared" ca="1" si="40"/>
        <v>100</v>
      </c>
      <c r="G422" s="4">
        <f ca="1">SUM(F$15:F422)</f>
        <v>5780</v>
      </c>
      <c r="H422" s="6">
        <f t="shared" ca="1" si="43"/>
        <v>1.34826727306534E-2</v>
      </c>
    </row>
    <row r="423" spans="2:8" x14ac:dyDescent="0.25">
      <c r="B423" s="1">
        <f t="shared" si="38"/>
        <v>409</v>
      </c>
      <c r="C423" s="3">
        <f t="shared" si="41"/>
        <v>70</v>
      </c>
      <c r="D423" s="3">
        <f t="shared" si="42"/>
        <v>100</v>
      </c>
      <c r="E423" s="1" t="str">
        <f t="shared" ca="1" si="39"/>
        <v>Call</v>
      </c>
      <c r="F423" s="4">
        <f t="shared" ca="1" si="40"/>
        <v>-70</v>
      </c>
      <c r="G423" s="4">
        <f ca="1">SUM(F$15:F423)</f>
        <v>5710</v>
      </c>
      <c r="H423" s="6">
        <f t="shared" ca="1" si="43"/>
        <v>0.76798137669380162</v>
      </c>
    </row>
    <row r="424" spans="2:8" x14ac:dyDescent="0.25">
      <c r="B424" s="1">
        <f t="shared" si="38"/>
        <v>410</v>
      </c>
      <c r="C424" s="3">
        <f t="shared" si="41"/>
        <v>70</v>
      </c>
      <c r="D424" s="3">
        <f t="shared" si="42"/>
        <v>100</v>
      </c>
      <c r="E424" s="1" t="str">
        <f t="shared" ca="1" si="39"/>
        <v>Call</v>
      </c>
      <c r="F424" s="4">
        <f t="shared" ca="1" si="40"/>
        <v>-70</v>
      </c>
      <c r="G424" s="4">
        <f ca="1">SUM(F$15:F424)</f>
        <v>5640</v>
      </c>
      <c r="H424" s="6">
        <f t="shared" ca="1" si="43"/>
        <v>0.88883886533324097</v>
      </c>
    </row>
    <row r="425" spans="2:8" x14ac:dyDescent="0.25">
      <c r="B425" s="1">
        <f t="shared" si="38"/>
        <v>411</v>
      </c>
      <c r="C425" s="3">
        <f t="shared" si="41"/>
        <v>70</v>
      </c>
      <c r="D425" s="3">
        <f t="shared" si="42"/>
        <v>100</v>
      </c>
      <c r="E425" s="1" t="str">
        <f t="shared" ca="1" si="39"/>
        <v>Call</v>
      </c>
      <c r="F425" s="4">
        <f t="shared" ca="1" si="40"/>
        <v>-70</v>
      </c>
      <c r="G425" s="4">
        <f ca="1">SUM(F$15:F425)</f>
        <v>5570</v>
      </c>
      <c r="H425" s="6">
        <f t="shared" ca="1" si="43"/>
        <v>0.59967383264014329</v>
      </c>
    </row>
    <row r="426" spans="2:8" x14ac:dyDescent="0.25">
      <c r="B426" s="1">
        <f t="shared" si="38"/>
        <v>412</v>
      </c>
      <c r="C426" s="3">
        <f t="shared" si="41"/>
        <v>70</v>
      </c>
      <c r="D426" s="3">
        <f t="shared" si="42"/>
        <v>100</v>
      </c>
      <c r="E426" s="1" t="str">
        <f t="shared" ca="1" si="39"/>
        <v>Fold</v>
      </c>
      <c r="F426" s="4">
        <f t="shared" ca="1" si="40"/>
        <v>100</v>
      </c>
      <c r="G426" s="4">
        <f ca="1">SUM(F$15:F426)</f>
        <v>5670</v>
      </c>
      <c r="H426" s="6">
        <f t="shared" ca="1" si="43"/>
        <v>0.16369769561835712</v>
      </c>
    </row>
    <row r="427" spans="2:8" x14ac:dyDescent="0.25">
      <c r="B427" s="1">
        <f t="shared" si="38"/>
        <v>413</v>
      </c>
      <c r="C427" s="3">
        <f t="shared" si="41"/>
        <v>70</v>
      </c>
      <c r="D427" s="3">
        <f t="shared" si="42"/>
        <v>100</v>
      </c>
      <c r="E427" s="1" t="str">
        <f t="shared" ca="1" si="39"/>
        <v>Call</v>
      </c>
      <c r="F427" s="4">
        <f t="shared" ca="1" si="40"/>
        <v>-70</v>
      </c>
      <c r="G427" s="4">
        <f ca="1">SUM(F$15:F427)</f>
        <v>5600</v>
      </c>
      <c r="H427" s="6">
        <f t="shared" ca="1" si="43"/>
        <v>0.84996271426116499</v>
      </c>
    </row>
    <row r="428" spans="2:8" x14ac:dyDescent="0.25">
      <c r="B428" s="1">
        <f t="shared" si="38"/>
        <v>414</v>
      </c>
      <c r="C428" s="3">
        <f t="shared" si="41"/>
        <v>70</v>
      </c>
      <c r="D428" s="3">
        <f t="shared" si="42"/>
        <v>100</v>
      </c>
      <c r="E428" s="1" t="str">
        <f t="shared" ca="1" si="39"/>
        <v>Fold</v>
      </c>
      <c r="F428" s="4">
        <f t="shared" ca="1" si="40"/>
        <v>100</v>
      </c>
      <c r="G428" s="4">
        <f ca="1">SUM(F$15:F428)</f>
        <v>5700</v>
      </c>
      <c r="H428" s="6">
        <f t="shared" ca="1" si="43"/>
        <v>4.6242327651562221E-3</v>
      </c>
    </row>
    <row r="429" spans="2:8" x14ac:dyDescent="0.25">
      <c r="B429" s="1">
        <f t="shared" si="38"/>
        <v>415</v>
      </c>
      <c r="C429" s="3">
        <f t="shared" si="41"/>
        <v>70</v>
      </c>
      <c r="D429" s="3">
        <f t="shared" si="42"/>
        <v>100</v>
      </c>
      <c r="E429" s="1" t="str">
        <f t="shared" ca="1" si="39"/>
        <v>Fold</v>
      </c>
      <c r="F429" s="4">
        <f t="shared" ca="1" si="40"/>
        <v>100</v>
      </c>
      <c r="G429" s="4">
        <f ca="1">SUM(F$15:F429)</f>
        <v>5800</v>
      </c>
      <c r="H429" s="6">
        <f t="shared" ca="1" si="43"/>
        <v>0.11578972713837143</v>
      </c>
    </row>
    <row r="430" spans="2:8" x14ac:dyDescent="0.25">
      <c r="B430" s="1">
        <f t="shared" si="38"/>
        <v>416</v>
      </c>
      <c r="C430" s="3">
        <f t="shared" si="41"/>
        <v>70</v>
      </c>
      <c r="D430" s="3">
        <f t="shared" si="42"/>
        <v>100</v>
      </c>
      <c r="E430" s="1" t="str">
        <f t="shared" ca="1" si="39"/>
        <v>Call</v>
      </c>
      <c r="F430" s="4">
        <f t="shared" ca="1" si="40"/>
        <v>-70</v>
      </c>
      <c r="G430" s="4">
        <f ca="1">SUM(F$15:F430)</f>
        <v>5730</v>
      </c>
      <c r="H430" s="6">
        <f t="shared" ca="1" si="43"/>
        <v>0.59878872596540222</v>
      </c>
    </row>
    <row r="431" spans="2:8" x14ac:dyDescent="0.25">
      <c r="B431" s="1">
        <f t="shared" si="38"/>
        <v>417</v>
      </c>
      <c r="C431" s="3">
        <f t="shared" si="41"/>
        <v>70</v>
      </c>
      <c r="D431" s="3">
        <f t="shared" si="42"/>
        <v>100</v>
      </c>
      <c r="E431" s="1" t="str">
        <f t="shared" ca="1" si="39"/>
        <v>Call</v>
      </c>
      <c r="F431" s="4">
        <f t="shared" ca="1" si="40"/>
        <v>-70</v>
      </c>
      <c r="G431" s="4">
        <f ca="1">SUM(F$15:F431)</f>
        <v>5660</v>
      </c>
      <c r="H431" s="6">
        <f t="shared" ca="1" si="43"/>
        <v>0.79317631067604144</v>
      </c>
    </row>
    <row r="432" spans="2:8" x14ac:dyDescent="0.25">
      <c r="B432" s="1">
        <f t="shared" si="38"/>
        <v>418</v>
      </c>
      <c r="C432" s="3">
        <f t="shared" si="41"/>
        <v>70</v>
      </c>
      <c r="D432" s="3">
        <f t="shared" si="42"/>
        <v>100</v>
      </c>
      <c r="E432" s="1" t="str">
        <f t="shared" ca="1" si="39"/>
        <v>Fold</v>
      </c>
      <c r="F432" s="4">
        <f t="shared" ca="1" si="40"/>
        <v>100</v>
      </c>
      <c r="G432" s="4">
        <f ca="1">SUM(F$15:F432)</f>
        <v>5760</v>
      </c>
      <c r="H432" s="6">
        <f t="shared" ca="1" si="43"/>
        <v>0.41983505285534228</v>
      </c>
    </row>
    <row r="433" spans="2:8" x14ac:dyDescent="0.25">
      <c r="B433" s="1">
        <f t="shared" si="38"/>
        <v>419</v>
      </c>
      <c r="C433" s="3">
        <f t="shared" si="41"/>
        <v>70</v>
      </c>
      <c r="D433" s="3">
        <f t="shared" si="42"/>
        <v>100</v>
      </c>
      <c r="E433" s="1" t="str">
        <f t="shared" ca="1" si="39"/>
        <v>Call</v>
      </c>
      <c r="F433" s="4">
        <f t="shared" ca="1" si="40"/>
        <v>-70</v>
      </c>
      <c r="G433" s="4">
        <f ca="1">SUM(F$15:F433)</f>
        <v>5690</v>
      </c>
      <c r="H433" s="6">
        <f t="shared" ca="1" si="43"/>
        <v>0.94914222024072059</v>
      </c>
    </row>
    <row r="434" spans="2:8" x14ac:dyDescent="0.25">
      <c r="B434" s="1">
        <f t="shared" si="38"/>
        <v>420</v>
      </c>
      <c r="C434" s="3">
        <f t="shared" si="41"/>
        <v>70</v>
      </c>
      <c r="D434" s="3">
        <f t="shared" si="42"/>
        <v>100</v>
      </c>
      <c r="E434" s="1" t="str">
        <f t="shared" ca="1" si="39"/>
        <v>Fold</v>
      </c>
      <c r="F434" s="4">
        <f t="shared" ca="1" si="40"/>
        <v>100</v>
      </c>
      <c r="G434" s="4">
        <f ca="1">SUM(F$15:F434)</f>
        <v>5790</v>
      </c>
      <c r="H434" s="6">
        <f t="shared" ca="1" si="43"/>
        <v>0.49309487677759978</v>
      </c>
    </row>
    <row r="435" spans="2:8" x14ac:dyDescent="0.25">
      <c r="B435" s="1">
        <f t="shared" si="38"/>
        <v>421</v>
      </c>
      <c r="C435" s="3">
        <f t="shared" si="41"/>
        <v>70</v>
      </c>
      <c r="D435" s="3">
        <f t="shared" si="42"/>
        <v>100</v>
      </c>
      <c r="E435" s="1" t="str">
        <f t="shared" ca="1" si="39"/>
        <v>Fold</v>
      </c>
      <c r="F435" s="4">
        <f t="shared" ca="1" si="40"/>
        <v>100</v>
      </c>
      <c r="G435" s="4">
        <f ca="1">SUM(F$15:F435)</f>
        <v>5890</v>
      </c>
      <c r="H435" s="6">
        <f t="shared" ca="1" si="43"/>
        <v>0.15637571639097647</v>
      </c>
    </row>
    <row r="436" spans="2:8" x14ac:dyDescent="0.25">
      <c r="B436" s="1">
        <f t="shared" si="38"/>
        <v>422</v>
      </c>
      <c r="C436" s="3">
        <f t="shared" si="41"/>
        <v>70</v>
      </c>
      <c r="D436" s="3">
        <f t="shared" si="42"/>
        <v>100</v>
      </c>
      <c r="E436" s="1" t="str">
        <f t="shared" ca="1" si="39"/>
        <v>Fold</v>
      </c>
      <c r="F436" s="4">
        <f t="shared" ca="1" si="40"/>
        <v>100</v>
      </c>
      <c r="G436" s="4">
        <f ca="1">SUM(F$15:F436)</f>
        <v>5990</v>
      </c>
      <c r="H436" s="6">
        <f t="shared" ca="1" si="43"/>
        <v>0.28198311860515068</v>
      </c>
    </row>
    <row r="437" spans="2:8" x14ac:dyDescent="0.25">
      <c r="B437" s="1">
        <f t="shared" si="38"/>
        <v>423</v>
      </c>
      <c r="C437" s="3">
        <f t="shared" si="41"/>
        <v>70</v>
      </c>
      <c r="D437" s="3">
        <f t="shared" si="42"/>
        <v>100</v>
      </c>
      <c r="E437" s="1" t="str">
        <f t="shared" ca="1" si="39"/>
        <v>Fold</v>
      </c>
      <c r="F437" s="4">
        <f t="shared" ca="1" si="40"/>
        <v>100</v>
      </c>
      <c r="G437" s="4">
        <f ca="1">SUM(F$15:F437)</f>
        <v>6090</v>
      </c>
      <c r="H437" s="6">
        <f t="shared" ca="1" si="43"/>
        <v>0.23065156862936464</v>
      </c>
    </row>
    <row r="438" spans="2:8" x14ac:dyDescent="0.25">
      <c r="B438" s="1">
        <f t="shared" si="38"/>
        <v>424</v>
      </c>
      <c r="C438" s="3">
        <f t="shared" si="41"/>
        <v>70</v>
      </c>
      <c r="D438" s="3">
        <f t="shared" si="42"/>
        <v>100</v>
      </c>
      <c r="E438" s="1" t="str">
        <f t="shared" ca="1" si="39"/>
        <v>Fold</v>
      </c>
      <c r="F438" s="4">
        <f t="shared" ca="1" si="40"/>
        <v>100</v>
      </c>
      <c r="G438" s="4">
        <f ca="1">SUM(F$15:F438)</f>
        <v>6190</v>
      </c>
      <c r="H438" s="6">
        <f t="shared" ca="1" si="43"/>
        <v>0.12573718633295938</v>
      </c>
    </row>
    <row r="439" spans="2:8" x14ac:dyDescent="0.25">
      <c r="B439" s="1">
        <f t="shared" si="38"/>
        <v>425</v>
      </c>
      <c r="C439" s="3">
        <f t="shared" si="41"/>
        <v>70</v>
      </c>
      <c r="D439" s="3">
        <f t="shared" si="42"/>
        <v>100</v>
      </c>
      <c r="E439" s="1" t="str">
        <f t="shared" ca="1" si="39"/>
        <v>Call</v>
      </c>
      <c r="F439" s="4">
        <f t="shared" ca="1" si="40"/>
        <v>-70</v>
      </c>
      <c r="G439" s="4">
        <f ca="1">SUM(F$15:F439)</f>
        <v>6120</v>
      </c>
      <c r="H439" s="6">
        <f t="shared" ca="1" si="43"/>
        <v>0.76328343656192044</v>
      </c>
    </row>
    <row r="440" spans="2:8" x14ac:dyDescent="0.25">
      <c r="B440" s="1">
        <f t="shared" si="38"/>
        <v>426</v>
      </c>
      <c r="C440" s="3">
        <f t="shared" si="41"/>
        <v>70</v>
      </c>
      <c r="D440" s="3">
        <f t="shared" si="42"/>
        <v>100</v>
      </c>
      <c r="E440" s="1" t="str">
        <f t="shared" ca="1" si="39"/>
        <v>Fold</v>
      </c>
      <c r="F440" s="4">
        <f t="shared" ca="1" si="40"/>
        <v>100</v>
      </c>
      <c r="G440" s="4">
        <f ca="1">SUM(F$15:F440)</f>
        <v>6220</v>
      </c>
      <c r="H440" s="6">
        <f t="shared" ca="1" si="43"/>
        <v>0.10231612017073666</v>
      </c>
    </row>
    <row r="441" spans="2:8" x14ac:dyDescent="0.25">
      <c r="B441" s="1">
        <f t="shared" si="38"/>
        <v>427</v>
      </c>
      <c r="C441" s="3">
        <f t="shared" si="41"/>
        <v>70</v>
      </c>
      <c r="D441" s="3">
        <f t="shared" si="42"/>
        <v>100</v>
      </c>
      <c r="E441" s="1" t="str">
        <f t="shared" ca="1" si="39"/>
        <v>Fold</v>
      </c>
      <c r="F441" s="4">
        <f t="shared" ca="1" si="40"/>
        <v>100</v>
      </c>
      <c r="G441" s="4">
        <f ca="1">SUM(F$15:F441)</f>
        <v>6320</v>
      </c>
      <c r="H441" s="6">
        <f t="shared" ca="1" si="43"/>
        <v>0.22113010849212145</v>
      </c>
    </row>
    <row r="442" spans="2:8" x14ac:dyDescent="0.25">
      <c r="B442" s="1">
        <f t="shared" si="38"/>
        <v>428</v>
      </c>
      <c r="C442" s="3">
        <f t="shared" si="41"/>
        <v>70</v>
      </c>
      <c r="D442" s="3">
        <f t="shared" si="42"/>
        <v>100</v>
      </c>
      <c r="E442" s="1" t="str">
        <f t="shared" ca="1" si="39"/>
        <v>Fold</v>
      </c>
      <c r="F442" s="4">
        <f t="shared" ca="1" si="40"/>
        <v>100</v>
      </c>
      <c r="G442" s="4">
        <f ca="1">SUM(F$15:F442)</f>
        <v>6420</v>
      </c>
      <c r="H442" s="6">
        <f t="shared" ca="1" si="43"/>
        <v>0.25347135304209034</v>
      </c>
    </row>
    <row r="443" spans="2:8" x14ac:dyDescent="0.25">
      <c r="B443" s="1">
        <f t="shared" si="38"/>
        <v>429</v>
      </c>
      <c r="C443" s="3">
        <f t="shared" si="41"/>
        <v>70</v>
      </c>
      <c r="D443" s="3">
        <f t="shared" si="42"/>
        <v>100</v>
      </c>
      <c r="E443" s="1" t="str">
        <f t="shared" ca="1" si="39"/>
        <v>Call</v>
      </c>
      <c r="F443" s="4">
        <f t="shared" ca="1" si="40"/>
        <v>-70</v>
      </c>
      <c r="G443" s="4">
        <f ca="1">SUM(F$15:F443)</f>
        <v>6350</v>
      </c>
      <c r="H443" s="6">
        <f t="shared" ca="1" si="43"/>
        <v>0.8386378008708214</v>
      </c>
    </row>
    <row r="444" spans="2:8" x14ac:dyDescent="0.25">
      <c r="B444" s="1">
        <f t="shared" si="38"/>
        <v>430</v>
      </c>
      <c r="C444" s="3">
        <f t="shared" si="41"/>
        <v>70</v>
      </c>
      <c r="D444" s="3">
        <f t="shared" si="42"/>
        <v>100</v>
      </c>
      <c r="E444" s="1" t="str">
        <f t="shared" ca="1" si="39"/>
        <v>Call</v>
      </c>
      <c r="F444" s="4">
        <f t="shared" ca="1" si="40"/>
        <v>-70</v>
      </c>
      <c r="G444" s="4">
        <f ca="1">SUM(F$15:F444)</f>
        <v>6280</v>
      </c>
      <c r="H444" s="6">
        <f t="shared" ca="1" si="43"/>
        <v>0.66662986192040263</v>
      </c>
    </row>
    <row r="445" spans="2:8" x14ac:dyDescent="0.25">
      <c r="B445" s="1">
        <f t="shared" si="38"/>
        <v>431</v>
      </c>
      <c r="C445" s="3">
        <f t="shared" si="41"/>
        <v>70</v>
      </c>
      <c r="D445" s="3">
        <f t="shared" si="42"/>
        <v>100</v>
      </c>
      <c r="E445" s="1" t="str">
        <f t="shared" ca="1" si="39"/>
        <v>Call</v>
      </c>
      <c r="F445" s="4">
        <f t="shared" ca="1" si="40"/>
        <v>-70</v>
      </c>
      <c r="G445" s="4">
        <f ca="1">SUM(F$15:F445)</f>
        <v>6210</v>
      </c>
      <c r="H445" s="6">
        <f t="shared" ca="1" si="43"/>
        <v>0.98002574609886139</v>
      </c>
    </row>
    <row r="446" spans="2:8" x14ac:dyDescent="0.25">
      <c r="B446" s="1">
        <f t="shared" si="38"/>
        <v>432</v>
      </c>
      <c r="C446" s="3">
        <f t="shared" si="41"/>
        <v>70</v>
      </c>
      <c r="D446" s="3">
        <f t="shared" si="42"/>
        <v>100</v>
      </c>
      <c r="E446" s="1" t="str">
        <f t="shared" ca="1" si="39"/>
        <v>Call</v>
      </c>
      <c r="F446" s="4">
        <f t="shared" ca="1" si="40"/>
        <v>-70</v>
      </c>
      <c r="G446" s="4">
        <f ca="1">SUM(F$15:F446)</f>
        <v>6140</v>
      </c>
      <c r="H446" s="6">
        <f t="shared" ca="1" si="43"/>
        <v>0.62225438548890022</v>
      </c>
    </row>
    <row r="447" spans="2:8" x14ac:dyDescent="0.25">
      <c r="B447" s="1">
        <f t="shared" ref="B447:B476" si="44">B446+1</f>
        <v>433</v>
      </c>
      <c r="C447" s="3">
        <f t="shared" si="41"/>
        <v>70</v>
      </c>
      <c r="D447" s="3">
        <f t="shared" si="42"/>
        <v>100</v>
      </c>
      <c r="E447" s="1" t="str">
        <f t="shared" ca="1" si="39"/>
        <v>Fold</v>
      </c>
      <c r="F447" s="4">
        <f t="shared" ca="1" si="40"/>
        <v>100</v>
      </c>
      <c r="G447" s="4">
        <f ca="1">SUM(F$15:F447)</f>
        <v>6240</v>
      </c>
      <c r="H447" s="6">
        <f t="shared" ca="1" si="43"/>
        <v>0.16999493528411636</v>
      </c>
    </row>
    <row r="448" spans="2:8" x14ac:dyDescent="0.25">
      <c r="B448" s="1">
        <f t="shared" si="44"/>
        <v>434</v>
      </c>
      <c r="C448" s="3">
        <f t="shared" si="41"/>
        <v>70</v>
      </c>
      <c r="D448" s="3">
        <f t="shared" si="42"/>
        <v>100</v>
      </c>
      <c r="E448" s="1" t="str">
        <f t="shared" ca="1" si="39"/>
        <v>Fold</v>
      </c>
      <c r="F448" s="4">
        <f t="shared" ca="1" si="40"/>
        <v>100</v>
      </c>
      <c r="G448" s="4">
        <f ca="1">SUM(F$15:F448)</f>
        <v>6340</v>
      </c>
      <c r="H448" s="6">
        <f t="shared" ca="1" si="43"/>
        <v>0.42644529328867364</v>
      </c>
    </row>
    <row r="449" spans="2:8" x14ac:dyDescent="0.25">
      <c r="B449" s="1">
        <f t="shared" si="44"/>
        <v>435</v>
      </c>
      <c r="C449" s="3">
        <f t="shared" si="41"/>
        <v>70</v>
      </c>
      <c r="D449" s="3">
        <f t="shared" si="42"/>
        <v>100</v>
      </c>
      <c r="E449" s="1" t="str">
        <f t="shared" ca="1" si="39"/>
        <v>Call</v>
      </c>
      <c r="F449" s="4">
        <f t="shared" ca="1" si="40"/>
        <v>-70</v>
      </c>
      <c r="G449" s="4">
        <f ca="1">SUM(F$15:F449)</f>
        <v>6270</v>
      </c>
      <c r="H449" s="6">
        <f t="shared" ca="1" si="43"/>
        <v>0.81913857989702688</v>
      </c>
    </row>
    <row r="450" spans="2:8" x14ac:dyDescent="0.25">
      <c r="B450" s="1">
        <f t="shared" si="44"/>
        <v>436</v>
      </c>
      <c r="C450" s="3">
        <f t="shared" si="41"/>
        <v>70</v>
      </c>
      <c r="D450" s="3">
        <f t="shared" si="42"/>
        <v>100</v>
      </c>
      <c r="E450" s="1" t="str">
        <f t="shared" ca="1" si="39"/>
        <v>Fold</v>
      </c>
      <c r="F450" s="4">
        <f t="shared" ca="1" si="40"/>
        <v>100</v>
      </c>
      <c r="G450" s="4">
        <f ca="1">SUM(F$15:F450)</f>
        <v>6370</v>
      </c>
      <c r="H450" s="6">
        <f t="shared" ca="1" si="43"/>
        <v>0.12927702025523713</v>
      </c>
    </row>
    <row r="451" spans="2:8" x14ac:dyDescent="0.25">
      <c r="B451" s="1">
        <f t="shared" si="44"/>
        <v>437</v>
      </c>
      <c r="C451" s="3">
        <f t="shared" si="41"/>
        <v>70</v>
      </c>
      <c r="D451" s="3">
        <f t="shared" si="42"/>
        <v>100</v>
      </c>
      <c r="E451" s="1" t="str">
        <f t="shared" ca="1" si="39"/>
        <v>Call</v>
      </c>
      <c r="F451" s="4">
        <f t="shared" ca="1" si="40"/>
        <v>-70</v>
      </c>
      <c r="G451" s="4">
        <f ca="1">SUM(F$15:F451)</f>
        <v>6300</v>
      </c>
      <c r="H451" s="6">
        <f t="shared" ca="1" si="43"/>
        <v>0.55054496502862105</v>
      </c>
    </row>
    <row r="452" spans="2:8" x14ac:dyDescent="0.25">
      <c r="B452" s="1">
        <f t="shared" si="44"/>
        <v>438</v>
      </c>
      <c r="C452" s="3">
        <f t="shared" si="41"/>
        <v>70</v>
      </c>
      <c r="D452" s="3">
        <f t="shared" si="42"/>
        <v>100</v>
      </c>
      <c r="E452" s="1" t="str">
        <f t="shared" ca="1" si="39"/>
        <v>Fold</v>
      </c>
      <c r="F452" s="4">
        <f t="shared" ca="1" si="40"/>
        <v>100</v>
      </c>
      <c r="G452" s="4">
        <f ca="1">SUM(F$15:F452)</f>
        <v>6400</v>
      </c>
      <c r="H452" s="6">
        <f t="shared" ca="1" si="43"/>
        <v>0.2014889924026303</v>
      </c>
    </row>
    <row r="453" spans="2:8" x14ac:dyDescent="0.25">
      <c r="B453" s="1">
        <f t="shared" si="44"/>
        <v>439</v>
      </c>
      <c r="C453" s="3">
        <f t="shared" si="41"/>
        <v>70</v>
      </c>
      <c r="D453" s="3">
        <f t="shared" si="42"/>
        <v>100</v>
      </c>
      <c r="E453" s="1" t="str">
        <f t="shared" ca="1" si="39"/>
        <v>Fold</v>
      </c>
      <c r="F453" s="4">
        <f t="shared" ca="1" si="40"/>
        <v>100</v>
      </c>
      <c r="G453" s="4">
        <f ca="1">SUM(F$15:F453)</f>
        <v>6500</v>
      </c>
      <c r="H453" s="6">
        <f t="shared" ca="1" si="43"/>
        <v>9.1223589097638502E-2</v>
      </c>
    </row>
    <row r="454" spans="2:8" x14ac:dyDescent="0.25">
      <c r="B454" s="1">
        <f t="shared" si="44"/>
        <v>440</v>
      </c>
      <c r="C454" s="3">
        <f t="shared" si="41"/>
        <v>70</v>
      </c>
      <c r="D454" s="3">
        <f t="shared" si="42"/>
        <v>100</v>
      </c>
      <c r="E454" s="1" t="str">
        <f t="shared" ca="1" si="39"/>
        <v>Fold</v>
      </c>
      <c r="F454" s="4">
        <f t="shared" ca="1" si="40"/>
        <v>100</v>
      </c>
      <c r="G454" s="4">
        <f ca="1">SUM(F$15:F454)</f>
        <v>6600</v>
      </c>
      <c r="H454" s="6">
        <f t="shared" ca="1" si="43"/>
        <v>0.33309506294248203</v>
      </c>
    </row>
    <row r="455" spans="2:8" x14ac:dyDescent="0.25">
      <c r="B455" s="1">
        <f t="shared" si="44"/>
        <v>441</v>
      </c>
      <c r="C455" s="3">
        <f t="shared" si="41"/>
        <v>70</v>
      </c>
      <c r="D455" s="3">
        <f t="shared" si="42"/>
        <v>100</v>
      </c>
      <c r="E455" s="1" t="str">
        <f t="shared" ca="1" si="39"/>
        <v>Call</v>
      </c>
      <c r="F455" s="4">
        <f t="shared" ca="1" si="40"/>
        <v>-70</v>
      </c>
      <c r="G455" s="4">
        <f ca="1">SUM(F$15:F455)</f>
        <v>6530</v>
      </c>
      <c r="H455" s="6">
        <f t="shared" ca="1" si="43"/>
        <v>0.84323444519026747</v>
      </c>
    </row>
    <row r="456" spans="2:8" x14ac:dyDescent="0.25">
      <c r="B456" s="1">
        <f t="shared" si="44"/>
        <v>442</v>
      </c>
      <c r="C456" s="3">
        <f t="shared" si="41"/>
        <v>70</v>
      </c>
      <c r="D456" s="3">
        <f t="shared" si="42"/>
        <v>100</v>
      </c>
      <c r="E456" s="1" t="str">
        <f t="shared" ca="1" si="39"/>
        <v>Call</v>
      </c>
      <c r="F456" s="4">
        <f t="shared" ca="1" si="40"/>
        <v>-70</v>
      </c>
      <c r="G456" s="4">
        <f ca="1">SUM(F$15:F456)</f>
        <v>6460</v>
      </c>
      <c r="H456" s="6">
        <f t="shared" ca="1" si="43"/>
        <v>0.53513962718892172</v>
      </c>
    </row>
    <row r="457" spans="2:8" x14ac:dyDescent="0.25">
      <c r="B457" s="1">
        <f t="shared" si="44"/>
        <v>443</v>
      </c>
      <c r="C457" s="3">
        <f t="shared" si="41"/>
        <v>70</v>
      </c>
      <c r="D457" s="3">
        <f t="shared" si="42"/>
        <v>100</v>
      </c>
      <c r="E457" s="1" t="str">
        <f t="shared" ca="1" si="39"/>
        <v>Fold</v>
      </c>
      <c r="F457" s="4">
        <f t="shared" ca="1" si="40"/>
        <v>100</v>
      </c>
      <c r="G457" s="4">
        <f ca="1">SUM(F$15:F457)</f>
        <v>6560</v>
      </c>
      <c r="H457" s="6">
        <f t="shared" ca="1" si="43"/>
        <v>0.38527767708953753</v>
      </c>
    </row>
    <row r="458" spans="2:8" x14ac:dyDescent="0.25">
      <c r="B458" s="1">
        <f t="shared" si="44"/>
        <v>444</v>
      </c>
      <c r="C458" s="3">
        <f t="shared" si="41"/>
        <v>70</v>
      </c>
      <c r="D458" s="3">
        <f t="shared" si="42"/>
        <v>100</v>
      </c>
      <c r="E458" s="1" t="str">
        <f t="shared" ca="1" si="39"/>
        <v>Fold</v>
      </c>
      <c r="F458" s="4">
        <f t="shared" ca="1" si="40"/>
        <v>100</v>
      </c>
      <c r="G458" s="4">
        <f ca="1">SUM(F$15:F458)</f>
        <v>6660</v>
      </c>
      <c r="H458" s="6">
        <f t="shared" ca="1" si="43"/>
        <v>0.34518845784528773</v>
      </c>
    </row>
    <row r="459" spans="2:8" x14ac:dyDescent="0.25">
      <c r="B459" s="1">
        <f t="shared" si="44"/>
        <v>445</v>
      </c>
      <c r="C459" s="3">
        <f t="shared" si="41"/>
        <v>70</v>
      </c>
      <c r="D459" s="3">
        <f t="shared" si="42"/>
        <v>100</v>
      </c>
      <c r="E459" s="1" t="str">
        <f t="shared" ca="1" si="39"/>
        <v>Call</v>
      </c>
      <c r="F459" s="4">
        <f t="shared" ca="1" si="40"/>
        <v>-70</v>
      </c>
      <c r="G459" s="4">
        <f ca="1">SUM(F$15:F459)</f>
        <v>6590</v>
      </c>
      <c r="H459" s="6">
        <f t="shared" ca="1" si="43"/>
        <v>0.57736295291064277</v>
      </c>
    </row>
    <row r="460" spans="2:8" x14ac:dyDescent="0.25">
      <c r="B460" s="1">
        <f t="shared" si="44"/>
        <v>446</v>
      </c>
      <c r="C460" s="3">
        <f t="shared" si="41"/>
        <v>70</v>
      </c>
      <c r="D460" s="3">
        <f t="shared" si="42"/>
        <v>100</v>
      </c>
      <c r="E460" s="1" t="str">
        <f t="shared" ca="1" si="39"/>
        <v>Call</v>
      </c>
      <c r="F460" s="4">
        <f t="shared" ca="1" si="40"/>
        <v>-70</v>
      </c>
      <c r="G460" s="4">
        <f ca="1">SUM(F$15:F460)</f>
        <v>6520</v>
      </c>
      <c r="H460" s="6">
        <f t="shared" ca="1" si="43"/>
        <v>0.95745939429853733</v>
      </c>
    </row>
    <row r="461" spans="2:8" x14ac:dyDescent="0.25">
      <c r="B461" s="1">
        <f t="shared" si="44"/>
        <v>447</v>
      </c>
      <c r="C461" s="3">
        <f t="shared" si="41"/>
        <v>70</v>
      </c>
      <c r="D461" s="3">
        <f t="shared" si="42"/>
        <v>100</v>
      </c>
      <c r="E461" s="1" t="str">
        <f t="shared" ca="1" si="39"/>
        <v>Fold</v>
      </c>
      <c r="F461" s="4">
        <f t="shared" ca="1" si="40"/>
        <v>100</v>
      </c>
      <c r="G461" s="4">
        <f ca="1">SUM(F$15:F461)</f>
        <v>6620</v>
      </c>
      <c r="H461" s="6">
        <f t="shared" ca="1" si="43"/>
        <v>0.13692816722250489</v>
      </c>
    </row>
    <row r="462" spans="2:8" x14ac:dyDescent="0.25">
      <c r="B462" s="1">
        <f t="shared" si="44"/>
        <v>448</v>
      </c>
      <c r="C462" s="3">
        <f t="shared" si="41"/>
        <v>70</v>
      </c>
      <c r="D462" s="3">
        <f t="shared" si="42"/>
        <v>100</v>
      </c>
      <c r="E462" s="1" t="str">
        <f t="shared" ca="1" si="39"/>
        <v>Fold</v>
      </c>
      <c r="F462" s="4">
        <f t="shared" ca="1" si="40"/>
        <v>100</v>
      </c>
      <c r="G462" s="4">
        <f ca="1">SUM(F$15:F462)</f>
        <v>6720</v>
      </c>
      <c r="H462" s="6">
        <f t="shared" ca="1" si="43"/>
        <v>0.37497145387543951</v>
      </c>
    </row>
    <row r="463" spans="2:8" x14ac:dyDescent="0.25">
      <c r="B463" s="1">
        <f t="shared" si="44"/>
        <v>449</v>
      </c>
      <c r="C463" s="3">
        <f t="shared" si="41"/>
        <v>70</v>
      </c>
      <c r="D463" s="3">
        <f t="shared" si="42"/>
        <v>100</v>
      </c>
      <c r="E463" s="1" t="str">
        <f t="shared" ref="E463:E514" ca="1" si="45">IF(H463&lt;$D$3,"Fold","Call")</f>
        <v>Call</v>
      </c>
      <c r="F463" s="4">
        <f t="shared" ca="1" si="40"/>
        <v>-70</v>
      </c>
      <c r="G463" s="4">
        <f ca="1">SUM(F$15:F463)</f>
        <v>6650</v>
      </c>
      <c r="H463" s="6">
        <f t="shared" ca="1" si="43"/>
        <v>0.53298233629497804</v>
      </c>
    </row>
    <row r="464" spans="2:8" x14ac:dyDescent="0.25">
      <c r="B464" s="1">
        <f t="shared" si="44"/>
        <v>450</v>
      </c>
      <c r="C464" s="3">
        <f t="shared" si="41"/>
        <v>70</v>
      </c>
      <c r="D464" s="3">
        <f t="shared" si="42"/>
        <v>100</v>
      </c>
      <c r="E464" s="1" t="str">
        <f t="shared" ca="1" si="45"/>
        <v>Fold</v>
      </c>
      <c r="F464" s="4">
        <f t="shared" ref="F464:F514" ca="1" si="46">IF(E464="Fold",D464,-C464)</f>
        <v>100</v>
      </c>
      <c r="G464" s="4">
        <f ca="1">SUM(F$15:F464)</f>
        <v>6750</v>
      </c>
      <c r="H464" s="6">
        <f t="shared" ca="1" si="43"/>
        <v>0.16860315061598097</v>
      </c>
    </row>
    <row r="465" spans="2:8" x14ac:dyDescent="0.25">
      <c r="B465" s="1">
        <f t="shared" si="44"/>
        <v>451</v>
      </c>
      <c r="C465" s="3">
        <f t="shared" ref="C465:C514" si="47">C464</f>
        <v>70</v>
      </c>
      <c r="D465" s="3">
        <f t="shared" ref="D465:D514" si="48">D464</f>
        <v>100</v>
      </c>
      <c r="E465" s="1" t="str">
        <f t="shared" ca="1" si="45"/>
        <v>Fold</v>
      </c>
      <c r="F465" s="4">
        <f t="shared" ca="1" si="46"/>
        <v>100</v>
      </c>
      <c r="G465" s="4">
        <f ca="1">SUM(F$15:F465)</f>
        <v>6850</v>
      </c>
      <c r="H465" s="6">
        <f t="shared" ca="1" si="43"/>
        <v>0.48982268040943211</v>
      </c>
    </row>
    <row r="466" spans="2:8" x14ac:dyDescent="0.25">
      <c r="B466" s="1">
        <f t="shared" si="44"/>
        <v>452</v>
      </c>
      <c r="C466" s="3">
        <f t="shared" si="47"/>
        <v>70</v>
      </c>
      <c r="D466" s="3">
        <f t="shared" si="48"/>
        <v>100</v>
      </c>
      <c r="E466" s="1" t="str">
        <f t="shared" ca="1" si="45"/>
        <v>Fold</v>
      </c>
      <c r="F466" s="4">
        <f t="shared" ca="1" si="46"/>
        <v>100</v>
      </c>
      <c r="G466" s="4">
        <f ca="1">SUM(F$15:F466)</f>
        <v>6950</v>
      </c>
      <c r="H466" s="6">
        <f t="shared" ca="1" si="43"/>
        <v>0.26108180436596617</v>
      </c>
    </row>
    <row r="467" spans="2:8" x14ac:dyDescent="0.25">
      <c r="B467" s="1">
        <f t="shared" si="44"/>
        <v>453</v>
      </c>
      <c r="C467" s="3">
        <f t="shared" si="47"/>
        <v>70</v>
      </c>
      <c r="D467" s="3">
        <f t="shared" si="48"/>
        <v>100</v>
      </c>
      <c r="E467" s="1" t="str">
        <f t="shared" ca="1" si="45"/>
        <v>Fold</v>
      </c>
      <c r="F467" s="4">
        <f t="shared" ca="1" si="46"/>
        <v>100</v>
      </c>
      <c r="G467" s="4">
        <f ca="1">SUM(F$15:F467)</f>
        <v>7050</v>
      </c>
      <c r="H467" s="6">
        <f t="shared" ca="1" si="43"/>
        <v>0.16099637376270892</v>
      </c>
    </row>
    <row r="468" spans="2:8" x14ac:dyDescent="0.25">
      <c r="B468" s="1">
        <f t="shared" si="44"/>
        <v>454</v>
      </c>
      <c r="C468" s="3">
        <f t="shared" si="47"/>
        <v>70</v>
      </c>
      <c r="D468" s="3">
        <f t="shared" si="48"/>
        <v>100</v>
      </c>
      <c r="E468" s="1" t="str">
        <f t="shared" ca="1" si="45"/>
        <v>Call</v>
      </c>
      <c r="F468" s="4">
        <f t="shared" ca="1" si="46"/>
        <v>-70</v>
      </c>
      <c r="G468" s="4">
        <f ca="1">SUM(F$15:F468)</f>
        <v>6980</v>
      </c>
      <c r="H468" s="6">
        <f t="shared" ca="1" si="43"/>
        <v>0.73201119410269855</v>
      </c>
    </row>
    <row r="469" spans="2:8" x14ac:dyDescent="0.25">
      <c r="B469" s="1">
        <f t="shared" si="44"/>
        <v>455</v>
      </c>
      <c r="C469" s="3">
        <f t="shared" si="47"/>
        <v>70</v>
      </c>
      <c r="D469" s="3">
        <f t="shared" si="48"/>
        <v>100</v>
      </c>
      <c r="E469" s="1" t="str">
        <f t="shared" ca="1" si="45"/>
        <v>Fold</v>
      </c>
      <c r="F469" s="4">
        <f t="shared" ca="1" si="46"/>
        <v>100</v>
      </c>
      <c r="G469" s="4">
        <f ca="1">SUM(F$15:F469)</f>
        <v>7080</v>
      </c>
      <c r="H469" s="6">
        <f t="shared" ca="1" si="43"/>
        <v>0.2577191787472608</v>
      </c>
    </row>
    <row r="470" spans="2:8" x14ac:dyDescent="0.25">
      <c r="B470" s="1">
        <f t="shared" si="44"/>
        <v>456</v>
      </c>
      <c r="C470" s="3">
        <f t="shared" si="47"/>
        <v>70</v>
      </c>
      <c r="D470" s="3">
        <f t="shared" si="48"/>
        <v>100</v>
      </c>
      <c r="E470" s="1" t="str">
        <f t="shared" ca="1" si="45"/>
        <v>Fold</v>
      </c>
      <c r="F470" s="4">
        <f t="shared" ca="1" si="46"/>
        <v>100</v>
      </c>
      <c r="G470" s="4">
        <f ca="1">SUM(F$15:F470)</f>
        <v>7180</v>
      </c>
      <c r="H470" s="6">
        <f t="shared" ca="1" si="43"/>
        <v>0.2678890260922957</v>
      </c>
    </row>
    <row r="471" spans="2:8" x14ac:dyDescent="0.25">
      <c r="B471" s="1">
        <f t="shared" si="44"/>
        <v>457</v>
      </c>
      <c r="C471" s="3">
        <f t="shared" si="47"/>
        <v>70</v>
      </c>
      <c r="D471" s="3">
        <f t="shared" si="48"/>
        <v>100</v>
      </c>
      <c r="E471" s="1" t="str">
        <f t="shared" ca="1" si="45"/>
        <v>Call</v>
      </c>
      <c r="F471" s="4">
        <f t="shared" ca="1" si="46"/>
        <v>-70</v>
      </c>
      <c r="G471" s="4">
        <f ca="1">SUM(F$15:F471)</f>
        <v>7110</v>
      </c>
      <c r="H471" s="6">
        <f t="shared" ca="1" si="43"/>
        <v>0.67729347402375495</v>
      </c>
    </row>
    <row r="472" spans="2:8" x14ac:dyDescent="0.25">
      <c r="B472" s="1">
        <f t="shared" si="44"/>
        <v>458</v>
      </c>
      <c r="C472" s="3">
        <f t="shared" si="47"/>
        <v>70</v>
      </c>
      <c r="D472" s="3">
        <f t="shared" si="48"/>
        <v>100</v>
      </c>
      <c r="E472" s="1" t="str">
        <f t="shared" ca="1" si="45"/>
        <v>Call</v>
      </c>
      <c r="F472" s="4">
        <f t="shared" ca="1" si="46"/>
        <v>-70</v>
      </c>
      <c r="G472" s="4">
        <f ca="1">SUM(F$15:F472)</f>
        <v>7040</v>
      </c>
      <c r="H472" s="6">
        <f t="shared" ca="1" si="43"/>
        <v>0.86097592755753161</v>
      </c>
    </row>
    <row r="473" spans="2:8" x14ac:dyDescent="0.25">
      <c r="B473" s="1">
        <f t="shared" si="44"/>
        <v>459</v>
      </c>
      <c r="C473" s="3">
        <f t="shared" si="47"/>
        <v>70</v>
      </c>
      <c r="D473" s="3">
        <f t="shared" si="48"/>
        <v>100</v>
      </c>
      <c r="E473" s="1" t="str">
        <f t="shared" ca="1" si="45"/>
        <v>Call</v>
      </c>
      <c r="F473" s="4">
        <f t="shared" ca="1" si="46"/>
        <v>-70</v>
      </c>
      <c r="G473" s="4">
        <f ca="1">SUM(F$15:F473)</f>
        <v>6970</v>
      </c>
      <c r="H473" s="6">
        <f t="shared" ca="1" si="43"/>
        <v>0.5530698746968763</v>
      </c>
    </row>
    <row r="474" spans="2:8" x14ac:dyDescent="0.25">
      <c r="B474" s="1">
        <f t="shared" si="44"/>
        <v>460</v>
      </c>
      <c r="C474" s="3">
        <f t="shared" si="47"/>
        <v>70</v>
      </c>
      <c r="D474" s="3">
        <f t="shared" si="48"/>
        <v>100</v>
      </c>
      <c r="E474" s="1" t="str">
        <f t="shared" ca="1" si="45"/>
        <v>Call</v>
      </c>
      <c r="F474" s="4">
        <f t="shared" ca="1" si="46"/>
        <v>-70</v>
      </c>
      <c r="G474" s="4">
        <f ca="1">SUM(F$15:F474)</f>
        <v>6900</v>
      </c>
      <c r="H474" s="6">
        <f t="shared" ca="1" si="43"/>
        <v>0.63752733911329396</v>
      </c>
    </row>
    <row r="475" spans="2:8" x14ac:dyDescent="0.25">
      <c r="B475" s="1">
        <f t="shared" si="44"/>
        <v>461</v>
      </c>
      <c r="C475" s="3">
        <f t="shared" si="47"/>
        <v>70</v>
      </c>
      <c r="D475" s="3">
        <f t="shared" si="48"/>
        <v>100</v>
      </c>
      <c r="E475" s="1" t="str">
        <f t="shared" ca="1" si="45"/>
        <v>Fold</v>
      </c>
      <c r="F475" s="4">
        <f t="shared" ca="1" si="46"/>
        <v>100</v>
      </c>
      <c r="G475" s="4">
        <f ca="1">SUM(F$15:F475)</f>
        <v>7000</v>
      </c>
      <c r="H475" s="6">
        <f t="shared" ca="1" si="43"/>
        <v>0.29776305162086381</v>
      </c>
    </row>
    <row r="476" spans="2:8" x14ac:dyDescent="0.25">
      <c r="B476" s="1">
        <f t="shared" si="44"/>
        <v>462</v>
      </c>
      <c r="C476" s="3">
        <f t="shared" si="47"/>
        <v>70</v>
      </c>
      <c r="D476" s="3">
        <f t="shared" si="48"/>
        <v>100</v>
      </c>
      <c r="E476" s="1" t="str">
        <f t="shared" ca="1" si="45"/>
        <v>Call</v>
      </c>
      <c r="F476" s="4">
        <f t="shared" ca="1" si="46"/>
        <v>-70</v>
      </c>
      <c r="G476" s="4">
        <f ca="1">SUM(F$15:F476)</f>
        <v>6930</v>
      </c>
      <c r="H476" s="6">
        <f t="shared" ca="1" si="43"/>
        <v>0.98849271739664335</v>
      </c>
    </row>
    <row r="477" spans="2:8" x14ac:dyDescent="0.25">
      <c r="B477" s="1">
        <f t="shared" ref="B477:B514" si="49">B476+1</f>
        <v>463</v>
      </c>
      <c r="C477" s="3">
        <f t="shared" si="47"/>
        <v>70</v>
      </c>
      <c r="D477" s="3">
        <f t="shared" si="48"/>
        <v>100</v>
      </c>
      <c r="E477" s="1" t="str">
        <f t="shared" ca="1" si="45"/>
        <v>Call</v>
      </c>
      <c r="F477" s="4">
        <f t="shared" ca="1" si="46"/>
        <v>-70</v>
      </c>
      <c r="G477" s="4">
        <f ca="1">SUM(F$15:F477)</f>
        <v>6860</v>
      </c>
      <c r="H477" s="6">
        <f t="shared" ca="1" si="43"/>
        <v>0.87809028416181234</v>
      </c>
    </row>
    <row r="478" spans="2:8" x14ac:dyDescent="0.25">
      <c r="B478" s="1">
        <f t="shared" si="49"/>
        <v>464</v>
      </c>
      <c r="C478" s="3">
        <f t="shared" si="47"/>
        <v>70</v>
      </c>
      <c r="D478" s="3">
        <f t="shared" si="48"/>
        <v>100</v>
      </c>
      <c r="E478" s="1" t="str">
        <f t="shared" ca="1" si="45"/>
        <v>Call</v>
      </c>
      <c r="F478" s="4">
        <f t="shared" ca="1" si="46"/>
        <v>-70</v>
      </c>
      <c r="G478" s="4">
        <f ca="1">SUM(F$15:F478)</f>
        <v>6790</v>
      </c>
      <c r="H478" s="6">
        <f t="shared" ref="H478:H514" ca="1" si="50">RAND()</f>
        <v>0.97456436372013966</v>
      </c>
    </row>
    <row r="479" spans="2:8" x14ac:dyDescent="0.25">
      <c r="B479" s="1">
        <f t="shared" si="49"/>
        <v>465</v>
      </c>
      <c r="C479" s="3">
        <f t="shared" si="47"/>
        <v>70</v>
      </c>
      <c r="D479" s="3">
        <f t="shared" si="48"/>
        <v>100</v>
      </c>
      <c r="E479" s="1" t="str">
        <f t="shared" ca="1" si="45"/>
        <v>Fold</v>
      </c>
      <c r="F479" s="4">
        <f t="shared" ca="1" si="46"/>
        <v>100</v>
      </c>
      <c r="G479" s="4">
        <f ca="1">SUM(F$15:F479)</f>
        <v>6890</v>
      </c>
      <c r="H479" s="6">
        <f t="shared" ca="1" si="50"/>
        <v>0.14461459768615259</v>
      </c>
    </row>
    <row r="480" spans="2:8" x14ac:dyDescent="0.25">
      <c r="B480" s="1">
        <f t="shared" si="49"/>
        <v>466</v>
      </c>
      <c r="C480" s="3">
        <f t="shared" si="47"/>
        <v>70</v>
      </c>
      <c r="D480" s="3">
        <f t="shared" si="48"/>
        <v>100</v>
      </c>
      <c r="E480" s="1" t="str">
        <f t="shared" ca="1" si="45"/>
        <v>Fold</v>
      </c>
      <c r="F480" s="4">
        <f t="shared" ca="1" si="46"/>
        <v>100</v>
      </c>
      <c r="G480" s="4">
        <f ca="1">SUM(F$15:F480)</f>
        <v>6990</v>
      </c>
      <c r="H480" s="6">
        <f t="shared" ca="1" si="50"/>
        <v>0.45697924828401981</v>
      </c>
    </row>
    <row r="481" spans="2:8" x14ac:dyDescent="0.25">
      <c r="B481" s="1">
        <f t="shared" si="49"/>
        <v>467</v>
      </c>
      <c r="C481" s="3">
        <f t="shared" si="47"/>
        <v>70</v>
      </c>
      <c r="D481" s="3">
        <f t="shared" si="48"/>
        <v>100</v>
      </c>
      <c r="E481" s="1" t="str">
        <f t="shared" ca="1" si="45"/>
        <v>Call</v>
      </c>
      <c r="F481" s="4">
        <f t="shared" ca="1" si="46"/>
        <v>-70</v>
      </c>
      <c r="G481" s="4">
        <f ca="1">SUM(F$15:F481)</f>
        <v>6920</v>
      </c>
      <c r="H481" s="6">
        <f t="shared" ca="1" si="50"/>
        <v>0.93401907151618913</v>
      </c>
    </row>
    <row r="482" spans="2:8" x14ac:dyDescent="0.25">
      <c r="B482" s="1">
        <f t="shared" si="49"/>
        <v>468</v>
      </c>
      <c r="C482" s="3">
        <f t="shared" si="47"/>
        <v>70</v>
      </c>
      <c r="D482" s="3">
        <f t="shared" si="48"/>
        <v>100</v>
      </c>
      <c r="E482" s="1" t="str">
        <f t="shared" ca="1" si="45"/>
        <v>Fold</v>
      </c>
      <c r="F482" s="4">
        <f t="shared" ca="1" si="46"/>
        <v>100</v>
      </c>
      <c r="G482" s="4">
        <f ca="1">SUM(F$15:F482)</f>
        <v>7020</v>
      </c>
      <c r="H482" s="6">
        <f t="shared" ca="1" si="50"/>
        <v>0.41686754613947519</v>
      </c>
    </row>
    <row r="483" spans="2:8" x14ac:dyDescent="0.25">
      <c r="B483" s="1">
        <f t="shared" si="49"/>
        <v>469</v>
      </c>
      <c r="C483" s="3">
        <f t="shared" si="47"/>
        <v>70</v>
      </c>
      <c r="D483" s="3">
        <f t="shared" si="48"/>
        <v>100</v>
      </c>
      <c r="E483" s="1" t="str">
        <f t="shared" ca="1" si="45"/>
        <v>Call</v>
      </c>
      <c r="F483" s="4">
        <f t="shared" ca="1" si="46"/>
        <v>-70</v>
      </c>
      <c r="G483" s="4">
        <f ca="1">SUM(F$15:F483)</f>
        <v>6950</v>
      </c>
      <c r="H483" s="6">
        <f t="shared" ca="1" si="50"/>
        <v>0.95161502387617025</v>
      </c>
    </row>
    <row r="484" spans="2:8" x14ac:dyDescent="0.25">
      <c r="B484" s="1">
        <f t="shared" si="49"/>
        <v>470</v>
      </c>
      <c r="C484" s="3">
        <f t="shared" si="47"/>
        <v>70</v>
      </c>
      <c r="D484" s="3">
        <f t="shared" si="48"/>
        <v>100</v>
      </c>
      <c r="E484" s="1" t="str">
        <f t="shared" ca="1" si="45"/>
        <v>Fold</v>
      </c>
      <c r="F484" s="4">
        <f t="shared" ca="1" si="46"/>
        <v>100</v>
      </c>
      <c r="G484" s="4">
        <f ca="1">SUM(F$15:F484)</f>
        <v>7050</v>
      </c>
      <c r="H484" s="6">
        <f t="shared" ca="1" si="50"/>
        <v>6.5246505680866096E-2</v>
      </c>
    </row>
    <row r="485" spans="2:8" x14ac:dyDescent="0.25">
      <c r="B485" s="1">
        <f t="shared" si="49"/>
        <v>471</v>
      </c>
      <c r="C485" s="3">
        <f t="shared" si="47"/>
        <v>70</v>
      </c>
      <c r="D485" s="3">
        <f t="shared" si="48"/>
        <v>100</v>
      </c>
      <c r="E485" s="1" t="str">
        <f t="shared" ca="1" si="45"/>
        <v>Fold</v>
      </c>
      <c r="F485" s="4">
        <f t="shared" ca="1" si="46"/>
        <v>100</v>
      </c>
      <c r="G485" s="4">
        <f ca="1">SUM(F$15:F485)</f>
        <v>7150</v>
      </c>
      <c r="H485" s="6">
        <f t="shared" ca="1" si="50"/>
        <v>0.1174446360247221</v>
      </c>
    </row>
    <row r="486" spans="2:8" x14ac:dyDescent="0.25">
      <c r="B486" s="1">
        <f t="shared" si="49"/>
        <v>472</v>
      </c>
      <c r="C486" s="3">
        <f t="shared" si="47"/>
        <v>70</v>
      </c>
      <c r="D486" s="3">
        <f t="shared" si="48"/>
        <v>100</v>
      </c>
      <c r="E486" s="1" t="str">
        <f t="shared" ca="1" si="45"/>
        <v>Call</v>
      </c>
      <c r="F486" s="4">
        <f t="shared" ca="1" si="46"/>
        <v>-70</v>
      </c>
      <c r="G486" s="4">
        <f ca="1">SUM(F$15:F486)</f>
        <v>7080</v>
      </c>
      <c r="H486" s="6">
        <f t="shared" ca="1" si="50"/>
        <v>0.72362435007679382</v>
      </c>
    </row>
    <row r="487" spans="2:8" x14ac:dyDescent="0.25">
      <c r="B487" s="1">
        <f t="shared" si="49"/>
        <v>473</v>
      </c>
      <c r="C487" s="3">
        <f t="shared" si="47"/>
        <v>70</v>
      </c>
      <c r="D487" s="3">
        <f t="shared" si="48"/>
        <v>100</v>
      </c>
      <c r="E487" s="1" t="str">
        <f t="shared" ca="1" si="45"/>
        <v>Fold</v>
      </c>
      <c r="F487" s="4">
        <f t="shared" ca="1" si="46"/>
        <v>100</v>
      </c>
      <c r="G487" s="4">
        <f ca="1">SUM(F$15:F487)</f>
        <v>7180</v>
      </c>
      <c r="H487" s="6">
        <f t="shared" ca="1" si="50"/>
        <v>0.1788692287897804</v>
      </c>
    </row>
    <row r="488" spans="2:8" x14ac:dyDescent="0.25">
      <c r="B488" s="1">
        <f t="shared" si="49"/>
        <v>474</v>
      </c>
      <c r="C488" s="3">
        <f t="shared" si="47"/>
        <v>70</v>
      </c>
      <c r="D488" s="3">
        <f t="shared" si="48"/>
        <v>100</v>
      </c>
      <c r="E488" s="1" t="str">
        <f t="shared" ca="1" si="45"/>
        <v>Fold</v>
      </c>
      <c r="F488" s="4">
        <f t="shared" ca="1" si="46"/>
        <v>100</v>
      </c>
      <c r="G488" s="4">
        <f ca="1">SUM(F$15:F488)</f>
        <v>7280</v>
      </c>
      <c r="H488" s="6">
        <f t="shared" ca="1" si="50"/>
        <v>0.19500260394220981</v>
      </c>
    </row>
    <row r="489" spans="2:8" x14ac:dyDescent="0.25">
      <c r="B489" s="1">
        <f t="shared" si="49"/>
        <v>475</v>
      </c>
      <c r="C489" s="3">
        <f t="shared" si="47"/>
        <v>70</v>
      </c>
      <c r="D489" s="3">
        <f t="shared" si="48"/>
        <v>100</v>
      </c>
      <c r="E489" s="1" t="str">
        <f t="shared" ca="1" si="45"/>
        <v>Call</v>
      </c>
      <c r="F489" s="4">
        <f t="shared" ca="1" si="46"/>
        <v>-70</v>
      </c>
      <c r="G489" s="4">
        <f ca="1">SUM(F$15:F489)</f>
        <v>7210</v>
      </c>
      <c r="H489" s="6">
        <f t="shared" ca="1" si="50"/>
        <v>0.98745050010508795</v>
      </c>
    </row>
    <row r="490" spans="2:8" x14ac:dyDescent="0.25">
      <c r="B490" s="1">
        <f t="shared" si="49"/>
        <v>476</v>
      </c>
      <c r="C490" s="3">
        <f t="shared" si="47"/>
        <v>70</v>
      </c>
      <c r="D490" s="3">
        <f t="shared" si="48"/>
        <v>100</v>
      </c>
      <c r="E490" s="1" t="str">
        <f t="shared" ca="1" si="45"/>
        <v>Fold</v>
      </c>
      <c r="F490" s="4">
        <f t="shared" ca="1" si="46"/>
        <v>100</v>
      </c>
      <c r="G490" s="4">
        <f ca="1">SUM(F$15:F490)</f>
        <v>7310</v>
      </c>
      <c r="H490" s="6">
        <f t="shared" ca="1" si="50"/>
        <v>5.8853745423728121E-3</v>
      </c>
    </row>
    <row r="491" spans="2:8" x14ac:dyDescent="0.25">
      <c r="B491" s="1">
        <f t="shared" si="49"/>
        <v>477</v>
      </c>
      <c r="C491" s="3">
        <f t="shared" si="47"/>
        <v>70</v>
      </c>
      <c r="D491" s="3">
        <f t="shared" si="48"/>
        <v>100</v>
      </c>
      <c r="E491" s="1" t="str">
        <f t="shared" ca="1" si="45"/>
        <v>Call</v>
      </c>
      <c r="F491" s="4">
        <f t="shared" ca="1" si="46"/>
        <v>-70</v>
      </c>
      <c r="G491" s="4">
        <f ca="1">SUM(F$15:F491)</f>
        <v>7240</v>
      </c>
      <c r="H491" s="6">
        <f t="shared" ca="1" si="50"/>
        <v>0.53371966166624318</v>
      </c>
    </row>
    <row r="492" spans="2:8" x14ac:dyDescent="0.25">
      <c r="B492" s="1">
        <f t="shared" si="49"/>
        <v>478</v>
      </c>
      <c r="C492" s="3">
        <f t="shared" si="47"/>
        <v>70</v>
      </c>
      <c r="D492" s="3">
        <f t="shared" si="48"/>
        <v>100</v>
      </c>
      <c r="E492" s="1" t="str">
        <f t="shared" ca="1" si="45"/>
        <v>Call</v>
      </c>
      <c r="F492" s="4">
        <f t="shared" ca="1" si="46"/>
        <v>-70</v>
      </c>
      <c r="G492" s="4">
        <f ca="1">SUM(F$15:F492)</f>
        <v>7170</v>
      </c>
      <c r="H492" s="6">
        <f t="shared" ca="1" si="50"/>
        <v>0.57192418729656902</v>
      </c>
    </row>
    <row r="493" spans="2:8" x14ac:dyDescent="0.25">
      <c r="B493" s="1">
        <f t="shared" si="49"/>
        <v>479</v>
      </c>
      <c r="C493" s="3">
        <f t="shared" si="47"/>
        <v>70</v>
      </c>
      <c r="D493" s="3">
        <f t="shared" si="48"/>
        <v>100</v>
      </c>
      <c r="E493" s="1" t="str">
        <f t="shared" ca="1" si="45"/>
        <v>Fold</v>
      </c>
      <c r="F493" s="4">
        <f t="shared" ca="1" si="46"/>
        <v>100</v>
      </c>
      <c r="G493" s="4">
        <f ca="1">SUM(F$15:F493)</f>
        <v>7270</v>
      </c>
      <c r="H493" s="6">
        <f t="shared" ca="1" si="50"/>
        <v>8.8417683616417109E-2</v>
      </c>
    </row>
    <row r="494" spans="2:8" x14ac:dyDescent="0.25">
      <c r="B494" s="1">
        <f t="shared" si="49"/>
        <v>480</v>
      </c>
      <c r="C494" s="3">
        <f t="shared" si="47"/>
        <v>70</v>
      </c>
      <c r="D494" s="3">
        <f t="shared" si="48"/>
        <v>100</v>
      </c>
      <c r="E494" s="1" t="str">
        <f t="shared" ca="1" si="45"/>
        <v>Fold</v>
      </c>
      <c r="F494" s="4">
        <f t="shared" ca="1" si="46"/>
        <v>100</v>
      </c>
      <c r="G494" s="4">
        <f ca="1">SUM(F$15:F494)</f>
        <v>7370</v>
      </c>
      <c r="H494" s="6">
        <f t="shared" ca="1" si="50"/>
        <v>0.12663588023646566</v>
      </c>
    </row>
    <row r="495" spans="2:8" x14ac:dyDescent="0.25">
      <c r="B495" s="1">
        <f t="shared" si="49"/>
        <v>481</v>
      </c>
      <c r="C495" s="3">
        <f t="shared" si="47"/>
        <v>70</v>
      </c>
      <c r="D495" s="3">
        <f t="shared" si="48"/>
        <v>100</v>
      </c>
      <c r="E495" s="1" t="str">
        <f t="shared" ca="1" si="45"/>
        <v>Call</v>
      </c>
      <c r="F495" s="4">
        <f t="shared" ca="1" si="46"/>
        <v>-70</v>
      </c>
      <c r="G495" s="4">
        <f ca="1">SUM(F$15:F495)</f>
        <v>7300</v>
      </c>
      <c r="H495" s="6">
        <f t="shared" ca="1" si="50"/>
        <v>0.7539031342707917</v>
      </c>
    </row>
    <row r="496" spans="2:8" x14ac:dyDescent="0.25">
      <c r="B496" s="1">
        <f t="shared" si="49"/>
        <v>482</v>
      </c>
      <c r="C496" s="3">
        <f t="shared" si="47"/>
        <v>70</v>
      </c>
      <c r="D496" s="3">
        <f t="shared" si="48"/>
        <v>100</v>
      </c>
      <c r="E496" s="1" t="str">
        <f t="shared" ca="1" si="45"/>
        <v>Call</v>
      </c>
      <c r="F496" s="4">
        <f t="shared" ca="1" si="46"/>
        <v>-70</v>
      </c>
      <c r="G496" s="4">
        <f ca="1">SUM(F$15:F496)</f>
        <v>7230</v>
      </c>
      <c r="H496" s="6">
        <f t="shared" ca="1" si="50"/>
        <v>0.63181011156910205</v>
      </c>
    </row>
    <row r="497" spans="2:8" x14ac:dyDescent="0.25">
      <c r="B497" s="1">
        <f t="shared" si="49"/>
        <v>483</v>
      </c>
      <c r="C497" s="3">
        <f t="shared" si="47"/>
        <v>70</v>
      </c>
      <c r="D497" s="3">
        <f t="shared" si="48"/>
        <v>100</v>
      </c>
      <c r="E497" s="1" t="str">
        <f t="shared" ca="1" si="45"/>
        <v>Call</v>
      </c>
      <c r="F497" s="4">
        <f t="shared" ca="1" si="46"/>
        <v>-70</v>
      </c>
      <c r="G497" s="4">
        <f ca="1">SUM(F$15:F497)</f>
        <v>7160</v>
      </c>
      <c r="H497" s="6">
        <f t="shared" ca="1" si="50"/>
        <v>0.79534329490023636</v>
      </c>
    </row>
    <row r="498" spans="2:8" x14ac:dyDescent="0.25">
      <c r="B498" s="1">
        <f t="shared" si="49"/>
        <v>484</v>
      </c>
      <c r="C498" s="3">
        <f t="shared" si="47"/>
        <v>70</v>
      </c>
      <c r="D498" s="3">
        <f t="shared" si="48"/>
        <v>100</v>
      </c>
      <c r="E498" s="1" t="str">
        <f t="shared" ca="1" si="45"/>
        <v>Call</v>
      </c>
      <c r="F498" s="4">
        <f t="shared" ca="1" si="46"/>
        <v>-70</v>
      </c>
      <c r="G498" s="4">
        <f ca="1">SUM(F$15:F498)</f>
        <v>7090</v>
      </c>
      <c r="H498" s="6">
        <f t="shared" ca="1" si="50"/>
        <v>0.75270195988781996</v>
      </c>
    </row>
    <row r="499" spans="2:8" x14ac:dyDescent="0.25">
      <c r="B499" s="1">
        <f t="shared" si="49"/>
        <v>485</v>
      </c>
      <c r="C499" s="3">
        <f t="shared" si="47"/>
        <v>70</v>
      </c>
      <c r="D499" s="3">
        <f t="shared" si="48"/>
        <v>100</v>
      </c>
      <c r="E499" s="1" t="str">
        <f t="shared" ca="1" si="45"/>
        <v>Fold</v>
      </c>
      <c r="F499" s="4">
        <f t="shared" ca="1" si="46"/>
        <v>100</v>
      </c>
      <c r="G499" s="4">
        <f ca="1">SUM(F$15:F499)</f>
        <v>7190</v>
      </c>
      <c r="H499" s="6">
        <f t="shared" ca="1" si="50"/>
        <v>0.30862782593994176</v>
      </c>
    </row>
    <row r="500" spans="2:8" x14ac:dyDescent="0.25">
      <c r="B500" s="1">
        <f t="shared" si="49"/>
        <v>486</v>
      </c>
      <c r="C500" s="3">
        <f t="shared" si="47"/>
        <v>70</v>
      </c>
      <c r="D500" s="3">
        <f t="shared" si="48"/>
        <v>100</v>
      </c>
      <c r="E500" s="1" t="str">
        <f t="shared" ca="1" si="45"/>
        <v>Fold</v>
      </c>
      <c r="F500" s="4">
        <f t="shared" ca="1" si="46"/>
        <v>100</v>
      </c>
      <c r="G500" s="4">
        <f ca="1">SUM(F$15:F500)</f>
        <v>7290</v>
      </c>
      <c r="H500" s="6">
        <f t="shared" ca="1" si="50"/>
        <v>0.34929013749566262</v>
      </c>
    </row>
    <row r="501" spans="2:8" x14ac:dyDescent="0.25">
      <c r="B501" s="1">
        <f t="shared" si="49"/>
        <v>487</v>
      </c>
      <c r="C501" s="3">
        <f t="shared" si="47"/>
        <v>70</v>
      </c>
      <c r="D501" s="3">
        <f t="shared" si="48"/>
        <v>100</v>
      </c>
      <c r="E501" s="1" t="str">
        <f t="shared" ca="1" si="45"/>
        <v>Call</v>
      </c>
      <c r="F501" s="4">
        <f t="shared" ca="1" si="46"/>
        <v>-70</v>
      </c>
      <c r="G501" s="4">
        <f ca="1">SUM(F$15:F501)</f>
        <v>7220</v>
      </c>
      <c r="H501" s="6">
        <f t="shared" ca="1" si="50"/>
        <v>0.73028273147553613</v>
      </c>
    </row>
    <row r="502" spans="2:8" x14ac:dyDescent="0.25">
      <c r="B502" s="1">
        <f t="shared" si="49"/>
        <v>488</v>
      </c>
      <c r="C502" s="3">
        <f t="shared" si="47"/>
        <v>70</v>
      </c>
      <c r="D502" s="3">
        <f t="shared" si="48"/>
        <v>100</v>
      </c>
      <c r="E502" s="1" t="str">
        <f t="shared" ca="1" si="45"/>
        <v>Fold</v>
      </c>
      <c r="F502" s="4">
        <f t="shared" ca="1" si="46"/>
        <v>100</v>
      </c>
      <c r="G502" s="4">
        <f ca="1">SUM(F$15:F502)</f>
        <v>7320</v>
      </c>
      <c r="H502" s="6">
        <f t="shared" ca="1" si="50"/>
        <v>0.10519485095753933</v>
      </c>
    </row>
    <row r="503" spans="2:8" x14ac:dyDescent="0.25">
      <c r="B503" s="1">
        <f t="shared" si="49"/>
        <v>489</v>
      </c>
      <c r="C503" s="3">
        <f t="shared" si="47"/>
        <v>70</v>
      </c>
      <c r="D503" s="3">
        <f t="shared" si="48"/>
        <v>100</v>
      </c>
      <c r="E503" s="1" t="str">
        <f t="shared" ca="1" si="45"/>
        <v>Fold</v>
      </c>
      <c r="F503" s="4">
        <f t="shared" ca="1" si="46"/>
        <v>100</v>
      </c>
      <c r="G503" s="4">
        <f ca="1">SUM(F$15:F503)</f>
        <v>7420</v>
      </c>
      <c r="H503" s="6">
        <f t="shared" ca="1" si="50"/>
        <v>0.247592452744122</v>
      </c>
    </row>
    <row r="504" spans="2:8" x14ac:dyDescent="0.25">
      <c r="B504" s="1">
        <f t="shared" si="49"/>
        <v>490</v>
      </c>
      <c r="C504" s="3">
        <f t="shared" si="47"/>
        <v>70</v>
      </c>
      <c r="D504" s="3">
        <f t="shared" si="48"/>
        <v>100</v>
      </c>
      <c r="E504" s="1" t="str">
        <f t="shared" ca="1" si="45"/>
        <v>Call</v>
      </c>
      <c r="F504" s="4">
        <f t="shared" ca="1" si="46"/>
        <v>-70</v>
      </c>
      <c r="G504" s="4">
        <f ca="1">SUM(F$15:F504)</f>
        <v>7350</v>
      </c>
      <c r="H504" s="6">
        <f t="shared" ca="1" si="50"/>
        <v>0.76924032464854053</v>
      </c>
    </row>
    <row r="505" spans="2:8" x14ac:dyDescent="0.25">
      <c r="B505" s="1">
        <f t="shared" si="49"/>
        <v>491</v>
      </c>
      <c r="C505" s="3">
        <f t="shared" si="47"/>
        <v>70</v>
      </c>
      <c r="D505" s="3">
        <f t="shared" si="48"/>
        <v>100</v>
      </c>
      <c r="E505" s="1" t="str">
        <f t="shared" ca="1" si="45"/>
        <v>Call</v>
      </c>
      <c r="F505" s="4">
        <f t="shared" ca="1" si="46"/>
        <v>-70</v>
      </c>
      <c r="G505" s="4">
        <f ca="1">SUM(F$15:F505)</f>
        <v>7280</v>
      </c>
      <c r="H505" s="6">
        <f t="shared" ca="1" si="50"/>
        <v>0.5779294949357674</v>
      </c>
    </row>
    <row r="506" spans="2:8" x14ac:dyDescent="0.25">
      <c r="B506" s="1">
        <f t="shared" si="49"/>
        <v>492</v>
      </c>
      <c r="C506" s="3">
        <f t="shared" si="47"/>
        <v>70</v>
      </c>
      <c r="D506" s="3">
        <f t="shared" si="48"/>
        <v>100</v>
      </c>
      <c r="E506" s="1" t="str">
        <f t="shared" ca="1" si="45"/>
        <v>Fold</v>
      </c>
      <c r="F506" s="4">
        <f t="shared" ca="1" si="46"/>
        <v>100</v>
      </c>
      <c r="G506" s="4">
        <f ca="1">SUM(F$15:F506)</f>
        <v>7380</v>
      </c>
      <c r="H506" s="6">
        <f t="shared" ca="1" si="50"/>
        <v>4.4449055943981075E-2</v>
      </c>
    </row>
    <row r="507" spans="2:8" x14ac:dyDescent="0.25">
      <c r="B507" s="1">
        <f t="shared" si="49"/>
        <v>493</v>
      </c>
      <c r="C507" s="3">
        <f t="shared" si="47"/>
        <v>70</v>
      </c>
      <c r="D507" s="3">
        <f t="shared" si="48"/>
        <v>100</v>
      </c>
      <c r="E507" s="1" t="str">
        <f t="shared" ca="1" si="45"/>
        <v>Call</v>
      </c>
      <c r="F507" s="4">
        <f t="shared" ca="1" si="46"/>
        <v>-70</v>
      </c>
      <c r="G507" s="4">
        <f ca="1">SUM(F$15:F507)</f>
        <v>7310</v>
      </c>
      <c r="H507" s="6">
        <f t="shared" ca="1" si="50"/>
        <v>0.54357072919101457</v>
      </c>
    </row>
    <row r="508" spans="2:8" x14ac:dyDescent="0.25">
      <c r="B508" s="1">
        <f t="shared" si="49"/>
        <v>494</v>
      </c>
      <c r="C508" s="3">
        <f t="shared" si="47"/>
        <v>70</v>
      </c>
      <c r="D508" s="3">
        <f t="shared" si="48"/>
        <v>100</v>
      </c>
      <c r="E508" s="1" t="str">
        <f t="shared" ca="1" si="45"/>
        <v>Call</v>
      </c>
      <c r="F508" s="4">
        <f t="shared" ca="1" si="46"/>
        <v>-70</v>
      </c>
      <c r="G508" s="4">
        <f ca="1">SUM(F$15:F508)</f>
        <v>7240</v>
      </c>
      <c r="H508" s="6">
        <f t="shared" ca="1" si="50"/>
        <v>0.94282051488110263</v>
      </c>
    </row>
    <row r="509" spans="2:8" x14ac:dyDescent="0.25">
      <c r="B509" s="1">
        <f t="shared" si="49"/>
        <v>495</v>
      </c>
      <c r="C509" s="3">
        <f t="shared" si="47"/>
        <v>70</v>
      </c>
      <c r="D509" s="3">
        <f t="shared" si="48"/>
        <v>100</v>
      </c>
      <c r="E509" s="1" t="str">
        <f t="shared" ca="1" si="45"/>
        <v>Call</v>
      </c>
      <c r="F509" s="4">
        <f t="shared" ca="1" si="46"/>
        <v>-70</v>
      </c>
      <c r="G509" s="4">
        <f ca="1">SUM(F$15:F509)</f>
        <v>7170</v>
      </c>
      <c r="H509" s="6">
        <f t="shared" ca="1" si="50"/>
        <v>0.63469959980806334</v>
      </c>
    </row>
    <row r="510" spans="2:8" x14ac:dyDescent="0.25">
      <c r="B510" s="1">
        <f t="shared" si="49"/>
        <v>496</v>
      </c>
      <c r="C510" s="3">
        <f t="shared" si="47"/>
        <v>70</v>
      </c>
      <c r="D510" s="3">
        <f t="shared" si="48"/>
        <v>100</v>
      </c>
      <c r="E510" s="1" t="str">
        <f t="shared" ca="1" si="45"/>
        <v>Fold</v>
      </c>
      <c r="F510" s="4">
        <f t="shared" ca="1" si="46"/>
        <v>100</v>
      </c>
      <c r="G510" s="4">
        <f ca="1">SUM(F$15:F510)</f>
        <v>7270</v>
      </c>
      <c r="H510" s="6">
        <f t="shared" ca="1" si="50"/>
        <v>0.34413118492355177</v>
      </c>
    </row>
    <row r="511" spans="2:8" x14ac:dyDescent="0.25">
      <c r="B511" s="1">
        <f t="shared" si="49"/>
        <v>497</v>
      </c>
      <c r="C511" s="3">
        <f t="shared" si="47"/>
        <v>70</v>
      </c>
      <c r="D511" s="3">
        <f t="shared" si="48"/>
        <v>100</v>
      </c>
      <c r="E511" s="1" t="str">
        <f t="shared" ca="1" si="45"/>
        <v>Call</v>
      </c>
      <c r="F511" s="4">
        <f t="shared" ca="1" si="46"/>
        <v>-70</v>
      </c>
      <c r="G511" s="4">
        <f ca="1">SUM(F$15:F511)</f>
        <v>7200</v>
      </c>
      <c r="H511" s="6">
        <f t="shared" ca="1" si="50"/>
        <v>0.73364615631117347</v>
      </c>
    </row>
    <row r="512" spans="2:8" x14ac:dyDescent="0.25">
      <c r="B512" s="1">
        <f t="shared" si="49"/>
        <v>498</v>
      </c>
      <c r="C512" s="3">
        <f t="shared" si="47"/>
        <v>70</v>
      </c>
      <c r="D512" s="3">
        <f t="shared" si="48"/>
        <v>100</v>
      </c>
      <c r="E512" s="1" t="str">
        <f t="shared" ca="1" si="45"/>
        <v>Call</v>
      </c>
      <c r="F512" s="4">
        <f t="shared" ca="1" si="46"/>
        <v>-70</v>
      </c>
      <c r="G512" s="4">
        <f ca="1">SUM(F$15:F512)</f>
        <v>7130</v>
      </c>
      <c r="H512" s="6">
        <f t="shared" ca="1" si="50"/>
        <v>0.87686728511196232</v>
      </c>
    </row>
    <row r="513" spans="2:8" x14ac:dyDescent="0.25">
      <c r="B513" s="1">
        <f t="shared" si="49"/>
        <v>499</v>
      </c>
      <c r="C513" s="3">
        <f t="shared" si="47"/>
        <v>70</v>
      </c>
      <c r="D513" s="3">
        <f t="shared" si="48"/>
        <v>100</v>
      </c>
      <c r="E513" s="1" t="str">
        <f t="shared" ca="1" si="45"/>
        <v>Call</v>
      </c>
      <c r="F513" s="4">
        <f t="shared" ca="1" si="46"/>
        <v>-70</v>
      </c>
      <c r="G513" s="4">
        <f ca="1">SUM(F$15:F513)</f>
        <v>7060</v>
      </c>
      <c r="H513" s="6">
        <f t="shared" ca="1" si="50"/>
        <v>0.74245600822385849</v>
      </c>
    </row>
    <row r="514" spans="2:8" x14ac:dyDescent="0.25">
      <c r="B514" s="1">
        <f t="shared" si="49"/>
        <v>500</v>
      </c>
      <c r="C514" s="3">
        <f t="shared" si="47"/>
        <v>70</v>
      </c>
      <c r="D514" s="3">
        <f t="shared" si="48"/>
        <v>100</v>
      </c>
      <c r="E514" s="1" t="str">
        <f t="shared" ca="1" si="45"/>
        <v>Fold</v>
      </c>
      <c r="F514" s="4">
        <f t="shared" ca="1" si="46"/>
        <v>100</v>
      </c>
      <c r="G514" s="4">
        <f ca="1">SUM(F$15:F514)</f>
        <v>7160</v>
      </c>
      <c r="H514" s="6">
        <f t="shared" ca="1" si="50"/>
        <v>0.2817834382303136</v>
      </c>
    </row>
    <row r="515" spans="2:8" x14ac:dyDescent="0.25">
      <c r="C515" s="3"/>
      <c r="D515" s="3"/>
      <c r="F515" s="4"/>
      <c r="G515" s="4"/>
    </row>
    <row r="516" spans="2:8" x14ac:dyDescent="0.25">
      <c r="C516" s="3"/>
      <c r="D516" s="3"/>
      <c r="F516" s="4"/>
      <c r="G516" s="4"/>
    </row>
    <row r="517" spans="2:8" x14ac:dyDescent="0.25">
      <c r="C517" s="3"/>
      <c r="D517" s="3"/>
      <c r="F517" s="4"/>
      <c r="G517" s="4"/>
    </row>
    <row r="518" spans="2:8" x14ac:dyDescent="0.25">
      <c r="C518" s="3"/>
      <c r="D518" s="3"/>
      <c r="F518" s="4"/>
      <c r="G518" s="4"/>
    </row>
    <row r="519" spans="2:8" x14ac:dyDescent="0.25">
      <c r="C519" s="3"/>
      <c r="D519" s="3"/>
      <c r="F519" s="4"/>
      <c r="G519" s="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8"/>
  <sheetViews>
    <sheetView workbookViewId="0">
      <selection activeCell="G4" sqref="G4"/>
    </sheetView>
  </sheetViews>
  <sheetFormatPr defaultRowHeight="15" x14ac:dyDescent="0.25"/>
  <cols>
    <col min="2" max="2" width="32.28515625" customWidth="1"/>
    <col min="3" max="4" width="10" style="2" customWidth="1"/>
  </cols>
  <sheetData>
    <row r="2" spans="2:7" x14ac:dyDescent="0.25">
      <c r="B2" t="s">
        <v>34</v>
      </c>
      <c r="C2" s="4">
        <v>7</v>
      </c>
      <c r="D2" s="4">
        <v>7</v>
      </c>
      <c r="E2" s="4">
        <v>7</v>
      </c>
      <c r="F2" s="4">
        <v>7</v>
      </c>
      <c r="G2" s="4">
        <v>7</v>
      </c>
    </row>
    <row r="3" spans="2:7" x14ac:dyDescent="0.25">
      <c r="B3" t="s">
        <v>30</v>
      </c>
      <c r="C3" s="2">
        <v>10</v>
      </c>
      <c r="D3" s="2">
        <v>9</v>
      </c>
      <c r="E3" s="2">
        <v>8</v>
      </c>
      <c r="F3" s="2">
        <v>6</v>
      </c>
      <c r="G3" s="2">
        <v>2</v>
      </c>
    </row>
    <row r="4" spans="2:7" x14ac:dyDescent="0.25">
      <c r="E4" s="2"/>
      <c r="F4" s="2"/>
      <c r="G4" s="2"/>
    </row>
    <row r="5" spans="2:7" x14ac:dyDescent="0.25">
      <c r="B5" t="s">
        <v>29</v>
      </c>
      <c r="C5" s="34">
        <v>4.5248868778280547E-3</v>
      </c>
      <c r="D5" s="34">
        <v>4.5248868778280547E-3</v>
      </c>
      <c r="E5" s="34">
        <v>4.5248868778280547E-3</v>
      </c>
      <c r="F5" s="34">
        <v>4.5248868778280547E-3</v>
      </c>
      <c r="G5" s="34">
        <v>4.5248868778280547E-3</v>
      </c>
    </row>
    <row r="6" spans="2:7" x14ac:dyDescent="0.25">
      <c r="B6" t="s">
        <v>31</v>
      </c>
      <c r="C6" s="2">
        <f>ROUNDUP(1/C5, 0)</f>
        <v>221</v>
      </c>
      <c r="D6" s="2">
        <f>ROUNDUP(1/D5, 0)</f>
        <v>221</v>
      </c>
      <c r="E6" s="2">
        <f>ROUNDUP(1/E5, 0)</f>
        <v>221</v>
      </c>
      <c r="F6" s="2">
        <f>ROUNDUP(1/F5, 0)</f>
        <v>221</v>
      </c>
      <c r="G6" s="2">
        <f>ROUNDUP(1/G5, 0)</f>
        <v>221</v>
      </c>
    </row>
    <row r="7" spans="2:7" x14ac:dyDescent="0.25">
      <c r="B7" t="s">
        <v>33</v>
      </c>
      <c r="C7" s="2">
        <f>C6/C3</f>
        <v>22.1</v>
      </c>
      <c r="D7" s="36">
        <f>D6/D3</f>
        <v>24.555555555555557</v>
      </c>
      <c r="E7" s="36">
        <f>E6/E3</f>
        <v>27.625</v>
      </c>
      <c r="F7" s="36">
        <f>F6/F3</f>
        <v>36.833333333333336</v>
      </c>
      <c r="G7" s="36">
        <f>G6/G3</f>
        <v>110.5</v>
      </c>
    </row>
    <row r="8" spans="2:7" x14ac:dyDescent="0.25">
      <c r="B8" t="s">
        <v>32</v>
      </c>
      <c r="C8" s="35">
        <f>C7*C2</f>
        <v>154.70000000000002</v>
      </c>
      <c r="D8" s="35">
        <f>D7*D2</f>
        <v>171.88888888888891</v>
      </c>
      <c r="E8" s="35">
        <f>E7*E2</f>
        <v>193.375</v>
      </c>
      <c r="F8" s="35">
        <f>F7*F2</f>
        <v>257.83333333333337</v>
      </c>
      <c r="G8" s="35">
        <f>G7*G2</f>
        <v>773.5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Bankroll_1</vt:lpstr>
      <vt:lpstr>Bankroll_2</vt:lpstr>
      <vt:lpstr>Bankroll</vt:lpstr>
      <vt:lpstr>BluffEconomics</vt:lpstr>
      <vt:lpstr>CostFunction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Nick Jathar</cp:lastModifiedBy>
  <dcterms:created xsi:type="dcterms:W3CDTF">2023-09-24T16:07:34Z</dcterms:created>
  <dcterms:modified xsi:type="dcterms:W3CDTF">2023-10-19T19:16:40Z</dcterms:modified>
</cp:coreProperties>
</file>