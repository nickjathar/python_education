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python_education\"/>
    </mc:Choice>
  </mc:AlternateContent>
  <bookViews>
    <workbookView xWindow="-120" yWindow="-120" windowWidth="23280" windowHeight="14880" activeTab="1"/>
  </bookViews>
  <sheets>
    <sheet name="BluffEconomics" sheetId="1" r:id="rId1"/>
    <sheet name="Bankroll" sheetId="2" r:id="rId2"/>
    <sheet name="CostFunction" sheetId="3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" l="1"/>
  <c r="E7" i="2" s="1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1" i="2"/>
  <c r="E3" i="2"/>
  <c r="E4" i="2" s="1"/>
  <c r="G6" i="3"/>
  <c r="G7" i="3" s="1"/>
  <c r="G8" i="3" s="1"/>
  <c r="F6" i="3"/>
  <c r="F7" i="3" s="1"/>
  <c r="F8" i="3" s="1"/>
  <c r="E6" i="3"/>
  <c r="E7" i="3" s="1"/>
  <c r="E8" i="3" s="1"/>
  <c r="D6" i="3"/>
  <c r="D7" i="3" s="1"/>
  <c r="D8" i="3" s="1"/>
  <c r="C8" i="3"/>
  <c r="C6" i="3"/>
  <c r="C7" i="3" s="1"/>
  <c r="G996" i="2" l="1"/>
  <c r="G824" i="2"/>
  <c r="G18" i="2"/>
  <c r="G27" i="2"/>
  <c r="G37" i="2"/>
  <c r="G46" i="2"/>
  <c r="G55" i="2"/>
  <c r="G64" i="2"/>
  <c r="G73" i="2"/>
  <c r="G82" i="2"/>
  <c r="G91" i="2"/>
  <c r="G101" i="2"/>
  <c r="G110" i="2"/>
  <c r="G119" i="2"/>
  <c r="G128" i="2"/>
  <c r="G137" i="2"/>
  <c r="G149" i="2"/>
  <c r="G159" i="2"/>
  <c r="G169" i="2"/>
  <c r="G181" i="2"/>
  <c r="G191" i="2"/>
  <c r="G201" i="2"/>
  <c r="G213" i="2"/>
  <c r="G223" i="2"/>
  <c r="G233" i="2"/>
  <c r="G245" i="2"/>
  <c r="G255" i="2"/>
  <c r="G265" i="2"/>
  <c r="G277" i="2"/>
  <c r="G287" i="2"/>
  <c r="G297" i="2"/>
  <c r="G309" i="2"/>
  <c r="G319" i="2"/>
  <c r="G329" i="2"/>
  <c r="G342" i="2"/>
  <c r="G353" i="2"/>
  <c r="G365" i="2"/>
  <c r="G380" i="2"/>
  <c r="G392" i="2"/>
  <c r="G408" i="2"/>
  <c r="G424" i="2"/>
  <c r="G437" i="2"/>
  <c r="G453" i="2"/>
  <c r="G465" i="2"/>
  <c r="G481" i="2"/>
  <c r="G497" i="2"/>
  <c r="G510" i="2"/>
  <c r="G526" i="2"/>
  <c r="G538" i="2"/>
  <c r="G557" i="2"/>
  <c r="G575" i="2"/>
  <c r="G590" i="2"/>
  <c r="G608" i="2"/>
  <c r="G623" i="2"/>
  <c r="G641" i="2"/>
  <c r="G661" i="2"/>
  <c r="G677" i="2"/>
  <c r="G700" i="2"/>
  <c r="G717" i="2"/>
  <c r="G740" i="2"/>
  <c r="G760" i="2"/>
  <c r="G780" i="2"/>
  <c r="G800" i="2"/>
  <c r="G820" i="2"/>
  <c r="G840" i="2"/>
  <c r="G863" i="2"/>
  <c r="G888" i="2"/>
  <c r="G916" i="2"/>
  <c r="G948" i="2"/>
  <c r="G980" i="2"/>
  <c r="G38" i="2"/>
  <c r="G74" i="2"/>
  <c r="G111" i="2"/>
  <c r="G160" i="2"/>
  <c r="G214" i="2"/>
  <c r="G266" i="2"/>
  <c r="G320" i="2"/>
  <c r="G366" i="2"/>
  <c r="G438" i="2"/>
  <c r="G511" i="2"/>
  <c r="G609" i="2"/>
  <c r="G701" i="2"/>
  <c r="G917" i="2"/>
  <c r="G11" i="2"/>
  <c r="G21" i="2"/>
  <c r="G30" i="2"/>
  <c r="G39" i="2"/>
  <c r="G48" i="2"/>
  <c r="G57" i="2"/>
  <c r="G66" i="2"/>
  <c r="G75" i="2"/>
  <c r="G85" i="2"/>
  <c r="G94" i="2"/>
  <c r="G103" i="2"/>
  <c r="G112" i="2"/>
  <c r="G121" i="2"/>
  <c r="G130" i="2"/>
  <c r="G141" i="2"/>
  <c r="G151" i="2"/>
  <c r="G161" i="2"/>
  <c r="G173" i="2"/>
  <c r="G183" i="2"/>
  <c r="G193" i="2"/>
  <c r="G205" i="2"/>
  <c r="G215" i="2"/>
  <c r="G225" i="2"/>
  <c r="G237" i="2"/>
  <c r="G247" i="2"/>
  <c r="G257" i="2"/>
  <c r="G269" i="2"/>
  <c r="G279" i="2"/>
  <c r="G289" i="2"/>
  <c r="G301" i="2"/>
  <c r="G311" i="2"/>
  <c r="G321" i="2"/>
  <c r="G333" i="2"/>
  <c r="G344" i="2"/>
  <c r="G356" i="2"/>
  <c r="G369" i="2"/>
  <c r="G382" i="2"/>
  <c r="G398" i="2"/>
  <c r="G410" i="2"/>
  <c r="G426" i="2"/>
  <c r="G442" i="2"/>
  <c r="G455" i="2"/>
  <c r="G471" i="2"/>
  <c r="G484" i="2"/>
  <c r="G500" i="2"/>
  <c r="G516" i="2"/>
  <c r="G528" i="2"/>
  <c r="G544" i="2"/>
  <c r="G559" i="2"/>
  <c r="G577" i="2"/>
  <c r="G597" i="2"/>
  <c r="G612" i="2"/>
  <c r="G630" i="2"/>
  <c r="G645" i="2"/>
  <c r="G663" i="2"/>
  <c r="G685" i="2"/>
  <c r="G702" i="2"/>
  <c r="G725" i="2"/>
  <c r="G742" i="2"/>
  <c r="G765" i="2"/>
  <c r="G788" i="2"/>
  <c r="G805" i="2"/>
  <c r="G828" i="2"/>
  <c r="G845" i="2"/>
  <c r="G868" i="2"/>
  <c r="G893" i="2"/>
  <c r="G918" i="2"/>
  <c r="G950" i="2"/>
  <c r="G982" i="2"/>
  <c r="G29" i="2"/>
  <c r="G120" i="2"/>
  <c r="G224" i="2"/>
  <c r="G288" i="2"/>
  <c r="G381" i="2"/>
  <c r="G454" i="2"/>
  <c r="G543" i="2"/>
  <c r="G629" i="2"/>
  <c r="G949" i="2"/>
  <c r="G13" i="2"/>
  <c r="G22" i="2"/>
  <c r="G31" i="2"/>
  <c r="G40" i="2"/>
  <c r="G49" i="2"/>
  <c r="G58" i="2"/>
  <c r="G67" i="2"/>
  <c r="G77" i="2"/>
  <c r="G86" i="2"/>
  <c r="G95" i="2"/>
  <c r="G104" i="2"/>
  <c r="G113" i="2"/>
  <c r="G122" i="2"/>
  <c r="G131" i="2"/>
  <c r="G142" i="2"/>
  <c r="G152" i="2"/>
  <c r="G162" i="2"/>
  <c r="G174" i="2"/>
  <c r="G184" i="2"/>
  <c r="G194" i="2"/>
  <c r="G206" i="2"/>
  <c r="G216" i="2"/>
  <c r="G226" i="2"/>
  <c r="G238" i="2"/>
  <c r="G248" i="2"/>
  <c r="G258" i="2"/>
  <c r="G270" i="2"/>
  <c r="G280" i="2"/>
  <c r="G290" i="2"/>
  <c r="G302" i="2"/>
  <c r="G312" i="2"/>
  <c r="G322" i="2"/>
  <c r="G334" i="2"/>
  <c r="G345" i="2"/>
  <c r="G357" i="2"/>
  <c r="G370" i="2"/>
  <c r="G383" i="2"/>
  <c r="G399" i="2"/>
  <c r="G415" i="2"/>
  <c r="G428" i="2"/>
  <c r="G444" i="2"/>
  <c r="G456" i="2"/>
  <c r="G472" i="2"/>
  <c r="G488" i="2"/>
  <c r="G501" i="2"/>
  <c r="G517" i="2"/>
  <c r="G529" i="2"/>
  <c r="G545" i="2"/>
  <c r="G565" i="2"/>
  <c r="G580" i="2"/>
  <c r="G598" i="2"/>
  <c r="G613" i="2"/>
  <c r="G631" i="2"/>
  <c r="G649" i="2"/>
  <c r="G664" i="2"/>
  <c r="G686" i="2"/>
  <c r="G703" i="2"/>
  <c r="G726" i="2"/>
  <c r="G749" i="2"/>
  <c r="G766" i="2"/>
  <c r="G789" i="2"/>
  <c r="G806" i="2"/>
  <c r="G829" i="2"/>
  <c r="G852" i="2"/>
  <c r="G869" i="2"/>
  <c r="G894" i="2"/>
  <c r="G919" i="2"/>
  <c r="G951" i="2"/>
  <c r="G983" i="2"/>
  <c r="G47" i="2"/>
  <c r="G93" i="2"/>
  <c r="G138" i="2"/>
  <c r="G192" i="2"/>
  <c r="G246" i="2"/>
  <c r="G298" i="2"/>
  <c r="G343" i="2"/>
  <c r="G409" i="2"/>
  <c r="G482" i="2"/>
  <c r="G558" i="2"/>
  <c r="G678" i="2"/>
  <c r="G764" i="2"/>
  <c r="G804" i="2"/>
  <c r="G892" i="2"/>
  <c r="G14" i="2"/>
  <c r="G23" i="2"/>
  <c r="G32" i="2"/>
  <c r="G41" i="2"/>
  <c r="G50" i="2"/>
  <c r="G59" i="2"/>
  <c r="G69" i="2"/>
  <c r="G78" i="2"/>
  <c r="G87" i="2"/>
  <c r="G96" i="2"/>
  <c r="G105" i="2"/>
  <c r="G114" i="2"/>
  <c r="G123" i="2"/>
  <c r="G133" i="2"/>
  <c r="G143" i="2"/>
  <c r="G153" i="2"/>
  <c r="G165" i="2"/>
  <c r="G175" i="2"/>
  <c r="G185" i="2"/>
  <c r="G197" i="2"/>
  <c r="G207" i="2"/>
  <c r="G217" i="2"/>
  <c r="G229" i="2"/>
  <c r="G239" i="2"/>
  <c r="G249" i="2"/>
  <c r="G261" i="2"/>
  <c r="G271" i="2"/>
  <c r="G281" i="2"/>
  <c r="G293" i="2"/>
  <c r="G303" i="2"/>
  <c r="G313" i="2"/>
  <c r="G325" i="2"/>
  <c r="G335" i="2"/>
  <c r="G346" i="2"/>
  <c r="G360" i="2"/>
  <c r="G372" i="2"/>
  <c r="G388" i="2"/>
  <c r="G400" i="2"/>
  <c r="G416" i="2"/>
  <c r="G429" i="2"/>
  <c r="G445" i="2"/>
  <c r="G461" i="2"/>
  <c r="G473" i="2"/>
  <c r="G489" i="2"/>
  <c r="G502" i="2"/>
  <c r="G518" i="2"/>
  <c r="G534" i="2"/>
  <c r="G548" i="2"/>
  <c r="G566" i="2"/>
  <c r="G581" i="2"/>
  <c r="G599" i="2"/>
  <c r="G617" i="2"/>
  <c r="G632" i="2"/>
  <c r="G652" i="2"/>
  <c r="G665" i="2"/>
  <c r="G687" i="2"/>
  <c r="G710" i="2"/>
  <c r="G727" i="2"/>
  <c r="G750" i="2"/>
  <c r="G767" i="2"/>
  <c r="G790" i="2"/>
  <c r="G813" i="2"/>
  <c r="G830" i="2"/>
  <c r="G853" i="2"/>
  <c r="G877" i="2"/>
  <c r="G902" i="2"/>
  <c r="G932" i="2"/>
  <c r="G964" i="2"/>
  <c r="G1011" i="2"/>
  <c r="G1003" i="2"/>
  <c r="G995" i="2"/>
  <c r="G987" i="2"/>
  <c r="G979" i="2"/>
  <c r="G971" i="2"/>
  <c r="G963" i="2"/>
  <c r="G955" i="2"/>
  <c r="G947" i="2"/>
  <c r="G939" i="2"/>
  <c r="G931" i="2"/>
  <c r="G923" i="2"/>
  <c r="G915" i="2"/>
  <c r="G907" i="2"/>
  <c r="G899" i="2"/>
  <c r="G891" i="2"/>
  <c r="G883" i="2"/>
  <c r="G875" i="2"/>
  <c r="G867" i="2"/>
  <c r="G859" i="2"/>
  <c r="G851" i="2"/>
  <c r="G843" i="2"/>
  <c r="G835" i="2"/>
  <c r="G827" i="2"/>
  <c r="G819" i="2"/>
  <c r="G811" i="2"/>
  <c r="G803" i="2"/>
  <c r="G795" i="2"/>
  <c r="G787" i="2"/>
  <c r="G779" i="2"/>
  <c r="G771" i="2"/>
  <c r="G763" i="2"/>
  <c r="G755" i="2"/>
  <c r="G747" i="2"/>
  <c r="G739" i="2"/>
  <c r="G731" i="2"/>
  <c r="G723" i="2"/>
  <c r="G715" i="2"/>
  <c r="G707" i="2"/>
  <c r="G699" i="2"/>
  <c r="G691" i="2"/>
  <c r="G683" i="2"/>
  <c r="G675" i="2"/>
  <c r="G667" i="2"/>
  <c r="G659" i="2"/>
  <c r="G651" i="2"/>
  <c r="G643" i="2"/>
  <c r="G635" i="2"/>
  <c r="G627" i="2"/>
  <c r="G619" i="2"/>
  <c r="G611" i="2"/>
  <c r="G603" i="2"/>
  <c r="G595" i="2"/>
  <c r="G587" i="2"/>
  <c r="G579" i="2"/>
  <c r="G571" i="2"/>
  <c r="G563" i="2"/>
  <c r="G555" i="2"/>
  <c r="G547" i="2"/>
  <c r="G539" i="2"/>
  <c r="G531" i="2"/>
  <c r="G523" i="2"/>
  <c r="G515" i="2"/>
  <c r="G507" i="2"/>
  <c r="G499" i="2"/>
  <c r="G491" i="2"/>
  <c r="G483" i="2"/>
  <c r="G475" i="2"/>
  <c r="G467" i="2"/>
  <c r="G459" i="2"/>
  <c r="G451" i="2"/>
  <c r="G443" i="2"/>
  <c r="G435" i="2"/>
  <c r="G427" i="2"/>
  <c r="G419" i="2"/>
  <c r="G411" i="2"/>
  <c r="G403" i="2"/>
  <c r="G395" i="2"/>
  <c r="G387" i="2"/>
  <c r="G379" i="2"/>
  <c r="G371" i="2"/>
  <c r="G363" i="2"/>
  <c r="G355" i="2"/>
  <c r="G347" i="2"/>
  <c r="G339" i="2"/>
  <c r="G1010" i="2"/>
  <c r="G1002" i="2"/>
  <c r="G994" i="2"/>
  <c r="G986" i="2"/>
  <c r="G978" i="2"/>
  <c r="G970" i="2"/>
  <c r="G962" i="2"/>
  <c r="G954" i="2"/>
  <c r="G946" i="2"/>
  <c r="G938" i="2"/>
  <c r="G930" i="2"/>
  <c r="G922" i="2"/>
  <c r="G914" i="2"/>
  <c r="G906" i="2"/>
  <c r="G898" i="2"/>
  <c r="G890" i="2"/>
  <c r="G882" i="2"/>
  <c r="G874" i="2"/>
  <c r="G866" i="2"/>
  <c r="G858" i="2"/>
  <c r="G850" i="2"/>
  <c r="G842" i="2"/>
  <c r="G834" i="2"/>
  <c r="G826" i="2"/>
  <c r="G818" i="2"/>
  <c r="G810" i="2"/>
  <c r="G802" i="2"/>
  <c r="G794" i="2"/>
  <c r="G786" i="2"/>
  <c r="G778" i="2"/>
  <c r="G770" i="2"/>
  <c r="G762" i="2"/>
  <c r="G754" i="2"/>
  <c r="G746" i="2"/>
  <c r="G738" i="2"/>
  <c r="G730" i="2"/>
  <c r="G722" i="2"/>
  <c r="G714" i="2"/>
  <c r="G706" i="2"/>
  <c r="G698" i="2"/>
  <c r="G690" i="2"/>
  <c r="G682" i="2"/>
  <c r="G674" i="2"/>
  <c r="G666" i="2"/>
  <c r="G658" i="2"/>
  <c r="G650" i="2"/>
  <c r="G642" i="2"/>
  <c r="G634" i="2"/>
  <c r="G626" i="2"/>
  <c r="G618" i="2"/>
  <c r="G610" i="2"/>
  <c r="G602" i="2"/>
  <c r="G594" i="2"/>
  <c r="G586" i="2"/>
  <c r="G578" i="2"/>
  <c r="G570" i="2"/>
  <c r="G562" i="2"/>
  <c r="G554" i="2"/>
  <c r="G546" i="2"/>
  <c r="G1009" i="2"/>
  <c r="G1001" i="2"/>
  <c r="G993" i="2"/>
  <c r="G985" i="2"/>
  <c r="G977" i="2"/>
  <c r="G969" i="2"/>
  <c r="G961" i="2"/>
  <c r="G953" i="2"/>
  <c r="G945" i="2"/>
  <c r="G937" i="2"/>
  <c r="G929" i="2"/>
  <c r="G921" i="2"/>
  <c r="G913" i="2"/>
  <c r="G905" i="2"/>
  <c r="G897" i="2"/>
  <c r="G889" i="2"/>
  <c r="G881" i="2"/>
  <c r="G873" i="2"/>
  <c r="G865" i="2"/>
  <c r="G857" i="2"/>
  <c r="G849" i="2"/>
  <c r="G841" i="2"/>
  <c r="G833" i="2"/>
  <c r="G825" i="2"/>
  <c r="G817" i="2"/>
  <c r="G809" i="2"/>
  <c r="G801" i="2"/>
  <c r="G793" i="2"/>
  <c r="G785" i="2"/>
  <c r="G777" i="2"/>
  <c r="G769" i="2"/>
  <c r="G761" i="2"/>
  <c r="G753" i="2"/>
  <c r="G745" i="2"/>
  <c r="G737" i="2"/>
  <c r="G729" i="2"/>
  <c r="G721" i="2"/>
  <c r="G713" i="2"/>
  <c r="G705" i="2"/>
  <c r="G697" i="2"/>
  <c r="G689" i="2"/>
  <c r="G681" i="2"/>
  <c r="G673" i="2"/>
  <c r="G1008" i="2"/>
  <c r="G1000" i="2"/>
  <c r="G992" i="2"/>
  <c r="G984" i="2"/>
  <c r="G976" i="2"/>
  <c r="G968" i="2"/>
  <c r="G960" i="2"/>
  <c r="G952" i="2"/>
  <c r="G944" i="2"/>
  <c r="G936" i="2"/>
  <c r="G928" i="2"/>
  <c r="G920" i="2"/>
  <c r="G1007" i="2"/>
  <c r="G991" i="2"/>
  <c r="G975" i="2"/>
  <c r="G959" i="2"/>
  <c r="G943" i="2"/>
  <c r="G927" i="2"/>
  <c r="G912" i="2"/>
  <c r="G901" i="2"/>
  <c r="G887" i="2"/>
  <c r="G876" i="2"/>
  <c r="G862" i="2"/>
  <c r="G848" i="2"/>
  <c r="G837" i="2"/>
  <c r="G823" i="2"/>
  <c r="G812" i="2"/>
  <c r="G798" i="2"/>
  <c r="G784" i="2"/>
  <c r="G773" i="2"/>
  <c r="G759" i="2"/>
  <c r="G748" i="2"/>
  <c r="G734" i="2"/>
  <c r="G720" i="2"/>
  <c r="G709" i="2"/>
  <c r="G695" i="2"/>
  <c r="G684" i="2"/>
  <c r="G670" i="2"/>
  <c r="G660" i="2"/>
  <c r="G648" i="2"/>
  <c r="G638" i="2"/>
  <c r="G628" i="2"/>
  <c r="G616" i="2"/>
  <c r="G606" i="2"/>
  <c r="G596" i="2"/>
  <c r="G584" i="2"/>
  <c r="G574" i="2"/>
  <c r="G564" i="2"/>
  <c r="G552" i="2"/>
  <c r="G542" i="2"/>
  <c r="G533" i="2"/>
  <c r="G524" i="2"/>
  <c r="G514" i="2"/>
  <c r="G505" i="2"/>
  <c r="G496" i="2"/>
  <c r="G487" i="2"/>
  <c r="G478" i="2"/>
  <c r="G469" i="2"/>
  <c r="G460" i="2"/>
  <c r="G450" i="2"/>
  <c r="G441" i="2"/>
  <c r="G432" i="2"/>
  <c r="G423" i="2"/>
  <c r="G414" i="2"/>
  <c r="G405" i="2"/>
  <c r="G396" i="2"/>
  <c r="G386" i="2"/>
  <c r="G377" i="2"/>
  <c r="G368" i="2"/>
  <c r="G359" i="2"/>
  <c r="G350" i="2"/>
  <c r="G341" i="2"/>
  <c r="G332" i="2"/>
  <c r="G324" i="2"/>
  <c r="G316" i="2"/>
  <c r="G308" i="2"/>
  <c r="G300" i="2"/>
  <c r="G292" i="2"/>
  <c r="G284" i="2"/>
  <c r="G276" i="2"/>
  <c r="G268" i="2"/>
  <c r="G260" i="2"/>
  <c r="G252" i="2"/>
  <c r="G244" i="2"/>
  <c r="G236" i="2"/>
  <c r="G228" i="2"/>
  <c r="G220" i="2"/>
  <c r="G212" i="2"/>
  <c r="G204" i="2"/>
  <c r="G196" i="2"/>
  <c r="G188" i="2"/>
  <c r="G180" i="2"/>
  <c r="G172" i="2"/>
  <c r="G164" i="2"/>
  <c r="G156" i="2"/>
  <c r="G148" i="2"/>
  <c r="G140" i="2"/>
  <c r="G132" i="2"/>
  <c r="G124" i="2"/>
  <c r="G116" i="2"/>
  <c r="G108" i="2"/>
  <c r="G100" i="2"/>
  <c r="G92" i="2"/>
  <c r="G84" i="2"/>
  <c r="G76" i="2"/>
  <c r="G68" i="2"/>
  <c r="G60" i="2"/>
  <c r="G52" i="2"/>
  <c r="G44" i="2"/>
  <c r="G36" i="2"/>
  <c r="G28" i="2"/>
  <c r="G20" i="2"/>
  <c r="G12" i="2"/>
  <c r="G1006" i="2"/>
  <c r="G990" i="2"/>
  <c r="G974" i="2"/>
  <c r="G958" i="2"/>
  <c r="G942" i="2"/>
  <c r="G926" i="2"/>
  <c r="G911" i="2"/>
  <c r="G900" i="2"/>
  <c r="G886" i="2"/>
  <c r="G872" i="2"/>
  <c r="G861" i="2"/>
  <c r="G847" i="2"/>
  <c r="G836" i="2"/>
  <c r="G822" i="2"/>
  <c r="G808" i="2"/>
  <c r="G797" i="2"/>
  <c r="G783" i="2"/>
  <c r="G772" i="2"/>
  <c r="G758" i="2"/>
  <c r="G744" i="2"/>
  <c r="G733" i="2"/>
  <c r="G719" i="2"/>
  <c r="G708" i="2"/>
  <c r="G694" i="2"/>
  <c r="G680" i="2"/>
  <c r="G669" i="2"/>
  <c r="G657" i="2"/>
  <c r="G647" i="2"/>
  <c r="G637" i="2"/>
  <c r="G625" i="2"/>
  <c r="G615" i="2"/>
  <c r="G605" i="2"/>
  <c r="G593" i="2"/>
  <c r="G583" i="2"/>
  <c r="G573" i="2"/>
  <c r="G561" i="2"/>
  <c r="G551" i="2"/>
  <c r="G541" i="2"/>
  <c r="G532" i="2"/>
  <c r="G522" i="2"/>
  <c r="G513" i="2"/>
  <c r="G504" i="2"/>
  <c r="G495" i="2"/>
  <c r="G486" i="2"/>
  <c r="G477" i="2"/>
  <c r="G468" i="2"/>
  <c r="G458" i="2"/>
  <c r="G449" i="2"/>
  <c r="G440" i="2"/>
  <c r="G431" i="2"/>
  <c r="G422" i="2"/>
  <c r="G413" i="2"/>
  <c r="G404" i="2"/>
  <c r="G394" i="2"/>
  <c r="G385" i="2"/>
  <c r="G376" i="2"/>
  <c r="G367" i="2"/>
  <c r="G358" i="2"/>
  <c r="G349" i="2"/>
  <c r="G340" i="2"/>
  <c r="G331" i="2"/>
  <c r="G323" i="2"/>
  <c r="G315" i="2"/>
  <c r="G307" i="2"/>
  <c r="G299" i="2"/>
  <c r="G291" i="2"/>
  <c r="G283" i="2"/>
  <c r="G275" i="2"/>
  <c r="G267" i="2"/>
  <c r="G259" i="2"/>
  <c r="G251" i="2"/>
  <c r="G243" i="2"/>
  <c r="G235" i="2"/>
  <c r="G227" i="2"/>
  <c r="G219" i="2"/>
  <c r="G211" i="2"/>
  <c r="G203" i="2"/>
  <c r="G195" i="2"/>
  <c r="G187" i="2"/>
  <c r="G179" i="2"/>
  <c r="G171" i="2"/>
  <c r="G163" i="2"/>
  <c r="G155" i="2"/>
  <c r="G147" i="2"/>
  <c r="G139" i="2"/>
  <c r="G1005" i="2"/>
  <c r="G989" i="2"/>
  <c r="G973" i="2"/>
  <c r="G957" i="2"/>
  <c r="G941" i="2"/>
  <c r="G925" i="2"/>
  <c r="G910" i="2"/>
  <c r="G896" i="2"/>
  <c r="G885" i="2"/>
  <c r="G871" i="2"/>
  <c r="G860" i="2"/>
  <c r="G846" i="2"/>
  <c r="G832" i="2"/>
  <c r="G821" i="2"/>
  <c r="G807" i="2"/>
  <c r="G796" i="2"/>
  <c r="G782" i="2"/>
  <c r="G768" i="2"/>
  <c r="G757" i="2"/>
  <c r="G743" i="2"/>
  <c r="G732" i="2"/>
  <c r="G718" i="2"/>
  <c r="G704" i="2"/>
  <c r="G693" i="2"/>
  <c r="G679" i="2"/>
  <c r="G668" i="2"/>
  <c r="G656" i="2"/>
  <c r="G646" i="2"/>
  <c r="G636" i="2"/>
  <c r="G624" i="2"/>
  <c r="G614" i="2"/>
  <c r="G604" i="2"/>
  <c r="G592" i="2"/>
  <c r="G582" i="2"/>
  <c r="G572" i="2"/>
  <c r="G560" i="2"/>
  <c r="G550" i="2"/>
  <c r="G540" i="2"/>
  <c r="G530" i="2"/>
  <c r="G521" i="2"/>
  <c r="G512" i="2"/>
  <c r="G503" i="2"/>
  <c r="G494" i="2"/>
  <c r="G485" i="2"/>
  <c r="G476" i="2"/>
  <c r="G466" i="2"/>
  <c r="G457" i="2"/>
  <c r="G448" i="2"/>
  <c r="G439" i="2"/>
  <c r="G430" i="2"/>
  <c r="G421" i="2"/>
  <c r="G412" i="2"/>
  <c r="G402" i="2"/>
  <c r="G393" i="2"/>
  <c r="G384" i="2"/>
  <c r="G375" i="2"/>
  <c r="G1004" i="2"/>
  <c r="G988" i="2"/>
  <c r="G972" i="2"/>
  <c r="G956" i="2"/>
  <c r="G940" i="2"/>
  <c r="G924" i="2"/>
  <c r="G909" i="2"/>
  <c r="G895" i="2"/>
  <c r="G884" i="2"/>
  <c r="G870" i="2"/>
  <c r="G19" i="2"/>
  <c r="G65" i="2"/>
  <c r="G102" i="2"/>
  <c r="G150" i="2"/>
  <c r="G202" i="2"/>
  <c r="G256" i="2"/>
  <c r="G310" i="2"/>
  <c r="G354" i="2"/>
  <c r="G425" i="2"/>
  <c r="G498" i="2"/>
  <c r="G576" i="2"/>
  <c r="G644" i="2"/>
  <c r="G724" i="2"/>
  <c r="G781" i="2"/>
  <c r="G864" i="2"/>
  <c r="G15" i="2"/>
  <c r="G24" i="2"/>
  <c r="G33" i="2"/>
  <c r="G42" i="2"/>
  <c r="G51" i="2"/>
  <c r="G61" i="2"/>
  <c r="G70" i="2"/>
  <c r="G79" i="2"/>
  <c r="G88" i="2"/>
  <c r="G97" i="2"/>
  <c r="G106" i="2"/>
  <c r="G115" i="2"/>
  <c r="G125" i="2"/>
  <c r="G134" i="2"/>
  <c r="G144" i="2"/>
  <c r="G154" i="2"/>
  <c r="G166" i="2"/>
  <c r="G176" i="2"/>
  <c r="G186" i="2"/>
  <c r="G198" i="2"/>
  <c r="G208" i="2"/>
  <c r="G218" i="2"/>
  <c r="G230" i="2"/>
  <c r="G240" i="2"/>
  <c r="G250" i="2"/>
  <c r="G262" i="2"/>
  <c r="G272" i="2"/>
  <c r="G282" i="2"/>
  <c r="G294" i="2"/>
  <c r="G304" i="2"/>
  <c r="G314" i="2"/>
  <c r="G326" i="2"/>
  <c r="G336" i="2"/>
  <c r="G348" i="2"/>
  <c r="G361" i="2"/>
  <c r="G373" i="2"/>
  <c r="G389" i="2"/>
  <c r="G401" i="2"/>
  <c r="G417" i="2"/>
  <c r="G433" i="2"/>
  <c r="G446" i="2"/>
  <c r="G462" i="2"/>
  <c r="G474" i="2"/>
  <c r="G490" i="2"/>
  <c r="G506" i="2"/>
  <c r="G519" i="2"/>
  <c r="G535" i="2"/>
  <c r="G549" i="2"/>
  <c r="G567" i="2"/>
  <c r="G585" i="2"/>
  <c r="G600" i="2"/>
  <c r="G620" i="2"/>
  <c r="G633" i="2"/>
  <c r="G653" i="2"/>
  <c r="G671" i="2"/>
  <c r="G688" i="2"/>
  <c r="G711" i="2"/>
  <c r="G728" i="2"/>
  <c r="G751" i="2"/>
  <c r="G774" i="2"/>
  <c r="G791" i="2"/>
  <c r="G814" i="2"/>
  <c r="G831" i="2"/>
  <c r="G854" i="2"/>
  <c r="G878" i="2"/>
  <c r="G903" i="2"/>
  <c r="G933" i="2"/>
  <c r="G965" i="2"/>
  <c r="G997" i="2"/>
  <c r="G170" i="2"/>
  <c r="G981" i="2"/>
  <c r="G16" i="2"/>
  <c r="G25" i="2"/>
  <c r="G34" i="2"/>
  <c r="G43" i="2"/>
  <c r="G53" i="2"/>
  <c r="G62" i="2"/>
  <c r="G71" i="2"/>
  <c r="G80" i="2"/>
  <c r="G89" i="2"/>
  <c r="G98" i="2"/>
  <c r="G107" i="2"/>
  <c r="G117" i="2"/>
  <c r="G126" i="2"/>
  <c r="G135" i="2"/>
  <c r="G145" i="2"/>
  <c r="G157" i="2"/>
  <c r="G167" i="2"/>
  <c r="G177" i="2"/>
  <c r="G189" i="2"/>
  <c r="G199" i="2"/>
  <c r="G209" i="2"/>
  <c r="G221" i="2"/>
  <c r="G231" i="2"/>
  <c r="G241" i="2"/>
  <c r="G253" i="2"/>
  <c r="G263" i="2"/>
  <c r="G273" i="2"/>
  <c r="G285" i="2"/>
  <c r="G295" i="2"/>
  <c r="G305" i="2"/>
  <c r="G317" i="2"/>
  <c r="G327" i="2"/>
  <c r="G337" i="2"/>
  <c r="G351" i="2"/>
  <c r="G362" i="2"/>
  <c r="G374" i="2"/>
  <c r="G390" i="2"/>
  <c r="G406" i="2"/>
  <c r="G418" i="2"/>
  <c r="G434" i="2"/>
  <c r="G447" i="2"/>
  <c r="G463" i="2"/>
  <c r="G479" i="2"/>
  <c r="G492" i="2"/>
  <c r="G508" i="2"/>
  <c r="G520" i="2"/>
  <c r="G536" i="2"/>
  <c r="G553" i="2"/>
  <c r="G568" i="2"/>
  <c r="G588" i="2"/>
  <c r="G601" i="2"/>
  <c r="G621" i="2"/>
  <c r="G639" i="2"/>
  <c r="G654" i="2"/>
  <c r="G672" i="2"/>
  <c r="G692" i="2"/>
  <c r="G712" i="2"/>
  <c r="G735" i="2"/>
  <c r="G752" i="2"/>
  <c r="G775" i="2"/>
  <c r="G792" i="2"/>
  <c r="G815" i="2"/>
  <c r="G838" i="2"/>
  <c r="G855" i="2"/>
  <c r="G879" i="2"/>
  <c r="G904" i="2"/>
  <c r="G934" i="2"/>
  <c r="G966" i="2"/>
  <c r="G998" i="2"/>
  <c r="G56" i="2"/>
  <c r="G83" i="2"/>
  <c r="G129" i="2"/>
  <c r="G182" i="2"/>
  <c r="G234" i="2"/>
  <c r="G278" i="2"/>
  <c r="G330" i="2"/>
  <c r="G397" i="2"/>
  <c r="G470" i="2"/>
  <c r="G527" i="2"/>
  <c r="G591" i="2"/>
  <c r="G662" i="2"/>
  <c r="G741" i="2"/>
  <c r="G844" i="2"/>
  <c r="G17" i="2"/>
  <c r="G26" i="2"/>
  <c r="G35" i="2"/>
  <c r="G45" i="2"/>
  <c r="G54" i="2"/>
  <c r="G63" i="2"/>
  <c r="G72" i="2"/>
  <c r="G81" i="2"/>
  <c r="G90" i="2"/>
  <c r="G99" i="2"/>
  <c r="G109" i="2"/>
  <c r="G118" i="2"/>
  <c r="G127" i="2"/>
  <c r="G136" i="2"/>
  <c r="G146" i="2"/>
  <c r="G158" i="2"/>
  <c r="G168" i="2"/>
  <c r="G178" i="2"/>
  <c r="G190" i="2"/>
  <c r="G200" i="2"/>
  <c r="G210" i="2"/>
  <c r="G222" i="2"/>
  <c r="G232" i="2"/>
  <c r="G242" i="2"/>
  <c r="G254" i="2"/>
  <c r="G264" i="2"/>
  <c r="G274" i="2"/>
  <c r="G286" i="2"/>
  <c r="G296" i="2"/>
  <c r="G306" i="2"/>
  <c r="G318" i="2"/>
  <c r="G328" i="2"/>
  <c r="G338" i="2"/>
  <c r="G352" i="2"/>
  <c r="G364" i="2"/>
  <c r="G378" i="2"/>
  <c r="G391" i="2"/>
  <c r="G407" i="2"/>
  <c r="G420" i="2"/>
  <c r="G436" i="2"/>
  <c r="G452" i="2"/>
  <c r="G464" i="2"/>
  <c r="G480" i="2"/>
  <c r="G493" i="2"/>
  <c r="G509" i="2"/>
  <c r="G525" i="2"/>
  <c r="G537" i="2"/>
  <c r="G556" i="2"/>
  <c r="G569" i="2"/>
  <c r="G589" i="2"/>
  <c r="G607" i="2"/>
  <c r="G622" i="2"/>
  <c r="G640" i="2"/>
  <c r="G655" i="2"/>
  <c r="G676" i="2"/>
  <c r="G696" i="2"/>
  <c r="G716" i="2"/>
  <c r="G736" i="2"/>
  <c r="G756" i="2"/>
  <c r="G776" i="2"/>
  <c r="G799" i="2"/>
  <c r="G816" i="2"/>
  <c r="G839" i="2"/>
  <c r="G856" i="2"/>
  <c r="G880" i="2"/>
  <c r="G908" i="2"/>
  <c r="G935" i="2"/>
  <c r="G967" i="2"/>
  <c r="G999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N510" i="2"/>
  <c r="N509" i="2"/>
  <c r="N508" i="2"/>
  <c r="N507" i="2"/>
  <c r="N506" i="2"/>
  <c r="N505" i="2"/>
  <c r="N504" i="2"/>
  <c r="N503" i="2"/>
  <c r="N502" i="2"/>
  <c r="N501" i="2"/>
  <c r="N500" i="2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O510" i="2"/>
  <c r="O509" i="2"/>
  <c r="O508" i="2"/>
  <c r="O507" i="2"/>
  <c r="O506" i="2"/>
  <c r="O505" i="2"/>
  <c r="O504" i="2"/>
  <c r="O503" i="2"/>
  <c r="O502" i="2"/>
  <c r="O501" i="2"/>
  <c r="O500" i="2"/>
  <c r="O499" i="2"/>
  <c r="O498" i="2"/>
  <c r="O497" i="2"/>
  <c r="O496" i="2"/>
  <c r="O495" i="2"/>
  <c r="O494" i="2"/>
  <c r="O493" i="2"/>
  <c r="O492" i="2"/>
  <c r="O491" i="2"/>
  <c r="O490" i="2"/>
  <c r="O489" i="2"/>
  <c r="O488" i="2"/>
  <c r="O487" i="2"/>
  <c r="O486" i="2"/>
  <c r="O485" i="2"/>
  <c r="O484" i="2"/>
  <c r="O483" i="2"/>
  <c r="O482" i="2"/>
  <c r="O481" i="2"/>
  <c r="O480" i="2"/>
  <c r="O479" i="2"/>
  <c r="O478" i="2"/>
  <c r="O477" i="2"/>
  <c r="O476" i="2"/>
  <c r="O475" i="2"/>
  <c r="O474" i="2"/>
  <c r="O473" i="2"/>
  <c r="O472" i="2"/>
  <c r="O471" i="2"/>
  <c r="O470" i="2"/>
  <c r="O469" i="2"/>
  <c r="O468" i="2"/>
  <c r="O467" i="2"/>
  <c r="O466" i="2"/>
  <c r="O465" i="2"/>
  <c r="O464" i="2"/>
  <c r="O463" i="2"/>
  <c r="O462" i="2"/>
  <c r="O461" i="2"/>
  <c r="O460" i="2"/>
  <c r="O459" i="2"/>
  <c r="O458" i="2"/>
  <c r="O457" i="2"/>
  <c r="O456" i="2"/>
  <c r="O455" i="2"/>
  <c r="O454" i="2"/>
  <c r="O453" i="2"/>
  <c r="O452" i="2"/>
  <c r="O451" i="2"/>
  <c r="O450" i="2"/>
  <c r="O449" i="2"/>
  <c r="O448" i="2"/>
  <c r="O447" i="2"/>
  <c r="O446" i="2"/>
  <c r="O445" i="2"/>
  <c r="O444" i="2"/>
  <c r="O443" i="2"/>
  <c r="O442" i="2"/>
  <c r="O441" i="2"/>
  <c r="O440" i="2"/>
  <c r="O439" i="2"/>
  <c r="O438" i="2"/>
  <c r="O437" i="2"/>
  <c r="O436" i="2"/>
  <c r="O435" i="2"/>
  <c r="O434" i="2"/>
  <c r="O433" i="2"/>
  <c r="O432" i="2"/>
  <c r="O431" i="2"/>
  <c r="O430" i="2"/>
  <c r="O429" i="2"/>
  <c r="O428" i="2"/>
  <c r="O427" i="2"/>
  <c r="O426" i="2"/>
  <c r="O425" i="2"/>
  <c r="O424" i="2"/>
  <c r="O423" i="2"/>
  <c r="O422" i="2"/>
  <c r="O421" i="2"/>
  <c r="O420" i="2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O399" i="2"/>
  <c r="O398" i="2"/>
  <c r="O397" i="2"/>
  <c r="O396" i="2"/>
  <c r="O395" i="2"/>
  <c r="O394" i="2"/>
  <c r="O393" i="2"/>
  <c r="O392" i="2"/>
  <c r="O391" i="2"/>
  <c r="O390" i="2"/>
  <c r="O389" i="2"/>
  <c r="O388" i="2"/>
  <c r="O387" i="2"/>
  <c r="O386" i="2"/>
  <c r="O385" i="2"/>
  <c r="O384" i="2"/>
  <c r="O383" i="2"/>
  <c r="O382" i="2"/>
  <c r="O381" i="2"/>
  <c r="O380" i="2"/>
  <c r="O379" i="2"/>
  <c r="O378" i="2"/>
  <c r="O377" i="2"/>
  <c r="O376" i="2"/>
  <c r="O375" i="2"/>
  <c r="O374" i="2"/>
  <c r="O373" i="2"/>
  <c r="O372" i="2"/>
  <c r="O371" i="2"/>
  <c r="O370" i="2"/>
  <c r="O369" i="2"/>
  <c r="O368" i="2"/>
  <c r="O367" i="2"/>
  <c r="O366" i="2"/>
  <c r="O365" i="2"/>
  <c r="O364" i="2"/>
  <c r="O363" i="2"/>
  <c r="O362" i="2"/>
  <c r="O361" i="2"/>
  <c r="O360" i="2"/>
  <c r="O359" i="2"/>
  <c r="O358" i="2"/>
  <c r="O357" i="2"/>
  <c r="O356" i="2"/>
  <c r="O355" i="2"/>
  <c r="O354" i="2"/>
  <c r="O353" i="2"/>
  <c r="O352" i="2"/>
  <c r="O351" i="2"/>
  <c r="O350" i="2"/>
  <c r="O349" i="2"/>
  <c r="O348" i="2"/>
  <c r="O347" i="2"/>
  <c r="O346" i="2"/>
  <c r="O345" i="2"/>
  <c r="O344" i="2"/>
  <c r="O343" i="2"/>
  <c r="O342" i="2"/>
  <c r="O341" i="2"/>
  <c r="O340" i="2"/>
  <c r="O339" i="2"/>
  <c r="O338" i="2"/>
  <c r="O337" i="2"/>
  <c r="O336" i="2"/>
  <c r="O335" i="2"/>
  <c r="O334" i="2"/>
  <c r="O333" i="2"/>
  <c r="O332" i="2"/>
  <c r="O331" i="2"/>
  <c r="O330" i="2"/>
  <c r="O329" i="2"/>
  <c r="O328" i="2"/>
  <c r="O327" i="2"/>
  <c r="O326" i="2"/>
  <c r="O325" i="2"/>
  <c r="O324" i="2"/>
  <c r="O323" i="2"/>
  <c r="O322" i="2"/>
  <c r="O321" i="2"/>
  <c r="O320" i="2"/>
  <c r="O319" i="2"/>
  <c r="O318" i="2"/>
  <c r="O317" i="2"/>
  <c r="O316" i="2"/>
  <c r="O315" i="2"/>
  <c r="O314" i="2"/>
  <c r="O313" i="2"/>
  <c r="O312" i="2"/>
  <c r="O311" i="2"/>
  <c r="O310" i="2"/>
  <c r="O309" i="2"/>
  <c r="O308" i="2"/>
  <c r="O307" i="2"/>
  <c r="O306" i="2"/>
  <c r="O305" i="2"/>
  <c r="O304" i="2"/>
  <c r="O303" i="2"/>
  <c r="O302" i="2"/>
  <c r="O301" i="2"/>
  <c r="O300" i="2"/>
  <c r="O299" i="2"/>
  <c r="O298" i="2"/>
  <c r="O297" i="2"/>
  <c r="O296" i="2"/>
  <c r="O295" i="2"/>
  <c r="O294" i="2"/>
  <c r="O293" i="2"/>
  <c r="O292" i="2"/>
  <c r="O291" i="2"/>
  <c r="O290" i="2"/>
  <c r="O289" i="2"/>
  <c r="O288" i="2"/>
  <c r="O287" i="2"/>
  <c r="O286" i="2"/>
  <c r="O285" i="2"/>
  <c r="O284" i="2"/>
  <c r="O283" i="2"/>
  <c r="O282" i="2"/>
  <c r="O281" i="2"/>
  <c r="O280" i="2"/>
  <c r="O279" i="2"/>
  <c r="O278" i="2"/>
  <c r="O277" i="2"/>
  <c r="O276" i="2"/>
  <c r="O275" i="2"/>
  <c r="O274" i="2"/>
  <c r="O273" i="2"/>
  <c r="O272" i="2"/>
  <c r="O271" i="2"/>
  <c r="O270" i="2"/>
  <c r="O269" i="2"/>
  <c r="O268" i="2"/>
  <c r="O267" i="2"/>
  <c r="O266" i="2"/>
  <c r="O265" i="2"/>
  <c r="O264" i="2"/>
  <c r="O263" i="2"/>
  <c r="O262" i="2"/>
  <c r="O261" i="2"/>
  <c r="O260" i="2"/>
  <c r="O259" i="2"/>
  <c r="O258" i="2"/>
  <c r="O257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I12" i="2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B2" i="2"/>
  <c r="E6" i="2" s="1"/>
  <c r="R7" i="2" s="1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D988" i="2" s="1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D972" i="2" s="1"/>
  <c r="E972" i="2" s="1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D956" i="2" s="1"/>
  <c r="E956" i="2" s="1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D940" i="2" s="1"/>
  <c r="E940" i="2" s="1"/>
  <c r="C939" i="2"/>
  <c r="C938" i="2"/>
  <c r="C937" i="2"/>
  <c r="C936" i="2"/>
  <c r="C935" i="2"/>
  <c r="C934" i="2"/>
  <c r="C933" i="2"/>
  <c r="C932" i="2"/>
  <c r="D932" i="2" s="1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D900" i="2" s="1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D860" i="2" s="1"/>
  <c r="E860" i="2" s="1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D772" i="2" s="1"/>
  <c r="C771" i="2"/>
  <c r="C770" i="2"/>
  <c r="C769" i="2"/>
  <c r="C768" i="2"/>
  <c r="C767" i="2"/>
  <c r="C766" i="2"/>
  <c r="C765" i="2"/>
  <c r="C764" i="2"/>
  <c r="D764" i="2" s="1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D740" i="2" s="1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D708" i="2" s="1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D676" i="2" s="1"/>
  <c r="E676" i="2" s="1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D652" i="2" s="1"/>
  <c r="E652" i="2" s="1"/>
  <c r="C651" i="2"/>
  <c r="C650" i="2"/>
  <c r="C649" i="2"/>
  <c r="C648" i="2"/>
  <c r="C647" i="2"/>
  <c r="C646" i="2"/>
  <c r="C645" i="2"/>
  <c r="C644" i="2"/>
  <c r="D644" i="2" s="1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D604" i="2" s="1"/>
  <c r="E604" i="2" s="1"/>
  <c r="C603" i="2"/>
  <c r="C602" i="2"/>
  <c r="C601" i="2"/>
  <c r="C600" i="2"/>
  <c r="C599" i="2"/>
  <c r="C598" i="2"/>
  <c r="C597" i="2"/>
  <c r="C596" i="2"/>
  <c r="D596" i="2" s="1"/>
  <c r="E596" i="2" s="1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D580" i="2" s="1"/>
  <c r="E580" i="2" s="1"/>
  <c r="C579" i="2"/>
  <c r="C578" i="2"/>
  <c r="C577" i="2"/>
  <c r="C576" i="2"/>
  <c r="C575" i="2"/>
  <c r="C574" i="2"/>
  <c r="C573" i="2"/>
  <c r="C572" i="2"/>
  <c r="D572" i="2" s="1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D508" i="2" s="1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D476" i="2" s="1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D420" i="2" s="1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D388" i="2" s="1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D12" i="2" s="1"/>
  <c r="B11" i="2"/>
  <c r="A12" i="2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D9" i="1"/>
  <c r="H514" i="1"/>
  <c r="E514" i="1" s="1"/>
  <c r="H513" i="1"/>
  <c r="E513" i="1" s="1"/>
  <c r="H512" i="1"/>
  <c r="E512" i="1" s="1"/>
  <c r="H511" i="1"/>
  <c r="E511" i="1" s="1"/>
  <c r="H510" i="1"/>
  <c r="E510" i="1" s="1"/>
  <c r="H509" i="1"/>
  <c r="E509" i="1" s="1"/>
  <c r="H508" i="1"/>
  <c r="E508" i="1" s="1"/>
  <c r="H507" i="1"/>
  <c r="E507" i="1" s="1"/>
  <c r="H506" i="1"/>
  <c r="E506" i="1" s="1"/>
  <c r="H505" i="1"/>
  <c r="E505" i="1" s="1"/>
  <c r="H504" i="1"/>
  <c r="E504" i="1" s="1"/>
  <c r="H503" i="1"/>
  <c r="E503" i="1" s="1"/>
  <c r="H502" i="1"/>
  <c r="E502" i="1" s="1"/>
  <c r="H501" i="1"/>
  <c r="E501" i="1" s="1"/>
  <c r="H500" i="1"/>
  <c r="E500" i="1" s="1"/>
  <c r="H499" i="1"/>
  <c r="E499" i="1" s="1"/>
  <c r="H498" i="1"/>
  <c r="E498" i="1" s="1"/>
  <c r="H497" i="1"/>
  <c r="E497" i="1" s="1"/>
  <c r="H496" i="1"/>
  <c r="E496" i="1" s="1"/>
  <c r="H495" i="1"/>
  <c r="E495" i="1" s="1"/>
  <c r="H494" i="1"/>
  <c r="E494" i="1" s="1"/>
  <c r="H493" i="1"/>
  <c r="E493" i="1" s="1"/>
  <c r="H492" i="1"/>
  <c r="E492" i="1" s="1"/>
  <c r="H491" i="1"/>
  <c r="E491" i="1" s="1"/>
  <c r="H490" i="1"/>
  <c r="E490" i="1" s="1"/>
  <c r="H489" i="1"/>
  <c r="E489" i="1" s="1"/>
  <c r="H488" i="1"/>
  <c r="E488" i="1" s="1"/>
  <c r="H487" i="1"/>
  <c r="E487" i="1" s="1"/>
  <c r="H486" i="1"/>
  <c r="E486" i="1" s="1"/>
  <c r="H485" i="1"/>
  <c r="E485" i="1" s="1"/>
  <c r="H484" i="1"/>
  <c r="E484" i="1" s="1"/>
  <c r="H483" i="1"/>
  <c r="E483" i="1" s="1"/>
  <c r="H482" i="1"/>
  <c r="E482" i="1" s="1"/>
  <c r="H481" i="1"/>
  <c r="E481" i="1" s="1"/>
  <c r="H480" i="1"/>
  <c r="E480" i="1" s="1"/>
  <c r="H479" i="1"/>
  <c r="E479" i="1" s="1"/>
  <c r="H478" i="1"/>
  <c r="E478" i="1" s="1"/>
  <c r="H477" i="1"/>
  <c r="E477" i="1" s="1"/>
  <c r="H476" i="1"/>
  <c r="E476" i="1" s="1"/>
  <c r="H475" i="1"/>
  <c r="E475" i="1" s="1"/>
  <c r="H474" i="1"/>
  <c r="E474" i="1" s="1"/>
  <c r="H473" i="1"/>
  <c r="E473" i="1" s="1"/>
  <c r="H472" i="1"/>
  <c r="E472" i="1" s="1"/>
  <c r="H471" i="1"/>
  <c r="E471" i="1" s="1"/>
  <c r="H470" i="1"/>
  <c r="E470" i="1" s="1"/>
  <c r="H469" i="1"/>
  <c r="E469" i="1" s="1"/>
  <c r="H468" i="1"/>
  <c r="E468" i="1" s="1"/>
  <c r="H467" i="1"/>
  <c r="E467" i="1" s="1"/>
  <c r="H466" i="1"/>
  <c r="E466" i="1" s="1"/>
  <c r="H465" i="1"/>
  <c r="E465" i="1" s="1"/>
  <c r="H464" i="1"/>
  <c r="E464" i="1" s="1"/>
  <c r="H463" i="1"/>
  <c r="E463" i="1" s="1"/>
  <c r="H462" i="1"/>
  <c r="E462" i="1" s="1"/>
  <c r="H461" i="1"/>
  <c r="E461" i="1" s="1"/>
  <c r="H460" i="1"/>
  <c r="E460" i="1" s="1"/>
  <c r="H459" i="1"/>
  <c r="E459" i="1" s="1"/>
  <c r="H458" i="1"/>
  <c r="E458" i="1" s="1"/>
  <c r="H457" i="1"/>
  <c r="E457" i="1" s="1"/>
  <c r="H456" i="1"/>
  <c r="E456" i="1" s="1"/>
  <c r="H455" i="1"/>
  <c r="E455" i="1" s="1"/>
  <c r="H454" i="1"/>
  <c r="E454" i="1" s="1"/>
  <c r="H453" i="1"/>
  <c r="E453" i="1" s="1"/>
  <c r="H452" i="1"/>
  <c r="E452" i="1" s="1"/>
  <c r="H451" i="1"/>
  <c r="E451" i="1" s="1"/>
  <c r="H450" i="1"/>
  <c r="E450" i="1" s="1"/>
  <c r="H449" i="1"/>
  <c r="E449" i="1" s="1"/>
  <c r="H448" i="1"/>
  <c r="E448" i="1" s="1"/>
  <c r="H447" i="1"/>
  <c r="E447" i="1" s="1"/>
  <c r="H446" i="1"/>
  <c r="E446" i="1" s="1"/>
  <c r="H445" i="1"/>
  <c r="E445" i="1" s="1"/>
  <c r="H444" i="1"/>
  <c r="E444" i="1" s="1"/>
  <c r="H443" i="1"/>
  <c r="E443" i="1" s="1"/>
  <c r="H442" i="1"/>
  <c r="E442" i="1" s="1"/>
  <c r="H441" i="1"/>
  <c r="E441" i="1" s="1"/>
  <c r="H440" i="1"/>
  <c r="E440" i="1" s="1"/>
  <c r="H439" i="1"/>
  <c r="E439" i="1" s="1"/>
  <c r="H438" i="1"/>
  <c r="E438" i="1" s="1"/>
  <c r="H437" i="1"/>
  <c r="E437" i="1" s="1"/>
  <c r="H436" i="1"/>
  <c r="E436" i="1" s="1"/>
  <c r="H435" i="1"/>
  <c r="E435" i="1" s="1"/>
  <c r="H434" i="1"/>
  <c r="E434" i="1" s="1"/>
  <c r="H433" i="1"/>
  <c r="E433" i="1" s="1"/>
  <c r="H432" i="1"/>
  <c r="E432" i="1" s="1"/>
  <c r="H431" i="1"/>
  <c r="E431" i="1" s="1"/>
  <c r="H430" i="1"/>
  <c r="E430" i="1" s="1"/>
  <c r="H429" i="1"/>
  <c r="E429" i="1" s="1"/>
  <c r="H428" i="1"/>
  <c r="E428" i="1" s="1"/>
  <c r="H427" i="1"/>
  <c r="E427" i="1" s="1"/>
  <c r="H426" i="1"/>
  <c r="E426" i="1" s="1"/>
  <c r="H425" i="1"/>
  <c r="E425" i="1" s="1"/>
  <c r="H424" i="1"/>
  <c r="E424" i="1" s="1"/>
  <c r="H423" i="1"/>
  <c r="E423" i="1" s="1"/>
  <c r="H422" i="1"/>
  <c r="E422" i="1" s="1"/>
  <c r="H421" i="1"/>
  <c r="E421" i="1" s="1"/>
  <c r="H420" i="1"/>
  <c r="E420" i="1" s="1"/>
  <c r="H419" i="1"/>
  <c r="E419" i="1" s="1"/>
  <c r="H418" i="1"/>
  <c r="E418" i="1" s="1"/>
  <c r="H417" i="1"/>
  <c r="E417" i="1" s="1"/>
  <c r="H416" i="1"/>
  <c r="E416" i="1" s="1"/>
  <c r="H415" i="1"/>
  <c r="E415" i="1" s="1"/>
  <c r="H414" i="1"/>
  <c r="E414" i="1" s="1"/>
  <c r="H413" i="1"/>
  <c r="E413" i="1" s="1"/>
  <c r="H412" i="1"/>
  <c r="E412" i="1" s="1"/>
  <c r="H411" i="1"/>
  <c r="E411" i="1" s="1"/>
  <c r="H410" i="1"/>
  <c r="E410" i="1" s="1"/>
  <c r="H409" i="1"/>
  <c r="E409" i="1" s="1"/>
  <c r="H408" i="1"/>
  <c r="E408" i="1" s="1"/>
  <c r="H407" i="1"/>
  <c r="E407" i="1" s="1"/>
  <c r="H406" i="1"/>
  <c r="E406" i="1" s="1"/>
  <c r="H405" i="1"/>
  <c r="E405" i="1" s="1"/>
  <c r="H404" i="1"/>
  <c r="E404" i="1" s="1"/>
  <c r="H403" i="1"/>
  <c r="E403" i="1" s="1"/>
  <c r="H402" i="1"/>
  <c r="E402" i="1" s="1"/>
  <c r="H401" i="1"/>
  <c r="E401" i="1" s="1"/>
  <c r="H400" i="1"/>
  <c r="E400" i="1" s="1"/>
  <c r="H399" i="1"/>
  <c r="E399" i="1" s="1"/>
  <c r="H398" i="1"/>
  <c r="E398" i="1" s="1"/>
  <c r="H397" i="1"/>
  <c r="E397" i="1" s="1"/>
  <c r="H396" i="1"/>
  <c r="E396" i="1" s="1"/>
  <c r="H395" i="1"/>
  <c r="E395" i="1" s="1"/>
  <c r="H394" i="1"/>
  <c r="E394" i="1" s="1"/>
  <c r="H393" i="1"/>
  <c r="E393" i="1" s="1"/>
  <c r="H392" i="1"/>
  <c r="E392" i="1" s="1"/>
  <c r="H391" i="1"/>
  <c r="E391" i="1" s="1"/>
  <c r="H390" i="1"/>
  <c r="E390" i="1" s="1"/>
  <c r="H389" i="1"/>
  <c r="E389" i="1" s="1"/>
  <c r="H388" i="1"/>
  <c r="E388" i="1" s="1"/>
  <c r="H387" i="1"/>
  <c r="E387" i="1" s="1"/>
  <c r="H386" i="1"/>
  <c r="E386" i="1" s="1"/>
  <c r="H385" i="1"/>
  <c r="E385" i="1" s="1"/>
  <c r="H384" i="1"/>
  <c r="E384" i="1" s="1"/>
  <c r="H383" i="1"/>
  <c r="E383" i="1" s="1"/>
  <c r="H382" i="1"/>
  <c r="E382" i="1" s="1"/>
  <c r="H381" i="1"/>
  <c r="E381" i="1" s="1"/>
  <c r="H380" i="1"/>
  <c r="E380" i="1" s="1"/>
  <c r="H379" i="1"/>
  <c r="E379" i="1" s="1"/>
  <c r="H378" i="1"/>
  <c r="E378" i="1" s="1"/>
  <c r="H377" i="1"/>
  <c r="E377" i="1" s="1"/>
  <c r="H376" i="1"/>
  <c r="E376" i="1" s="1"/>
  <c r="H375" i="1"/>
  <c r="E375" i="1" s="1"/>
  <c r="H374" i="1"/>
  <c r="E374" i="1" s="1"/>
  <c r="H373" i="1"/>
  <c r="E373" i="1" s="1"/>
  <c r="H372" i="1"/>
  <c r="E372" i="1" s="1"/>
  <c r="H371" i="1"/>
  <c r="E371" i="1" s="1"/>
  <c r="H370" i="1"/>
  <c r="E370" i="1" s="1"/>
  <c r="H369" i="1"/>
  <c r="E369" i="1" s="1"/>
  <c r="H368" i="1"/>
  <c r="E368" i="1" s="1"/>
  <c r="H367" i="1"/>
  <c r="E367" i="1" s="1"/>
  <c r="H366" i="1"/>
  <c r="E366" i="1" s="1"/>
  <c r="H365" i="1"/>
  <c r="E365" i="1" s="1"/>
  <c r="H364" i="1"/>
  <c r="E364" i="1" s="1"/>
  <c r="H363" i="1"/>
  <c r="E363" i="1" s="1"/>
  <c r="H362" i="1"/>
  <c r="E362" i="1" s="1"/>
  <c r="H361" i="1"/>
  <c r="E361" i="1" s="1"/>
  <c r="H360" i="1"/>
  <c r="E360" i="1" s="1"/>
  <c r="H359" i="1"/>
  <c r="E359" i="1" s="1"/>
  <c r="H358" i="1"/>
  <c r="E358" i="1" s="1"/>
  <c r="H357" i="1"/>
  <c r="E357" i="1" s="1"/>
  <c r="H356" i="1"/>
  <c r="E356" i="1" s="1"/>
  <c r="H355" i="1"/>
  <c r="E355" i="1" s="1"/>
  <c r="H354" i="1"/>
  <c r="E354" i="1" s="1"/>
  <c r="H353" i="1"/>
  <c r="E353" i="1" s="1"/>
  <c r="H352" i="1"/>
  <c r="E352" i="1" s="1"/>
  <c r="H351" i="1"/>
  <c r="E351" i="1" s="1"/>
  <c r="H350" i="1"/>
  <c r="E350" i="1" s="1"/>
  <c r="H349" i="1"/>
  <c r="E349" i="1" s="1"/>
  <c r="H348" i="1"/>
  <c r="E348" i="1" s="1"/>
  <c r="H347" i="1"/>
  <c r="E347" i="1" s="1"/>
  <c r="H346" i="1"/>
  <c r="E346" i="1" s="1"/>
  <c r="H345" i="1"/>
  <c r="E345" i="1" s="1"/>
  <c r="H344" i="1"/>
  <c r="E344" i="1" s="1"/>
  <c r="H343" i="1"/>
  <c r="E343" i="1" s="1"/>
  <c r="H342" i="1"/>
  <c r="E342" i="1" s="1"/>
  <c r="H341" i="1"/>
  <c r="E341" i="1" s="1"/>
  <c r="H340" i="1"/>
  <c r="E340" i="1" s="1"/>
  <c r="H339" i="1"/>
  <c r="E339" i="1" s="1"/>
  <c r="H338" i="1"/>
  <c r="E338" i="1" s="1"/>
  <c r="H337" i="1"/>
  <c r="E337" i="1" s="1"/>
  <c r="H336" i="1"/>
  <c r="E336" i="1" s="1"/>
  <c r="H335" i="1"/>
  <c r="E335" i="1" s="1"/>
  <c r="H334" i="1"/>
  <c r="E334" i="1" s="1"/>
  <c r="H333" i="1"/>
  <c r="E333" i="1" s="1"/>
  <c r="H332" i="1"/>
  <c r="E332" i="1" s="1"/>
  <c r="H331" i="1"/>
  <c r="E331" i="1" s="1"/>
  <c r="H330" i="1"/>
  <c r="E330" i="1" s="1"/>
  <c r="H329" i="1"/>
  <c r="E329" i="1" s="1"/>
  <c r="H328" i="1"/>
  <c r="E328" i="1" s="1"/>
  <c r="H327" i="1"/>
  <c r="E327" i="1" s="1"/>
  <c r="H326" i="1"/>
  <c r="E326" i="1" s="1"/>
  <c r="H325" i="1"/>
  <c r="E325" i="1" s="1"/>
  <c r="H324" i="1"/>
  <c r="E324" i="1" s="1"/>
  <c r="H323" i="1"/>
  <c r="E323" i="1" s="1"/>
  <c r="H322" i="1"/>
  <c r="E322" i="1" s="1"/>
  <c r="H321" i="1"/>
  <c r="E321" i="1" s="1"/>
  <c r="H320" i="1"/>
  <c r="E320" i="1" s="1"/>
  <c r="H319" i="1"/>
  <c r="E319" i="1" s="1"/>
  <c r="H318" i="1"/>
  <c r="E318" i="1" s="1"/>
  <c r="H317" i="1"/>
  <c r="E317" i="1" s="1"/>
  <c r="H316" i="1"/>
  <c r="E316" i="1" s="1"/>
  <c r="H315" i="1"/>
  <c r="E315" i="1" s="1"/>
  <c r="H314" i="1"/>
  <c r="E314" i="1" s="1"/>
  <c r="H313" i="1"/>
  <c r="E313" i="1" s="1"/>
  <c r="H312" i="1"/>
  <c r="E312" i="1" s="1"/>
  <c r="H311" i="1"/>
  <c r="E311" i="1" s="1"/>
  <c r="H310" i="1"/>
  <c r="E310" i="1" s="1"/>
  <c r="H309" i="1"/>
  <c r="E309" i="1" s="1"/>
  <c r="H308" i="1"/>
  <c r="E308" i="1" s="1"/>
  <c r="H307" i="1"/>
  <c r="E307" i="1" s="1"/>
  <c r="H306" i="1"/>
  <c r="E306" i="1" s="1"/>
  <c r="H305" i="1"/>
  <c r="E305" i="1" s="1"/>
  <c r="H304" i="1"/>
  <c r="E304" i="1" s="1"/>
  <c r="H303" i="1"/>
  <c r="E303" i="1" s="1"/>
  <c r="H302" i="1"/>
  <c r="E302" i="1" s="1"/>
  <c r="H301" i="1"/>
  <c r="E301" i="1" s="1"/>
  <c r="H300" i="1"/>
  <c r="E300" i="1" s="1"/>
  <c r="H299" i="1"/>
  <c r="E299" i="1" s="1"/>
  <c r="H298" i="1"/>
  <c r="E298" i="1" s="1"/>
  <c r="H297" i="1"/>
  <c r="E297" i="1" s="1"/>
  <c r="H296" i="1"/>
  <c r="E296" i="1" s="1"/>
  <c r="H295" i="1"/>
  <c r="E295" i="1" s="1"/>
  <c r="H294" i="1"/>
  <c r="E294" i="1" s="1"/>
  <c r="H293" i="1"/>
  <c r="E293" i="1" s="1"/>
  <c r="H292" i="1"/>
  <c r="E292" i="1" s="1"/>
  <c r="H291" i="1"/>
  <c r="E291" i="1" s="1"/>
  <c r="H290" i="1"/>
  <c r="E290" i="1" s="1"/>
  <c r="H289" i="1"/>
  <c r="E289" i="1" s="1"/>
  <c r="H288" i="1"/>
  <c r="E288" i="1" s="1"/>
  <c r="H287" i="1"/>
  <c r="E287" i="1" s="1"/>
  <c r="H286" i="1"/>
  <c r="E286" i="1" s="1"/>
  <c r="H285" i="1"/>
  <c r="E285" i="1" s="1"/>
  <c r="H284" i="1"/>
  <c r="E284" i="1" s="1"/>
  <c r="H283" i="1"/>
  <c r="E283" i="1" s="1"/>
  <c r="H282" i="1"/>
  <c r="E282" i="1" s="1"/>
  <c r="H281" i="1"/>
  <c r="E281" i="1" s="1"/>
  <c r="H280" i="1"/>
  <c r="E280" i="1" s="1"/>
  <c r="H279" i="1"/>
  <c r="E279" i="1" s="1"/>
  <c r="H278" i="1"/>
  <c r="E278" i="1" s="1"/>
  <c r="H277" i="1"/>
  <c r="E277" i="1" s="1"/>
  <c r="H276" i="1"/>
  <c r="E276" i="1" s="1"/>
  <c r="H275" i="1"/>
  <c r="E275" i="1" s="1"/>
  <c r="H274" i="1"/>
  <c r="E274" i="1" s="1"/>
  <c r="H273" i="1"/>
  <c r="E273" i="1" s="1"/>
  <c r="H272" i="1"/>
  <c r="E272" i="1" s="1"/>
  <c r="H271" i="1"/>
  <c r="E271" i="1" s="1"/>
  <c r="H270" i="1"/>
  <c r="E270" i="1" s="1"/>
  <c r="H269" i="1"/>
  <c r="E269" i="1" s="1"/>
  <c r="H268" i="1"/>
  <c r="E268" i="1" s="1"/>
  <c r="H267" i="1"/>
  <c r="E267" i="1" s="1"/>
  <c r="H266" i="1"/>
  <c r="E266" i="1" s="1"/>
  <c r="H265" i="1"/>
  <c r="E265" i="1" s="1"/>
  <c r="H264" i="1"/>
  <c r="E264" i="1" s="1"/>
  <c r="H263" i="1"/>
  <c r="E263" i="1" s="1"/>
  <c r="H262" i="1"/>
  <c r="E262" i="1" s="1"/>
  <c r="H261" i="1"/>
  <c r="E261" i="1" s="1"/>
  <c r="H260" i="1"/>
  <c r="E260" i="1" s="1"/>
  <c r="H259" i="1"/>
  <c r="E259" i="1" s="1"/>
  <c r="H258" i="1"/>
  <c r="E258" i="1" s="1"/>
  <c r="H257" i="1"/>
  <c r="E257" i="1" s="1"/>
  <c r="H256" i="1"/>
  <c r="E256" i="1" s="1"/>
  <c r="H255" i="1"/>
  <c r="E255" i="1" s="1"/>
  <c r="H254" i="1"/>
  <c r="E254" i="1" s="1"/>
  <c r="H253" i="1"/>
  <c r="E253" i="1" s="1"/>
  <c r="H252" i="1"/>
  <c r="E252" i="1" s="1"/>
  <c r="H251" i="1"/>
  <c r="E251" i="1" s="1"/>
  <c r="H250" i="1"/>
  <c r="E250" i="1" s="1"/>
  <c r="H249" i="1"/>
  <c r="E249" i="1" s="1"/>
  <c r="H248" i="1"/>
  <c r="E248" i="1" s="1"/>
  <c r="H247" i="1"/>
  <c r="E247" i="1" s="1"/>
  <c r="H246" i="1"/>
  <c r="E246" i="1" s="1"/>
  <c r="H245" i="1"/>
  <c r="E245" i="1" s="1"/>
  <c r="H244" i="1"/>
  <c r="E244" i="1" s="1"/>
  <c r="H243" i="1"/>
  <c r="E243" i="1" s="1"/>
  <c r="H242" i="1"/>
  <c r="E242" i="1" s="1"/>
  <c r="H241" i="1"/>
  <c r="E241" i="1" s="1"/>
  <c r="H240" i="1"/>
  <c r="E240" i="1" s="1"/>
  <c r="H239" i="1"/>
  <c r="E239" i="1" s="1"/>
  <c r="H238" i="1"/>
  <c r="E238" i="1" s="1"/>
  <c r="H237" i="1"/>
  <c r="E237" i="1" s="1"/>
  <c r="H236" i="1"/>
  <c r="E236" i="1" s="1"/>
  <c r="H235" i="1"/>
  <c r="E235" i="1" s="1"/>
  <c r="H234" i="1"/>
  <c r="E234" i="1" s="1"/>
  <c r="H233" i="1"/>
  <c r="E233" i="1" s="1"/>
  <c r="H232" i="1"/>
  <c r="E232" i="1" s="1"/>
  <c r="H231" i="1"/>
  <c r="E231" i="1" s="1"/>
  <c r="H230" i="1"/>
  <c r="E230" i="1" s="1"/>
  <c r="H229" i="1"/>
  <c r="E229" i="1" s="1"/>
  <c r="H228" i="1"/>
  <c r="E228" i="1" s="1"/>
  <c r="H227" i="1"/>
  <c r="E227" i="1" s="1"/>
  <c r="H226" i="1"/>
  <c r="E226" i="1" s="1"/>
  <c r="H225" i="1"/>
  <c r="E225" i="1" s="1"/>
  <c r="H224" i="1"/>
  <c r="E224" i="1" s="1"/>
  <c r="H223" i="1"/>
  <c r="E223" i="1" s="1"/>
  <c r="H222" i="1"/>
  <c r="E222" i="1" s="1"/>
  <c r="H221" i="1"/>
  <c r="E221" i="1" s="1"/>
  <c r="H220" i="1"/>
  <c r="E220" i="1" s="1"/>
  <c r="H219" i="1"/>
  <c r="E219" i="1" s="1"/>
  <c r="H218" i="1"/>
  <c r="E218" i="1" s="1"/>
  <c r="H217" i="1"/>
  <c r="E217" i="1" s="1"/>
  <c r="H216" i="1"/>
  <c r="E216" i="1" s="1"/>
  <c r="H215" i="1"/>
  <c r="E215" i="1" s="1"/>
  <c r="H214" i="1"/>
  <c r="E214" i="1" s="1"/>
  <c r="H213" i="1"/>
  <c r="E213" i="1" s="1"/>
  <c r="H212" i="1"/>
  <c r="E212" i="1" s="1"/>
  <c r="H211" i="1"/>
  <c r="E211" i="1" s="1"/>
  <c r="H210" i="1"/>
  <c r="E210" i="1" s="1"/>
  <c r="H209" i="1"/>
  <c r="E209" i="1" s="1"/>
  <c r="H208" i="1"/>
  <c r="E208" i="1" s="1"/>
  <c r="H207" i="1"/>
  <c r="E207" i="1" s="1"/>
  <c r="H206" i="1"/>
  <c r="E206" i="1" s="1"/>
  <c r="H205" i="1"/>
  <c r="E205" i="1" s="1"/>
  <c r="H204" i="1"/>
  <c r="E204" i="1" s="1"/>
  <c r="H203" i="1"/>
  <c r="E203" i="1" s="1"/>
  <c r="H202" i="1"/>
  <c r="E202" i="1" s="1"/>
  <c r="H201" i="1"/>
  <c r="E201" i="1" s="1"/>
  <c r="H200" i="1"/>
  <c r="E200" i="1" s="1"/>
  <c r="H199" i="1"/>
  <c r="E199" i="1" s="1"/>
  <c r="H198" i="1"/>
  <c r="E198" i="1" s="1"/>
  <c r="H197" i="1"/>
  <c r="E197" i="1" s="1"/>
  <c r="H196" i="1"/>
  <c r="E196" i="1" s="1"/>
  <c r="H195" i="1"/>
  <c r="E195" i="1" s="1"/>
  <c r="H194" i="1"/>
  <c r="E194" i="1" s="1"/>
  <c r="H193" i="1"/>
  <c r="E193" i="1" s="1"/>
  <c r="H192" i="1"/>
  <c r="E192" i="1" s="1"/>
  <c r="H191" i="1"/>
  <c r="E191" i="1" s="1"/>
  <c r="H190" i="1"/>
  <c r="E190" i="1" s="1"/>
  <c r="H189" i="1"/>
  <c r="E189" i="1" s="1"/>
  <c r="H188" i="1"/>
  <c r="E188" i="1" s="1"/>
  <c r="H187" i="1"/>
  <c r="E187" i="1" s="1"/>
  <c r="H186" i="1"/>
  <c r="E186" i="1" s="1"/>
  <c r="H185" i="1"/>
  <c r="E185" i="1" s="1"/>
  <c r="H184" i="1"/>
  <c r="E184" i="1" s="1"/>
  <c r="H183" i="1"/>
  <c r="E183" i="1" s="1"/>
  <c r="H182" i="1"/>
  <c r="E182" i="1" s="1"/>
  <c r="H181" i="1"/>
  <c r="E181" i="1" s="1"/>
  <c r="H180" i="1"/>
  <c r="E180" i="1" s="1"/>
  <c r="H179" i="1"/>
  <c r="E179" i="1" s="1"/>
  <c r="H178" i="1"/>
  <c r="E178" i="1" s="1"/>
  <c r="H177" i="1"/>
  <c r="E177" i="1" s="1"/>
  <c r="H176" i="1"/>
  <c r="E176" i="1" s="1"/>
  <c r="H175" i="1"/>
  <c r="E175" i="1" s="1"/>
  <c r="H174" i="1"/>
  <c r="E174" i="1" s="1"/>
  <c r="H173" i="1"/>
  <c r="E173" i="1" s="1"/>
  <c r="H172" i="1"/>
  <c r="E172" i="1" s="1"/>
  <c r="H171" i="1"/>
  <c r="E171" i="1" s="1"/>
  <c r="H170" i="1"/>
  <c r="E170" i="1" s="1"/>
  <c r="H169" i="1"/>
  <c r="E169" i="1" s="1"/>
  <c r="H168" i="1"/>
  <c r="E168" i="1" s="1"/>
  <c r="H167" i="1"/>
  <c r="E167" i="1" s="1"/>
  <c r="H166" i="1"/>
  <c r="E166" i="1" s="1"/>
  <c r="H165" i="1"/>
  <c r="E165" i="1" s="1"/>
  <c r="H164" i="1"/>
  <c r="E164" i="1" s="1"/>
  <c r="H163" i="1"/>
  <c r="E163" i="1" s="1"/>
  <c r="H162" i="1"/>
  <c r="E162" i="1" s="1"/>
  <c r="H161" i="1"/>
  <c r="E161" i="1" s="1"/>
  <c r="H160" i="1"/>
  <c r="E160" i="1" s="1"/>
  <c r="H159" i="1"/>
  <c r="E159" i="1" s="1"/>
  <c r="H158" i="1"/>
  <c r="E158" i="1" s="1"/>
  <c r="H157" i="1"/>
  <c r="E157" i="1" s="1"/>
  <c r="H156" i="1"/>
  <c r="E156" i="1" s="1"/>
  <c r="H155" i="1"/>
  <c r="E155" i="1" s="1"/>
  <c r="H154" i="1"/>
  <c r="E154" i="1" s="1"/>
  <c r="H153" i="1"/>
  <c r="E153" i="1" s="1"/>
  <c r="H152" i="1"/>
  <c r="E152" i="1" s="1"/>
  <c r="H151" i="1"/>
  <c r="E151" i="1" s="1"/>
  <c r="H150" i="1"/>
  <c r="E150" i="1" s="1"/>
  <c r="H149" i="1"/>
  <c r="E149" i="1" s="1"/>
  <c r="H148" i="1"/>
  <c r="E148" i="1" s="1"/>
  <c r="H147" i="1"/>
  <c r="E147" i="1" s="1"/>
  <c r="H146" i="1"/>
  <c r="E146" i="1" s="1"/>
  <c r="H145" i="1"/>
  <c r="E145" i="1" s="1"/>
  <c r="H144" i="1"/>
  <c r="E144" i="1" s="1"/>
  <c r="H143" i="1"/>
  <c r="E143" i="1" s="1"/>
  <c r="H142" i="1"/>
  <c r="E142" i="1" s="1"/>
  <c r="H141" i="1"/>
  <c r="E141" i="1" s="1"/>
  <c r="H140" i="1"/>
  <c r="E140" i="1" s="1"/>
  <c r="H139" i="1"/>
  <c r="E139" i="1" s="1"/>
  <c r="H138" i="1"/>
  <c r="E138" i="1" s="1"/>
  <c r="H137" i="1"/>
  <c r="E137" i="1" s="1"/>
  <c r="H136" i="1"/>
  <c r="E136" i="1" s="1"/>
  <c r="H135" i="1"/>
  <c r="E135" i="1" s="1"/>
  <c r="H134" i="1"/>
  <c r="E134" i="1" s="1"/>
  <c r="H133" i="1"/>
  <c r="E133" i="1" s="1"/>
  <c r="H132" i="1"/>
  <c r="E132" i="1" s="1"/>
  <c r="H131" i="1"/>
  <c r="E131" i="1" s="1"/>
  <c r="H130" i="1"/>
  <c r="E130" i="1" s="1"/>
  <c r="H129" i="1"/>
  <c r="E129" i="1" s="1"/>
  <c r="H128" i="1"/>
  <c r="E128" i="1" s="1"/>
  <c r="H127" i="1"/>
  <c r="E127" i="1" s="1"/>
  <c r="H126" i="1"/>
  <c r="E126" i="1" s="1"/>
  <c r="H125" i="1"/>
  <c r="E125" i="1" s="1"/>
  <c r="H124" i="1"/>
  <c r="E124" i="1" s="1"/>
  <c r="H123" i="1"/>
  <c r="E123" i="1" s="1"/>
  <c r="H122" i="1"/>
  <c r="E122" i="1" s="1"/>
  <c r="H121" i="1"/>
  <c r="E121" i="1" s="1"/>
  <c r="H120" i="1"/>
  <c r="E120" i="1" s="1"/>
  <c r="H119" i="1"/>
  <c r="E119" i="1" s="1"/>
  <c r="H118" i="1"/>
  <c r="E118" i="1" s="1"/>
  <c r="H117" i="1"/>
  <c r="E117" i="1" s="1"/>
  <c r="H116" i="1"/>
  <c r="E116" i="1" s="1"/>
  <c r="H115" i="1"/>
  <c r="E115" i="1" s="1"/>
  <c r="H114" i="1"/>
  <c r="E114" i="1" s="1"/>
  <c r="H113" i="1"/>
  <c r="E113" i="1" s="1"/>
  <c r="H112" i="1"/>
  <c r="E112" i="1" s="1"/>
  <c r="H111" i="1"/>
  <c r="E111" i="1" s="1"/>
  <c r="H110" i="1"/>
  <c r="E110" i="1" s="1"/>
  <c r="H109" i="1"/>
  <c r="E109" i="1" s="1"/>
  <c r="H108" i="1"/>
  <c r="E108" i="1" s="1"/>
  <c r="H107" i="1"/>
  <c r="E107" i="1" s="1"/>
  <c r="H106" i="1"/>
  <c r="E106" i="1" s="1"/>
  <c r="H105" i="1"/>
  <c r="E105" i="1" s="1"/>
  <c r="H104" i="1"/>
  <c r="E104" i="1" s="1"/>
  <c r="H103" i="1"/>
  <c r="E103" i="1" s="1"/>
  <c r="H102" i="1"/>
  <c r="E102" i="1" s="1"/>
  <c r="H101" i="1"/>
  <c r="E101" i="1" s="1"/>
  <c r="H100" i="1"/>
  <c r="E100" i="1" s="1"/>
  <c r="H99" i="1"/>
  <c r="E99" i="1" s="1"/>
  <c r="H98" i="1"/>
  <c r="E98" i="1" s="1"/>
  <c r="H97" i="1"/>
  <c r="E97" i="1" s="1"/>
  <c r="H96" i="1"/>
  <c r="E96" i="1" s="1"/>
  <c r="H95" i="1"/>
  <c r="E95" i="1" s="1"/>
  <c r="H94" i="1"/>
  <c r="E94" i="1" s="1"/>
  <c r="H93" i="1"/>
  <c r="E93" i="1" s="1"/>
  <c r="H92" i="1"/>
  <c r="E92" i="1" s="1"/>
  <c r="H91" i="1"/>
  <c r="E91" i="1" s="1"/>
  <c r="H90" i="1"/>
  <c r="E90" i="1" s="1"/>
  <c r="H89" i="1"/>
  <c r="E89" i="1" s="1"/>
  <c r="H88" i="1"/>
  <c r="E88" i="1" s="1"/>
  <c r="H87" i="1"/>
  <c r="E87" i="1" s="1"/>
  <c r="H86" i="1"/>
  <c r="E86" i="1" s="1"/>
  <c r="H85" i="1"/>
  <c r="E85" i="1" s="1"/>
  <c r="H84" i="1"/>
  <c r="E84" i="1" s="1"/>
  <c r="H83" i="1"/>
  <c r="E83" i="1" s="1"/>
  <c r="H82" i="1"/>
  <c r="E82" i="1" s="1"/>
  <c r="H81" i="1"/>
  <c r="E81" i="1" s="1"/>
  <c r="H80" i="1"/>
  <c r="E80" i="1" s="1"/>
  <c r="H79" i="1"/>
  <c r="E79" i="1" s="1"/>
  <c r="H78" i="1"/>
  <c r="E78" i="1" s="1"/>
  <c r="H77" i="1"/>
  <c r="E77" i="1" s="1"/>
  <c r="H76" i="1"/>
  <c r="E76" i="1" s="1"/>
  <c r="F76" i="1" s="1"/>
  <c r="H75" i="1"/>
  <c r="E75" i="1" s="1"/>
  <c r="H74" i="1"/>
  <c r="E74" i="1" s="1"/>
  <c r="H73" i="1"/>
  <c r="E73" i="1" s="1"/>
  <c r="H72" i="1"/>
  <c r="E72" i="1" s="1"/>
  <c r="H71" i="1"/>
  <c r="E71" i="1" s="1"/>
  <c r="H70" i="1"/>
  <c r="E70" i="1" s="1"/>
  <c r="H69" i="1"/>
  <c r="E69" i="1" s="1"/>
  <c r="H68" i="1"/>
  <c r="E68" i="1" s="1"/>
  <c r="H67" i="1"/>
  <c r="E67" i="1" s="1"/>
  <c r="H66" i="1"/>
  <c r="E66" i="1" s="1"/>
  <c r="H65" i="1"/>
  <c r="E65" i="1" s="1"/>
  <c r="H64" i="1"/>
  <c r="E64" i="1" s="1"/>
  <c r="H63" i="1"/>
  <c r="E63" i="1" s="1"/>
  <c r="H62" i="1"/>
  <c r="E62" i="1" s="1"/>
  <c r="H61" i="1"/>
  <c r="E61" i="1" s="1"/>
  <c r="H60" i="1"/>
  <c r="E60" i="1" s="1"/>
  <c r="H59" i="1"/>
  <c r="E59" i="1" s="1"/>
  <c r="H58" i="1"/>
  <c r="E58" i="1" s="1"/>
  <c r="H57" i="1"/>
  <c r="E57" i="1" s="1"/>
  <c r="H56" i="1"/>
  <c r="E56" i="1" s="1"/>
  <c r="H55" i="1"/>
  <c r="E55" i="1" s="1"/>
  <c r="H54" i="1"/>
  <c r="E54" i="1" s="1"/>
  <c r="H53" i="1"/>
  <c r="E53" i="1" s="1"/>
  <c r="H52" i="1"/>
  <c r="E52" i="1" s="1"/>
  <c r="F52" i="1" s="1"/>
  <c r="H51" i="1"/>
  <c r="E51" i="1" s="1"/>
  <c r="H50" i="1"/>
  <c r="E50" i="1" s="1"/>
  <c r="H49" i="1"/>
  <c r="E49" i="1" s="1"/>
  <c r="H48" i="1"/>
  <c r="E48" i="1" s="1"/>
  <c r="H47" i="1"/>
  <c r="E47" i="1" s="1"/>
  <c r="H46" i="1"/>
  <c r="E46" i="1" s="1"/>
  <c r="H45" i="1"/>
  <c r="E45" i="1" s="1"/>
  <c r="H44" i="1"/>
  <c r="E44" i="1" s="1"/>
  <c r="H43" i="1"/>
  <c r="E43" i="1" s="1"/>
  <c r="H42" i="1"/>
  <c r="E42" i="1" s="1"/>
  <c r="H41" i="1"/>
  <c r="E41" i="1" s="1"/>
  <c r="H40" i="1"/>
  <c r="E40" i="1" s="1"/>
  <c r="H39" i="1"/>
  <c r="E39" i="1" s="1"/>
  <c r="H38" i="1"/>
  <c r="E38" i="1" s="1"/>
  <c r="H37" i="1"/>
  <c r="E37" i="1" s="1"/>
  <c r="H36" i="1"/>
  <c r="E36" i="1" s="1"/>
  <c r="H35" i="1"/>
  <c r="E35" i="1" s="1"/>
  <c r="H34" i="1"/>
  <c r="E34" i="1" s="1"/>
  <c r="H33" i="1"/>
  <c r="E33" i="1" s="1"/>
  <c r="H32" i="1"/>
  <c r="E32" i="1" s="1"/>
  <c r="H31" i="1"/>
  <c r="E31" i="1" s="1"/>
  <c r="H30" i="1"/>
  <c r="E30" i="1" s="1"/>
  <c r="H29" i="1"/>
  <c r="E29" i="1" s="1"/>
  <c r="H28" i="1"/>
  <c r="E28" i="1" s="1"/>
  <c r="H27" i="1"/>
  <c r="E27" i="1" s="1"/>
  <c r="H26" i="1"/>
  <c r="E26" i="1" s="1"/>
  <c r="H25" i="1"/>
  <c r="E25" i="1" s="1"/>
  <c r="H24" i="1"/>
  <c r="E24" i="1" s="1"/>
  <c r="H23" i="1"/>
  <c r="E23" i="1" s="1"/>
  <c r="H22" i="1"/>
  <c r="E22" i="1" s="1"/>
  <c r="H21" i="1"/>
  <c r="E21" i="1" s="1"/>
  <c r="H20" i="1"/>
  <c r="E20" i="1" s="1"/>
  <c r="F20" i="1" s="1"/>
  <c r="H19" i="1"/>
  <c r="E19" i="1" s="1"/>
  <c r="H18" i="1"/>
  <c r="E18" i="1" s="1"/>
  <c r="H17" i="1"/>
  <c r="E17" i="1" s="1"/>
  <c r="H16" i="1"/>
  <c r="E16" i="1" s="1"/>
  <c r="H15" i="1"/>
  <c r="E15" i="1" s="1"/>
  <c r="D15" i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D367" i="1" s="1"/>
  <c r="D368" i="1" s="1"/>
  <c r="D369" i="1" s="1"/>
  <c r="D370" i="1" s="1"/>
  <c r="D371" i="1" s="1"/>
  <c r="D372" i="1" s="1"/>
  <c r="D373" i="1" s="1"/>
  <c r="D374" i="1" s="1"/>
  <c r="D375" i="1" s="1"/>
  <c r="D376" i="1" s="1"/>
  <c r="D377" i="1" s="1"/>
  <c r="D378" i="1" s="1"/>
  <c r="D379" i="1" s="1"/>
  <c r="D380" i="1" s="1"/>
  <c r="D381" i="1" s="1"/>
  <c r="D382" i="1" s="1"/>
  <c r="D383" i="1" s="1"/>
  <c r="D384" i="1" s="1"/>
  <c r="D385" i="1" s="1"/>
  <c r="D386" i="1" s="1"/>
  <c r="D387" i="1" s="1"/>
  <c r="D388" i="1" s="1"/>
  <c r="D389" i="1" s="1"/>
  <c r="D390" i="1" s="1"/>
  <c r="D391" i="1" s="1"/>
  <c r="D392" i="1" s="1"/>
  <c r="D393" i="1" s="1"/>
  <c r="D394" i="1" s="1"/>
  <c r="D395" i="1" s="1"/>
  <c r="D396" i="1" s="1"/>
  <c r="D397" i="1" s="1"/>
  <c r="D398" i="1" s="1"/>
  <c r="D399" i="1" s="1"/>
  <c r="D400" i="1" s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 s="1"/>
  <c r="D414" i="1" s="1"/>
  <c r="D415" i="1" s="1"/>
  <c r="D416" i="1" s="1"/>
  <c r="D417" i="1" s="1"/>
  <c r="D418" i="1" s="1"/>
  <c r="D419" i="1" s="1"/>
  <c r="D420" i="1" s="1"/>
  <c r="D421" i="1" s="1"/>
  <c r="D422" i="1" s="1"/>
  <c r="D423" i="1" s="1"/>
  <c r="D424" i="1" s="1"/>
  <c r="D425" i="1" s="1"/>
  <c r="D426" i="1" s="1"/>
  <c r="D427" i="1" s="1"/>
  <c r="D428" i="1" s="1"/>
  <c r="D429" i="1" s="1"/>
  <c r="D430" i="1" s="1"/>
  <c r="D431" i="1" s="1"/>
  <c r="D432" i="1" s="1"/>
  <c r="D433" i="1" s="1"/>
  <c r="D434" i="1" s="1"/>
  <c r="D435" i="1" s="1"/>
  <c r="D436" i="1" s="1"/>
  <c r="D437" i="1" s="1"/>
  <c r="D438" i="1" s="1"/>
  <c r="D439" i="1" s="1"/>
  <c r="D440" i="1" s="1"/>
  <c r="D441" i="1" s="1"/>
  <c r="D442" i="1" s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D461" i="1" s="1"/>
  <c r="D462" i="1" s="1"/>
  <c r="D463" i="1" s="1"/>
  <c r="D464" i="1" s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 s="1"/>
  <c r="D481" i="1" s="1"/>
  <c r="D482" i="1" s="1"/>
  <c r="D483" i="1" s="1"/>
  <c r="D484" i="1" s="1"/>
  <c r="D485" i="1" s="1"/>
  <c r="D486" i="1" s="1"/>
  <c r="D487" i="1" s="1"/>
  <c r="D488" i="1" s="1"/>
  <c r="D489" i="1" s="1"/>
  <c r="D490" i="1" s="1"/>
  <c r="D491" i="1" s="1"/>
  <c r="D492" i="1" s="1"/>
  <c r="D493" i="1" s="1"/>
  <c r="D494" i="1" s="1"/>
  <c r="D495" i="1" s="1"/>
  <c r="D496" i="1" s="1"/>
  <c r="D497" i="1" s="1"/>
  <c r="D498" i="1" s="1"/>
  <c r="D499" i="1" s="1"/>
  <c r="D500" i="1" s="1"/>
  <c r="D501" i="1" s="1"/>
  <c r="D502" i="1" s="1"/>
  <c r="D503" i="1" s="1"/>
  <c r="D504" i="1" s="1"/>
  <c r="D505" i="1" s="1"/>
  <c r="D506" i="1" s="1"/>
  <c r="D507" i="1" s="1"/>
  <c r="D508" i="1" s="1"/>
  <c r="D509" i="1" s="1"/>
  <c r="D510" i="1" s="1"/>
  <c r="D511" i="1" s="1"/>
  <c r="D512" i="1" s="1"/>
  <c r="D513" i="1" s="1"/>
  <c r="D514" i="1" s="1"/>
  <c r="C15" i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B17" i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F4" i="2" l="1"/>
  <c r="E8" i="2"/>
  <c r="R2" i="2"/>
  <c r="R3" i="2"/>
  <c r="R6" i="2"/>
  <c r="R5" i="2"/>
  <c r="R4" i="2"/>
  <c r="D147" i="2"/>
  <c r="E147" i="2" s="1"/>
  <c r="D179" i="2"/>
  <c r="E179" i="2" s="1"/>
  <c r="D203" i="2"/>
  <c r="E203" i="2" s="1"/>
  <c r="D211" i="2"/>
  <c r="E211" i="2" s="1"/>
  <c r="D259" i="2"/>
  <c r="E259" i="2" s="1"/>
  <c r="D291" i="2"/>
  <c r="E291" i="2" s="1"/>
  <c r="D323" i="2"/>
  <c r="E323" i="2" s="1"/>
  <c r="D355" i="2"/>
  <c r="E355" i="2" s="1"/>
  <c r="D419" i="2"/>
  <c r="E419" i="2" s="1"/>
  <c r="D491" i="2"/>
  <c r="E491" i="2" s="1"/>
  <c r="D499" i="2"/>
  <c r="E499" i="2" s="1"/>
  <c r="D996" i="2"/>
  <c r="E996" i="2" s="1"/>
  <c r="K5" i="2"/>
  <c r="K4" i="2"/>
  <c r="K2" i="2"/>
  <c r="K3" i="2"/>
  <c r="D87" i="2"/>
  <c r="E87" i="2" s="1"/>
  <c r="D151" i="2"/>
  <c r="E151" i="2" s="1"/>
  <c r="D175" i="2"/>
  <c r="E175" i="2" s="1"/>
  <c r="D183" i="2"/>
  <c r="E183" i="2" s="1"/>
  <c r="D207" i="2"/>
  <c r="E207" i="2" s="1"/>
  <c r="D223" i="2"/>
  <c r="E223" i="2" s="1"/>
  <c r="D231" i="2"/>
  <c r="E231" i="2" s="1"/>
  <c r="D327" i="2"/>
  <c r="E327" i="2" s="1"/>
  <c r="D367" i="2"/>
  <c r="E367" i="2" s="1"/>
  <c r="D375" i="2"/>
  <c r="E375" i="2" s="1"/>
  <c r="D391" i="2"/>
  <c r="E391" i="2" s="1"/>
  <c r="D463" i="2"/>
  <c r="E463" i="2" s="1"/>
  <c r="D559" i="2"/>
  <c r="E559" i="2" s="1"/>
  <c r="D575" i="2"/>
  <c r="E575" i="2" s="1"/>
  <c r="D591" i="2"/>
  <c r="E591" i="2" s="1"/>
  <c r="D615" i="2"/>
  <c r="E615" i="2" s="1"/>
  <c r="D623" i="2"/>
  <c r="E623" i="2" s="1"/>
  <c r="D647" i="2"/>
  <c r="E647" i="2" s="1"/>
  <c r="D655" i="2"/>
  <c r="E655" i="2" s="1"/>
  <c r="D679" i="2"/>
  <c r="E679" i="2" s="1"/>
  <c r="D711" i="2"/>
  <c r="E711" i="2" s="1"/>
  <c r="D719" i="2"/>
  <c r="E719" i="2" s="1"/>
  <c r="D743" i="2"/>
  <c r="E743" i="2" s="1"/>
  <c r="D88" i="2"/>
  <c r="E88" i="2" s="1"/>
  <c r="D112" i="2"/>
  <c r="E112" i="2" s="1"/>
  <c r="D128" i="2"/>
  <c r="E128" i="2" s="1"/>
  <c r="D184" i="2"/>
  <c r="E184" i="2" s="1"/>
  <c r="D224" i="2"/>
  <c r="E224" i="2" s="1"/>
  <c r="D248" i="2"/>
  <c r="E248" i="2" s="1"/>
  <c r="D360" i="2"/>
  <c r="E360" i="2" s="1"/>
  <c r="D432" i="2"/>
  <c r="E432" i="2" s="1"/>
  <c r="D536" i="2"/>
  <c r="E536" i="2" s="1"/>
  <c r="D560" i="2"/>
  <c r="E560" i="2" s="1"/>
  <c r="D17" i="2"/>
  <c r="E17" i="2" s="1"/>
  <c r="D25" i="2"/>
  <c r="E25" i="2" s="1"/>
  <c r="D33" i="2"/>
  <c r="E33" i="2" s="1"/>
  <c r="D49" i="2"/>
  <c r="E49" i="2" s="1"/>
  <c r="D57" i="2"/>
  <c r="E57" i="2" s="1"/>
  <c r="D65" i="2"/>
  <c r="E65" i="2" s="1"/>
  <c r="D81" i="2"/>
  <c r="E81" i="2" s="1"/>
  <c r="D113" i="2"/>
  <c r="E113" i="2" s="1"/>
  <c r="D121" i="2"/>
  <c r="E121" i="2" s="1"/>
  <c r="D145" i="2"/>
  <c r="E145" i="2" s="1"/>
  <c r="D153" i="2"/>
  <c r="E153" i="2" s="1"/>
  <c r="D201" i="2"/>
  <c r="E201" i="2" s="1"/>
  <c r="D225" i="2"/>
  <c r="E225" i="2" s="1"/>
  <c r="D257" i="2"/>
  <c r="E257" i="2" s="1"/>
  <c r="D289" i="2"/>
  <c r="E289" i="2" s="1"/>
  <c r="D345" i="2"/>
  <c r="E345" i="2" s="1"/>
  <c r="D457" i="2"/>
  <c r="E457" i="2" s="1"/>
  <c r="D505" i="2"/>
  <c r="E505" i="2" s="1"/>
  <c r="D18" i="2"/>
  <c r="E18" i="2" s="1"/>
  <c r="D42" i="2"/>
  <c r="E42" i="2" s="1"/>
  <c r="D50" i="2"/>
  <c r="E50" i="2" s="1"/>
  <c r="D82" i="2"/>
  <c r="E82" i="2" s="1"/>
  <c r="D90" i="2"/>
  <c r="E90" i="2" s="1"/>
  <c r="D106" i="2"/>
  <c r="E106" i="2" s="1"/>
  <c r="D114" i="2"/>
  <c r="E114" i="2" s="1"/>
  <c r="D122" i="2"/>
  <c r="E122" i="2" s="1"/>
  <c r="D138" i="2"/>
  <c r="E138" i="2" s="1"/>
  <c r="D146" i="2"/>
  <c r="E146" i="2" s="1"/>
  <c r="D394" i="2"/>
  <c r="E394" i="2" s="1"/>
  <c r="D426" i="2"/>
  <c r="E426" i="2" s="1"/>
  <c r="D442" i="2"/>
  <c r="E442" i="2" s="1"/>
  <c r="D133" i="2"/>
  <c r="E133" i="2" s="1"/>
  <c r="D293" i="2"/>
  <c r="E293" i="2" s="1"/>
  <c r="D325" i="2"/>
  <c r="E325" i="2" s="1"/>
  <c r="D341" i="2"/>
  <c r="E341" i="2" s="1"/>
  <c r="D349" i="2"/>
  <c r="E349" i="2" s="1"/>
  <c r="D381" i="2"/>
  <c r="E381" i="2" s="1"/>
  <c r="D397" i="2"/>
  <c r="E397" i="2" s="1"/>
  <c r="D206" i="2"/>
  <c r="E206" i="2" s="1"/>
  <c r="D270" i="2"/>
  <c r="E270" i="2" s="1"/>
  <c r="D414" i="2"/>
  <c r="E414" i="2" s="1"/>
  <c r="D815" i="2"/>
  <c r="E815" i="2" s="1"/>
  <c r="K8" i="2"/>
  <c r="K7" i="2"/>
  <c r="D616" i="2"/>
  <c r="E616" i="2" s="1"/>
  <c r="D648" i="2"/>
  <c r="E648" i="2" s="1"/>
  <c r="D656" i="2"/>
  <c r="E656" i="2" s="1"/>
  <c r="D680" i="2"/>
  <c r="E680" i="2" s="1"/>
  <c r="D704" i="2"/>
  <c r="E704" i="2" s="1"/>
  <c r="D808" i="2"/>
  <c r="E808" i="2" s="1"/>
  <c r="D840" i="2"/>
  <c r="E840" i="2" s="1"/>
  <c r="D880" i="2"/>
  <c r="E880" i="2" s="1"/>
  <c r="D896" i="2"/>
  <c r="E896" i="2" s="1"/>
  <c r="D904" i="2"/>
  <c r="E904" i="2" s="1"/>
  <c r="D912" i="2"/>
  <c r="E912" i="2" s="1"/>
  <c r="D538" i="2"/>
  <c r="E538" i="2" s="1"/>
  <c r="D562" i="2"/>
  <c r="E562" i="2" s="1"/>
  <c r="D570" i="2"/>
  <c r="E570" i="2" s="1"/>
  <c r="D618" i="2"/>
  <c r="E618" i="2" s="1"/>
  <c r="D626" i="2"/>
  <c r="E626" i="2" s="1"/>
  <c r="D634" i="2"/>
  <c r="E634" i="2" s="1"/>
  <c r="D531" i="2"/>
  <c r="E531" i="2" s="1"/>
  <c r="D579" i="2"/>
  <c r="E579" i="2" s="1"/>
  <c r="D587" i="2"/>
  <c r="E587" i="2" s="1"/>
  <c r="D627" i="2"/>
  <c r="E627" i="2" s="1"/>
  <c r="D635" i="2"/>
  <c r="E635" i="2" s="1"/>
  <c r="D691" i="2"/>
  <c r="E691" i="2" s="1"/>
  <c r="D699" i="2"/>
  <c r="E699" i="2" s="1"/>
  <c r="D755" i="2"/>
  <c r="E755" i="2" s="1"/>
  <c r="D787" i="2"/>
  <c r="E787" i="2" s="1"/>
  <c r="D883" i="2"/>
  <c r="E883" i="2" s="1"/>
  <c r="D899" i="2"/>
  <c r="E899" i="2" s="1"/>
  <c r="D847" i="2"/>
  <c r="E847" i="2" s="1"/>
  <c r="D871" i="2"/>
  <c r="E871" i="2" s="1"/>
  <c r="D903" i="2"/>
  <c r="E903" i="2" s="1"/>
  <c r="D911" i="2"/>
  <c r="E911" i="2" s="1"/>
  <c r="D935" i="2"/>
  <c r="E935" i="2" s="1"/>
  <c r="D967" i="2"/>
  <c r="E967" i="2" s="1"/>
  <c r="D999" i="2"/>
  <c r="E999" i="2" s="1"/>
  <c r="D1007" i="2"/>
  <c r="E1007" i="2" s="1"/>
  <c r="D690" i="2"/>
  <c r="E690" i="2" s="1"/>
  <c r="D730" i="2"/>
  <c r="E730" i="2" s="1"/>
  <c r="D762" i="2"/>
  <c r="E762" i="2" s="1"/>
  <c r="D786" i="2"/>
  <c r="E786" i="2" s="1"/>
  <c r="D794" i="2"/>
  <c r="E794" i="2" s="1"/>
  <c r="D818" i="2"/>
  <c r="E818" i="2" s="1"/>
  <c r="D826" i="2"/>
  <c r="E826" i="2" s="1"/>
  <c r="D874" i="2"/>
  <c r="E874" i="2" s="1"/>
  <c r="D882" i="2"/>
  <c r="E882" i="2" s="1"/>
  <c r="D986" i="2"/>
  <c r="E986" i="2" s="1"/>
  <c r="D645" i="2"/>
  <c r="E645" i="2" s="1"/>
  <c r="D669" i="2"/>
  <c r="E669" i="2" s="1"/>
  <c r="D853" i="2"/>
  <c r="E853" i="2" s="1"/>
  <c r="D893" i="2"/>
  <c r="E893" i="2" s="1"/>
  <c r="D542" i="2"/>
  <c r="E542" i="2" s="1"/>
  <c r="D598" i="2"/>
  <c r="E598" i="2" s="1"/>
  <c r="D638" i="2"/>
  <c r="E638" i="2" s="1"/>
  <c r="D670" i="2"/>
  <c r="E670" i="2" s="1"/>
  <c r="D702" i="2"/>
  <c r="E702" i="2" s="1"/>
  <c r="D710" i="2"/>
  <c r="E710" i="2" s="1"/>
  <c r="D726" i="2"/>
  <c r="E726" i="2" s="1"/>
  <c r="D734" i="2"/>
  <c r="E734" i="2" s="1"/>
  <c r="D926" i="2"/>
  <c r="E926" i="2" s="1"/>
  <c r="D990" i="2"/>
  <c r="E990" i="2" s="1"/>
  <c r="D933" i="2"/>
  <c r="E933" i="2" s="1"/>
  <c r="D949" i="2"/>
  <c r="E949" i="2" s="1"/>
  <c r="D965" i="2"/>
  <c r="E965" i="2" s="1"/>
  <c r="D928" i="2"/>
  <c r="E928" i="2" s="1"/>
  <c r="D960" i="2"/>
  <c r="E960" i="2" s="1"/>
  <c r="D968" i="2"/>
  <c r="E968" i="2" s="1"/>
  <c r="D992" i="2"/>
  <c r="E992" i="2" s="1"/>
  <c r="D117" i="2"/>
  <c r="E117" i="2" s="1"/>
  <c r="D205" i="2"/>
  <c r="E205" i="2" s="1"/>
  <c r="D233" i="2"/>
  <c r="E233" i="2" s="1"/>
  <c r="D271" i="2"/>
  <c r="E271" i="2" s="1"/>
  <c r="D357" i="2"/>
  <c r="E357" i="2" s="1"/>
  <c r="D386" i="2"/>
  <c r="E386" i="2" s="1"/>
  <c r="D416" i="2"/>
  <c r="E416" i="2" s="1"/>
  <c r="D452" i="2"/>
  <c r="E452" i="2" s="1"/>
  <c r="D520" i="2"/>
  <c r="E520" i="2" s="1"/>
  <c r="D551" i="2"/>
  <c r="E551" i="2" s="1"/>
  <c r="D620" i="2"/>
  <c r="E620" i="2" s="1"/>
  <c r="D643" i="2"/>
  <c r="E643" i="2" s="1"/>
  <c r="D717" i="2"/>
  <c r="E717" i="2" s="1"/>
  <c r="D725" i="2"/>
  <c r="E725" i="2" s="1"/>
  <c r="D842" i="2"/>
  <c r="E842" i="2" s="1"/>
  <c r="D850" i="2"/>
  <c r="E850" i="2" s="1"/>
  <c r="D857" i="2"/>
  <c r="E857" i="2" s="1"/>
  <c r="D865" i="2"/>
  <c r="E865" i="2" s="1"/>
  <c r="D971" i="2"/>
  <c r="E971" i="2" s="1"/>
  <c r="D19" i="2"/>
  <c r="E19" i="2" s="1"/>
  <c r="D27" i="2"/>
  <c r="E27" i="2" s="1"/>
  <c r="D35" i="2"/>
  <c r="E35" i="2" s="1"/>
  <c r="D43" i="2"/>
  <c r="E43" i="2" s="1"/>
  <c r="D51" i="2"/>
  <c r="E51" i="2" s="1"/>
  <c r="D59" i="2"/>
  <c r="E59" i="2" s="1"/>
  <c r="D67" i="2"/>
  <c r="E67" i="2" s="1"/>
  <c r="D75" i="2"/>
  <c r="E75" i="2" s="1"/>
  <c r="D83" i="2"/>
  <c r="E83" i="2" s="1"/>
  <c r="D96" i="2"/>
  <c r="E96" i="2" s="1"/>
  <c r="D104" i="2"/>
  <c r="E104" i="2" s="1"/>
  <c r="D111" i="2"/>
  <c r="E111" i="2" s="1"/>
  <c r="D118" i="2"/>
  <c r="E118" i="2" s="1"/>
  <c r="D126" i="2"/>
  <c r="E126" i="2" s="1"/>
  <c r="D140" i="2"/>
  <c r="E140" i="2" s="1"/>
  <c r="D162" i="2"/>
  <c r="E162" i="2" s="1"/>
  <c r="D170" i="2"/>
  <c r="E170" i="2" s="1"/>
  <c r="D177" i="2"/>
  <c r="E177" i="2" s="1"/>
  <c r="D191" i="2"/>
  <c r="E191" i="2" s="1"/>
  <c r="D199" i="2"/>
  <c r="E199" i="2" s="1"/>
  <c r="D212" i="2"/>
  <c r="E212" i="2" s="1"/>
  <c r="D220" i="2"/>
  <c r="E220" i="2" s="1"/>
  <c r="D227" i="2"/>
  <c r="E227" i="2" s="1"/>
  <c r="D234" i="2"/>
  <c r="E234" i="2" s="1"/>
  <c r="D242" i="2"/>
  <c r="E242" i="2" s="1"/>
  <c r="D250" i="2"/>
  <c r="E250" i="2" s="1"/>
  <c r="D264" i="2"/>
  <c r="E264" i="2" s="1"/>
  <c r="D272" i="2"/>
  <c r="E272" i="2" s="1"/>
  <c r="D280" i="2"/>
  <c r="E280" i="2" s="1"/>
  <c r="D301" i="2"/>
  <c r="E301" i="2" s="1"/>
  <c r="D309" i="2"/>
  <c r="E309" i="2" s="1"/>
  <c r="D317" i="2"/>
  <c r="E317" i="2" s="1"/>
  <c r="D324" i="2"/>
  <c r="E324" i="2" s="1"/>
  <c r="D330" i="2"/>
  <c r="E330" i="2" s="1"/>
  <c r="D338" i="2"/>
  <c r="E338" i="2" s="1"/>
  <c r="D351" i="2"/>
  <c r="E351" i="2" s="1"/>
  <c r="D358" i="2"/>
  <c r="E358" i="2" s="1"/>
  <c r="D366" i="2"/>
  <c r="E366" i="2" s="1"/>
  <c r="D373" i="2"/>
  <c r="E373" i="2" s="1"/>
  <c r="D380" i="2"/>
  <c r="E380" i="2" s="1"/>
  <c r="D387" i="2"/>
  <c r="E387" i="2" s="1"/>
  <c r="D401" i="2"/>
  <c r="E401" i="2" s="1"/>
  <c r="D409" i="2"/>
  <c r="E409" i="2" s="1"/>
  <c r="D417" i="2"/>
  <c r="E417" i="2" s="1"/>
  <c r="D424" i="2"/>
  <c r="E424" i="2" s="1"/>
  <c r="D431" i="2"/>
  <c r="E431" i="2" s="1"/>
  <c r="D438" i="2"/>
  <c r="E438" i="2" s="1"/>
  <c r="D445" i="2"/>
  <c r="E445" i="2" s="1"/>
  <c r="D453" i="2"/>
  <c r="E453" i="2" s="1"/>
  <c r="D460" i="2"/>
  <c r="E460" i="2" s="1"/>
  <c r="D467" i="2"/>
  <c r="E467" i="2" s="1"/>
  <c r="D475" i="2"/>
  <c r="E475" i="2" s="1"/>
  <c r="D483" i="2"/>
  <c r="E483" i="2" s="1"/>
  <c r="D498" i="2"/>
  <c r="E498" i="2" s="1"/>
  <c r="D513" i="2"/>
  <c r="E513" i="2" s="1"/>
  <c r="D521" i="2"/>
  <c r="E521" i="2" s="1"/>
  <c r="D529" i="2"/>
  <c r="E529" i="2" s="1"/>
  <c r="D544" i="2"/>
  <c r="E544" i="2" s="1"/>
  <c r="D552" i="2"/>
  <c r="E552" i="2" s="1"/>
  <c r="D621" i="2"/>
  <c r="E621" i="2" s="1"/>
  <c r="D629" i="2"/>
  <c r="E629" i="2" s="1"/>
  <c r="D636" i="2"/>
  <c r="E636" i="2" s="1"/>
  <c r="D703" i="2"/>
  <c r="E703" i="2" s="1"/>
  <c r="D811" i="2"/>
  <c r="E811" i="2" s="1"/>
  <c r="D819" i="2"/>
  <c r="E819" i="2" s="1"/>
  <c r="D827" i="2"/>
  <c r="E827" i="2" s="1"/>
  <c r="D835" i="2"/>
  <c r="E835" i="2" s="1"/>
  <c r="D843" i="2"/>
  <c r="E843" i="2" s="1"/>
  <c r="D851" i="2"/>
  <c r="E851" i="2" s="1"/>
  <c r="D858" i="2"/>
  <c r="E858" i="2" s="1"/>
  <c r="D964" i="2"/>
  <c r="E964" i="2" s="1"/>
  <c r="D288" i="2"/>
  <c r="E288" i="2" s="1"/>
  <c r="D103" i="2"/>
  <c r="E103" i="2" s="1"/>
  <c r="D198" i="2"/>
  <c r="E198" i="2" s="1"/>
  <c r="D226" i="2"/>
  <c r="E226" i="2" s="1"/>
  <c r="D263" i="2"/>
  <c r="E263" i="2" s="1"/>
  <c r="D344" i="2"/>
  <c r="E344" i="2" s="1"/>
  <c r="D379" i="2"/>
  <c r="E379" i="2" s="1"/>
  <c r="D408" i="2"/>
  <c r="E408" i="2" s="1"/>
  <c r="D466" i="2"/>
  <c r="E466" i="2" s="1"/>
  <c r="D497" i="2"/>
  <c r="E497" i="2" s="1"/>
  <c r="D597" i="2"/>
  <c r="E597" i="2" s="1"/>
  <c r="D628" i="2"/>
  <c r="E628" i="2" s="1"/>
  <c r="D20" i="2"/>
  <c r="E20" i="2" s="1"/>
  <c r="D28" i="2"/>
  <c r="E28" i="2" s="1"/>
  <c r="D36" i="2"/>
  <c r="E36" i="2" s="1"/>
  <c r="D44" i="2"/>
  <c r="E44" i="2" s="1"/>
  <c r="D52" i="2"/>
  <c r="E52" i="2" s="1"/>
  <c r="D60" i="2"/>
  <c r="E60" i="2" s="1"/>
  <c r="D68" i="2"/>
  <c r="E68" i="2" s="1"/>
  <c r="D76" i="2"/>
  <c r="E76" i="2" s="1"/>
  <c r="D84" i="2"/>
  <c r="E84" i="2" s="1"/>
  <c r="D119" i="2"/>
  <c r="E119" i="2" s="1"/>
  <c r="D127" i="2"/>
  <c r="E127" i="2" s="1"/>
  <c r="D141" i="2"/>
  <c r="E141" i="2" s="1"/>
  <c r="D148" i="2"/>
  <c r="E148" i="2" s="1"/>
  <c r="D155" i="2"/>
  <c r="E155" i="2" s="1"/>
  <c r="D171" i="2"/>
  <c r="E171" i="2" s="1"/>
  <c r="D178" i="2"/>
  <c r="E178" i="2" s="1"/>
  <c r="D192" i="2"/>
  <c r="E192" i="2" s="1"/>
  <c r="D200" i="2"/>
  <c r="E200" i="2" s="1"/>
  <c r="D213" i="2"/>
  <c r="E213" i="2" s="1"/>
  <c r="D221" i="2"/>
  <c r="E221" i="2" s="1"/>
  <c r="D228" i="2"/>
  <c r="E228" i="2" s="1"/>
  <c r="D235" i="2"/>
  <c r="E235" i="2" s="1"/>
  <c r="D243" i="2"/>
  <c r="E243" i="2" s="1"/>
  <c r="D251" i="2"/>
  <c r="E251" i="2" s="1"/>
  <c r="D258" i="2"/>
  <c r="E258" i="2" s="1"/>
  <c r="D273" i="2"/>
  <c r="E273" i="2" s="1"/>
  <c r="D281" i="2"/>
  <c r="E281" i="2" s="1"/>
  <c r="D294" i="2"/>
  <c r="E294" i="2" s="1"/>
  <c r="D302" i="2"/>
  <c r="E302" i="2" s="1"/>
  <c r="D318" i="2"/>
  <c r="E318" i="2" s="1"/>
  <c r="D331" i="2"/>
  <c r="E331" i="2" s="1"/>
  <c r="D339" i="2"/>
  <c r="E339" i="2" s="1"/>
  <c r="D352" i="2"/>
  <c r="E352" i="2" s="1"/>
  <c r="D374" i="2"/>
  <c r="E374" i="2" s="1"/>
  <c r="E388" i="2"/>
  <c r="D395" i="2"/>
  <c r="E395" i="2" s="1"/>
  <c r="D402" i="2"/>
  <c r="E402" i="2" s="1"/>
  <c r="D410" i="2"/>
  <c r="E410" i="2" s="1"/>
  <c r="D418" i="2"/>
  <c r="E418" i="2" s="1"/>
  <c r="D425" i="2"/>
  <c r="E425" i="2" s="1"/>
  <c r="D439" i="2"/>
  <c r="E439" i="2" s="1"/>
  <c r="D454" i="2"/>
  <c r="E454" i="2" s="1"/>
  <c r="D461" i="2"/>
  <c r="E461" i="2" s="1"/>
  <c r="D468" i="2"/>
  <c r="E468" i="2" s="1"/>
  <c r="E476" i="2"/>
  <c r="D484" i="2"/>
  <c r="E484" i="2" s="1"/>
  <c r="D514" i="2"/>
  <c r="E514" i="2" s="1"/>
  <c r="D522" i="2"/>
  <c r="E522" i="2" s="1"/>
  <c r="D537" i="2"/>
  <c r="E537" i="2" s="1"/>
  <c r="D545" i="2"/>
  <c r="E545" i="2" s="1"/>
  <c r="D553" i="2"/>
  <c r="E553" i="2" s="1"/>
  <c r="D606" i="2"/>
  <c r="E606" i="2" s="1"/>
  <c r="D614" i="2"/>
  <c r="E614" i="2" s="1"/>
  <c r="D653" i="2"/>
  <c r="E653" i="2" s="1"/>
  <c r="D660" i="2"/>
  <c r="E660" i="2" s="1"/>
  <c r="D668" i="2"/>
  <c r="E668" i="2" s="1"/>
  <c r="D674" i="2"/>
  <c r="E674" i="2" s="1"/>
  <c r="D681" i="2"/>
  <c r="E681" i="2" s="1"/>
  <c r="D689" i="2"/>
  <c r="E689" i="2" s="1"/>
  <c r="D697" i="2"/>
  <c r="E697" i="2" s="1"/>
  <c r="D788" i="2"/>
  <c r="E788" i="2" s="1"/>
  <c r="D796" i="2"/>
  <c r="E796" i="2" s="1"/>
  <c r="D804" i="2"/>
  <c r="E804" i="2" s="1"/>
  <c r="D812" i="2"/>
  <c r="E812" i="2" s="1"/>
  <c r="D820" i="2"/>
  <c r="E820" i="2" s="1"/>
  <c r="D828" i="2"/>
  <c r="E828" i="2" s="1"/>
  <c r="D836" i="2"/>
  <c r="E836" i="2" s="1"/>
  <c r="D957" i="2"/>
  <c r="E957" i="2" s="1"/>
  <c r="D506" i="2"/>
  <c r="E506" i="2" s="1"/>
  <c r="D95" i="2"/>
  <c r="E95" i="2" s="1"/>
  <c r="D110" i="2"/>
  <c r="E110" i="2" s="1"/>
  <c r="D132" i="2"/>
  <c r="E132" i="2" s="1"/>
  <c r="D169" i="2"/>
  <c r="E169" i="2" s="1"/>
  <c r="D190" i="2"/>
  <c r="E190" i="2" s="1"/>
  <c r="D219" i="2"/>
  <c r="E219" i="2" s="1"/>
  <c r="D249" i="2"/>
  <c r="E249" i="2" s="1"/>
  <c r="D308" i="2"/>
  <c r="E308" i="2" s="1"/>
  <c r="D430" i="2"/>
  <c r="E430" i="2" s="1"/>
  <c r="D528" i="2"/>
  <c r="E528" i="2" s="1"/>
  <c r="D873" i="2"/>
  <c r="E873" i="2" s="1"/>
  <c r="D13" i="2"/>
  <c r="E13" i="2" s="1"/>
  <c r="D21" i="2"/>
  <c r="E21" i="2" s="1"/>
  <c r="D29" i="2"/>
  <c r="E29" i="2" s="1"/>
  <c r="D37" i="2"/>
  <c r="E37" i="2" s="1"/>
  <c r="D45" i="2"/>
  <c r="E45" i="2" s="1"/>
  <c r="D53" i="2"/>
  <c r="E53" i="2" s="1"/>
  <c r="D61" i="2"/>
  <c r="E61" i="2" s="1"/>
  <c r="D69" i="2"/>
  <c r="E69" i="2" s="1"/>
  <c r="D77" i="2"/>
  <c r="E77" i="2" s="1"/>
  <c r="D85" i="2"/>
  <c r="E85" i="2" s="1"/>
  <c r="D120" i="2"/>
  <c r="E120" i="2" s="1"/>
  <c r="D134" i="2"/>
  <c r="E134" i="2" s="1"/>
  <c r="D142" i="2"/>
  <c r="E142" i="2" s="1"/>
  <c r="D149" i="2"/>
  <c r="E149" i="2" s="1"/>
  <c r="D156" i="2"/>
  <c r="E156" i="2" s="1"/>
  <c r="D164" i="2"/>
  <c r="E164" i="2" s="1"/>
  <c r="D172" i="2"/>
  <c r="E172" i="2" s="1"/>
  <c r="D185" i="2"/>
  <c r="E185" i="2" s="1"/>
  <c r="D193" i="2"/>
  <c r="E193" i="2" s="1"/>
  <c r="D214" i="2"/>
  <c r="E214" i="2" s="1"/>
  <c r="D222" i="2"/>
  <c r="E222" i="2" s="1"/>
  <c r="D229" i="2"/>
  <c r="E229" i="2" s="1"/>
  <c r="D236" i="2"/>
  <c r="E236" i="2" s="1"/>
  <c r="D244" i="2"/>
  <c r="E244" i="2" s="1"/>
  <c r="D252" i="2"/>
  <c r="E252" i="2" s="1"/>
  <c r="D266" i="2"/>
  <c r="E266" i="2" s="1"/>
  <c r="D274" i="2"/>
  <c r="E274" i="2" s="1"/>
  <c r="D282" i="2"/>
  <c r="E282" i="2" s="1"/>
  <c r="D295" i="2"/>
  <c r="E295" i="2" s="1"/>
  <c r="D303" i="2"/>
  <c r="E303" i="2" s="1"/>
  <c r="D311" i="2"/>
  <c r="E311" i="2" s="1"/>
  <c r="D319" i="2"/>
  <c r="E319" i="2" s="1"/>
  <c r="D332" i="2"/>
  <c r="E332" i="2" s="1"/>
  <c r="D340" i="2"/>
  <c r="E340" i="2" s="1"/>
  <c r="D346" i="2"/>
  <c r="E346" i="2" s="1"/>
  <c r="D353" i="2"/>
  <c r="E353" i="2" s="1"/>
  <c r="D389" i="2"/>
  <c r="E389" i="2" s="1"/>
  <c r="D396" i="2"/>
  <c r="E396" i="2" s="1"/>
  <c r="D403" i="2"/>
  <c r="E403" i="2" s="1"/>
  <c r="D411" i="2"/>
  <c r="E411" i="2" s="1"/>
  <c r="D440" i="2"/>
  <c r="E440" i="2" s="1"/>
  <c r="D447" i="2"/>
  <c r="E447" i="2" s="1"/>
  <c r="D455" i="2"/>
  <c r="E455" i="2" s="1"/>
  <c r="D462" i="2"/>
  <c r="E462" i="2" s="1"/>
  <c r="D469" i="2"/>
  <c r="E469" i="2" s="1"/>
  <c r="D477" i="2"/>
  <c r="E477" i="2" s="1"/>
  <c r="D485" i="2"/>
  <c r="E485" i="2" s="1"/>
  <c r="D492" i="2"/>
  <c r="E492" i="2" s="1"/>
  <c r="D500" i="2"/>
  <c r="E500" i="2" s="1"/>
  <c r="D507" i="2"/>
  <c r="E507" i="2" s="1"/>
  <c r="D515" i="2"/>
  <c r="E515" i="2" s="1"/>
  <c r="D523" i="2"/>
  <c r="E523" i="2" s="1"/>
  <c r="D578" i="2"/>
  <c r="E578" i="2" s="1"/>
  <c r="D599" i="2"/>
  <c r="E599" i="2" s="1"/>
  <c r="D607" i="2"/>
  <c r="E607" i="2" s="1"/>
  <c r="D646" i="2"/>
  <c r="E646" i="2" s="1"/>
  <c r="D712" i="2"/>
  <c r="E712" i="2" s="1"/>
  <c r="D720" i="2"/>
  <c r="E720" i="2" s="1"/>
  <c r="D727" i="2"/>
  <c r="E727" i="2" s="1"/>
  <c r="D735" i="2"/>
  <c r="E735" i="2" s="1"/>
  <c r="D750" i="2"/>
  <c r="E750" i="2" s="1"/>
  <c r="D758" i="2"/>
  <c r="E758" i="2" s="1"/>
  <c r="D765" i="2"/>
  <c r="E765" i="2" s="1"/>
  <c r="D773" i="2"/>
  <c r="E773" i="2" s="1"/>
  <c r="D781" i="2"/>
  <c r="E781" i="2" s="1"/>
  <c r="D789" i="2"/>
  <c r="E789" i="2" s="1"/>
  <c r="D797" i="2"/>
  <c r="E797" i="2" s="1"/>
  <c r="D805" i="2"/>
  <c r="E805" i="2" s="1"/>
  <c r="D950" i="2"/>
  <c r="E950" i="2" s="1"/>
  <c r="D958" i="2"/>
  <c r="E958" i="2" s="1"/>
  <c r="D89" i="2"/>
  <c r="E89" i="2" s="1"/>
  <c r="D310" i="2"/>
  <c r="E310" i="2" s="1"/>
  <c r="D530" i="2"/>
  <c r="E530" i="2" s="1"/>
  <c r="D139" i="2"/>
  <c r="E139" i="2" s="1"/>
  <c r="D287" i="2"/>
  <c r="E287" i="2" s="1"/>
  <c r="D14" i="2"/>
  <c r="E14" i="2" s="1"/>
  <c r="D22" i="2"/>
  <c r="E22" i="2" s="1"/>
  <c r="D30" i="2"/>
  <c r="E30" i="2" s="1"/>
  <c r="D38" i="2"/>
  <c r="E38" i="2" s="1"/>
  <c r="D46" i="2"/>
  <c r="E46" i="2" s="1"/>
  <c r="D54" i="2"/>
  <c r="E54" i="2" s="1"/>
  <c r="D62" i="2"/>
  <c r="E62" i="2" s="1"/>
  <c r="D70" i="2"/>
  <c r="E70" i="2" s="1"/>
  <c r="D78" i="2"/>
  <c r="E78" i="2" s="1"/>
  <c r="D86" i="2"/>
  <c r="E86" i="2" s="1"/>
  <c r="D91" i="2"/>
  <c r="E91" i="2" s="1"/>
  <c r="D99" i="2"/>
  <c r="E99" i="2" s="1"/>
  <c r="D135" i="2"/>
  <c r="E135" i="2" s="1"/>
  <c r="D143" i="2"/>
  <c r="E143" i="2" s="1"/>
  <c r="D150" i="2"/>
  <c r="E150" i="2" s="1"/>
  <c r="D157" i="2"/>
  <c r="E157" i="2" s="1"/>
  <c r="D165" i="2"/>
  <c r="E165" i="2" s="1"/>
  <c r="D173" i="2"/>
  <c r="E173" i="2" s="1"/>
  <c r="D186" i="2"/>
  <c r="E186" i="2" s="1"/>
  <c r="D194" i="2"/>
  <c r="E194" i="2" s="1"/>
  <c r="D202" i="2"/>
  <c r="E202" i="2" s="1"/>
  <c r="D208" i="2"/>
  <c r="E208" i="2" s="1"/>
  <c r="D215" i="2"/>
  <c r="E215" i="2" s="1"/>
  <c r="D230" i="2"/>
  <c r="E230" i="2" s="1"/>
  <c r="D237" i="2"/>
  <c r="E237" i="2" s="1"/>
  <c r="D245" i="2"/>
  <c r="E245" i="2" s="1"/>
  <c r="D253" i="2"/>
  <c r="E253" i="2" s="1"/>
  <c r="D267" i="2"/>
  <c r="E267" i="2" s="1"/>
  <c r="D275" i="2"/>
  <c r="E275" i="2" s="1"/>
  <c r="D283" i="2"/>
  <c r="E283" i="2" s="1"/>
  <c r="D290" i="2"/>
  <c r="E290" i="2" s="1"/>
  <c r="D296" i="2"/>
  <c r="E296" i="2" s="1"/>
  <c r="D304" i="2"/>
  <c r="E304" i="2" s="1"/>
  <c r="D320" i="2"/>
  <c r="E320" i="2" s="1"/>
  <c r="D326" i="2"/>
  <c r="E326" i="2" s="1"/>
  <c r="D333" i="2"/>
  <c r="E333" i="2" s="1"/>
  <c r="D347" i="2"/>
  <c r="E347" i="2" s="1"/>
  <c r="D354" i="2"/>
  <c r="E354" i="2" s="1"/>
  <c r="D361" i="2"/>
  <c r="E361" i="2" s="1"/>
  <c r="D368" i="2"/>
  <c r="E368" i="2" s="1"/>
  <c r="D382" i="2"/>
  <c r="E382" i="2" s="1"/>
  <c r="D390" i="2"/>
  <c r="E390" i="2" s="1"/>
  <c r="D404" i="2"/>
  <c r="E404" i="2" s="1"/>
  <c r="D412" i="2"/>
  <c r="E412" i="2" s="1"/>
  <c r="D433" i="2"/>
  <c r="E433" i="2" s="1"/>
  <c r="D441" i="2"/>
  <c r="E441" i="2" s="1"/>
  <c r="D448" i="2"/>
  <c r="E448" i="2" s="1"/>
  <c r="D456" i="2"/>
  <c r="E456" i="2" s="1"/>
  <c r="D470" i="2"/>
  <c r="E470" i="2" s="1"/>
  <c r="D563" i="2"/>
  <c r="E563" i="2" s="1"/>
  <c r="D571" i="2"/>
  <c r="E571" i="2" s="1"/>
  <c r="D593" i="2"/>
  <c r="E593" i="2" s="1"/>
  <c r="D600" i="2"/>
  <c r="E600" i="2" s="1"/>
  <c r="D639" i="2"/>
  <c r="E639" i="2" s="1"/>
  <c r="D705" i="2"/>
  <c r="E705" i="2" s="1"/>
  <c r="D713" i="2"/>
  <c r="E713" i="2" s="1"/>
  <c r="D721" i="2"/>
  <c r="E721" i="2" s="1"/>
  <c r="D728" i="2"/>
  <c r="E728" i="2" s="1"/>
  <c r="D736" i="2"/>
  <c r="E736" i="2" s="1"/>
  <c r="D751" i="2"/>
  <c r="E751" i="2" s="1"/>
  <c r="D759" i="2"/>
  <c r="E759" i="2" s="1"/>
  <c r="D766" i="2"/>
  <c r="E766" i="2" s="1"/>
  <c r="D774" i="2"/>
  <c r="E774" i="2" s="1"/>
  <c r="D782" i="2"/>
  <c r="E782" i="2" s="1"/>
  <c r="D929" i="2"/>
  <c r="E929" i="2" s="1"/>
  <c r="D936" i="2"/>
  <c r="E936" i="2" s="1"/>
  <c r="D943" i="2"/>
  <c r="E943" i="2" s="1"/>
  <c r="D951" i="2"/>
  <c r="E951" i="2" s="1"/>
  <c r="D26" i="2"/>
  <c r="E26" i="2" s="1"/>
  <c r="D58" i="2"/>
  <c r="E58" i="2" s="1"/>
  <c r="D154" i="2"/>
  <c r="E154" i="2" s="1"/>
  <c r="D312" i="2"/>
  <c r="E312" i="2" s="1"/>
  <c r="D350" i="2"/>
  <c r="E350" i="2" s="1"/>
  <c r="D979" i="2"/>
  <c r="E979" i="2" s="1"/>
  <c r="D15" i="2"/>
  <c r="E15" i="2" s="1"/>
  <c r="D23" i="2"/>
  <c r="E23" i="2" s="1"/>
  <c r="D31" i="2"/>
  <c r="E31" i="2" s="1"/>
  <c r="D39" i="2"/>
  <c r="E39" i="2" s="1"/>
  <c r="D47" i="2"/>
  <c r="E47" i="2" s="1"/>
  <c r="D55" i="2"/>
  <c r="E55" i="2" s="1"/>
  <c r="D63" i="2"/>
  <c r="E63" i="2" s="1"/>
  <c r="D71" i="2"/>
  <c r="E71" i="2" s="1"/>
  <c r="D79" i="2"/>
  <c r="E79" i="2" s="1"/>
  <c r="D92" i="2"/>
  <c r="E92" i="2" s="1"/>
  <c r="D100" i="2"/>
  <c r="E100" i="2" s="1"/>
  <c r="D107" i="2"/>
  <c r="E107" i="2" s="1"/>
  <c r="D136" i="2"/>
  <c r="E136" i="2" s="1"/>
  <c r="D144" i="2"/>
  <c r="E144" i="2" s="1"/>
  <c r="D158" i="2"/>
  <c r="E158" i="2" s="1"/>
  <c r="D166" i="2"/>
  <c r="E166" i="2" s="1"/>
  <c r="D174" i="2"/>
  <c r="E174" i="2" s="1"/>
  <c r="D180" i="2"/>
  <c r="E180" i="2" s="1"/>
  <c r="D187" i="2"/>
  <c r="E187" i="2" s="1"/>
  <c r="D195" i="2"/>
  <c r="E195" i="2" s="1"/>
  <c r="D209" i="2"/>
  <c r="E209" i="2" s="1"/>
  <c r="D216" i="2"/>
  <c r="E216" i="2" s="1"/>
  <c r="D238" i="2"/>
  <c r="E238" i="2" s="1"/>
  <c r="D254" i="2"/>
  <c r="E254" i="2" s="1"/>
  <c r="D260" i="2"/>
  <c r="E260" i="2" s="1"/>
  <c r="D268" i="2"/>
  <c r="E268" i="2" s="1"/>
  <c r="D276" i="2"/>
  <c r="E276" i="2" s="1"/>
  <c r="D284" i="2"/>
  <c r="E284" i="2" s="1"/>
  <c r="D297" i="2"/>
  <c r="E297" i="2" s="1"/>
  <c r="D305" i="2"/>
  <c r="E305" i="2" s="1"/>
  <c r="D313" i="2"/>
  <c r="E313" i="2" s="1"/>
  <c r="D321" i="2"/>
  <c r="E321" i="2" s="1"/>
  <c r="D334" i="2"/>
  <c r="E334" i="2" s="1"/>
  <c r="D348" i="2"/>
  <c r="E348" i="2" s="1"/>
  <c r="D362" i="2"/>
  <c r="E362" i="2" s="1"/>
  <c r="D369" i="2"/>
  <c r="E369" i="2" s="1"/>
  <c r="D376" i="2"/>
  <c r="E376" i="2" s="1"/>
  <c r="D383" i="2"/>
  <c r="E383" i="2" s="1"/>
  <c r="D405" i="2"/>
  <c r="E405" i="2" s="1"/>
  <c r="D413" i="2"/>
  <c r="E413" i="2" s="1"/>
  <c r="E420" i="2"/>
  <c r="D427" i="2"/>
  <c r="E427" i="2" s="1"/>
  <c r="D434" i="2"/>
  <c r="E434" i="2" s="1"/>
  <c r="D449" i="2"/>
  <c r="E449" i="2" s="1"/>
  <c r="D471" i="2"/>
  <c r="E471" i="2" s="1"/>
  <c r="D479" i="2"/>
  <c r="E479" i="2" s="1"/>
  <c r="D487" i="2"/>
  <c r="E487" i="2" s="1"/>
  <c r="D494" i="2"/>
  <c r="E494" i="2" s="1"/>
  <c r="D502" i="2"/>
  <c r="E502" i="2" s="1"/>
  <c r="D509" i="2"/>
  <c r="E509" i="2" s="1"/>
  <c r="D517" i="2"/>
  <c r="E517" i="2" s="1"/>
  <c r="D525" i="2"/>
  <c r="E525" i="2" s="1"/>
  <c r="D533" i="2"/>
  <c r="E533" i="2" s="1"/>
  <c r="D540" i="2"/>
  <c r="E540" i="2" s="1"/>
  <c r="D548" i="2"/>
  <c r="E548" i="2" s="1"/>
  <c r="D556" i="2"/>
  <c r="E556" i="2" s="1"/>
  <c r="D594" i="2"/>
  <c r="E594" i="2" s="1"/>
  <c r="D625" i="2"/>
  <c r="E625" i="2" s="1"/>
  <c r="D633" i="2"/>
  <c r="E633" i="2" s="1"/>
  <c r="D663" i="2"/>
  <c r="E663" i="2" s="1"/>
  <c r="D684" i="2"/>
  <c r="E684" i="2" s="1"/>
  <c r="D692" i="2"/>
  <c r="E692" i="2" s="1"/>
  <c r="D706" i="2"/>
  <c r="E706" i="2" s="1"/>
  <c r="D914" i="2"/>
  <c r="E914" i="2" s="1"/>
  <c r="D922" i="2"/>
  <c r="E922" i="2" s="1"/>
  <c r="D930" i="2"/>
  <c r="E930" i="2" s="1"/>
  <c r="D937" i="2"/>
  <c r="E937" i="2" s="1"/>
  <c r="D944" i="2"/>
  <c r="E944" i="2" s="1"/>
  <c r="D1000" i="2"/>
  <c r="E1000" i="2" s="1"/>
  <c r="D1008" i="2"/>
  <c r="E1008" i="2" s="1"/>
  <c r="D97" i="2"/>
  <c r="E97" i="2" s="1"/>
  <c r="D129" i="2"/>
  <c r="E129" i="2" s="1"/>
  <c r="D161" i="2"/>
  <c r="E161" i="2" s="1"/>
  <c r="D246" i="2"/>
  <c r="E246" i="2" s="1"/>
  <c r="D329" i="2"/>
  <c r="E329" i="2" s="1"/>
  <c r="D444" i="2"/>
  <c r="E444" i="2" s="1"/>
  <c r="D241" i="2"/>
  <c r="E241" i="2" s="1"/>
  <c r="D300" i="2"/>
  <c r="E300" i="2" s="1"/>
  <c r="D365" i="2"/>
  <c r="E365" i="2" s="1"/>
  <c r="D490" i="2"/>
  <c r="E490" i="2" s="1"/>
  <c r="D987" i="2"/>
  <c r="E987" i="2" s="1"/>
  <c r="D16" i="2"/>
  <c r="E16" i="2" s="1"/>
  <c r="D24" i="2"/>
  <c r="E24" i="2" s="1"/>
  <c r="D32" i="2"/>
  <c r="E32" i="2" s="1"/>
  <c r="D40" i="2"/>
  <c r="E40" i="2" s="1"/>
  <c r="D48" i="2"/>
  <c r="E48" i="2" s="1"/>
  <c r="D56" i="2"/>
  <c r="E56" i="2" s="1"/>
  <c r="D64" i="2"/>
  <c r="E64" i="2" s="1"/>
  <c r="D72" i="2"/>
  <c r="E72" i="2" s="1"/>
  <c r="D80" i="2"/>
  <c r="E80" i="2" s="1"/>
  <c r="D93" i="2"/>
  <c r="E93" i="2" s="1"/>
  <c r="D101" i="2"/>
  <c r="E101" i="2" s="1"/>
  <c r="D108" i="2"/>
  <c r="E108" i="2" s="1"/>
  <c r="D115" i="2"/>
  <c r="E115" i="2" s="1"/>
  <c r="D123" i="2"/>
  <c r="E123" i="2" s="1"/>
  <c r="D159" i="2"/>
  <c r="E159" i="2" s="1"/>
  <c r="D167" i="2"/>
  <c r="E167" i="2" s="1"/>
  <c r="D181" i="2"/>
  <c r="E181" i="2" s="1"/>
  <c r="D188" i="2"/>
  <c r="E188" i="2" s="1"/>
  <c r="D196" i="2"/>
  <c r="E196" i="2" s="1"/>
  <c r="D210" i="2"/>
  <c r="E210" i="2" s="1"/>
  <c r="D217" i="2"/>
  <c r="E217" i="2" s="1"/>
  <c r="D239" i="2"/>
  <c r="E239" i="2" s="1"/>
  <c r="D247" i="2"/>
  <c r="E247" i="2" s="1"/>
  <c r="D255" i="2"/>
  <c r="E255" i="2" s="1"/>
  <c r="D261" i="2"/>
  <c r="E261" i="2" s="1"/>
  <c r="D269" i="2"/>
  <c r="E269" i="2" s="1"/>
  <c r="D277" i="2"/>
  <c r="E277" i="2" s="1"/>
  <c r="D285" i="2"/>
  <c r="E285" i="2" s="1"/>
  <c r="D298" i="2"/>
  <c r="E298" i="2" s="1"/>
  <c r="D306" i="2"/>
  <c r="E306" i="2" s="1"/>
  <c r="D314" i="2"/>
  <c r="E314" i="2" s="1"/>
  <c r="D322" i="2"/>
  <c r="E322" i="2" s="1"/>
  <c r="D342" i="2"/>
  <c r="E342" i="2" s="1"/>
  <c r="D363" i="2"/>
  <c r="E363" i="2" s="1"/>
  <c r="D370" i="2"/>
  <c r="E370" i="2" s="1"/>
  <c r="D377" i="2"/>
  <c r="E377" i="2" s="1"/>
  <c r="D384" i="2"/>
  <c r="E384" i="2" s="1"/>
  <c r="D392" i="2"/>
  <c r="E392" i="2" s="1"/>
  <c r="D398" i="2"/>
  <c r="E398" i="2" s="1"/>
  <c r="D406" i="2"/>
  <c r="E406" i="2" s="1"/>
  <c r="D421" i="2"/>
  <c r="E421" i="2" s="1"/>
  <c r="D428" i="2"/>
  <c r="E428" i="2" s="1"/>
  <c r="D435" i="2"/>
  <c r="E435" i="2" s="1"/>
  <c r="D450" i="2"/>
  <c r="E450" i="2" s="1"/>
  <c r="D464" i="2"/>
  <c r="E464" i="2" s="1"/>
  <c r="D472" i="2"/>
  <c r="E472" i="2" s="1"/>
  <c r="D480" i="2"/>
  <c r="E480" i="2" s="1"/>
  <c r="D488" i="2"/>
  <c r="E488" i="2" s="1"/>
  <c r="D495" i="2"/>
  <c r="E495" i="2" s="1"/>
  <c r="D503" i="2"/>
  <c r="E503" i="2" s="1"/>
  <c r="D510" i="2"/>
  <c r="E510" i="2" s="1"/>
  <c r="D518" i="2"/>
  <c r="E518" i="2" s="1"/>
  <c r="D526" i="2"/>
  <c r="E526" i="2" s="1"/>
  <c r="D649" i="2"/>
  <c r="E649" i="2" s="1"/>
  <c r="D664" i="2"/>
  <c r="E664" i="2" s="1"/>
  <c r="D677" i="2"/>
  <c r="E677" i="2" s="1"/>
  <c r="D685" i="2"/>
  <c r="E685" i="2" s="1"/>
  <c r="D693" i="2"/>
  <c r="E693" i="2" s="1"/>
  <c r="D886" i="2"/>
  <c r="E886" i="2" s="1"/>
  <c r="D907" i="2"/>
  <c r="E907" i="2" s="1"/>
  <c r="D915" i="2"/>
  <c r="E915" i="2" s="1"/>
  <c r="D923" i="2"/>
  <c r="E923" i="2" s="1"/>
  <c r="D993" i="2"/>
  <c r="E993" i="2" s="1"/>
  <c r="D1001" i="2"/>
  <c r="E1001" i="2" s="1"/>
  <c r="D1009" i="2"/>
  <c r="E1009" i="2" s="1"/>
  <c r="D34" i="2"/>
  <c r="E34" i="2" s="1"/>
  <c r="D66" i="2"/>
  <c r="E66" i="2" s="1"/>
  <c r="D98" i="2"/>
  <c r="E98" i="2" s="1"/>
  <c r="D130" i="2"/>
  <c r="E130" i="2" s="1"/>
  <c r="D163" i="2"/>
  <c r="E163" i="2" s="1"/>
  <c r="D335" i="2"/>
  <c r="E335" i="2" s="1"/>
  <c r="D446" i="2"/>
  <c r="E446" i="2" s="1"/>
  <c r="D700" i="2"/>
  <c r="E700" i="2" s="1"/>
  <c r="D125" i="2"/>
  <c r="E125" i="2" s="1"/>
  <c r="D176" i="2"/>
  <c r="E176" i="2" s="1"/>
  <c r="D279" i="2"/>
  <c r="E279" i="2" s="1"/>
  <c r="D316" i="2"/>
  <c r="E316" i="2" s="1"/>
  <c r="D337" i="2"/>
  <c r="E337" i="2" s="1"/>
  <c r="D372" i="2"/>
  <c r="E372" i="2" s="1"/>
  <c r="D400" i="2"/>
  <c r="E400" i="2" s="1"/>
  <c r="D423" i="2"/>
  <c r="E423" i="2" s="1"/>
  <c r="D437" i="2"/>
  <c r="E437" i="2" s="1"/>
  <c r="D459" i="2"/>
  <c r="E459" i="2" s="1"/>
  <c r="D482" i="2"/>
  <c r="E482" i="2" s="1"/>
  <c r="D512" i="2"/>
  <c r="E512" i="2" s="1"/>
  <c r="D543" i="2"/>
  <c r="E543" i="2" s="1"/>
  <c r="D567" i="2"/>
  <c r="E567" i="2" s="1"/>
  <c r="D74" i="2"/>
  <c r="E74" i="2" s="1"/>
  <c r="D94" i="2"/>
  <c r="E94" i="2" s="1"/>
  <c r="D102" i="2"/>
  <c r="E102" i="2" s="1"/>
  <c r="D109" i="2"/>
  <c r="E109" i="2" s="1"/>
  <c r="D116" i="2"/>
  <c r="E116" i="2" s="1"/>
  <c r="D124" i="2"/>
  <c r="E124" i="2" s="1"/>
  <c r="D131" i="2"/>
  <c r="E131" i="2" s="1"/>
  <c r="D152" i="2"/>
  <c r="E152" i="2" s="1"/>
  <c r="D160" i="2"/>
  <c r="E160" i="2" s="1"/>
  <c r="D168" i="2"/>
  <c r="E168" i="2" s="1"/>
  <c r="D189" i="2"/>
  <c r="E189" i="2" s="1"/>
  <c r="D197" i="2"/>
  <c r="E197" i="2" s="1"/>
  <c r="D204" i="2"/>
  <c r="E204" i="2" s="1"/>
  <c r="D218" i="2"/>
  <c r="E218" i="2" s="1"/>
  <c r="D232" i="2"/>
  <c r="E232" i="2" s="1"/>
  <c r="D240" i="2"/>
  <c r="E240" i="2" s="1"/>
  <c r="D256" i="2"/>
  <c r="E256" i="2" s="1"/>
  <c r="D262" i="2"/>
  <c r="E262" i="2" s="1"/>
  <c r="D278" i="2"/>
  <c r="E278" i="2" s="1"/>
  <c r="D286" i="2"/>
  <c r="E286" i="2" s="1"/>
  <c r="D292" i="2"/>
  <c r="E292" i="2" s="1"/>
  <c r="D299" i="2"/>
  <c r="E299" i="2" s="1"/>
  <c r="D307" i="2"/>
  <c r="E307" i="2" s="1"/>
  <c r="D315" i="2"/>
  <c r="E315" i="2" s="1"/>
  <c r="D328" i="2"/>
  <c r="E328" i="2" s="1"/>
  <c r="D336" i="2"/>
  <c r="E336" i="2" s="1"/>
  <c r="D343" i="2"/>
  <c r="E343" i="2" s="1"/>
  <c r="D356" i="2"/>
  <c r="E356" i="2" s="1"/>
  <c r="D364" i="2"/>
  <c r="E364" i="2" s="1"/>
  <c r="D371" i="2"/>
  <c r="E371" i="2" s="1"/>
  <c r="D378" i="2"/>
  <c r="E378" i="2" s="1"/>
  <c r="D385" i="2"/>
  <c r="E385" i="2" s="1"/>
  <c r="D393" i="2"/>
  <c r="E393" i="2" s="1"/>
  <c r="D399" i="2"/>
  <c r="E399" i="2" s="1"/>
  <c r="D407" i="2"/>
  <c r="E407" i="2" s="1"/>
  <c r="D415" i="2"/>
  <c r="E415" i="2" s="1"/>
  <c r="D422" i="2"/>
  <c r="E422" i="2" s="1"/>
  <c r="D429" i="2"/>
  <c r="E429" i="2" s="1"/>
  <c r="D436" i="2"/>
  <c r="E436" i="2" s="1"/>
  <c r="D443" i="2"/>
  <c r="E443" i="2" s="1"/>
  <c r="D451" i="2"/>
  <c r="E451" i="2" s="1"/>
  <c r="D458" i="2"/>
  <c r="E458" i="2" s="1"/>
  <c r="D465" i="2"/>
  <c r="E465" i="2" s="1"/>
  <c r="D473" i="2"/>
  <c r="E473" i="2" s="1"/>
  <c r="D481" i="2"/>
  <c r="E481" i="2" s="1"/>
  <c r="D489" i="2"/>
  <c r="E489" i="2" s="1"/>
  <c r="D496" i="2"/>
  <c r="E496" i="2" s="1"/>
  <c r="D504" i="2"/>
  <c r="E504" i="2" s="1"/>
  <c r="D511" i="2"/>
  <c r="E511" i="2" s="1"/>
  <c r="D519" i="2"/>
  <c r="E519" i="2" s="1"/>
  <c r="D527" i="2"/>
  <c r="E527" i="2" s="1"/>
  <c r="D566" i="2"/>
  <c r="E566" i="2" s="1"/>
  <c r="D574" i="2"/>
  <c r="E574" i="2" s="1"/>
  <c r="D611" i="2"/>
  <c r="E611" i="2" s="1"/>
  <c r="D642" i="2"/>
  <c r="E642" i="2" s="1"/>
  <c r="D650" i="2"/>
  <c r="E650" i="2" s="1"/>
  <c r="D864" i="2"/>
  <c r="E864" i="2" s="1"/>
  <c r="D872" i="2"/>
  <c r="E872" i="2" s="1"/>
  <c r="D879" i="2"/>
  <c r="E879" i="2" s="1"/>
  <c r="D887" i="2"/>
  <c r="E887" i="2" s="1"/>
  <c r="D894" i="2"/>
  <c r="E894" i="2" s="1"/>
  <c r="E900" i="2"/>
  <c r="D908" i="2"/>
  <c r="E908" i="2" s="1"/>
  <c r="D978" i="2"/>
  <c r="E978" i="2" s="1"/>
  <c r="D994" i="2"/>
  <c r="E994" i="2" s="1"/>
  <c r="D41" i="2"/>
  <c r="E41" i="2" s="1"/>
  <c r="D73" i="2"/>
  <c r="E73" i="2" s="1"/>
  <c r="D105" i="2"/>
  <c r="E105" i="2" s="1"/>
  <c r="D137" i="2"/>
  <c r="E137" i="2" s="1"/>
  <c r="D182" i="2"/>
  <c r="E182" i="2" s="1"/>
  <c r="D265" i="2"/>
  <c r="E265" i="2" s="1"/>
  <c r="D359" i="2"/>
  <c r="E359" i="2" s="1"/>
  <c r="D474" i="2"/>
  <c r="E474" i="2" s="1"/>
  <c r="D584" i="2"/>
  <c r="E584" i="2" s="1"/>
  <c r="D732" i="2"/>
  <c r="E732" i="2" s="1"/>
  <c r="D568" i="2"/>
  <c r="E568" i="2" s="1"/>
  <c r="D581" i="2"/>
  <c r="E581" i="2" s="1"/>
  <c r="D588" i="2"/>
  <c r="E588" i="2" s="1"/>
  <c r="D601" i="2"/>
  <c r="E601" i="2" s="1"/>
  <c r="D608" i="2"/>
  <c r="E608" i="2" s="1"/>
  <c r="D622" i="2"/>
  <c r="E622" i="2" s="1"/>
  <c r="D630" i="2"/>
  <c r="E630" i="2" s="1"/>
  <c r="D637" i="2"/>
  <c r="E637" i="2" s="1"/>
  <c r="E644" i="2"/>
  <c r="D651" i="2"/>
  <c r="E651" i="2" s="1"/>
  <c r="D657" i="2"/>
  <c r="E657" i="2" s="1"/>
  <c r="D665" i="2"/>
  <c r="E665" i="2" s="1"/>
  <c r="D671" i="2"/>
  <c r="E671" i="2" s="1"/>
  <c r="D678" i="2"/>
  <c r="E678" i="2" s="1"/>
  <c r="D686" i="2"/>
  <c r="E686" i="2" s="1"/>
  <c r="D694" i="2"/>
  <c r="E694" i="2" s="1"/>
  <c r="D701" i="2"/>
  <c r="E701" i="2" s="1"/>
  <c r="D707" i="2"/>
  <c r="E707" i="2" s="1"/>
  <c r="D714" i="2"/>
  <c r="E714" i="2" s="1"/>
  <c r="D729" i="2"/>
  <c r="E729" i="2" s="1"/>
  <c r="D737" i="2"/>
  <c r="E737" i="2" s="1"/>
  <c r="D752" i="2"/>
  <c r="E752" i="2" s="1"/>
  <c r="D760" i="2"/>
  <c r="E760" i="2" s="1"/>
  <c r="D767" i="2"/>
  <c r="E767" i="2" s="1"/>
  <c r="D790" i="2"/>
  <c r="E790" i="2" s="1"/>
  <c r="D806" i="2"/>
  <c r="E806" i="2" s="1"/>
  <c r="D813" i="2"/>
  <c r="E813" i="2" s="1"/>
  <c r="D821" i="2"/>
  <c r="E821" i="2" s="1"/>
  <c r="D829" i="2"/>
  <c r="E829" i="2" s="1"/>
  <c r="D837" i="2"/>
  <c r="E837" i="2" s="1"/>
  <c r="D844" i="2"/>
  <c r="E844" i="2" s="1"/>
  <c r="D852" i="2"/>
  <c r="E852" i="2" s="1"/>
  <c r="D859" i="2"/>
  <c r="E859" i="2" s="1"/>
  <c r="D866" i="2"/>
  <c r="E866" i="2" s="1"/>
  <c r="D888" i="2"/>
  <c r="E888" i="2" s="1"/>
  <c r="D895" i="2"/>
  <c r="E895" i="2" s="1"/>
  <c r="D901" i="2"/>
  <c r="E901" i="2" s="1"/>
  <c r="D909" i="2"/>
  <c r="E909" i="2" s="1"/>
  <c r="D916" i="2"/>
  <c r="E916" i="2" s="1"/>
  <c r="D931" i="2"/>
  <c r="E931" i="2" s="1"/>
  <c r="D938" i="2"/>
  <c r="E938" i="2" s="1"/>
  <c r="D945" i="2"/>
  <c r="E945" i="2" s="1"/>
  <c r="D952" i="2"/>
  <c r="E952" i="2" s="1"/>
  <c r="D959" i="2"/>
  <c r="E959" i="2" s="1"/>
  <c r="D980" i="2"/>
  <c r="E980" i="2" s="1"/>
  <c r="E988" i="2"/>
  <c r="D995" i="2"/>
  <c r="E995" i="2" s="1"/>
  <c r="D1002" i="2"/>
  <c r="E1002" i="2" s="1"/>
  <c r="D1010" i="2"/>
  <c r="E1010" i="2" s="1"/>
  <c r="D478" i="2"/>
  <c r="E478" i="2" s="1"/>
  <c r="D546" i="2"/>
  <c r="E546" i="2" s="1"/>
  <c r="D554" i="2"/>
  <c r="E554" i="2" s="1"/>
  <c r="D561" i="2"/>
  <c r="E561" i="2" s="1"/>
  <c r="D569" i="2"/>
  <c r="E569" i="2" s="1"/>
  <c r="D576" i="2"/>
  <c r="E576" i="2" s="1"/>
  <c r="D582" i="2"/>
  <c r="E582" i="2" s="1"/>
  <c r="D589" i="2"/>
  <c r="E589" i="2" s="1"/>
  <c r="D609" i="2"/>
  <c r="E609" i="2" s="1"/>
  <c r="D631" i="2"/>
  <c r="E631" i="2" s="1"/>
  <c r="D672" i="2"/>
  <c r="E672" i="2" s="1"/>
  <c r="D695" i="2"/>
  <c r="E695" i="2" s="1"/>
  <c r="E708" i="2"/>
  <c r="D715" i="2"/>
  <c r="E715" i="2" s="1"/>
  <c r="D738" i="2"/>
  <c r="E738" i="2" s="1"/>
  <c r="D745" i="2"/>
  <c r="E745" i="2" s="1"/>
  <c r="D753" i="2"/>
  <c r="E753" i="2" s="1"/>
  <c r="D761" i="2"/>
  <c r="E761" i="2" s="1"/>
  <c r="D768" i="2"/>
  <c r="E768" i="2" s="1"/>
  <c r="D784" i="2"/>
  <c r="E784" i="2" s="1"/>
  <c r="D791" i="2"/>
  <c r="E791" i="2" s="1"/>
  <c r="D799" i="2"/>
  <c r="E799" i="2" s="1"/>
  <c r="D814" i="2"/>
  <c r="E814" i="2" s="1"/>
  <c r="D822" i="2"/>
  <c r="E822" i="2" s="1"/>
  <c r="D838" i="2"/>
  <c r="E838" i="2" s="1"/>
  <c r="D845" i="2"/>
  <c r="E845" i="2" s="1"/>
  <c r="D867" i="2"/>
  <c r="E867" i="2" s="1"/>
  <c r="D881" i="2"/>
  <c r="E881" i="2" s="1"/>
  <c r="D889" i="2"/>
  <c r="E889" i="2" s="1"/>
  <c r="D902" i="2"/>
  <c r="E902" i="2" s="1"/>
  <c r="D910" i="2"/>
  <c r="E910" i="2" s="1"/>
  <c r="D917" i="2"/>
  <c r="E917" i="2" s="1"/>
  <c r="D925" i="2"/>
  <c r="E925" i="2" s="1"/>
  <c r="E932" i="2"/>
  <c r="D939" i="2"/>
  <c r="E939" i="2" s="1"/>
  <c r="D953" i="2"/>
  <c r="E953" i="2" s="1"/>
  <c r="D966" i="2"/>
  <c r="E966" i="2" s="1"/>
  <c r="D973" i="2"/>
  <c r="E973" i="2" s="1"/>
  <c r="D981" i="2"/>
  <c r="E981" i="2" s="1"/>
  <c r="D989" i="2"/>
  <c r="E989" i="2" s="1"/>
  <c r="D1003" i="2"/>
  <c r="E1003" i="2" s="1"/>
  <c r="D595" i="2"/>
  <c r="E595" i="2" s="1"/>
  <c r="D486" i="2"/>
  <c r="E486" i="2" s="1"/>
  <c r="D493" i="2"/>
  <c r="E493" i="2" s="1"/>
  <c r="D501" i="2"/>
  <c r="E501" i="2" s="1"/>
  <c r="E508" i="2"/>
  <c r="D524" i="2"/>
  <c r="E524" i="2" s="1"/>
  <c r="D532" i="2"/>
  <c r="E532" i="2" s="1"/>
  <c r="D539" i="2"/>
  <c r="E539" i="2" s="1"/>
  <c r="D547" i="2"/>
  <c r="E547" i="2" s="1"/>
  <c r="D555" i="2"/>
  <c r="E555" i="2" s="1"/>
  <c r="D577" i="2"/>
  <c r="E577" i="2" s="1"/>
  <c r="D590" i="2"/>
  <c r="E590" i="2" s="1"/>
  <c r="D603" i="2"/>
  <c r="E603" i="2" s="1"/>
  <c r="D610" i="2"/>
  <c r="E610" i="2" s="1"/>
  <c r="D617" i="2"/>
  <c r="E617" i="2" s="1"/>
  <c r="D624" i="2"/>
  <c r="E624" i="2" s="1"/>
  <c r="D632" i="2"/>
  <c r="E632" i="2" s="1"/>
  <c r="D667" i="2"/>
  <c r="E667" i="2" s="1"/>
  <c r="D673" i="2"/>
  <c r="E673" i="2" s="1"/>
  <c r="D688" i="2"/>
  <c r="E688" i="2" s="1"/>
  <c r="D696" i="2"/>
  <c r="E696" i="2" s="1"/>
  <c r="D709" i="2"/>
  <c r="E709" i="2" s="1"/>
  <c r="D716" i="2"/>
  <c r="E716" i="2" s="1"/>
  <c r="D724" i="2"/>
  <c r="E724" i="2" s="1"/>
  <c r="D731" i="2"/>
  <c r="E731" i="2" s="1"/>
  <c r="D739" i="2"/>
  <c r="E739" i="2" s="1"/>
  <c r="D746" i="2"/>
  <c r="E746" i="2" s="1"/>
  <c r="D769" i="2"/>
  <c r="E769" i="2" s="1"/>
  <c r="D777" i="2"/>
  <c r="E777" i="2" s="1"/>
  <c r="D785" i="2"/>
  <c r="E785" i="2" s="1"/>
  <c r="D792" i="2"/>
  <c r="E792" i="2" s="1"/>
  <c r="D800" i="2"/>
  <c r="E800" i="2" s="1"/>
  <c r="D823" i="2"/>
  <c r="E823" i="2" s="1"/>
  <c r="D831" i="2"/>
  <c r="E831" i="2" s="1"/>
  <c r="D846" i="2"/>
  <c r="E846" i="2" s="1"/>
  <c r="D875" i="2"/>
  <c r="E875" i="2" s="1"/>
  <c r="D918" i="2"/>
  <c r="E918" i="2" s="1"/>
  <c r="D974" i="2"/>
  <c r="E974" i="2" s="1"/>
  <c r="D982" i="2"/>
  <c r="E982" i="2" s="1"/>
  <c r="D1004" i="2"/>
  <c r="E1004" i="2" s="1"/>
  <c r="D516" i="2"/>
  <c r="E516" i="2" s="1"/>
  <c r="D602" i="2"/>
  <c r="E602" i="2" s="1"/>
  <c r="D658" i="2"/>
  <c r="E658" i="2" s="1"/>
  <c r="D687" i="2"/>
  <c r="E687" i="2" s="1"/>
  <c r="D798" i="2"/>
  <c r="E798" i="2" s="1"/>
  <c r="E740" i="2"/>
  <c r="D747" i="2"/>
  <c r="E747" i="2" s="1"/>
  <c r="D770" i="2"/>
  <c r="E770" i="2" s="1"/>
  <c r="D778" i="2"/>
  <c r="E778" i="2" s="1"/>
  <c r="D793" i="2"/>
  <c r="E793" i="2" s="1"/>
  <c r="D801" i="2"/>
  <c r="E801" i="2" s="1"/>
  <c r="D816" i="2"/>
  <c r="E816" i="2" s="1"/>
  <c r="D824" i="2"/>
  <c r="E824" i="2" s="1"/>
  <c r="D832" i="2"/>
  <c r="E832" i="2" s="1"/>
  <c r="D854" i="2"/>
  <c r="E854" i="2" s="1"/>
  <c r="D861" i="2"/>
  <c r="E861" i="2" s="1"/>
  <c r="D869" i="2"/>
  <c r="E869" i="2" s="1"/>
  <c r="D876" i="2"/>
  <c r="E876" i="2" s="1"/>
  <c r="D891" i="2"/>
  <c r="E891" i="2" s="1"/>
  <c r="D897" i="2"/>
  <c r="E897" i="2" s="1"/>
  <c r="D919" i="2"/>
  <c r="E919" i="2" s="1"/>
  <c r="D927" i="2"/>
  <c r="E927" i="2" s="1"/>
  <c r="D948" i="2"/>
  <c r="E948" i="2" s="1"/>
  <c r="D955" i="2"/>
  <c r="E955" i="2" s="1"/>
  <c r="D961" i="2"/>
  <c r="E961" i="2" s="1"/>
  <c r="D983" i="2"/>
  <c r="E983" i="2" s="1"/>
  <c r="D991" i="2"/>
  <c r="E991" i="2" s="1"/>
  <c r="D997" i="2"/>
  <c r="E997" i="2" s="1"/>
  <c r="D1005" i="2"/>
  <c r="E1005" i="2" s="1"/>
  <c r="D659" i="2"/>
  <c r="E659" i="2" s="1"/>
  <c r="D744" i="2"/>
  <c r="E744" i="2" s="1"/>
  <c r="D775" i="2"/>
  <c r="E775" i="2" s="1"/>
  <c r="D830" i="2"/>
  <c r="E830" i="2" s="1"/>
  <c r="D890" i="2"/>
  <c r="E890" i="2" s="1"/>
  <c r="D946" i="2"/>
  <c r="E946" i="2" s="1"/>
  <c r="D975" i="2"/>
  <c r="E975" i="2" s="1"/>
  <c r="D534" i="2"/>
  <c r="E534" i="2" s="1"/>
  <c r="D541" i="2"/>
  <c r="E541" i="2" s="1"/>
  <c r="D549" i="2"/>
  <c r="E549" i="2" s="1"/>
  <c r="D557" i="2"/>
  <c r="E557" i="2" s="1"/>
  <c r="D564" i="2"/>
  <c r="E564" i="2" s="1"/>
  <c r="E572" i="2"/>
  <c r="D585" i="2"/>
  <c r="E585" i="2" s="1"/>
  <c r="D640" i="2"/>
  <c r="E640" i="2" s="1"/>
  <c r="D654" i="2"/>
  <c r="E654" i="2" s="1"/>
  <c r="D661" i="2"/>
  <c r="E661" i="2" s="1"/>
  <c r="D675" i="2"/>
  <c r="E675" i="2" s="1"/>
  <c r="D682" i="2"/>
  <c r="E682" i="2" s="1"/>
  <c r="D718" i="2"/>
  <c r="E718" i="2" s="1"/>
  <c r="D733" i="2"/>
  <c r="E733" i="2" s="1"/>
  <c r="D741" i="2"/>
  <c r="E741" i="2" s="1"/>
  <c r="D748" i="2"/>
  <c r="E748" i="2" s="1"/>
  <c r="D756" i="2"/>
  <c r="E756" i="2" s="1"/>
  <c r="D763" i="2"/>
  <c r="E763" i="2" s="1"/>
  <c r="D771" i="2"/>
  <c r="E771" i="2" s="1"/>
  <c r="D779" i="2"/>
  <c r="E779" i="2" s="1"/>
  <c r="D802" i="2"/>
  <c r="E802" i="2" s="1"/>
  <c r="D809" i="2"/>
  <c r="E809" i="2" s="1"/>
  <c r="D817" i="2"/>
  <c r="E817" i="2" s="1"/>
  <c r="D825" i="2"/>
  <c r="E825" i="2" s="1"/>
  <c r="D833" i="2"/>
  <c r="E833" i="2" s="1"/>
  <c r="D848" i="2"/>
  <c r="E848" i="2" s="1"/>
  <c r="D855" i="2"/>
  <c r="E855" i="2" s="1"/>
  <c r="D870" i="2"/>
  <c r="E870" i="2" s="1"/>
  <c r="D877" i="2"/>
  <c r="E877" i="2" s="1"/>
  <c r="D884" i="2"/>
  <c r="E884" i="2" s="1"/>
  <c r="D898" i="2"/>
  <c r="E898" i="2" s="1"/>
  <c r="D905" i="2"/>
  <c r="E905" i="2" s="1"/>
  <c r="D920" i="2"/>
  <c r="E920" i="2" s="1"/>
  <c r="D934" i="2"/>
  <c r="E934" i="2" s="1"/>
  <c r="D941" i="2"/>
  <c r="E941" i="2" s="1"/>
  <c r="D962" i="2"/>
  <c r="E962" i="2" s="1"/>
  <c r="D969" i="2"/>
  <c r="E969" i="2" s="1"/>
  <c r="D976" i="2"/>
  <c r="E976" i="2" s="1"/>
  <c r="D984" i="2"/>
  <c r="E984" i="2" s="1"/>
  <c r="D998" i="2"/>
  <c r="E998" i="2" s="1"/>
  <c r="D1006" i="2"/>
  <c r="E1006" i="2" s="1"/>
  <c r="D666" i="2"/>
  <c r="E666" i="2" s="1"/>
  <c r="D722" i="2"/>
  <c r="E722" i="2" s="1"/>
  <c r="D776" i="2"/>
  <c r="E776" i="2" s="1"/>
  <c r="D807" i="2"/>
  <c r="E807" i="2" s="1"/>
  <c r="D862" i="2"/>
  <c r="E862" i="2" s="1"/>
  <c r="D892" i="2"/>
  <c r="E892" i="2" s="1"/>
  <c r="D947" i="2"/>
  <c r="E947" i="2" s="1"/>
  <c r="D535" i="2"/>
  <c r="E535" i="2" s="1"/>
  <c r="D550" i="2"/>
  <c r="E550" i="2" s="1"/>
  <c r="D558" i="2"/>
  <c r="E558" i="2" s="1"/>
  <c r="D565" i="2"/>
  <c r="E565" i="2" s="1"/>
  <c r="D573" i="2"/>
  <c r="E573" i="2" s="1"/>
  <c r="D586" i="2"/>
  <c r="E586" i="2" s="1"/>
  <c r="D592" i="2"/>
  <c r="E592" i="2" s="1"/>
  <c r="D605" i="2"/>
  <c r="E605" i="2" s="1"/>
  <c r="D613" i="2"/>
  <c r="E613" i="2" s="1"/>
  <c r="D619" i="2"/>
  <c r="E619" i="2" s="1"/>
  <c r="D641" i="2"/>
  <c r="E641" i="2" s="1"/>
  <c r="D662" i="2"/>
  <c r="E662" i="2" s="1"/>
  <c r="D683" i="2"/>
  <c r="E683" i="2" s="1"/>
  <c r="D742" i="2"/>
  <c r="E742" i="2" s="1"/>
  <c r="D749" i="2"/>
  <c r="E749" i="2" s="1"/>
  <c r="D757" i="2"/>
  <c r="E757" i="2" s="1"/>
  <c r="E764" i="2"/>
  <c r="E772" i="2"/>
  <c r="D780" i="2"/>
  <c r="E780" i="2" s="1"/>
  <c r="D795" i="2"/>
  <c r="E795" i="2" s="1"/>
  <c r="D803" i="2"/>
  <c r="E803" i="2" s="1"/>
  <c r="D810" i="2"/>
  <c r="E810" i="2" s="1"/>
  <c r="D834" i="2"/>
  <c r="E834" i="2" s="1"/>
  <c r="D841" i="2"/>
  <c r="E841" i="2" s="1"/>
  <c r="D849" i="2"/>
  <c r="E849" i="2" s="1"/>
  <c r="D856" i="2"/>
  <c r="E856" i="2" s="1"/>
  <c r="D863" i="2"/>
  <c r="E863" i="2" s="1"/>
  <c r="D878" i="2"/>
  <c r="E878" i="2" s="1"/>
  <c r="D885" i="2"/>
  <c r="E885" i="2" s="1"/>
  <c r="D906" i="2"/>
  <c r="E906" i="2" s="1"/>
  <c r="D913" i="2"/>
  <c r="E913" i="2" s="1"/>
  <c r="D921" i="2"/>
  <c r="E921" i="2" s="1"/>
  <c r="D942" i="2"/>
  <c r="E942" i="2" s="1"/>
  <c r="D963" i="2"/>
  <c r="E963" i="2" s="1"/>
  <c r="D970" i="2"/>
  <c r="E970" i="2" s="1"/>
  <c r="D977" i="2"/>
  <c r="E977" i="2" s="1"/>
  <c r="D985" i="2"/>
  <c r="E985" i="2" s="1"/>
  <c r="D583" i="2"/>
  <c r="E583" i="2" s="1"/>
  <c r="D612" i="2"/>
  <c r="E612" i="2" s="1"/>
  <c r="D698" i="2"/>
  <c r="E698" i="2" s="1"/>
  <c r="D723" i="2"/>
  <c r="E723" i="2" s="1"/>
  <c r="D754" i="2"/>
  <c r="E754" i="2" s="1"/>
  <c r="D783" i="2"/>
  <c r="E783" i="2" s="1"/>
  <c r="D839" i="2"/>
  <c r="E839" i="2" s="1"/>
  <c r="D868" i="2"/>
  <c r="E868" i="2" s="1"/>
  <c r="D924" i="2"/>
  <c r="E924" i="2" s="1"/>
  <c r="D954" i="2"/>
  <c r="E954" i="2" s="1"/>
  <c r="D1011" i="2"/>
  <c r="E1011" i="2" s="1"/>
  <c r="E12" i="2"/>
  <c r="F36" i="1"/>
  <c r="F100" i="1"/>
  <c r="F28" i="1"/>
  <c r="D5" i="1"/>
  <c r="D6" i="1"/>
  <c r="F75" i="1"/>
  <c r="F91" i="1"/>
  <c r="F155" i="1"/>
  <c r="F19" i="1"/>
  <c r="F27" i="1"/>
  <c r="F35" i="1"/>
  <c r="F43" i="1"/>
  <c r="F51" i="1"/>
  <c r="F59" i="1"/>
  <c r="F67" i="1"/>
  <c r="F83" i="1"/>
  <c r="F99" i="1"/>
  <c r="F107" i="1"/>
  <c r="F115" i="1"/>
  <c r="F123" i="1"/>
  <c r="F131" i="1"/>
  <c r="F139" i="1"/>
  <c r="F147" i="1"/>
  <c r="F163" i="1"/>
  <c r="F171" i="1"/>
  <c r="F179" i="1"/>
  <c r="F187" i="1"/>
  <c r="F195" i="1"/>
  <c r="F203" i="1"/>
  <c r="F211" i="1"/>
  <c r="F196" i="1"/>
  <c r="F109" i="1"/>
  <c r="F230" i="1"/>
  <c r="F112" i="1"/>
  <c r="F136" i="1"/>
  <c r="F220" i="1"/>
  <c r="F121" i="1"/>
  <c r="F133" i="1"/>
  <c r="F165" i="1"/>
  <c r="F181" i="1"/>
  <c r="F237" i="1"/>
  <c r="F134" i="1"/>
  <c r="F222" i="1"/>
  <c r="F15" i="1"/>
  <c r="F47" i="1"/>
  <c r="F167" i="1"/>
  <c r="F183" i="1"/>
  <c r="F215" i="1"/>
  <c r="F141" i="1"/>
  <c r="F30" i="1"/>
  <c r="F102" i="1"/>
  <c r="F142" i="1"/>
  <c r="F182" i="1"/>
  <c r="F96" i="1"/>
  <c r="F120" i="1"/>
  <c r="F192" i="1"/>
  <c r="F260" i="1"/>
  <c r="F145" i="1"/>
  <c r="F169" i="1"/>
  <c r="F217" i="1"/>
  <c r="F241" i="1"/>
  <c r="F34" i="1"/>
  <c r="F82" i="1"/>
  <c r="F130" i="1"/>
  <c r="F170" i="1"/>
  <c r="F194" i="1"/>
  <c r="F227" i="1"/>
  <c r="F243" i="1"/>
  <c r="F259" i="1"/>
  <c r="F68" i="1"/>
  <c r="F84" i="1"/>
  <c r="F124" i="1"/>
  <c r="F140" i="1"/>
  <c r="F156" i="1"/>
  <c r="F172" i="1"/>
  <c r="F188" i="1"/>
  <c r="F204" i="1"/>
  <c r="F236" i="1"/>
  <c r="F252" i="1"/>
  <c r="F268" i="1"/>
  <c r="F219" i="1"/>
  <c r="F251" i="1"/>
  <c r="F267" i="1"/>
  <c r="F44" i="1"/>
  <c r="F60" i="1"/>
  <c r="F92" i="1"/>
  <c r="F108" i="1"/>
  <c r="F116" i="1"/>
  <c r="F132" i="1"/>
  <c r="F148" i="1"/>
  <c r="F164" i="1"/>
  <c r="F180" i="1"/>
  <c r="F212" i="1"/>
  <c r="F228" i="1"/>
  <c r="F244" i="1"/>
  <c r="F235" i="1"/>
  <c r="F37" i="1"/>
  <c r="F77" i="1"/>
  <c r="F149" i="1"/>
  <c r="F213" i="1"/>
  <c r="F245" i="1"/>
  <c r="F38" i="1"/>
  <c r="F78" i="1"/>
  <c r="F110" i="1"/>
  <c r="F166" i="1"/>
  <c r="F198" i="1"/>
  <c r="F246" i="1"/>
  <c r="F23" i="1"/>
  <c r="F31" i="1"/>
  <c r="F39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75" i="1"/>
  <c r="F191" i="1"/>
  <c r="F199" i="1"/>
  <c r="F207" i="1"/>
  <c r="F223" i="1"/>
  <c r="F231" i="1"/>
  <c r="F239" i="1"/>
  <c r="F247" i="1"/>
  <c r="F255" i="1"/>
  <c r="F263" i="1"/>
  <c r="F21" i="1"/>
  <c r="F61" i="1"/>
  <c r="F93" i="1"/>
  <c r="F117" i="1"/>
  <c r="F173" i="1"/>
  <c r="F205" i="1"/>
  <c r="F62" i="1"/>
  <c r="F86" i="1"/>
  <c r="F126" i="1"/>
  <c r="F150" i="1"/>
  <c r="F214" i="1"/>
  <c r="F254" i="1"/>
  <c r="F16" i="1"/>
  <c r="F32" i="1"/>
  <c r="F48" i="1"/>
  <c r="F56" i="1"/>
  <c r="F64" i="1"/>
  <c r="F72" i="1"/>
  <c r="F80" i="1"/>
  <c r="F88" i="1"/>
  <c r="F104" i="1"/>
  <c r="F128" i="1"/>
  <c r="F144" i="1"/>
  <c r="F152" i="1"/>
  <c r="F160" i="1"/>
  <c r="F168" i="1"/>
  <c r="F176" i="1"/>
  <c r="F184" i="1"/>
  <c r="F200" i="1"/>
  <c r="F208" i="1"/>
  <c r="F216" i="1"/>
  <c r="F224" i="1"/>
  <c r="F232" i="1"/>
  <c r="F240" i="1"/>
  <c r="F248" i="1"/>
  <c r="F256" i="1"/>
  <c r="F264" i="1"/>
  <c r="F45" i="1"/>
  <c r="F69" i="1"/>
  <c r="F101" i="1"/>
  <c r="F189" i="1"/>
  <c r="F229" i="1"/>
  <c r="F253" i="1"/>
  <c r="F46" i="1"/>
  <c r="F70" i="1"/>
  <c r="F174" i="1"/>
  <c r="F206" i="1"/>
  <c r="F238" i="1"/>
  <c r="F262" i="1"/>
  <c r="F24" i="1"/>
  <c r="F40" i="1"/>
  <c r="F17" i="1"/>
  <c r="F25" i="1"/>
  <c r="F33" i="1"/>
  <c r="F41" i="1"/>
  <c r="F49" i="1"/>
  <c r="F57" i="1"/>
  <c r="F65" i="1"/>
  <c r="F73" i="1"/>
  <c r="F81" i="1"/>
  <c r="F89" i="1"/>
  <c r="F97" i="1"/>
  <c r="F105" i="1"/>
  <c r="F113" i="1"/>
  <c r="F129" i="1"/>
  <c r="F137" i="1"/>
  <c r="F153" i="1"/>
  <c r="F161" i="1"/>
  <c r="F177" i="1"/>
  <c r="F185" i="1"/>
  <c r="F193" i="1"/>
  <c r="F201" i="1"/>
  <c r="F209" i="1"/>
  <c r="F225" i="1"/>
  <c r="F233" i="1"/>
  <c r="F249" i="1"/>
  <c r="F257" i="1"/>
  <c r="F265" i="1"/>
  <c r="F29" i="1"/>
  <c r="F53" i="1"/>
  <c r="F85" i="1"/>
  <c r="F125" i="1"/>
  <c r="F157" i="1"/>
  <c r="F197" i="1"/>
  <c r="F221" i="1"/>
  <c r="F261" i="1"/>
  <c r="F22" i="1"/>
  <c r="F54" i="1"/>
  <c r="F94" i="1"/>
  <c r="F118" i="1"/>
  <c r="F158" i="1"/>
  <c r="F190" i="1"/>
  <c r="F18" i="1"/>
  <c r="F26" i="1"/>
  <c r="F42" i="1"/>
  <c r="F50" i="1"/>
  <c r="F58" i="1"/>
  <c r="F66" i="1"/>
  <c r="F74" i="1"/>
  <c r="F90" i="1"/>
  <c r="F98" i="1"/>
  <c r="F106" i="1"/>
  <c r="F114" i="1"/>
  <c r="F122" i="1"/>
  <c r="F138" i="1"/>
  <c r="F146" i="1"/>
  <c r="F154" i="1"/>
  <c r="F162" i="1"/>
  <c r="F178" i="1"/>
  <c r="F186" i="1"/>
  <c r="F202" i="1"/>
  <c r="F210" i="1"/>
  <c r="F218" i="1"/>
  <c r="F226" i="1"/>
  <c r="F234" i="1"/>
  <c r="F242" i="1"/>
  <c r="F250" i="1"/>
  <c r="F258" i="1"/>
  <c r="F266" i="1"/>
  <c r="C269" i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F364" i="1" s="1"/>
  <c r="E2" i="2" l="1"/>
  <c r="E1" i="2"/>
  <c r="B12" i="2"/>
  <c r="B13" i="2" s="1"/>
  <c r="G16" i="1"/>
  <c r="F269" i="1"/>
  <c r="G269" i="1" s="1"/>
  <c r="F287" i="1"/>
  <c r="F346" i="1"/>
  <c r="F304" i="1"/>
  <c r="F301" i="1"/>
  <c r="F315" i="1"/>
  <c r="F351" i="1"/>
  <c r="F279" i="1"/>
  <c r="F342" i="1"/>
  <c r="F294" i="1"/>
  <c r="F345" i="1"/>
  <c r="F310" i="1"/>
  <c r="F303" i="1"/>
  <c r="F307" i="1"/>
  <c r="F283" i="1"/>
  <c r="F270" i="1"/>
  <c r="F337" i="1"/>
  <c r="F358" i="1"/>
  <c r="F276" i="1"/>
  <c r="F329" i="1"/>
  <c r="F330" i="1"/>
  <c r="F289" i="1"/>
  <c r="F331" i="1"/>
  <c r="F314" i="1"/>
  <c r="F275" i="1"/>
  <c r="F295" i="1"/>
  <c r="F291" i="1"/>
  <c r="F338" i="1"/>
  <c r="F321" i="1"/>
  <c r="F312" i="1"/>
  <c r="F300" i="1"/>
  <c r="F296" i="1"/>
  <c r="F322" i="1"/>
  <c r="F326" i="1"/>
  <c r="F313" i="1"/>
  <c r="F286" i="1"/>
  <c r="F288" i="1"/>
  <c r="F271" i="1"/>
  <c r="F348" i="1"/>
  <c r="F298" i="1"/>
  <c r="F333" i="1"/>
  <c r="F305" i="1"/>
  <c r="F317" i="1"/>
  <c r="F344" i="1"/>
  <c r="F280" i="1"/>
  <c r="F335" i="1"/>
  <c r="F349" i="1"/>
  <c r="F340" i="1"/>
  <c r="F332" i="1"/>
  <c r="F355" i="1"/>
  <c r="F356" i="1"/>
  <c r="F306" i="1"/>
  <c r="F341" i="1"/>
  <c r="F352" i="1"/>
  <c r="F343" i="1"/>
  <c r="F290" i="1"/>
  <c r="F293" i="1"/>
  <c r="F297" i="1"/>
  <c r="F285" i="1"/>
  <c r="F336" i="1"/>
  <c r="F272" i="1"/>
  <c r="F327" i="1"/>
  <c r="F334" i="1"/>
  <c r="F309" i="1"/>
  <c r="F324" i="1"/>
  <c r="F316" i="1"/>
  <c r="F339" i="1"/>
  <c r="F362" i="1"/>
  <c r="F282" i="1"/>
  <c r="F350" i="1"/>
  <c r="F361" i="1"/>
  <c r="F281" i="1"/>
  <c r="F328" i="1"/>
  <c r="F357" i="1"/>
  <c r="F319" i="1"/>
  <c r="F302" i="1"/>
  <c r="F277" i="1"/>
  <c r="F308" i="1"/>
  <c r="F363" i="1"/>
  <c r="F284" i="1"/>
  <c r="F323" i="1"/>
  <c r="F360" i="1"/>
  <c r="F359" i="1"/>
  <c r="F354" i="1"/>
  <c r="F274" i="1"/>
  <c r="F318" i="1"/>
  <c r="F353" i="1"/>
  <c r="F273" i="1"/>
  <c r="F320" i="1"/>
  <c r="F325" i="1"/>
  <c r="F311" i="1"/>
  <c r="F278" i="1"/>
  <c r="F292" i="1"/>
  <c r="F347" i="1"/>
  <c r="F299" i="1"/>
  <c r="G15" i="1"/>
  <c r="G18" i="1"/>
  <c r="G27" i="1"/>
  <c r="G67" i="1"/>
  <c r="C365" i="1"/>
  <c r="F365" i="1" s="1"/>
  <c r="G17" i="1"/>
  <c r="G138" i="1"/>
  <c r="G23" i="1"/>
  <c r="G48" i="1"/>
  <c r="G218" i="1"/>
  <c r="G19" i="1"/>
  <c r="G249" i="1"/>
  <c r="G20" i="1"/>
  <c r="G145" i="1"/>
  <c r="G25" i="1"/>
  <c r="G94" i="1"/>
  <c r="G130" i="1"/>
  <c r="G180" i="1"/>
  <c r="G129" i="1"/>
  <c r="G179" i="1"/>
  <c r="G136" i="1"/>
  <c r="G201" i="1"/>
  <c r="G177" i="1"/>
  <c r="G108" i="1"/>
  <c r="G202" i="1"/>
  <c r="G31" i="1"/>
  <c r="G113" i="1"/>
  <c r="G40" i="1"/>
  <c r="G163" i="1"/>
  <c r="G99" i="1"/>
  <c r="G76" i="1"/>
  <c r="G266" i="1"/>
  <c r="G264" i="1"/>
  <c r="G126" i="1"/>
  <c r="G178" i="1"/>
  <c r="G247" i="1"/>
  <c r="G216" i="1"/>
  <c r="G118" i="1"/>
  <c r="G215" i="1"/>
  <c r="G158" i="1"/>
  <c r="G81" i="1"/>
  <c r="G263" i="1"/>
  <c r="G200" i="1"/>
  <c r="G72" i="1"/>
  <c r="G199" i="1"/>
  <c r="G232" i="1"/>
  <c r="G142" i="1"/>
  <c r="G104" i="1"/>
  <c r="G231" i="1"/>
  <c r="G248" i="1"/>
  <c r="G134" i="1"/>
  <c r="G65" i="1"/>
  <c r="G56" i="1"/>
  <c r="G233" i="1"/>
  <c r="G97" i="1"/>
  <c r="G131" i="1"/>
  <c r="G57" i="1"/>
  <c r="G140" i="1"/>
  <c r="G217" i="1"/>
  <c r="G35" i="1"/>
  <c r="G115" i="1"/>
  <c r="G41" i="1"/>
  <c r="G161" i="1"/>
  <c r="G156" i="1"/>
  <c r="G250" i="1"/>
  <c r="G49" i="1"/>
  <c r="G147" i="1"/>
  <c r="G83" i="1"/>
  <c r="G190" i="1"/>
  <c r="G234" i="1"/>
  <c r="G265" i="1"/>
  <c r="G22" i="1"/>
  <c r="G37" i="1"/>
  <c r="G42" i="1"/>
  <c r="G50" i="1"/>
  <c r="G58" i="1"/>
  <c r="G175" i="1"/>
  <c r="G159" i="1"/>
  <c r="G143" i="1"/>
  <c r="G127" i="1"/>
  <c r="G111" i="1"/>
  <c r="G95" i="1"/>
  <c r="G79" i="1"/>
  <c r="G63" i="1"/>
  <c r="G176" i="1"/>
  <c r="G132" i="1"/>
  <c r="G100" i="1"/>
  <c r="G68" i="1"/>
  <c r="G160" i="1"/>
  <c r="G122" i="1"/>
  <c r="G114" i="1"/>
  <c r="G106" i="1"/>
  <c r="G262" i="1"/>
  <c r="G246" i="1"/>
  <c r="G230" i="1"/>
  <c r="G214" i="1"/>
  <c r="G198" i="1"/>
  <c r="G261" i="1"/>
  <c r="G245" i="1"/>
  <c r="G229" i="1"/>
  <c r="G213" i="1"/>
  <c r="G197" i="1"/>
  <c r="G28" i="1"/>
  <c r="G189" i="1"/>
  <c r="G109" i="1"/>
  <c r="G128" i="1"/>
  <c r="G98" i="1"/>
  <c r="G244" i="1"/>
  <c r="G227" i="1"/>
  <c r="G51" i="1"/>
  <c r="G125" i="1"/>
  <c r="G174" i="1"/>
  <c r="G110" i="1"/>
  <c r="G196" i="1"/>
  <c r="G195" i="1"/>
  <c r="G34" i="1"/>
  <c r="G21" i="1"/>
  <c r="G44" i="1"/>
  <c r="G52" i="1"/>
  <c r="G187" i="1"/>
  <c r="G171" i="1"/>
  <c r="G155" i="1"/>
  <c r="G139" i="1"/>
  <c r="G123" i="1"/>
  <c r="G107" i="1"/>
  <c r="G91" i="1"/>
  <c r="G75" i="1"/>
  <c r="G59" i="1"/>
  <c r="G172" i="1"/>
  <c r="G124" i="1"/>
  <c r="G92" i="1"/>
  <c r="G60" i="1"/>
  <c r="G164" i="1"/>
  <c r="G102" i="1"/>
  <c r="G86" i="1"/>
  <c r="G82" i="1"/>
  <c r="G258" i="1"/>
  <c r="G242" i="1"/>
  <c r="G226" i="1"/>
  <c r="G210" i="1"/>
  <c r="G194" i="1"/>
  <c r="G257" i="1"/>
  <c r="G241" i="1"/>
  <c r="G225" i="1"/>
  <c r="G209" i="1"/>
  <c r="G193" i="1"/>
  <c r="G43" i="1"/>
  <c r="G141" i="1"/>
  <c r="G61" i="1"/>
  <c r="G162" i="1"/>
  <c r="G212" i="1"/>
  <c r="G26" i="1"/>
  <c r="G30" i="1"/>
  <c r="G53" i="1"/>
  <c r="G169" i="1"/>
  <c r="G137" i="1"/>
  <c r="G121" i="1"/>
  <c r="G105" i="1"/>
  <c r="G89" i="1"/>
  <c r="G73" i="1"/>
  <c r="G186" i="1"/>
  <c r="G170" i="1"/>
  <c r="G120" i="1"/>
  <c r="G88" i="1"/>
  <c r="G150" i="1"/>
  <c r="G166" i="1"/>
  <c r="G90" i="1"/>
  <c r="G74" i="1"/>
  <c r="G70" i="1"/>
  <c r="G256" i="1"/>
  <c r="G240" i="1"/>
  <c r="G224" i="1"/>
  <c r="G208" i="1"/>
  <c r="G192" i="1"/>
  <c r="G255" i="1"/>
  <c r="G239" i="1"/>
  <c r="G223" i="1"/>
  <c r="G207" i="1"/>
  <c r="G191" i="1"/>
  <c r="G36" i="1"/>
  <c r="G157" i="1"/>
  <c r="G77" i="1"/>
  <c r="G64" i="1"/>
  <c r="G228" i="1"/>
  <c r="G243" i="1"/>
  <c r="G32" i="1"/>
  <c r="G45" i="1"/>
  <c r="G185" i="1"/>
  <c r="G153" i="1"/>
  <c r="G24" i="1"/>
  <c r="G38" i="1"/>
  <c r="G46" i="1"/>
  <c r="G54" i="1"/>
  <c r="G183" i="1"/>
  <c r="G167" i="1"/>
  <c r="G151" i="1"/>
  <c r="G135" i="1"/>
  <c r="G119" i="1"/>
  <c r="G103" i="1"/>
  <c r="G87" i="1"/>
  <c r="G71" i="1"/>
  <c r="G184" i="1"/>
  <c r="G148" i="1"/>
  <c r="G116" i="1"/>
  <c r="G84" i="1"/>
  <c r="G152" i="1"/>
  <c r="G168" i="1"/>
  <c r="G78" i="1"/>
  <c r="G62" i="1"/>
  <c r="G254" i="1"/>
  <c r="G238" i="1"/>
  <c r="G222" i="1"/>
  <c r="G206" i="1"/>
  <c r="G253" i="1"/>
  <c r="G237" i="1"/>
  <c r="G221" i="1"/>
  <c r="G205" i="1"/>
  <c r="G29" i="1"/>
  <c r="G173" i="1"/>
  <c r="G93" i="1"/>
  <c r="G96" i="1"/>
  <c r="G260" i="1"/>
  <c r="G259" i="1"/>
  <c r="G211" i="1"/>
  <c r="G33" i="1"/>
  <c r="G39" i="1"/>
  <c r="G47" i="1"/>
  <c r="G55" i="1"/>
  <c r="G181" i="1"/>
  <c r="G165" i="1"/>
  <c r="G149" i="1"/>
  <c r="G133" i="1"/>
  <c r="G117" i="1"/>
  <c r="G101" i="1"/>
  <c r="G85" i="1"/>
  <c r="G69" i="1"/>
  <c r="G182" i="1"/>
  <c r="G144" i="1"/>
  <c r="G112" i="1"/>
  <c r="G80" i="1"/>
  <c r="G154" i="1"/>
  <c r="G188" i="1"/>
  <c r="G66" i="1"/>
  <c r="G146" i="1"/>
  <c r="G268" i="1"/>
  <c r="G252" i="1"/>
  <c r="G236" i="1"/>
  <c r="G220" i="1"/>
  <c r="G204" i="1"/>
  <c r="G267" i="1"/>
  <c r="G251" i="1"/>
  <c r="G235" i="1"/>
  <c r="G219" i="1"/>
  <c r="G203" i="1"/>
  <c r="B14" i="2" l="1"/>
  <c r="G270" i="1"/>
  <c r="G275" i="1"/>
  <c r="G283" i="1"/>
  <c r="G326" i="1"/>
  <c r="G271" i="1"/>
  <c r="G278" i="1"/>
  <c r="G361" i="1"/>
  <c r="G319" i="1"/>
  <c r="G360" i="1"/>
  <c r="G290" i="1"/>
  <c r="G289" i="1"/>
  <c r="G286" i="1"/>
  <c r="G284" i="1"/>
  <c r="G285" i="1"/>
  <c r="G357" i="1"/>
  <c r="G344" i="1"/>
  <c r="G299" i="1"/>
  <c r="G358" i="1"/>
  <c r="G338" i="1"/>
  <c r="G353" i="1"/>
  <c r="G342" i="1"/>
  <c r="G301" i="1"/>
  <c r="G308" i="1"/>
  <c r="G300" i="1"/>
  <c r="G335" i="1"/>
  <c r="G359" i="1"/>
  <c r="G312" i="1"/>
  <c r="G341" i="1"/>
  <c r="G351" i="1"/>
  <c r="G274" i="1"/>
  <c r="G331" i="1"/>
  <c r="G306" i="1"/>
  <c r="G276" i="1"/>
  <c r="G277" i="1"/>
  <c r="G336" i="1"/>
  <c r="G355" i="1"/>
  <c r="G272" i="1"/>
  <c r="G273" i="1"/>
  <c r="G333" i="1"/>
  <c r="G281" i="1"/>
  <c r="G337" i="1"/>
  <c r="G315" i="1"/>
  <c r="G302" i="1"/>
  <c r="G328" i="1"/>
  <c r="G311" i="1"/>
  <c r="G349" i="1"/>
  <c r="G356" i="1"/>
  <c r="G287" i="1"/>
  <c r="G339" i="1"/>
  <c r="G340" i="1"/>
  <c r="G303" i="1"/>
  <c r="G316" i="1"/>
  <c r="G325" i="1"/>
  <c r="G327" i="1"/>
  <c r="G288" i="1"/>
  <c r="G318" i="1"/>
  <c r="G304" i="1"/>
  <c r="G354" i="1"/>
  <c r="G305" i="1"/>
  <c r="G345" i="1"/>
  <c r="G295" i="1"/>
  <c r="G292" i="1"/>
  <c r="G330" i="1"/>
  <c r="G352" i="1"/>
  <c r="G291" i="1"/>
  <c r="G307" i="1"/>
  <c r="G350" i="1"/>
  <c r="G293" i="1"/>
  <c r="G334" i="1"/>
  <c r="G314" i="1"/>
  <c r="G348" i="1"/>
  <c r="G310" i="1"/>
  <c r="G294" i="1"/>
  <c r="G322" i="1"/>
  <c r="G323" i="1"/>
  <c r="G296" i="1"/>
  <c r="G329" i="1"/>
  <c r="G280" i="1"/>
  <c r="G317" i="1"/>
  <c r="G321" i="1"/>
  <c r="G324" i="1"/>
  <c r="G297" i="1"/>
  <c r="G362" i="1"/>
  <c r="G363" i="1"/>
  <c r="G282" i="1"/>
  <c r="G332" i="1"/>
  <c r="G346" i="1"/>
  <c r="G320" i="1"/>
  <c r="G343" i="1"/>
  <c r="G313" i="1"/>
  <c r="G309" i="1"/>
  <c r="G298" i="1"/>
  <c r="G279" i="1"/>
  <c r="G347" i="1"/>
  <c r="C366" i="1"/>
  <c r="F366" i="1" s="1"/>
  <c r="G365" i="1"/>
  <c r="G364" i="1"/>
  <c r="B15" i="2" l="1"/>
  <c r="C367" i="1"/>
  <c r="F367" i="1" s="1"/>
  <c r="G366" i="1"/>
  <c r="B16" i="2" l="1"/>
  <c r="C368" i="1"/>
  <c r="F368" i="1" s="1"/>
  <c r="B17" i="2" l="1"/>
  <c r="G367" i="1"/>
  <c r="C369" i="1"/>
  <c r="F369" i="1" s="1"/>
  <c r="B18" i="2" l="1"/>
  <c r="C370" i="1"/>
  <c r="F370" i="1" s="1"/>
  <c r="G369" i="1"/>
  <c r="G368" i="1"/>
  <c r="B19" i="2" l="1"/>
  <c r="C371" i="1"/>
  <c r="F371" i="1" s="1"/>
  <c r="B20" i="2" l="1"/>
  <c r="G370" i="1"/>
  <c r="C372" i="1"/>
  <c r="F372" i="1" s="1"/>
  <c r="B21" i="2" l="1"/>
  <c r="G371" i="1"/>
  <c r="C373" i="1"/>
  <c r="F373" i="1" s="1"/>
  <c r="B22" i="2" l="1"/>
  <c r="G372" i="1"/>
  <c r="C374" i="1"/>
  <c r="F374" i="1" s="1"/>
  <c r="G373" i="1"/>
  <c r="B23" i="2" l="1"/>
  <c r="C375" i="1"/>
  <c r="F375" i="1" s="1"/>
  <c r="G374" i="1"/>
  <c r="B24" i="2" l="1"/>
  <c r="C376" i="1"/>
  <c r="F376" i="1" s="1"/>
  <c r="G375" i="1"/>
  <c r="B25" i="2" l="1"/>
  <c r="C377" i="1"/>
  <c r="F377" i="1" s="1"/>
  <c r="G376" i="1"/>
  <c r="B26" i="2" l="1"/>
  <c r="C378" i="1"/>
  <c r="F378" i="1" s="1"/>
  <c r="G377" i="1"/>
  <c r="B27" i="2" l="1"/>
  <c r="C379" i="1"/>
  <c r="F379" i="1" s="1"/>
  <c r="G378" i="1"/>
  <c r="B28" i="2" l="1"/>
  <c r="C380" i="1"/>
  <c r="F380" i="1" s="1"/>
  <c r="G379" i="1"/>
  <c r="B29" i="2" l="1"/>
  <c r="C381" i="1"/>
  <c r="F381" i="1" s="1"/>
  <c r="G380" i="1"/>
  <c r="B30" i="2" l="1"/>
  <c r="C382" i="1"/>
  <c r="F382" i="1" s="1"/>
  <c r="G381" i="1"/>
  <c r="B31" i="2" l="1"/>
  <c r="C383" i="1"/>
  <c r="F383" i="1" s="1"/>
  <c r="G382" i="1"/>
  <c r="B32" i="2" l="1"/>
  <c r="C384" i="1"/>
  <c r="F384" i="1" s="1"/>
  <c r="G383" i="1"/>
  <c r="B33" i="2" l="1"/>
  <c r="C385" i="1"/>
  <c r="F385" i="1" s="1"/>
  <c r="G384" i="1"/>
  <c r="B34" i="2" l="1"/>
  <c r="C386" i="1"/>
  <c r="F386" i="1" s="1"/>
  <c r="G385" i="1"/>
  <c r="B35" i="2" l="1"/>
  <c r="C387" i="1"/>
  <c r="F387" i="1" s="1"/>
  <c r="G386" i="1"/>
  <c r="B36" i="2" l="1"/>
  <c r="C388" i="1"/>
  <c r="F388" i="1" s="1"/>
  <c r="G387" i="1"/>
  <c r="B37" i="2" l="1"/>
  <c r="C389" i="1"/>
  <c r="F389" i="1" s="1"/>
  <c r="G388" i="1"/>
  <c r="B38" i="2" l="1"/>
  <c r="C390" i="1"/>
  <c r="F390" i="1" s="1"/>
  <c r="G389" i="1"/>
  <c r="B39" i="2" l="1"/>
  <c r="C391" i="1"/>
  <c r="F391" i="1" s="1"/>
  <c r="G390" i="1"/>
  <c r="B40" i="2" l="1"/>
  <c r="C392" i="1"/>
  <c r="F392" i="1" s="1"/>
  <c r="G391" i="1"/>
  <c r="B41" i="2" l="1"/>
  <c r="C393" i="1"/>
  <c r="F393" i="1" s="1"/>
  <c r="G392" i="1"/>
  <c r="B42" i="2" l="1"/>
  <c r="C394" i="1"/>
  <c r="F394" i="1" s="1"/>
  <c r="G393" i="1"/>
  <c r="B43" i="2" l="1"/>
  <c r="C395" i="1"/>
  <c r="F395" i="1" s="1"/>
  <c r="G394" i="1"/>
  <c r="B44" i="2" l="1"/>
  <c r="C396" i="1"/>
  <c r="F396" i="1" s="1"/>
  <c r="G395" i="1"/>
  <c r="B45" i="2" l="1"/>
  <c r="C397" i="1"/>
  <c r="F397" i="1" s="1"/>
  <c r="G396" i="1"/>
  <c r="B46" i="2" l="1"/>
  <c r="C398" i="1"/>
  <c r="F398" i="1" s="1"/>
  <c r="G397" i="1"/>
  <c r="B47" i="2" l="1"/>
  <c r="C399" i="1"/>
  <c r="F399" i="1" s="1"/>
  <c r="G398" i="1"/>
  <c r="B48" i="2" l="1"/>
  <c r="C400" i="1"/>
  <c r="F400" i="1" s="1"/>
  <c r="G399" i="1"/>
  <c r="B49" i="2" l="1"/>
  <c r="C401" i="1"/>
  <c r="F401" i="1" s="1"/>
  <c r="G400" i="1"/>
  <c r="B50" i="2" l="1"/>
  <c r="C402" i="1"/>
  <c r="F402" i="1" s="1"/>
  <c r="G401" i="1"/>
  <c r="B51" i="2" l="1"/>
  <c r="C403" i="1"/>
  <c r="F403" i="1" s="1"/>
  <c r="G402" i="1"/>
  <c r="B52" i="2" l="1"/>
  <c r="C404" i="1"/>
  <c r="F404" i="1" s="1"/>
  <c r="G403" i="1"/>
  <c r="B53" i="2" l="1"/>
  <c r="C405" i="1"/>
  <c r="F405" i="1" s="1"/>
  <c r="G404" i="1"/>
  <c r="B54" i="2" l="1"/>
  <c r="C406" i="1"/>
  <c r="F406" i="1" s="1"/>
  <c r="G405" i="1"/>
  <c r="B55" i="2" l="1"/>
  <c r="C407" i="1"/>
  <c r="F407" i="1" s="1"/>
  <c r="G406" i="1"/>
  <c r="B56" i="2" l="1"/>
  <c r="C408" i="1"/>
  <c r="F408" i="1" s="1"/>
  <c r="G407" i="1"/>
  <c r="B57" i="2" l="1"/>
  <c r="C409" i="1"/>
  <c r="F409" i="1" s="1"/>
  <c r="G408" i="1"/>
  <c r="B58" i="2" l="1"/>
  <c r="C410" i="1"/>
  <c r="F410" i="1" s="1"/>
  <c r="G409" i="1"/>
  <c r="B59" i="2" l="1"/>
  <c r="C411" i="1"/>
  <c r="F411" i="1" s="1"/>
  <c r="G410" i="1"/>
  <c r="B60" i="2" l="1"/>
  <c r="C412" i="1"/>
  <c r="F412" i="1" s="1"/>
  <c r="G411" i="1"/>
  <c r="B61" i="2" l="1"/>
  <c r="C413" i="1"/>
  <c r="F413" i="1" s="1"/>
  <c r="G412" i="1"/>
  <c r="B62" i="2" l="1"/>
  <c r="C414" i="1"/>
  <c r="F414" i="1" s="1"/>
  <c r="G413" i="1"/>
  <c r="B63" i="2" l="1"/>
  <c r="C415" i="1"/>
  <c r="F415" i="1" s="1"/>
  <c r="G414" i="1"/>
  <c r="B64" i="2" l="1"/>
  <c r="C416" i="1"/>
  <c r="F416" i="1" s="1"/>
  <c r="G415" i="1"/>
  <c r="B65" i="2" l="1"/>
  <c r="C417" i="1"/>
  <c r="F417" i="1" s="1"/>
  <c r="G416" i="1"/>
  <c r="B66" i="2" l="1"/>
  <c r="C418" i="1"/>
  <c r="F418" i="1" s="1"/>
  <c r="G417" i="1"/>
  <c r="B67" i="2" l="1"/>
  <c r="C419" i="1"/>
  <c r="F419" i="1" s="1"/>
  <c r="G418" i="1"/>
  <c r="B68" i="2" l="1"/>
  <c r="C420" i="1"/>
  <c r="F420" i="1" s="1"/>
  <c r="G419" i="1"/>
  <c r="B69" i="2" l="1"/>
  <c r="C421" i="1"/>
  <c r="F421" i="1" s="1"/>
  <c r="G420" i="1"/>
  <c r="B70" i="2" l="1"/>
  <c r="C422" i="1"/>
  <c r="F422" i="1" s="1"/>
  <c r="G421" i="1"/>
  <c r="B71" i="2" l="1"/>
  <c r="C423" i="1"/>
  <c r="F423" i="1" s="1"/>
  <c r="G422" i="1"/>
  <c r="B72" i="2" l="1"/>
  <c r="C424" i="1"/>
  <c r="F424" i="1" s="1"/>
  <c r="G423" i="1"/>
  <c r="B73" i="2" l="1"/>
  <c r="C425" i="1"/>
  <c r="F425" i="1" s="1"/>
  <c r="G424" i="1"/>
  <c r="B74" i="2" l="1"/>
  <c r="C426" i="1"/>
  <c r="F426" i="1" s="1"/>
  <c r="G425" i="1"/>
  <c r="B75" i="2" l="1"/>
  <c r="C427" i="1"/>
  <c r="F427" i="1" s="1"/>
  <c r="G426" i="1"/>
  <c r="B76" i="2" l="1"/>
  <c r="C428" i="1"/>
  <c r="F428" i="1" s="1"/>
  <c r="G427" i="1"/>
  <c r="B77" i="2" l="1"/>
  <c r="C429" i="1"/>
  <c r="F429" i="1" s="1"/>
  <c r="G428" i="1"/>
  <c r="B78" i="2" l="1"/>
  <c r="C430" i="1"/>
  <c r="F430" i="1" s="1"/>
  <c r="G429" i="1"/>
  <c r="B79" i="2" l="1"/>
  <c r="C431" i="1"/>
  <c r="F431" i="1" s="1"/>
  <c r="G430" i="1"/>
  <c r="B80" i="2" l="1"/>
  <c r="C432" i="1"/>
  <c r="F432" i="1" s="1"/>
  <c r="G431" i="1"/>
  <c r="B81" i="2" l="1"/>
  <c r="C433" i="1"/>
  <c r="F433" i="1" s="1"/>
  <c r="G432" i="1"/>
  <c r="B82" i="2" l="1"/>
  <c r="C434" i="1"/>
  <c r="F434" i="1" s="1"/>
  <c r="G433" i="1"/>
  <c r="B83" i="2" l="1"/>
  <c r="C435" i="1"/>
  <c r="F435" i="1" s="1"/>
  <c r="G434" i="1"/>
  <c r="B84" i="2" l="1"/>
  <c r="C436" i="1"/>
  <c r="F436" i="1" s="1"/>
  <c r="G435" i="1"/>
  <c r="B85" i="2" l="1"/>
  <c r="C437" i="1"/>
  <c r="F437" i="1" s="1"/>
  <c r="G436" i="1"/>
  <c r="B86" i="2" l="1"/>
  <c r="C438" i="1"/>
  <c r="F438" i="1" s="1"/>
  <c r="G437" i="1"/>
  <c r="B87" i="2" l="1"/>
  <c r="C439" i="1"/>
  <c r="F439" i="1" s="1"/>
  <c r="G438" i="1"/>
  <c r="B88" i="2" l="1"/>
  <c r="C440" i="1"/>
  <c r="F440" i="1" s="1"/>
  <c r="G439" i="1"/>
  <c r="B89" i="2" l="1"/>
  <c r="C441" i="1"/>
  <c r="F441" i="1" s="1"/>
  <c r="G440" i="1"/>
  <c r="B90" i="2" l="1"/>
  <c r="C442" i="1"/>
  <c r="F442" i="1" s="1"/>
  <c r="G441" i="1"/>
  <c r="B91" i="2" l="1"/>
  <c r="C443" i="1"/>
  <c r="F443" i="1" s="1"/>
  <c r="G442" i="1"/>
  <c r="B92" i="2" l="1"/>
  <c r="C444" i="1"/>
  <c r="F444" i="1" s="1"/>
  <c r="G443" i="1"/>
  <c r="B93" i="2" l="1"/>
  <c r="C445" i="1"/>
  <c r="F445" i="1" s="1"/>
  <c r="G444" i="1"/>
  <c r="B94" i="2" l="1"/>
  <c r="C446" i="1"/>
  <c r="F446" i="1" s="1"/>
  <c r="G445" i="1"/>
  <c r="B95" i="2" l="1"/>
  <c r="C447" i="1"/>
  <c r="F447" i="1" s="1"/>
  <c r="G446" i="1"/>
  <c r="B96" i="2" l="1"/>
  <c r="C448" i="1"/>
  <c r="F448" i="1" s="1"/>
  <c r="G447" i="1"/>
  <c r="B97" i="2" l="1"/>
  <c r="C449" i="1"/>
  <c r="F449" i="1" s="1"/>
  <c r="G448" i="1"/>
  <c r="B98" i="2" l="1"/>
  <c r="C450" i="1"/>
  <c r="F450" i="1" s="1"/>
  <c r="G449" i="1"/>
  <c r="B99" i="2" l="1"/>
  <c r="C451" i="1"/>
  <c r="F451" i="1" s="1"/>
  <c r="G450" i="1"/>
  <c r="B100" i="2" l="1"/>
  <c r="C452" i="1"/>
  <c r="F452" i="1" s="1"/>
  <c r="G451" i="1"/>
  <c r="B101" i="2" l="1"/>
  <c r="C453" i="1"/>
  <c r="F453" i="1" s="1"/>
  <c r="G452" i="1"/>
  <c r="B102" i="2" l="1"/>
  <c r="C454" i="1"/>
  <c r="F454" i="1" s="1"/>
  <c r="G453" i="1"/>
  <c r="B103" i="2" l="1"/>
  <c r="C455" i="1"/>
  <c r="F455" i="1" s="1"/>
  <c r="G454" i="1"/>
  <c r="B104" i="2" l="1"/>
  <c r="C456" i="1"/>
  <c r="F456" i="1" s="1"/>
  <c r="G455" i="1"/>
  <c r="B105" i="2" l="1"/>
  <c r="C457" i="1"/>
  <c r="F457" i="1" s="1"/>
  <c r="G456" i="1"/>
  <c r="B106" i="2" l="1"/>
  <c r="C458" i="1"/>
  <c r="F458" i="1" s="1"/>
  <c r="G457" i="1"/>
  <c r="B107" i="2" l="1"/>
  <c r="C459" i="1"/>
  <c r="F459" i="1" s="1"/>
  <c r="G458" i="1"/>
  <c r="B108" i="2" l="1"/>
  <c r="C460" i="1"/>
  <c r="F460" i="1" s="1"/>
  <c r="G459" i="1"/>
  <c r="B109" i="2" l="1"/>
  <c r="C461" i="1"/>
  <c r="F461" i="1" s="1"/>
  <c r="G460" i="1"/>
  <c r="B110" i="2" l="1"/>
  <c r="C462" i="1"/>
  <c r="F462" i="1" s="1"/>
  <c r="G461" i="1"/>
  <c r="B111" i="2" l="1"/>
  <c r="C463" i="1"/>
  <c r="F463" i="1" s="1"/>
  <c r="G462" i="1"/>
  <c r="B112" i="2" l="1"/>
  <c r="C464" i="1"/>
  <c r="F464" i="1" s="1"/>
  <c r="G463" i="1"/>
  <c r="B113" i="2" l="1"/>
  <c r="C465" i="1"/>
  <c r="F465" i="1" s="1"/>
  <c r="G464" i="1"/>
  <c r="B114" i="2" l="1"/>
  <c r="C466" i="1"/>
  <c r="F466" i="1" s="1"/>
  <c r="G465" i="1"/>
  <c r="B115" i="2" l="1"/>
  <c r="C467" i="1"/>
  <c r="F467" i="1" s="1"/>
  <c r="G466" i="1"/>
  <c r="B116" i="2" l="1"/>
  <c r="C468" i="1"/>
  <c r="F468" i="1" s="1"/>
  <c r="G467" i="1"/>
  <c r="B117" i="2" l="1"/>
  <c r="C469" i="1"/>
  <c r="F469" i="1" s="1"/>
  <c r="G468" i="1"/>
  <c r="B118" i="2" l="1"/>
  <c r="C470" i="1"/>
  <c r="F470" i="1" s="1"/>
  <c r="G469" i="1"/>
  <c r="B119" i="2" l="1"/>
  <c r="C471" i="1"/>
  <c r="F471" i="1" s="1"/>
  <c r="G470" i="1"/>
  <c r="B120" i="2" l="1"/>
  <c r="C472" i="1"/>
  <c r="F472" i="1" s="1"/>
  <c r="G471" i="1"/>
  <c r="B121" i="2" l="1"/>
  <c r="C473" i="1"/>
  <c r="F473" i="1" s="1"/>
  <c r="G472" i="1"/>
  <c r="B122" i="2" l="1"/>
  <c r="C474" i="1"/>
  <c r="F474" i="1" s="1"/>
  <c r="G473" i="1"/>
  <c r="B123" i="2" l="1"/>
  <c r="C475" i="1"/>
  <c r="F475" i="1" s="1"/>
  <c r="G474" i="1"/>
  <c r="B124" i="2" l="1"/>
  <c r="C476" i="1"/>
  <c r="F476" i="1" s="1"/>
  <c r="G475" i="1"/>
  <c r="B125" i="2" l="1"/>
  <c r="C477" i="1"/>
  <c r="F477" i="1" s="1"/>
  <c r="G476" i="1"/>
  <c r="B126" i="2" l="1"/>
  <c r="C478" i="1"/>
  <c r="F478" i="1" s="1"/>
  <c r="G477" i="1"/>
  <c r="B127" i="2" l="1"/>
  <c r="C479" i="1"/>
  <c r="F479" i="1" s="1"/>
  <c r="G478" i="1"/>
  <c r="B128" i="2" l="1"/>
  <c r="C480" i="1"/>
  <c r="F480" i="1" s="1"/>
  <c r="G479" i="1"/>
  <c r="B129" i="2" l="1"/>
  <c r="C481" i="1"/>
  <c r="F481" i="1" s="1"/>
  <c r="G480" i="1"/>
  <c r="B130" i="2" l="1"/>
  <c r="C482" i="1"/>
  <c r="F482" i="1" s="1"/>
  <c r="G481" i="1"/>
  <c r="B131" i="2" l="1"/>
  <c r="C483" i="1"/>
  <c r="F483" i="1" s="1"/>
  <c r="G482" i="1"/>
  <c r="B132" i="2" l="1"/>
  <c r="C484" i="1"/>
  <c r="F484" i="1" s="1"/>
  <c r="G483" i="1"/>
  <c r="B133" i="2" l="1"/>
  <c r="C485" i="1"/>
  <c r="F485" i="1" s="1"/>
  <c r="G484" i="1"/>
  <c r="B134" i="2" l="1"/>
  <c r="C486" i="1"/>
  <c r="F486" i="1" s="1"/>
  <c r="G485" i="1"/>
  <c r="B135" i="2" l="1"/>
  <c r="C487" i="1"/>
  <c r="F487" i="1" s="1"/>
  <c r="G486" i="1"/>
  <c r="B136" i="2" l="1"/>
  <c r="C488" i="1"/>
  <c r="F488" i="1" s="1"/>
  <c r="G487" i="1"/>
  <c r="B137" i="2" l="1"/>
  <c r="C489" i="1"/>
  <c r="F489" i="1" s="1"/>
  <c r="G488" i="1"/>
  <c r="B138" i="2" l="1"/>
  <c r="C490" i="1"/>
  <c r="F490" i="1" s="1"/>
  <c r="G489" i="1"/>
  <c r="B139" i="2" l="1"/>
  <c r="C491" i="1"/>
  <c r="F491" i="1" s="1"/>
  <c r="G490" i="1"/>
  <c r="B140" i="2" l="1"/>
  <c r="C492" i="1"/>
  <c r="F492" i="1" s="1"/>
  <c r="G491" i="1"/>
  <c r="B141" i="2" l="1"/>
  <c r="C493" i="1"/>
  <c r="F493" i="1" s="1"/>
  <c r="G492" i="1"/>
  <c r="B142" i="2" l="1"/>
  <c r="C494" i="1"/>
  <c r="F494" i="1" s="1"/>
  <c r="G493" i="1"/>
  <c r="B143" i="2" l="1"/>
  <c r="C495" i="1"/>
  <c r="F495" i="1" s="1"/>
  <c r="G494" i="1"/>
  <c r="B144" i="2" l="1"/>
  <c r="C496" i="1"/>
  <c r="F496" i="1" s="1"/>
  <c r="G495" i="1"/>
  <c r="B145" i="2" l="1"/>
  <c r="C497" i="1"/>
  <c r="F497" i="1" s="1"/>
  <c r="G496" i="1"/>
  <c r="B146" i="2" l="1"/>
  <c r="C498" i="1"/>
  <c r="F498" i="1" s="1"/>
  <c r="G497" i="1"/>
  <c r="B147" i="2" l="1"/>
  <c r="C499" i="1"/>
  <c r="F499" i="1" s="1"/>
  <c r="G498" i="1"/>
  <c r="B148" i="2" l="1"/>
  <c r="C500" i="1"/>
  <c r="F500" i="1" s="1"/>
  <c r="G499" i="1"/>
  <c r="B149" i="2" l="1"/>
  <c r="C501" i="1"/>
  <c r="F501" i="1" s="1"/>
  <c r="G500" i="1"/>
  <c r="B150" i="2" l="1"/>
  <c r="C502" i="1"/>
  <c r="F502" i="1" s="1"/>
  <c r="G501" i="1"/>
  <c r="B151" i="2" l="1"/>
  <c r="C503" i="1"/>
  <c r="F503" i="1" s="1"/>
  <c r="G502" i="1"/>
  <c r="B152" i="2" l="1"/>
  <c r="C504" i="1"/>
  <c r="F504" i="1" s="1"/>
  <c r="G503" i="1"/>
  <c r="B153" i="2" l="1"/>
  <c r="C505" i="1"/>
  <c r="F505" i="1" s="1"/>
  <c r="G504" i="1"/>
  <c r="B154" i="2" l="1"/>
  <c r="C506" i="1"/>
  <c r="F506" i="1" s="1"/>
  <c r="G505" i="1"/>
  <c r="B155" i="2" l="1"/>
  <c r="C507" i="1"/>
  <c r="F507" i="1" s="1"/>
  <c r="G506" i="1"/>
  <c r="B156" i="2" l="1"/>
  <c r="C508" i="1"/>
  <c r="F508" i="1" s="1"/>
  <c r="G507" i="1"/>
  <c r="B157" i="2" l="1"/>
  <c r="C509" i="1"/>
  <c r="F509" i="1" s="1"/>
  <c r="G508" i="1"/>
  <c r="B158" i="2" l="1"/>
  <c r="C510" i="1"/>
  <c r="F510" i="1" s="1"/>
  <c r="G509" i="1"/>
  <c r="B159" i="2" l="1"/>
  <c r="C511" i="1"/>
  <c r="F511" i="1" s="1"/>
  <c r="G510" i="1"/>
  <c r="B160" i="2" l="1"/>
  <c r="C512" i="1"/>
  <c r="F512" i="1" s="1"/>
  <c r="G511" i="1"/>
  <c r="B161" i="2" l="1"/>
  <c r="C513" i="1"/>
  <c r="F513" i="1" s="1"/>
  <c r="G512" i="1"/>
  <c r="B162" i="2" l="1"/>
  <c r="C514" i="1"/>
  <c r="F514" i="1" s="1"/>
  <c r="D11" i="1" s="1"/>
  <c r="G513" i="1"/>
  <c r="B163" i="2" l="1"/>
  <c r="D10" i="1"/>
  <c r="B164" i="2" l="1"/>
  <c r="G514" i="1"/>
  <c r="D4" i="1" s="1"/>
  <c r="B165" i="2" l="1"/>
  <c r="D12" i="1"/>
  <c r="B166" i="2" l="1"/>
  <c r="B167" i="2" l="1"/>
  <c r="B168" i="2" l="1"/>
  <c r="B169" i="2" l="1"/>
  <c r="B170" i="2" l="1"/>
  <c r="B171" i="2" l="1"/>
  <c r="B172" i="2" l="1"/>
  <c r="B173" i="2" l="1"/>
  <c r="B174" i="2" l="1"/>
  <c r="B175" i="2" l="1"/>
  <c r="B176" i="2" l="1"/>
  <c r="B177" i="2" l="1"/>
  <c r="B178" i="2" l="1"/>
  <c r="B179" i="2" l="1"/>
  <c r="B180" i="2" l="1"/>
  <c r="B181" i="2" l="1"/>
  <c r="B182" i="2" l="1"/>
  <c r="B183" i="2" l="1"/>
  <c r="B184" i="2" l="1"/>
  <c r="B185" i="2" l="1"/>
  <c r="B186" i="2" l="1"/>
  <c r="B187" i="2" l="1"/>
  <c r="B188" i="2" l="1"/>
  <c r="B189" i="2" l="1"/>
  <c r="B190" i="2" l="1"/>
  <c r="B191" i="2" l="1"/>
  <c r="B192" i="2" l="1"/>
  <c r="B193" i="2" l="1"/>
  <c r="B194" i="2" l="1"/>
  <c r="B195" i="2" l="1"/>
  <c r="B196" i="2" l="1"/>
  <c r="B197" i="2" l="1"/>
  <c r="B198" i="2" l="1"/>
  <c r="B199" i="2" l="1"/>
  <c r="B200" i="2" l="1"/>
  <c r="B201" i="2" l="1"/>
  <c r="B202" i="2" l="1"/>
  <c r="B203" i="2" l="1"/>
  <c r="B204" i="2" l="1"/>
  <c r="B205" i="2" l="1"/>
  <c r="B206" i="2" l="1"/>
  <c r="B207" i="2" l="1"/>
  <c r="B208" i="2" l="1"/>
  <c r="B209" i="2" l="1"/>
  <c r="B210" i="2" l="1"/>
  <c r="B211" i="2" l="1"/>
  <c r="B212" i="2" l="1"/>
  <c r="B213" i="2" l="1"/>
  <c r="B214" i="2" l="1"/>
  <c r="B215" i="2" l="1"/>
  <c r="B216" i="2" l="1"/>
  <c r="B217" i="2" l="1"/>
  <c r="B218" i="2" l="1"/>
  <c r="B219" i="2" l="1"/>
  <c r="B220" i="2" l="1"/>
  <c r="B221" i="2" l="1"/>
  <c r="B222" i="2" l="1"/>
  <c r="B223" i="2" l="1"/>
  <c r="B224" i="2" l="1"/>
  <c r="B225" i="2" l="1"/>
  <c r="B226" i="2" l="1"/>
  <c r="B227" i="2" l="1"/>
  <c r="B228" i="2" l="1"/>
  <c r="B229" i="2" l="1"/>
  <c r="B230" i="2" l="1"/>
  <c r="B231" i="2" l="1"/>
  <c r="B232" i="2" l="1"/>
  <c r="B233" i="2" l="1"/>
  <c r="B234" i="2" l="1"/>
  <c r="B235" i="2" l="1"/>
  <c r="B236" i="2" l="1"/>
  <c r="B237" i="2" l="1"/>
  <c r="B238" i="2" l="1"/>
  <c r="B239" i="2" l="1"/>
  <c r="B240" i="2" l="1"/>
  <c r="B241" i="2" l="1"/>
  <c r="B242" i="2" l="1"/>
  <c r="B243" i="2" l="1"/>
  <c r="B244" i="2" l="1"/>
  <c r="B245" i="2" l="1"/>
  <c r="B246" i="2" l="1"/>
  <c r="B247" i="2" l="1"/>
  <c r="B248" i="2" l="1"/>
  <c r="B249" i="2" l="1"/>
  <c r="B250" i="2" l="1"/>
  <c r="B251" i="2" l="1"/>
  <c r="B252" i="2" l="1"/>
  <c r="B253" i="2" l="1"/>
  <c r="B254" i="2" l="1"/>
  <c r="B255" i="2" l="1"/>
  <c r="B256" i="2" l="1"/>
  <c r="B257" i="2" l="1"/>
  <c r="B258" i="2" l="1"/>
  <c r="B259" i="2" l="1"/>
  <c r="B260" i="2" l="1"/>
  <c r="B261" i="2" l="1"/>
  <c r="B262" i="2" l="1"/>
  <c r="B263" i="2" l="1"/>
  <c r="B264" i="2" l="1"/>
  <c r="B265" i="2" l="1"/>
  <c r="B266" i="2" l="1"/>
  <c r="B267" i="2" l="1"/>
  <c r="B268" i="2" l="1"/>
  <c r="B269" i="2" l="1"/>
  <c r="B270" i="2" l="1"/>
  <c r="B271" i="2" l="1"/>
  <c r="B272" i="2" l="1"/>
  <c r="B273" i="2" l="1"/>
  <c r="B274" i="2" l="1"/>
  <c r="B275" i="2" l="1"/>
  <c r="B276" i="2" l="1"/>
  <c r="B277" i="2" l="1"/>
  <c r="B278" i="2" l="1"/>
  <c r="B279" i="2" l="1"/>
  <c r="B280" i="2" l="1"/>
  <c r="B281" i="2" l="1"/>
  <c r="B282" i="2" l="1"/>
  <c r="B283" i="2" l="1"/>
  <c r="B284" i="2" l="1"/>
  <c r="B285" i="2" l="1"/>
  <c r="B286" i="2" l="1"/>
  <c r="B287" i="2" l="1"/>
  <c r="B288" i="2" l="1"/>
  <c r="B289" i="2" l="1"/>
  <c r="B290" i="2" l="1"/>
  <c r="B291" i="2" l="1"/>
  <c r="B292" i="2" l="1"/>
  <c r="B293" i="2" l="1"/>
  <c r="B294" i="2" l="1"/>
  <c r="B295" i="2" l="1"/>
  <c r="B296" i="2" l="1"/>
  <c r="B297" i="2" l="1"/>
  <c r="B298" i="2" l="1"/>
  <c r="B299" i="2" l="1"/>
  <c r="B300" i="2" l="1"/>
  <c r="B301" i="2" l="1"/>
  <c r="B302" i="2" l="1"/>
  <c r="B303" i="2" l="1"/>
  <c r="B304" i="2" l="1"/>
  <c r="B305" i="2" l="1"/>
  <c r="B306" i="2" l="1"/>
  <c r="B307" i="2" l="1"/>
  <c r="B308" i="2" l="1"/>
  <c r="B309" i="2" l="1"/>
  <c r="B310" i="2" l="1"/>
  <c r="B311" i="2" l="1"/>
  <c r="B312" i="2" l="1"/>
  <c r="B313" i="2" l="1"/>
  <c r="B314" i="2" l="1"/>
  <c r="B315" i="2" l="1"/>
  <c r="B316" i="2" l="1"/>
  <c r="B317" i="2" l="1"/>
  <c r="B318" i="2" l="1"/>
  <c r="B319" i="2" l="1"/>
  <c r="B320" i="2" l="1"/>
  <c r="B321" i="2" l="1"/>
  <c r="B322" i="2" l="1"/>
  <c r="B323" i="2" l="1"/>
  <c r="B324" i="2" l="1"/>
  <c r="B325" i="2" l="1"/>
  <c r="B326" i="2" l="1"/>
  <c r="B327" i="2" l="1"/>
  <c r="B328" i="2" l="1"/>
  <c r="B329" i="2" l="1"/>
  <c r="B330" i="2" l="1"/>
  <c r="B331" i="2" l="1"/>
  <c r="B332" i="2" l="1"/>
  <c r="B333" i="2" l="1"/>
  <c r="B334" i="2" l="1"/>
  <c r="B335" i="2" l="1"/>
  <c r="B336" i="2" l="1"/>
  <c r="B337" i="2" l="1"/>
  <c r="B338" i="2" l="1"/>
  <c r="B339" i="2" l="1"/>
  <c r="B340" i="2" l="1"/>
  <c r="B341" i="2" l="1"/>
  <c r="B342" i="2" l="1"/>
  <c r="B343" i="2" l="1"/>
  <c r="B344" i="2" l="1"/>
  <c r="B345" i="2" l="1"/>
  <c r="B346" i="2" l="1"/>
  <c r="B347" i="2" l="1"/>
  <c r="B348" i="2" l="1"/>
  <c r="B349" i="2" l="1"/>
  <c r="B350" i="2" l="1"/>
  <c r="B351" i="2" l="1"/>
  <c r="B352" i="2" l="1"/>
  <c r="B353" i="2" l="1"/>
  <c r="B354" i="2" l="1"/>
  <c r="B355" i="2" l="1"/>
  <c r="B356" i="2" l="1"/>
  <c r="B357" i="2" l="1"/>
  <c r="B358" i="2" l="1"/>
  <c r="B359" i="2" l="1"/>
  <c r="B360" i="2" l="1"/>
  <c r="B361" i="2" l="1"/>
  <c r="B362" i="2" l="1"/>
  <c r="B363" i="2" l="1"/>
  <c r="B364" i="2" l="1"/>
  <c r="B365" i="2" l="1"/>
  <c r="B366" i="2" l="1"/>
  <c r="B367" i="2" l="1"/>
  <c r="B368" i="2" l="1"/>
  <c r="B369" i="2" l="1"/>
  <c r="B370" i="2" l="1"/>
  <c r="B371" i="2" l="1"/>
  <c r="B372" i="2" l="1"/>
  <c r="B373" i="2" l="1"/>
  <c r="B374" i="2" l="1"/>
  <c r="B375" i="2" l="1"/>
  <c r="B376" i="2" l="1"/>
  <c r="B377" i="2" l="1"/>
  <c r="B378" i="2" l="1"/>
  <c r="B379" i="2" l="1"/>
  <c r="B380" i="2" l="1"/>
  <c r="B381" i="2" l="1"/>
  <c r="B382" i="2" l="1"/>
  <c r="B383" i="2" l="1"/>
  <c r="B384" i="2" l="1"/>
  <c r="B385" i="2" l="1"/>
  <c r="B386" i="2" l="1"/>
  <c r="B387" i="2" l="1"/>
  <c r="B388" i="2" l="1"/>
  <c r="B389" i="2" l="1"/>
  <c r="B390" i="2" l="1"/>
  <c r="B391" i="2" l="1"/>
  <c r="B392" i="2" l="1"/>
  <c r="B393" i="2" l="1"/>
  <c r="B394" i="2" l="1"/>
  <c r="B395" i="2" l="1"/>
  <c r="B396" i="2" l="1"/>
  <c r="B397" i="2" l="1"/>
  <c r="B398" i="2" l="1"/>
  <c r="B399" i="2" l="1"/>
  <c r="B400" i="2" l="1"/>
  <c r="B401" i="2" l="1"/>
  <c r="B402" i="2" l="1"/>
  <c r="B403" i="2" l="1"/>
  <c r="B404" i="2" l="1"/>
  <c r="B405" i="2" l="1"/>
  <c r="B406" i="2" l="1"/>
  <c r="B407" i="2" l="1"/>
  <c r="B408" i="2" l="1"/>
  <c r="B409" i="2" l="1"/>
  <c r="B410" i="2" l="1"/>
  <c r="B411" i="2" l="1"/>
  <c r="B412" i="2" l="1"/>
  <c r="B413" i="2" l="1"/>
  <c r="B414" i="2" l="1"/>
  <c r="B415" i="2" l="1"/>
  <c r="B416" i="2" l="1"/>
  <c r="B417" i="2" l="1"/>
  <c r="B418" i="2" l="1"/>
  <c r="B419" i="2" l="1"/>
  <c r="B420" i="2" l="1"/>
  <c r="B421" i="2" l="1"/>
  <c r="B422" i="2" l="1"/>
  <c r="B423" i="2" l="1"/>
  <c r="B424" i="2" l="1"/>
  <c r="B425" i="2" l="1"/>
  <c r="B426" i="2" l="1"/>
  <c r="B427" i="2" l="1"/>
  <c r="B428" i="2" l="1"/>
  <c r="B429" i="2" l="1"/>
  <c r="B430" i="2" l="1"/>
  <c r="B431" i="2" l="1"/>
  <c r="B432" i="2" l="1"/>
  <c r="B433" i="2" l="1"/>
  <c r="B434" i="2" l="1"/>
  <c r="B435" i="2" l="1"/>
  <c r="B436" i="2" l="1"/>
  <c r="B437" i="2" l="1"/>
  <c r="B438" i="2" l="1"/>
  <c r="B439" i="2" l="1"/>
  <c r="B440" i="2" l="1"/>
  <c r="B441" i="2" l="1"/>
  <c r="B442" i="2" l="1"/>
  <c r="B443" i="2" l="1"/>
  <c r="B444" i="2" l="1"/>
  <c r="B445" i="2" l="1"/>
  <c r="B446" i="2" l="1"/>
  <c r="B447" i="2" l="1"/>
  <c r="B448" i="2" l="1"/>
  <c r="B449" i="2" l="1"/>
  <c r="B450" i="2" l="1"/>
  <c r="B451" i="2" l="1"/>
  <c r="B452" i="2" l="1"/>
  <c r="B453" i="2" l="1"/>
  <c r="B454" i="2" l="1"/>
  <c r="B455" i="2" l="1"/>
  <c r="B456" i="2" l="1"/>
  <c r="B457" i="2" l="1"/>
  <c r="B458" i="2" l="1"/>
  <c r="B459" i="2" l="1"/>
  <c r="B460" i="2" l="1"/>
  <c r="B461" i="2" l="1"/>
  <c r="B462" i="2" l="1"/>
  <c r="B463" i="2" l="1"/>
  <c r="B464" i="2" l="1"/>
  <c r="B465" i="2" l="1"/>
  <c r="B466" i="2" l="1"/>
  <c r="B467" i="2" l="1"/>
  <c r="B468" i="2" l="1"/>
  <c r="B469" i="2" l="1"/>
  <c r="B470" i="2" l="1"/>
  <c r="B471" i="2" l="1"/>
  <c r="B472" i="2" l="1"/>
  <c r="B473" i="2" l="1"/>
  <c r="B474" i="2" l="1"/>
  <c r="B475" i="2" l="1"/>
  <c r="B476" i="2" l="1"/>
  <c r="B477" i="2" l="1"/>
  <c r="B478" i="2" l="1"/>
  <c r="B479" i="2" l="1"/>
  <c r="B480" i="2" l="1"/>
  <c r="B481" i="2" l="1"/>
  <c r="B482" i="2" l="1"/>
  <c r="B483" i="2" l="1"/>
  <c r="B484" i="2" l="1"/>
  <c r="B485" i="2" l="1"/>
  <c r="B486" i="2" l="1"/>
  <c r="B487" i="2" l="1"/>
  <c r="B488" i="2" l="1"/>
  <c r="B489" i="2" l="1"/>
  <c r="B490" i="2" l="1"/>
  <c r="B491" i="2" l="1"/>
  <c r="B492" i="2" l="1"/>
  <c r="B493" i="2" l="1"/>
  <c r="B494" i="2" l="1"/>
  <c r="B495" i="2" l="1"/>
  <c r="B496" i="2" l="1"/>
  <c r="B497" i="2" l="1"/>
  <c r="B498" i="2" l="1"/>
  <c r="B499" i="2" l="1"/>
  <c r="B500" i="2" l="1"/>
  <c r="B501" i="2" l="1"/>
  <c r="B502" i="2" l="1"/>
  <c r="B503" i="2" l="1"/>
  <c r="B504" i="2" l="1"/>
  <c r="B505" i="2" l="1"/>
  <c r="B506" i="2" l="1"/>
  <c r="B507" i="2" l="1"/>
  <c r="B508" i="2" l="1"/>
  <c r="B509" i="2" l="1"/>
  <c r="B510" i="2" l="1"/>
  <c r="B511" i="2" l="1"/>
  <c r="B512" i="2" l="1"/>
  <c r="B513" i="2" l="1"/>
  <c r="B514" i="2" l="1"/>
  <c r="B515" i="2" l="1"/>
  <c r="B516" i="2" l="1"/>
  <c r="B517" i="2" l="1"/>
  <c r="B518" i="2" l="1"/>
  <c r="B519" i="2" l="1"/>
  <c r="B520" i="2" l="1"/>
  <c r="B521" i="2" l="1"/>
  <c r="B522" i="2" l="1"/>
  <c r="B523" i="2" l="1"/>
  <c r="B524" i="2" l="1"/>
  <c r="B525" i="2" l="1"/>
  <c r="B526" i="2" l="1"/>
  <c r="B527" i="2" l="1"/>
  <c r="B528" i="2" l="1"/>
  <c r="B529" i="2" l="1"/>
  <c r="B530" i="2" l="1"/>
  <c r="B531" i="2" l="1"/>
  <c r="B532" i="2" l="1"/>
  <c r="B533" i="2" l="1"/>
  <c r="B534" i="2" l="1"/>
  <c r="B535" i="2" l="1"/>
  <c r="B536" i="2" l="1"/>
  <c r="B537" i="2" l="1"/>
  <c r="B538" i="2" l="1"/>
  <c r="B539" i="2" l="1"/>
  <c r="B540" i="2" l="1"/>
  <c r="B541" i="2" l="1"/>
  <c r="B542" i="2" l="1"/>
  <c r="B543" i="2" l="1"/>
  <c r="B544" i="2" l="1"/>
  <c r="B545" i="2" l="1"/>
  <c r="B546" i="2" l="1"/>
  <c r="B547" i="2" l="1"/>
  <c r="B548" i="2" l="1"/>
  <c r="B549" i="2" l="1"/>
  <c r="B550" i="2" l="1"/>
  <c r="B551" i="2" l="1"/>
  <c r="B552" i="2" l="1"/>
  <c r="B553" i="2" l="1"/>
  <c r="B554" i="2" l="1"/>
  <c r="B555" i="2" l="1"/>
  <c r="B556" i="2" l="1"/>
  <c r="B557" i="2" l="1"/>
  <c r="B558" i="2" l="1"/>
  <c r="B559" i="2" l="1"/>
  <c r="B560" i="2" l="1"/>
  <c r="B561" i="2" l="1"/>
  <c r="B562" i="2" l="1"/>
  <c r="B563" i="2" l="1"/>
  <c r="B564" i="2" l="1"/>
  <c r="B565" i="2" l="1"/>
  <c r="B566" i="2" l="1"/>
  <c r="B567" i="2" l="1"/>
  <c r="B568" i="2" l="1"/>
  <c r="B569" i="2" l="1"/>
  <c r="B570" i="2" l="1"/>
  <c r="B571" i="2" l="1"/>
  <c r="B572" i="2" l="1"/>
  <c r="B573" i="2" l="1"/>
  <c r="B574" i="2" l="1"/>
  <c r="B575" i="2" l="1"/>
  <c r="B576" i="2" l="1"/>
  <c r="B577" i="2" l="1"/>
  <c r="B578" i="2" l="1"/>
  <c r="B579" i="2" l="1"/>
  <c r="B580" i="2" l="1"/>
  <c r="B581" i="2" l="1"/>
  <c r="B582" i="2" l="1"/>
  <c r="B583" i="2" l="1"/>
  <c r="B584" i="2" l="1"/>
  <c r="B585" i="2" l="1"/>
  <c r="B586" i="2" l="1"/>
  <c r="B587" i="2" l="1"/>
  <c r="B588" i="2" l="1"/>
  <c r="B589" i="2" l="1"/>
  <c r="B590" i="2" l="1"/>
  <c r="B591" i="2" l="1"/>
  <c r="B592" i="2" l="1"/>
  <c r="B593" i="2" l="1"/>
  <c r="B594" i="2" l="1"/>
  <c r="B595" i="2" l="1"/>
  <c r="B596" i="2" l="1"/>
  <c r="B597" i="2" l="1"/>
  <c r="B598" i="2" l="1"/>
  <c r="B599" i="2" l="1"/>
  <c r="B600" i="2" l="1"/>
  <c r="B601" i="2" l="1"/>
  <c r="B602" i="2" l="1"/>
  <c r="B603" i="2" l="1"/>
  <c r="B604" i="2" l="1"/>
  <c r="B605" i="2" l="1"/>
  <c r="B606" i="2" l="1"/>
  <c r="B607" i="2" l="1"/>
  <c r="B608" i="2" l="1"/>
  <c r="B609" i="2" l="1"/>
  <c r="B610" i="2" l="1"/>
  <c r="B611" i="2" l="1"/>
  <c r="B612" i="2" l="1"/>
  <c r="B613" i="2" l="1"/>
  <c r="B614" i="2" l="1"/>
  <c r="B615" i="2" l="1"/>
  <c r="B616" i="2" l="1"/>
  <c r="B617" i="2" l="1"/>
  <c r="B618" i="2" l="1"/>
  <c r="B619" i="2" l="1"/>
  <c r="B620" i="2" l="1"/>
  <c r="B621" i="2" l="1"/>
  <c r="B622" i="2" l="1"/>
  <c r="B623" i="2" l="1"/>
  <c r="B624" i="2" l="1"/>
  <c r="B625" i="2" l="1"/>
  <c r="B626" i="2" l="1"/>
  <c r="B627" i="2" l="1"/>
  <c r="B628" i="2" l="1"/>
  <c r="B629" i="2" l="1"/>
  <c r="B630" i="2" l="1"/>
  <c r="B631" i="2" l="1"/>
  <c r="B632" i="2" l="1"/>
  <c r="B633" i="2" l="1"/>
  <c r="B634" i="2" l="1"/>
  <c r="B635" i="2" l="1"/>
  <c r="B636" i="2" l="1"/>
  <c r="B637" i="2" l="1"/>
  <c r="B638" i="2" l="1"/>
  <c r="B639" i="2" l="1"/>
  <c r="B640" i="2" l="1"/>
  <c r="B641" i="2" l="1"/>
  <c r="B642" i="2" l="1"/>
  <c r="B643" i="2" l="1"/>
  <c r="B644" i="2" l="1"/>
  <c r="B645" i="2" l="1"/>
  <c r="B646" i="2" l="1"/>
  <c r="B647" i="2" l="1"/>
  <c r="B648" i="2" l="1"/>
  <c r="B649" i="2" l="1"/>
  <c r="B650" i="2" l="1"/>
  <c r="B651" i="2" l="1"/>
  <c r="B652" i="2" l="1"/>
  <c r="B653" i="2" l="1"/>
  <c r="B654" i="2" l="1"/>
  <c r="B655" i="2" l="1"/>
  <c r="B656" i="2" l="1"/>
  <c r="B657" i="2" l="1"/>
  <c r="B658" i="2" l="1"/>
  <c r="B659" i="2" l="1"/>
  <c r="B660" i="2" l="1"/>
  <c r="B661" i="2" l="1"/>
  <c r="B662" i="2" l="1"/>
  <c r="B663" i="2" l="1"/>
  <c r="B664" i="2" l="1"/>
  <c r="B665" i="2" l="1"/>
  <c r="B666" i="2" l="1"/>
  <c r="B667" i="2" l="1"/>
  <c r="B668" i="2" l="1"/>
  <c r="B669" i="2" l="1"/>
  <c r="B670" i="2" l="1"/>
  <c r="B671" i="2" l="1"/>
  <c r="B672" i="2" l="1"/>
  <c r="B673" i="2" l="1"/>
  <c r="B674" i="2" l="1"/>
  <c r="B675" i="2" l="1"/>
  <c r="B676" i="2" l="1"/>
  <c r="B677" i="2" l="1"/>
  <c r="B678" i="2" l="1"/>
  <c r="B679" i="2" l="1"/>
  <c r="B680" i="2" l="1"/>
  <c r="B681" i="2" l="1"/>
  <c r="B682" i="2" l="1"/>
  <c r="B683" i="2" l="1"/>
  <c r="B684" i="2" l="1"/>
  <c r="B685" i="2" l="1"/>
  <c r="B686" i="2" l="1"/>
  <c r="B687" i="2" l="1"/>
  <c r="B688" i="2" l="1"/>
  <c r="B689" i="2" l="1"/>
  <c r="B690" i="2" l="1"/>
  <c r="B691" i="2" l="1"/>
  <c r="B692" i="2" l="1"/>
  <c r="B693" i="2" l="1"/>
  <c r="B694" i="2" l="1"/>
  <c r="B695" i="2" l="1"/>
  <c r="B696" i="2" l="1"/>
  <c r="B697" i="2" l="1"/>
  <c r="B698" i="2" l="1"/>
  <c r="B699" i="2" l="1"/>
  <c r="B700" i="2" l="1"/>
  <c r="B701" i="2" l="1"/>
  <c r="B702" i="2" l="1"/>
  <c r="B703" i="2" l="1"/>
  <c r="B704" i="2" l="1"/>
  <c r="B705" i="2" l="1"/>
  <c r="B706" i="2" l="1"/>
  <c r="B707" i="2" l="1"/>
  <c r="B708" i="2" l="1"/>
  <c r="B709" i="2" l="1"/>
  <c r="B710" i="2" l="1"/>
  <c r="B711" i="2" l="1"/>
  <c r="B712" i="2" l="1"/>
  <c r="B713" i="2" l="1"/>
  <c r="B714" i="2" l="1"/>
  <c r="B715" i="2" l="1"/>
  <c r="B716" i="2" l="1"/>
  <c r="B717" i="2" l="1"/>
  <c r="B718" i="2" l="1"/>
  <c r="B719" i="2" l="1"/>
  <c r="B720" i="2" l="1"/>
  <c r="B721" i="2" l="1"/>
  <c r="B722" i="2" l="1"/>
  <c r="B723" i="2" l="1"/>
  <c r="B724" i="2" l="1"/>
  <c r="B725" i="2" l="1"/>
  <c r="B726" i="2" l="1"/>
  <c r="B727" i="2" l="1"/>
  <c r="B728" i="2" l="1"/>
  <c r="B729" i="2" l="1"/>
  <c r="B730" i="2" l="1"/>
  <c r="B731" i="2" l="1"/>
  <c r="B732" i="2" l="1"/>
  <c r="B733" i="2" l="1"/>
  <c r="B734" i="2" l="1"/>
  <c r="B735" i="2" l="1"/>
  <c r="B736" i="2" l="1"/>
  <c r="B737" i="2" l="1"/>
  <c r="B738" i="2" l="1"/>
  <c r="B739" i="2" l="1"/>
  <c r="B740" i="2" l="1"/>
  <c r="B741" i="2" l="1"/>
  <c r="B742" i="2" l="1"/>
  <c r="B743" i="2" l="1"/>
  <c r="B744" i="2" l="1"/>
  <c r="B745" i="2" l="1"/>
  <c r="B746" i="2" l="1"/>
  <c r="B747" i="2" l="1"/>
  <c r="B748" i="2" l="1"/>
  <c r="B749" i="2" l="1"/>
  <c r="B750" i="2" l="1"/>
  <c r="B751" i="2" l="1"/>
  <c r="B752" i="2" l="1"/>
  <c r="B753" i="2" l="1"/>
  <c r="B754" i="2" l="1"/>
  <c r="B755" i="2" l="1"/>
  <c r="B756" i="2" l="1"/>
  <c r="B757" i="2" l="1"/>
  <c r="B758" i="2" l="1"/>
  <c r="B759" i="2" l="1"/>
  <c r="B760" i="2" l="1"/>
  <c r="B761" i="2" l="1"/>
  <c r="B762" i="2" l="1"/>
  <c r="B763" i="2" l="1"/>
  <c r="B764" i="2" l="1"/>
  <c r="B765" i="2" l="1"/>
  <c r="B766" i="2" l="1"/>
  <c r="B767" i="2" l="1"/>
  <c r="B768" i="2" l="1"/>
  <c r="B769" i="2" l="1"/>
  <c r="B770" i="2" l="1"/>
  <c r="B771" i="2" l="1"/>
  <c r="B772" i="2" l="1"/>
  <c r="B773" i="2" l="1"/>
  <c r="B774" i="2" l="1"/>
  <c r="B775" i="2" l="1"/>
  <c r="B776" i="2" l="1"/>
  <c r="B777" i="2" l="1"/>
  <c r="B778" i="2" l="1"/>
  <c r="B779" i="2" l="1"/>
  <c r="B780" i="2" l="1"/>
  <c r="B781" i="2" l="1"/>
  <c r="B782" i="2" l="1"/>
  <c r="B783" i="2" l="1"/>
  <c r="B784" i="2" l="1"/>
  <c r="B785" i="2" l="1"/>
  <c r="B786" i="2" l="1"/>
  <c r="B787" i="2" l="1"/>
  <c r="B788" i="2" l="1"/>
  <c r="B789" i="2" l="1"/>
  <c r="B790" i="2" l="1"/>
  <c r="B791" i="2" l="1"/>
  <c r="B792" i="2" l="1"/>
  <c r="B793" i="2" l="1"/>
  <c r="B794" i="2" l="1"/>
  <c r="B795" i="2" l="1"/>
  <c r="B796" i="2" l="1"/>
  <c r="B797" i="2" l="1"/>
  <c r="B798" i="2" l="1"/>
  <c r="B799" i="2" l="1"/>
  <c r="B800" i="2" l="1"/>
  <c r="B801" i="2" l="1"/>
  <c r="B802" i="2" l="1"/>
  <c r="B803" i="2" l="1"/>
  <c r="B804" i="2" l="1"/>
  <c r="B805" i="2" l="1"/>
  <c r="B806" i="2" l="1"/>
  <c r="B807" i="2" l="1"/>
  <c r="B808" i="2" l="1"/>
  <c r="B809" i="2" l="1"/>
  <c r="B810" i="2" l="1"/>
  <c r="B811" i="2" l="1"/>
  <c r="B812" i="2" l="1"/>
  <c r="B813" i="2" l="1"/>
  <c r="B814" i="2" l="1"/>
  <c r="B815" i="2" l="1"/>
  <c r="B816" i="2" l="1"/>
  <c r="B817" i="2" l="1"/>
  <c r="B818" i="2" l="1"/>
  <c r="B819" i="2" l="1"/>
  <c r="B820" i="2" l="1"/>
  <c r="B821" i="2" l="1"/>
  <c r="B822" i="2" l="1"/>
  <c r="B823" i="2" l="1"/>
  <c r="B824" i="2" l="1"/>
  <c r="B825" i="2" l="1"/>
  <c r="B826" i="2" l="1"/>
  <c r="B827" i="2" l="1"/>
  <c r="B828" i="2" l="1"/>
  <c r="B829" i="2" l="1"/>
  <c r="B830" i="2" l="1"/>
  <c r="B831" i="2" l="1"/>
  <c r="B832" i="2" l="1"/>
  <c r="B833" i="2" l="1"/>
  <c r="B834" i="2" l="1"/>
  <c r="B835" i="2" l="1"/>
  <c r="B836" i="2" l="1"/>
  <c r="B837" i="2" l="1"/>
  <c r="B838" i="2" l="1"/>
  <c r="B839" i="2" l="1"/>
  <c r="B840" i="2" l="1"/>
  <c r="B841" i="2" l="1"/>
  <c r="B842" i="2" l="1"/>
  <c r="B843" i="2" l="1"/>
  <c r="B844" i="2" l="1"/>
  <c r="B845" i="2" l="1"/>
  <c r="B846" i="2" l="1"/>
  <c r="B847" i="2" l="1"/>
  <c r="B848" i="2" l="1"/>
  <c r="B849" i="2" l="1"/>
  <c r="B850" i="2" l="1"/>
  <c r="B851" i="2" l="1"/>
  <c r="B852" i="2" l="1"/>
  <c r="B853" i="2" l="1"/>
  <c r="B854" i="2" l="1"/>
  <c r="B855" i="2" l="1"/>
  <c r="B856" i="2" l="1"/>
  <c r="B857" i="2" l="1"/>
  <c r="B858" i="2" l="1"/>
  <c r="B859" i="2" l="1"/>
  <c r="B860" i="2" l="1"/>
  <c r="B861" i="2" l="1"/>
  <c r="B862" i="2" l="1"/>
  <c r="B863" i="2" l="1"/>
  <c r="B864" i="2" l="1"/>
  <c r="B865" i="2" l="1"/>
  <c r="B866" i="2" l="1"/>
  <c r="B867" i="2" l="1"/>
  <c r="B868" i="2" l="1"/>
  <c r="B869" i="2" l="1"/>
  <c r="B870" i="2" l="1"/>
  <c r="B871" i="2" l="1"/>
  <c r="B872" i="2" l="1"/>
  <c r="B873" i="2" l="1"/>
  <c r="B874" i="2" l="1"/>
  <c r="B875" i="2" l="1"/>
  <c r="B876" i="2" l="1"/>
  <c r="B877" i="2" l="1"/>
  <c r="B878" i="2" l="1"/>
  <c r="B879" i="2" l="1"/>
  <c r="B880" i="2" l="1"/>
  <c r="B881" i="2" l="1"/>
  <c r="B882" i="2" l="1"/>
  <c r="B883" i="2" l="1"/>
  <c r="B884" i="2" l="1"/>
  <c r="B885" i="2" l="1"/>
  <c r="B886" i="2" l="1"/>
  <c r="B887" i="2" l="1"/>
  <c r="B888" i="2" l="1"/>
  <c r="B889" i="2" l="1"/>
  <c r="B890" i="2" l="1"/>
  <c r="B891" i="2" l="1"/>
  <c r="B892" i="2" l="1"/>
  <c r="B893" i="2" l="1"/>
  <c r="B894" i="2" l="1"/>
  <c r="B895" i="2" l="1"/>
  <c r="B896" i="2" l="1"/>
  <c r="B897" i="2" l="1"/>
  <c r="B898" i="2" l="1"/>
  <c r="B899" i="2" l="1"/>
  <c r="B900" i="2" l="1"/>
  <c r="B901" i="2" l="1"/>
  <c r="B902" i="2" l="1"/>
  <c r="B903" i="2" l="1"/>
  <c r="B904" i="2" l="1"/>
  <c r="B905" i="2" l="1"/>
  <c r="B906" i="2" l="1"/>
  <c r="B907" i="2" l="1"/>
  <c r="B908" i="2" l="1"/>
  <c r="B909" i="2" l="1"/>
  <c r="B910" i="2" l="1"/>
  <c r="B911" i="2" l="1"/>
  <c r="B912" i="2" l="1"/>
  <c r="B913" i="2" l="1"/>
  <c r="B914" i="2" l="1"/>
  <c r="B915" i="2" l="1"/>
  <c r="B916" i="2" l="1"/>
  <c r="B917" i="2" l="1"/>
  <c r="B918" i="2" l="1"/>
  <c r="B919" i="2" l="1"/>
  <c r="B920" i="2" l="1"/>
  <c r="B921" i="2" l="1"/>
  <c r="B922" i="2" l="1"/>
  <c r="B923" i="2" l="1"/>
  <c r="B924" i="2" l="1"/>
  <c r="B925" i="2" l="1"/>
  <c r="B926" i="2" l="1"/>
  <c r="B927" i="2" l="1"/>
  <c r="B928" i="2" l="1"/>
  <c r="B929" i="2" l="1"/>
  <c r="B930" i="2" l="1"/>
  <c r="B931" i="2" l="1"/>
  <c r="B932" i="2" l="1"/>
  <c r="B933" i="2" l="1"/>
  <c r="B934" i="2" l="1"/>
  <c r="B935" i="2" l="1"/>
  <c r="B936" i="2" l="1"/>
  <c r="B937" i="2" l="1"/>
  <c r="B938" i="2" l="1"/>
  <c r="B939" i="2" l="1"/>
  <c r="B940" i="2" l="1"/>
  <c r="B941" i="2" l="1"/>
  <c r="B942" i="2" l="1"/>
  <c r="B943" i="2" l="1"/>
  <c r="B944" i="2" l="1"/>
  <c r="B945" i="2" l="1"/>
  <c r="B946" i="2" l="1"/>
  <c r="B947" i="2" l="1"/>
  <c r="B948" i="2" l="1"/>
  <c r="B949" i="2" l="1"/>
  <c r="B950" i="2" l="1"/>
  <c r="B951" i="2" l="1"/>
  <c r="B952" i="2" l="1"/>
  <c r="B953" i="2" l="1"/>
  <c r="B954" i="2" l="1"/>
  <c r="B955" i="2" l="1"/>
  <c r="B956" i="2" l="1"/>
  <c r="B957" i="2" l="1"/>
  <c r="B958" i="2" l="1"/>
  <c r="B959" i="2" l="1"/>
  <c r="B960" i="2" l="1"/>
  <c r="B961" i="2" l="1"/>
  <c r="B962" i="2" l="1"/>
  <c r="B963" i="2" l="1"/>
  <c r="B964" i="2" l="1"/>
  <c r="B965" i="2" l="1"/>
  <c r="B966" i="2" l="1"/>
  <c r="B967" i="2" l="1"/>
  <c r="B968" i="2" l="1"/>
  <c r="B969" i="2" l="1"/>
  <c r="B970" i="2" l="1"/>
  <c r="B971" i="2" l="1"/>
  <c r="B972" i="2" l="1"/>
  <c r="B973" i="2" l="1"/>
  <c r="B974" i="2" l="1"/>
  <c r="B975" i="2" l="1"/>
  <c r="B976" i="2" l="1"/>
  <c r="B977" i="2" l="1"/>
  <c r="B978" i="2" l="1"/>
  <c r="B979" i="2" l="1"/>
  <c r="B980" i="2" l="1"/>
  <c r="B981" i="2" l="1"/>
  <c r="B982" i="2" l="1"/>
  <c r="B983" i="2" l="1"/>
  <c r="B984" i="2" l="1"/>
  <c r="B985" i="2" l="1"/>
  <c r="B986" i="2" l="1"/>
  <c r="B987" i="2" l="1"/>
  <c r="B988" i="2" l="1"/>
  <c r="B989" i="2" l="1"/>
  <c r="B990" i="2" l="1"/>
  <c r="B991" i="2" l="1"/>
  <c r="B992" i="2" l="1"/>
  <c r="B993" i="2" l="1"/>
  <c r="B994" i="2" l="1"/>
  <c r="B995" i="2" l="1"/>
  <c r="B996" i="2" l="1"/>
  <c r="B997" i="2" l="1"/>
  <c r="B998" i="2" l="1"/>
  <c r="B999" i="2" l="1"/>
  <c r="B1000" i="2" l="1"/>
  <c r="B1001" i="2" l="1"/>
  <c r="B1002" i="2" l="1"/>
  <c r="B1003" i="2" l="1"/>
  <c r="B1004" i="2" l="1"/>
  <c r="B1005" i="2" l="1"/>
  <c r="B1006" i="2" l="1"/>
  <c r="B1007" i="2" l="1"/>
  <c r="B1008" i="2" l="1"/>
  <c r="B1009" i="2" l="1"/>
  <c r="B1010" i="2" l="1"/>
  <c r="B1011" i="2" l="1"/>
  <c r="B5" i="2" l="1"/>
  <c r="B6" i="2"/>
  <c r="B7" i="2"/>
  <c r="B8" i="2" l="1"/>
</calcChain>
</file>

<file path=xl/sharedStrings.xml><?xml version="1.0" encoding="utf-8"?>
<sst xmlns="http://schemas.openxmlformats.org/spreadsheetml/2006/main" count="69" uniqueCount="60">
  <si>
    <t>Bet</t>
  </si>
  <si>
    <t>Pot</t>
  </si>
  <si>
    <t>Pot Equity</t>
  </si>
  <si>
    <t>Hand</t>
  </si>
  <si>
    <t>Fold Frequency</t>
  </si>
  <si>
    <t>Net Impact to Our Stack</t>
  </si>
  <si>
    <t>Cumulative Impact to Our Stack</t>
  </si>
  <si>
    <t>Total Bets</t>
  </si>
  <si>
    <t>RNG</t>
  </si>
  <si>
    <t>Total Folds</t>
  </si>
  <si>
    <t>Total Calls</t>
  </si>
  <si>
    <t>Opp's 
Response</t>
  </si>
  <si>
    <t>Total Wins</t>
  </si>
  <si>
    <t>BE%</t>
  </si>
  <si>
    <t>ROI</t>
  </si>
  <si>
    <t>Net After 500 Hands</t>
  </si>
  <si>
    <t>RNG Toggle</t>
  </si>
  <si>
    <t>Cash Flow</t>
  </si>
  <si>
    <t>Ending Bankroll</t>
  </si>
  <si>
    <t>1K Hand Trial</t>
  </si>
  <si>
    <t>Interim Bankruptcy %</t>
  </si>
  <si>
    <t>Terminal Bankruptcy %</t>
  </si>
  <si>
    <t>Interim Bankruptcy</t>
  </si>
  <si>
    <t>Terminal Bankruptcy</t>
  </si>
  <si>
    <t>% Return</t>
  </si>
  <si>
    <t xml:space="preserve">Min </t>
  </si>
  <si>
    <t>Average</t>
  </si>
  <si>
    <t>Max</t>
  </si>
  <si>
    <t>SD</t>
  </si>
  <si>
    <t>Participating Frequency</t>
  </si>
  <si>
    <t>Hands per Orbit</t>
  </si>
  <si>
    <t>Hands per Participation</t>
  </si>
  <si>
    <t>Cost to Participate</t>
  </si>
  <si>
    <t>Orbits per Participation</t>
  </si>
  <si>
    <t>Cost / Orbit</t>
  </si>
  <si>
    <t>Wins</t>
  </si>
  <si>
    <t>Loses</t>
  </si>
  <si>
    <t>Gain / Loss</t>
  </si>
  <si>
    <t>You</t>
  </si>
  <si>
    <t>Opponent</t>
  </si>
  <si>
    <t>Starting Bankroll</t>
  </si>
  <si>
    <t>Money at Risk</t>
  </si>
  <si>
    <t>Lowest Bankroll</t>
  </si>
  <si>
    <t>Highest Bankroll</t>
  </si>
  <si>
    <t>Bankroll</t>
  </si>
  <si>
    <t>Your Outcome</t>
  </si>
  <si>
    <t>Hightest Bankroll</t>
  </si>
  <si>
    <t>Wins Needed to Avoid Bankrupty</t>
  </si>
  <si>
    <t>Net # of Loses for Bankruptcy</t>
  </si>
  <si>
    <t>BinomDist</t>
  </si>
  <si>
    <t>Cumulative BinomDist</t>
  </si>
  <si>
    <t>BinomDist Mean</t>
  </si>
  <si>
    <t>BinomDist StDev</t>
  </si>
  <si>
    <t>BinomDist +1 StDev G/L</t>
  </si>
  <si>
    <t>BinomDist -1 StDev G/L</t>
  </si>
  <si>
    <t>BinomDist +2 StDev G/L</t>
  </si>
  <si>
    <t>BinomDist -2 StDev G/L</t>
  </si>
  <si>
    <t>BinomDist Mean Gain/Loss</t>
  </si>
  <si>
    <t>BinomDist StDev Gain/Loss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</si>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</sst>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0.000"/>
    <numFmt numFmtId="165" formatCode="0.0%"/>
    <numFmt numFmtId="168" formatCode="0.0"/>
    <numFmt numFmtId="170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6" fontId="0" fillId="0" borderId="0" xfId="0" applyNumberFormat="1"/>
    <xf numFmtId="6" fontId="0" fillId="0" borderId="0" xfId="0" applyNumberFormat="1" applyAlignment="1">
      <alignment horizontal="right"/>
    </xf>
    <xf numFmtId="9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9" fontId="0" fillId="0" borderId="0" xfId="2" applyFont="1" applyAlignment="1">
      <alignment horizontal="right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right" wrapText="1"/>
    </xf>
    <xf numFmtId="0" fontId="0" fillId="2" borderId="2" xfId="0" applyFill="1" applyBorder="1" applyAlignment="1">
      <alignment horizontal="left" indent="1"/>
    </xf>
    <xf numFmtId="0" fontId="0" fillId="2" borderId="3" xfId="0" applyFill="1" applyBorder="1"/>
    <xf numFmtId="0" fontId="0" fillId="2" borderId="5" xfId="0" applyFill="1" applyBorder="1" applyAlignment="1">
      <alignment horizontal="left" indent="1"/>
    </xf>
    <xf numFmtId="0" fontId="0" fillId="2" borderId="0" xfId="0" applyFill="1"/>
    <xf numFmtId="0" fontId="0" fillId="2" borderId="7" xfId="0" applyFill="1" applyBorder="1" applyAlignment="1">
      <alignment horizontal="left" indent="1"/>
    </xf>
    <xf numFmtId="0" fontId="0" fillId="2" borderId="8" xfId="0" applyFill="1" applyBorder="1"/>
    <xf numFmtId="9" fontId="0" fillId="2" borderId="4" xfId="0" applyNumberFormat="1" applyFill="1" applyBorder="1" applyAlignment="1">
      <alignment horizontal="right" indent="1"/>
    </xf>
    <xf numFmtId="9" fontId="0" fillId="2" borderId="6" xfId="0" applyNumberFormat="1" applyFill="1" applyBorder="1" applyAlignment="1">
      <alignment horizontal="right" indent="1"/>
    </xf>
    <xf numFmtId="6" fontId="0" fillId="2" borderId="6" xfId="0" applyNumberFormat="1" applyFill="1" applyBorder="1" applyAlignment="1">
      <alignment horizontal="right" indent="1"/>
    </xf>
    <xf numFmtId="165" fontId="0" fillId="2" borderId="6" xfId="2" applyNumberFormat="1" applyFont="1" applyFill="1" applyBorder="1" applyAlignment="1">
      <alignment horizontal="right" indent="1"/>
    </xf>
    <xf numFmtId="165" fontId="0" fillId="2" borderId="9" xfId="2" applyNumberFormat="1" applyFont="1" applyFill="1" applyBorder="1" applyAlignment="1">
      <alignment horizontal="right" indent="1"/>
    </xf>
    <xf numFmtId="37" fontId="0" fillId="2" borderId="6" xfId="1" applyNumberFormat="1" applyFont="1" applyFill="1" applyBorder="1" applyAlignment="1">
      <alignment horizontal="right" indent="1"/>
    </xf>
    <xf numFmtId="1" fontId="0" fillId="2" borderId="9" xfId="1" applyNumberFormat="1" applyFont="1" applyFill="1" applyBorder="1" applyAlignment="1">
      <alignment horizontal="right" indent="1"/>
    </xf>
    <xf numFmtId="9" fontId="0" fillId="0" borderId="0" xfId="0" applyNumberFormat="1"/>
    <xf numFmtId="164" fontId="0" fillId="0" borderId="0" xfId="0" applyNumberFormat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2" applyFont="1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0" fillId="0" borderId="1" xfId="0" applyBorder="1"/>
    <xf numFmtId="10" fontId="0" fillId="0" borderId="0" xfId="2" applyNumberFormat="1" applyFont="1" applyAlignment="1">
      <alignment horizontal="right"/>
    </xf>
    <xf numFmtId="8" fontId="0" fillId="0" borderId="0" xfId="0" applyNumberFormat="1" applyAlignment="1">
      <alignment horizontal="right"/>
    </xf>
    <xf numFmtId="168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170" fontId="0" fillId="0" borderId="0" xfId="1" applyNumberFormat="1" applyFont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>
      <alignment horizontal="right" wrapText="1"/>
    </xf>
    <xf numFmtId="165" fontId="0" fillId="0" borderId="0" xfId="2" applyNumberFormat="1" applyFont="1"/>
    <xf numFmtId="11" fontId="0" fillId="0" borderId="0" xfId="0" applyNumberFormat="1"/>
    <xf numFmtId="43" fontId="0" fillId="0" borderId="0" xfId="1" applyNumberFormat="1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Impact to Stack Through</a:t>
            </a:r>
            <a:r>
              <a:rPr lang="en-US" baseline="0"/>
              <a:t> 500 Hands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BluffEconomics!$B$15:$B$514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cat>
          <c:val>
            <c:numRef>
              <c:f>BluffEconomics!$G$15:$G$514</c:f>
              <c:numCache>
                <c:formatCode>"$"#,##0_);[Red]\("$"#,##0\)</c:formatCode>
                <c:ptCount val="500"/>
                <c:pt idx="0">
                  <c:v>-70</c:v>
                </c:pt>
                <c:pt idx="1">
                  <c:v>30</c:v>
                </c:pt>
                <c:pt idx="2">
                  <c:v>130</c:v>
                </c:pt>
                <c:pt idx="3">
                  <c:v>60</c:v>
                </c:pt>
                <c:pt idx="4">
                  <c:v>160</c:v>
                </c:pt>
                <c:pt idx="5">
                  <c:v>260</c:v>
                </c:pt>
                <c:pt idx="6">
                  <c:v>190</c:v>
                </c:pt>
                <c:pt idx="7">
                  <c:v>290</c:v>
                </c:pt>
                <c:pt idx="8">
                  <c:v>220</c:v>
                </c:pt>
                <c:pt idx="9">
                  <c:v>320</c:v>
                </c:pt>
                <c:pt idx="10">
                  <c:v>250</c:v>
                </c:pt>
                <c:pt idx="11">
                  <c:v>350</c:v>
                </c:pt>
                <c:pt idx="12">
                  <c:v>450</c:v>
                </c:pt>
                <c:pt idx="13">
                  <c:v>550</c:v>
                </c:pt>
                <c:pt idx="14">
                  <c:v>650</c:v>
                </c:pt>
                <c:pt idx="15">
                  <c:v>750</c:v>
                </c:pt>
                <c:pt idx="16">
                  <c:v>850</c:v>
                </c:pt>
                <c:pt idx="17">
                  <c:v>950</c:v>
                </c:pt>
                <c:pt idx="18">
                  <c:v>1050</c:v>
                </c:pt>
                <c:pt idx="19">
                  <c:v>980</c:v>
                </c:pt>
                <c:pt idx="20">
                  <c:v>910</c:v>
                </c:pt>
                <c:pt idx="21">
                  <c:v>1010</c:v>
                </c:pt>
                <c:pt idx="22">
                  <c:v>940</c:v>
                </c:pt>
                <c:pt idx="23">
                  <c:v>1040</c:v>
                </c:pt>
                <c:pt idx="24">
                  <c:v>970</c:v>
                </c:pt>
                <c:pt idx="25">
                  <c:v>900</c:v>
                </c:pt>
                <c:pt idx="26">
                  <c:v>1000</c:v>
                </c:pt>
                <c:pt idx="27">
                  <c:v>930</c:v>
                </c:pt>
                <c:pt idx="28">
                  <c:v>1030</c:v>
                </c:pt>
                <c:pt idx="29">
                  <c:v>960</c:v>
                </c:pt>
                <c:pt idx="30">
                  <c:v>1060</c:v>
                </c:pt>
                <c:pt idx="31">
                  <c:v>990</c:v>
                </c:pt>
                <c:pt idx="32">
                  <c:v>1090</c:v>
                </c:pt>
                <c:pt idx="33">
                  <c:v>1190</c:v>
                </c:pt>
                <c:pt idx="34">
                  <c:v>1290</c:v>
                </c:pt>
                <c:pt idx="35">
                  <c:v>1220</c:v>
                </c:pt>
                <c:pt idx="36">
                  <c:v>1320</c:v>
                </c:pt>
                <c:pt idx="37">
                  <c:v>1420</c:v>
                </c:pt>
                <c:pt idx="38">
                  <c:v>1520</c:v>
                </c:pt>
                <c:pt idx="39">
                  <c:v>1450</c:v>
                </c:pt>
                <c:pt idx="40">
                  <c:v>1550</c:v>
                </c:pt>
                <c:pt idx="41">
                  <c:v>1480</c:v>
                </c:pt>
                <c:pt idx="42">
                  <c:v>1410</c:v>
                </c:pt>
                <c:pt idx="43">
                  <c:v>1340</c:v>
                </c:pt>
                <c:pt idx="44">
                  <c:v>1270</c:v>
                </c:pt>
                <c:pt idx="45">
                  <c:v>1200</c:v>
                </c:pt>
                <c:pt idx="46">
                  <c:v>1300</c:v>
                </c:pt>
                <c:pt idx="47">
                  <c:v>1400</c:v>
                </c:pt>
                <c:pt idx="48">
                  <c:v>1330</c:v>
                </c:pt>
                <c:pt idx="49">
                  <c:v>1260</c:v>
                </c:pt>
                <c:pt idx="50">
                  <c:v>1360</c:v>
                </c:pt>
                <c:pt idx="51">
                  <c:v>1290</c:v>
                </c:pt>
                <c:pt idx="52">
                  <c:v>1220</c:v>
                </c:pt>
                <c:pt idx="53">
                  <c:v>1150</c:v>
                </c:pt>
                <c:pt idx="54">
                  <c:v>1080</c:v>
                </c:pt>
                <c:pt idx="55">
                  <c:v>1010</c:v>
                </c:pt>
                <c:pt idx="56">
                  <c:v>1110</c:v>
                </c:pt>
                <c:pt idx="57">
                  <c:v>1040</c:v>
                </c:pt>
                <c:pt idx="58">
                  <c:v>970</c:v>
                </c:pt>
                <c:pt idx="59">
                  <c:v>1070</c:v>
                </c:pt>
                <c:pt idx="60">
                  <c:v>1170</c:v>
                </c:pt>
                <c:pt idx="61">
                  <c:v>1270</c:v>
                </c:pt>
                <c:pt idx="62">
                  <c:v>1200</c:v>
                </c:pt>
                <c:pt idx="63">
                  <c:v>1300</c:v>
                </c:pt>
                <c:pt idx="64">
                  <c:v>1230</c:v>
                </c:pt>
                <c:pt idx="65">
                  <c:v>1330</c:v>
                </c:pt>
                <c:pt idx="66">
                  <c:v>1260</c:v>
                </c:pt>
                <c:pt idx="67">
                  <c:v>1190</c:v>
                </c:pt>
                <c:pt idx="68">
                  <c:v>1120</c:v>
                </c:pt>
                <c:pt idx="69">
                  <c:v>1220</c:v>
                </c:pt>
                <c:pt idx="70">
                  <c:v>1150</c:v>
                </c:pt>
                <c:pt idx="71">
                  <c:v>1080</c:v>
                </c:pt>
                <c:pt idx="72">
                  <c:v>1010</c:v>
                </c:pt>
                <c:pt idx="73">
                  <c:v>940</c:v>
                </c:pt>
                <c:pt idx="74">
                  <c:v>1040</c:v>
                </c:pt>
                <c:pt idx="75">
                  <c:v>1140</c:v>
                </c:pt>
                <c:pt idx="76">
                  <c:v>1240</c:v>
                </c:pt>
                <c:pt idx="77">
                  <c:v>1340</c:v>
                </c:pt>
                <c:pt idx="78">
                  <c:v>1440</c:v>
                </c:pt>
                <c:pt idx="79">
                  <c:v>1370</c:v>
                </c:pt>
                <c:pt idx="80">
                  <c:v>1300</c:v>
                </c:pt>
                <c:pt idx="81">
                  <c:v>1400</c:v>
                </c:pt>
                <c:pt idx="82">
                  <c:v>1330</c:v>
                </c:pt>
                <c:pt idx="83">
                  <c:v>1430</c:v>
                </c:pt>
                <c:pt idx="84">
                  <c:v>1360</c:v>
                </c:pt>
                <c:pt idx="85">
                  <c:v>1460</c:v>
                </c:pt>
                <c:pt idx="86">
                  <c:v>1390</c:v>
                </c:pt>
                <c:pt idx="87">
                  <c:v>1490</c:v>
                </c:pt>
                <c:pt idx="88">
                  <c:v>1420</c:v>
                </c:pt>
                <c:pt idx="89">
                  <c:v>1350</c:v>
                </c:pt>
                <c:pt idx="90">
                  <c:v>1280</c:v>
                </c:pt>
                <c:pt idx="91">
                  <c:v>1210</c:v>
                </c:pt>
                <c:pt idx="92">
                  <c:v>1310</c:v>
                </c:pt>
                <c:pt idx="93">
                  <c:v>1240</c:v>
                </c:pt>
                <c:pt idx="94">
                  <c:v>1170</c:v>
                </c:pt>
                <c:pt idx="95">
                  <c:v>1100</c:v>
                </c:pt>
                <c:pt idx="96">
                  <c:v>1030</c:v>
                </c:pt>
                <c:pt idx="97">
                  <c:v>960</c:v>
                </c:pt>
                <c:pt idx="98">
                  <c:v>890</c:v>
                </c:pt>
                <c:pt idx="99">
                  <c:v>820</c:v>
                </c:pt>
                <c:pt idx="100">
                  <c:v>750</c:v>
                </c:pt>
                <c:pt idx="101">
                  <c:v>850</c:v>
                </c:pt>
                <c:pt idx="102">
                  <c:v>780</c:v>
                </c:pt>
                <c:pt idx="103">
                  <c:v>880</c:v>
                </c:pt>
                <c:pt idx="104">
                  <c:v>980</c:v>
                </c:pt>
                <c:pt idx="105">
                  <c:v>1080</c:v>
                </c:pt>
                <c:pt idx="106">
                  <c:v>1180</c:v>
                </c:pt>
                <c:pt idx="107">
                  <c:v>1280</c:v>
                </c:pt>
                <c:pt idx="108">
                  <c:v>1210</c:v>
                </c:pt>
                <c:pt idx="109">
                  <c:v>1310</c:v>
                </c:pt>
                <c:pt idx="110">
                  <c:v>1410</c:v>
                </c:pt>
                <c:pt idx="111">
                  <c:v>1510</c:v>
                </c:pt>
                <c:pt idx="112">
                  <c:v>1610</c:v>
                </c:pt>
                <c:pt idx="113">
                  <c:v>1540</c:v>
                </c:pt>
                <c:pt idx="114">
                  <c:v>1470</c:v>
                </c:pt>
                <c:pt idx="115">
                  <c:v>1400</c:v>
                </c:pt>
                <c:pt idx="116">
                  <c:v>1330</c:v>
                </c:pt>
                <c:pt idx="117">
                  <c:v>1260</c:v>
                </c:pt>
                <c:pt idx="118">
                  <c:v>1360</c:v>
                </c:pt>
                <c:pt idx="119">
                  <c:v>1460</c:v>
                </c:pt>
                <c:pt idx="120">
                  <c:v>1560</c:v>
                </c:pt>
                <c:pt idx="121">
                  <c:v>1660</c:v>
                </c:pt>
                <c:pt idx="122">
                  <c:v>1760</c:v>
                </c:pt>
                <c:pt idx="123">
                  <c:v>1690</c:v>
                </c:pt>
                <c:pt idx="124">
                  <c:v>1790</c:v>
                </c:pt>
                <c:pt idx="125">
                  <c:v>1720</c:v>
                </c:pt>
                <c:pt idx="126">
                  <c:v>1650</c:v>
                </c:pt>
                <c:pt idx="127">
                  <c:v>1750</c:v>
                </c:pt>
                <c:pt idx="128">
                  <c:v>1850</c:v>
                </c:pt>
                <c:pt idx="129">
                  <c:v>1780</c:v>
                </c:pt>
                <c:pt idx="130">
                  <c:v>1710</c:v>
                </c:pt>
                <c:pt idx="131">
                  <c:v>1640</c:v>
                </c:pt>
                <c:pt idx="132">
                  <c:v>1570</c:v>
                </c:pt>
                <c:pt idx="133">
                  <c:v>1670</c:v>
                </c:pt>
                <c:pt idx="134">
                  <c:v>1770</c:v>
                </c:pt>
                <c:pt idx="135">
                  <c:v>1700</c:v>
                </c:pt>
                <c:pt idx="136">
                  <c:v>1800</c:v>
                </c:pt>
                <c:pt idx="137">
                  <c:v>1730</c:v>
                </c:pt>
                <c:pt idx="138">
                  <c:v>1830</c:v>
                </c:pt>
                <c:pt idx="139">
                  <c:v>1760</c:v>
                </c:pt>
                <c:pt idx="140">
                  <c:v>1860</c:v>
                </c:pt>
                <c:pt idx="141">
                  <c:v>1790</c:v>
                </c:pt>
                <c:pt idx="142">
                  <c:v>1720</c:v>
                </c:pt>
                <c:pt idx="143">
                  <c:v>1650</c:v>
                </c:pt>
                <c:pt idx="144">
                  <c:v>1750</c:v>
                </c:pt>
                <c:pt idx="145">
                  <c:v>1850</c:v>
                </c:pt>
                <c:pt idx="146">
                  <c:v>1950</c:v>
                </c:pt>
                <c:pt idx="147">
                  <c:v>2050</c:v>
                </c:pt>
                <c:pt idx="148">
                  <c:v>2150</c:v>
                </c:pt>
                <c:pt idx="149">
                  <c:v>2250</c:v>
                </c:pt>
                <c:pt idx="150">
                  <c:v>2350</c:v>
                </c:pt>
                <c:pt idx="151">
                  <c:v>2280</c:v>
                </c:pt>
                <c:pt idx="152">
                  <c:v>2210</c:v>
                </c:pt>
                <c:pt idx="153">
                  <c:v>2310</c:v>
                </c:pt>
                <c:pt idx="154">
                  <c:v>2240</c:v>
                </c:pt>
                <c:pt idx="155">
                  <c:v>2170</c:v>
                </c:pt>
                <c:pt idx="156">
                  <c:v>2100</c:v>
                </c:pt>
                <c:pt idx="157">
                  <c:v>2200</c:v>
                </c:pt>
                <c:pt idx="158">
                  <c:v>2300</c:v>
                </c:pt>
                <c:pt idx="159">
                  <c:v>2400</c:v>
                </c:pt>
                <c:pt idx="160">
                  <c:v>2500</c:v>
                </c:pt>
                <c:pt idx="161">
                  <c:v>2600</c:v>
                </c:pt>
                <c:pt idx="162">
                  <c:v>2530</c:v>
                </c:pt>
                <c:pt idx="163">
                  <c:v>2460</c:v>
                </c:pt>
                <c:pt idx="164">
                  <c:v>2390</c:v>
                </c:pt>
                <c:pt idx="165">
                  <c:v>2490</c:v>
                </c:pt>
                <c:pt idx="166">
                  <c:v>2420</c:v>
                </c:pt>
                <c:pt idx="167">
                  <c:v>2520</c:v>
                </c:pt>
                <c:pt idx="168">
                  <c:v>2620</c:v>
                </c:pt>
                <c:pt idx="169">
                  <c:v>2550</c:v>
                </c:pt>
                <c:pt idx="170">
                  <c:v>2650</c:v>
                </c:pt>
                <c:pt idx="171">
                  <c:v>2580</c:v>
                </c:pt>
                <c:pt idx="172">
                  <c:v>2510</c:v>
                </c:pt>
                <c:pt idx="173">
                  <c:v>2610</c:v>
                </c:pt>
                <c:pt idx="174">
                  <c:v>2710</c:v>
                </c:pt>
                <c:pt idx="175">
                  <c:v>2810</c:v>
                </c:pt>
                <c:pt idx="176">
                  <c:v>2740</c:v>
                </c:pt>
                <c:pt idx="177">
                  <c:v>2840</c:v>
                </c:pt>
                <c:pt idx="178">
                  <c:v>2770</c:v>
                </c:pt>
                <c:pt idx="179">
                  <c:v>2870</c:v>
                </c:pt>
                <c:pt idx="180">
                  <c:v>2800</c:v>
                </c:pt>
                <c:pt idx="181">
                  <c:v>2730</c:v>
                </c:pt>
                <c:pt idx="182">
                  <c:v>2660</c:v>
                </c:pt>
                <c:pt idx="183">
                  <c:v>2590</c:v>
                </c:pt>
                <c:pt idx="184">
                  <c:v>2520</c:v>
                </c:pt>
                <c:pt idx="185">
                  <c:v>2620</c:v>
                </c:pt>
                <c:pt idx="186">
                  <c:v>2720</c:v>
                </c:pt>
                <c:pt idx="187">
                  <c:v>2820</c:v>
                </c:pt>
                <c:pt idx="188">
                  <c:v>2920</c:v>
                </c:pt>
                <c:pt idx="189">
                  <c:v>3020</c:v>
                </c:pt>
                <c:pt idx="190">
                  <c:v>2950</c:v>
                </c:pt>
                <c:pt idx="191">
                  <c:v>2880</c:v>
                </c:pt>
                <c:pt idx="192">
                  <c:v>2980</c:v>
                </c:pt>
                <c:pt idx="193">
                  <c:v>3080</c:v>
                </c:pt>
                <c:pt idx="194">
                  <c:v>3180</c:v>
                </c:pt>
                <c:pt idx="195">
                  <c:v>3280</c:v>
                </c:pt>
                <c:pt idx="196">
                  <c:v>3380</c:v>
                </c:pt>
                <c:pt idx="197">
                  <c:v>3310</c:v>
                </c:pt>
                <c:pt idx="198">
                  <c:v>3410</c:v>
                </c:pt>
                <c:pt idx="199">
                  <c:v>3510</c:v>
                </c:pt>
                <c:pt idx="200">
                  <c:v>3610</c:v>
                </c:pt>
                <c:pt idx="201">
                  <c:v>3540</c:v>
                </c:pt>
                <c:pt idx="202">
                  <c:v>3470</c:v>
                </c:pt>
                <c:pt idx="203">
                  <c:v>3400</c:v>
                </c:pt>
                <c:pt idx="204">
                  <c:v>3330</c:v>
                </c:pt>
                <c:pt idx="205">
                  <c:v>3260</c:v>
                </c:pt>
                <c:pt idx="206">
                  <c:v>3360</c:v>
                </c:pt>
                <c:pt idx="207">
                  <c:v>3290</c:v>
                </c:pt>
                <c:pt idx="208">
                  <c:v>3220</c:v>
                </c:pt>
                <c:pt idx="209">
                  <c:v>3150</c:v>
                </c:pt>
                <c:pt idx="210">
                  <c:v>3250</c:v>
                </c:pt>
                <c:pt idx="211">
                  <c:v>3350</c:v>
                </c:pt>
                <c:pt idx="212">
                  <c:v>3280</c:v>
                </c:pt>
                <c:pt idx="213">
                  <c:v>3210</c:v>
                </c:pt>
                <c:pt idx="214">
                  <c:v>3140</c:v>
                </c:pt>
                <c:pt idx="215">
                  <c:v>3070</c:v>
                </c:pt>
                <c:pt idx="216">
                  <c:v>3170</c:v>
                </c:pt>
                <c:pt idx="217">
                  <c:v>3100</c:v>
                </c:pt>
                <c:pt idx="218">
                  <c:v>3030</c:v>
                </c:pt>
                <c:pt idx="219">
                  <c:v>2960</c:v>
                </c:pt>
                <c:pt idx="220">
                  <c:v>3060</c:v>
                </c:pt>
                <c:pt idx="221">
                  <c:v>3160</c:v>
                </c:pt>
                <c:pt idx="222">
                  <c:v>3090</c:v>
                </c:pt>
                <c:pt idx="223">
                  <c:v>3190</c:v>
                </c:pt>
                <c:pt idx="224">
                  <c:v>3120</c:v>
                </c:pt>
                <c:pt idx="225">
                  <c:v>3220</c:v>
                </c:pt>
                <c:pt idx="226">
                  <c:v>3320</c:v>
                </c:pt>
                <c:pt idx="227">
                  <c:v>3250</c:v>
                </c:pt>
                <c:pt idx="228">
                  <c:v>3350</c:v>
                </c:pt>
                <c:pt idx="229">
                  <c:v>3280</c:v>
                </c:pt>
                <c:pt idx="230">
                  <c:v>3210</c:v>
                </c:pt>
                <c:pt idx="231">
                  <c:v>3310</c:v>
                </c:pt>
                <c:pt idx="232">
                  <c:v>3240</c:v>
                </c:pt>
                <c:pt idx="233">
                  <c:v>3340</c:v>
                </c:pt>
                <c:pt idx="234">
                  <c:v>3270</c:v>
                </c:pt>
                <c:pt idx="235">
                  <c:v>3370</c:v>
                </c:pt>
                <c:pt idx="236">
                  <c:v>3470</c:v>
                </c:pt>
                <c:pt idx="237">
                  <c:v>3400</c:v>
                </c:pt>
                <c:pt idx="238">
                  <c:v>3500</c:v>
                </c:pt>
                <c:pt idx="239">
                  <c:v>3600</c:v>
                </c:pt>
                <c:pt idx="240">
                  <c:v>3700</c:v>
                </c:pt>
                <c:pt idx="241">
                  <c:v>3630</c:v>
                </c:pt>
                <c:pt idx="242">
                  <c:v>3560</c:v>
                </c:pt>
                <c:pt idx="243">
                  <c:v>3660</c:v>
                </c:pt>
                <c:pt idx="244">
                  <c:v>3760</c:v>
                </c:pt>
                <c:pt idx="245">
                  <c:v>3860</c:v>
                </c:pt>
                <c:pt idx="246">
                  <c:v>3790</c:v>
                </c:pt>
                <c:pt idx="247">
                  <c:v>3720</c:v>
                </c:pt>
                <c:pt idx="248">
                  <c:v>3820</c:v>
                </c:pt>
                <c:pt idx="249">
                  <c:v>3750</c:v>
                </c:pt>
                <c:pt idx="250">
                  <c:v>3680</c:v>
                </c:pt>
                <c:pt idx="251">
                  <c:v>3780</c:v>
                </c:pt>
                <c:pt idx="252">
                  <c:v>3710</c:v>
                </c:pt>
                <c:pt idx="253">
                  <c:v>3810</c:v>
                </c:pt>
                <c:pt idx="254">
                  <c:v>3740</c:v>
                </c:pt>
                <c:pt idx="255">
                  <c:v>3840</c:v>
                </c:pt>
                <c:pt idx="256">
                  <c:v>3940</c:v>
                </c:pt>
                <c:pt idx="257">
                  <c:v>3870</c:v>
                </c:pt>
                <c:pt idx="258">
                  <c:v>3970</c:v>
                </c:pt>
                <c:pt idx="259">
                  <c:v>4070</c:v>
                </c:pt>
                <c:pt idx="260">
                  <c:v>4170</c:v>
                </c:pt>
                <c:pt idx="261">
                  <c:v>4100</c:v>
                </c:pt>
                <c:pt idx="262">
                  <c:v>4030</c:v>
                </c:pt>
                <c:pt idx="263">
                  <c:v>3960</c:v>
                </c:pt>
                <c:pt idx="264">
                  <c:v>3890</c:v>
                </c:pt>
                <c:pt idx="265">
                  <c:v>3820</c:v>
                </c:pt>
                <c:pt idx="266">
                  <c:v>3750</c:v>
                </c:pt>
                <c:pt idx="267">
                  <c:v>3680</c:v>
                </c:pt>
                <c:pt idx="268">
                  <c:v>3610</c:v>
                </c:pt>
                <c:pt idx="269">
                  <c:v>3540</c:v>
                </c:pt>
                <c:pt idx="270">
                  <c:v>3640</c:v>
                </c:pt>
                <c:pt idx="271">
                  <c:v>3740</c:v>
                </c:pt>
                <c:pt idx="272">
                  <c:v>3840</c:v>
                </c:pt>
                <c:pt idx="273">
                  <c:v>3770</c:v>
                </c:pt>
                <c:pt idx="274">
                  <c:v>3700</c:v>
                </c:pt>
                <c:pt idx="275">
                  <c:v>3630</c:v>
                </c:pt>
                <c:pt idx="276">
                  <c:v>3730</c:v>
                </c:pt>
                <c:pt idx="277">
                  <c:v>3830</c:v>
                </c:pt>
                <c:pt idx="278">
                  <c:v>3760</c:v>
                </c:pt>
                <c:pt idx="279">
                  <c:v>3860</c:v>
                </c:pt>
                <c:pt idx="280">
                  <c:v>3960</c:v>
                </c:pt>
                <c:pt idx="281">
                  <c:v>4060</c:v>
                </c:pt>
                <c:pt idx="282">
                  <c:v>3990</c:v>
                </c:pt>
                <c:pt idx="283">
                  <c:v>4090</c:v>
                </c:pt>
                <c:pt idx="284">
                  <c:v>4020</c:v>
                </c:pt>
                <c:pt idx="285">
                  <c:v>4120</c:v>
                </c:pt>
                <c:pt idx="286">
                  <c:v>4050</c:v>
                </c:pt>
                <c:pt idx="287">
                  <c:v>3980</c:v>
                </c:pt>
                <c:pt idx="288">
                  <c:v>4080</c:v>
                </c:pt>
                <c:pt idx="289">
                  <c:v>4180</c:v>
                </c:pt>
                <c:pt idx="290">
                  <c:v>4110</c:v>
                </c:pt>
                <c:pt idx="291">
                  <c:v>4210</c:v>
                </c:pt>
                <c:pt idx="292">
                  <c:v>4140</c:v>
                </c:pt>
                <c:pt idx="293">
                  <c:v>4240</c:v>
                </c:pt>
                <c:pt idx="294">
                  <c:v>4340</c:v>
                </c:pt>
                <c:pt idx="295">
                  <c:v>4270</c:v>
                </c:pt>
                <c:pt idx="296">
                  <c:v>4200</c:v>
                </c:pt>
                <c:pt idx="297">
                  <c:v>4130</c:v>
                </c:pt>
                <c:pt idx="298">
                  <c:v>4230</c:v>
                </c:pt>
                <c:pt idx="299">
                  <c:v>4160</c:v>
                </c:pt>
                <c:pt idx="300">
                  <c:v>4260</c:v>
                </c:pt>
                <c:pt idx="301">
                  <c:v>4190</c:v>
                </c:pt>
                <c:pt idx="302">
                  <c:v>4290</c:v>
                </c:pt>
                <c:pt idx="303">
                  <c:v>4390</c:v>
                </c:pt>
                <c:pt idx="304">
                  <c:v>4320</c:v>
                </c:pt>
                <c:pt idx="305">
                  <c:v>4420</c:v>
                </c:pt>
                <c:pt idx="306">
                  <c:v>4520</c:v>
                </c:pt>
                <c:pt idx="307">
                  <c:v>4620</c:v>
                </c:pt>
                <c:pt idx="308">
                  <c:v>4550</c:v>
                </c:pt>
                <c:pt idx="309">
                  <c:v>4480</c:v>
                </c:pt>
                <c:pt idx="310">
                  <c:v>4410</c:v>
                </c:pt>
                <c:pt idx="311">
                  <c:v>4510</c:v>
                </c:pt>
                <c:pt idx="312">
                  <c:v>4440</c:v>
                </c:pt>
                <c:pt idx="313">
                  <c:v>4540</c:v>
                </c:pt>
                <c:pt idx="314">
                  <c:v>4470</c:v>
                </c:pt>
                <c:pt idx="315">
                  <c:v>4570</c:v>
                </c:pt>
                <c:pt idx="316">
                  <c:v>4500</c:v>
                </c:pt>
                <c:pt idx="317">
                  <c:v>4600</c:v>
                </c:pt>
                <c:pt idx="318">
                  <c:v>4700</c:v>
                </c:pt>
                <c:pt idx="319">
                  <c:v>4630</c:v>
                </c:pt>
                <c:pt idx="320">
                  <c:v>4560</c:v>
                </c:pt>
                <c:pt idx="321">
                  <c:v>4660</c:v>
                </c:pt>
                <c:pt idx="322">
                  <c:v>4760</c:v>
                </c:pt>
                <c:pt idx="323">
                  <c:v>4690</c:v>
                </c:pt>
                <c:pt idx="324">
                  <c:v>4620</c:v>
                </c:pt>
                <c:pt idx="325">
                  <c:v>4720</c:v>
                </c:pt>
                <c:pt idx="326">
                  <c:v>4650</c:v>
                </c:pt>
                <c:pt idx="327">
                  <c:v>4750</c:v>
                </c:pt>
                <c:pt idx="328">
                  <c:v>4680</c:v>
                </c:pt>
                <c:pt idx="329">
                  <c:v>4780</c:v>
                </c:pt>
                <c:pt idx="330">
                  <c:v>4710</c:v>
                </c:pt>
                <c:pt idx="331">
                  <c:v>4640</c:v>
                </c:pt>
                <c:pt idx="332">
                  <c:v>4570</c:v>
                </c:pt>
                <c:pt idx="333">
                  <c:v>4670</c:v>
                </c:pt>
                <c:pt idx="334">
                  <c:v>4600</c:v>
                </c:pt>
                <c:pt idx="335">
                  <c:v>4530</c:v>
                </c:pt>
                <c:pt idx="336">
                  <c:v>4630</c:v>
                </c:pt>
                <c:pt idx="337">
                  <c:v>4560</c:v>
                </c:pt>
                <c:pt idx="338">
                  <c:v>4490</c:v>
                </c:pt>
                <c:pt idx="339">
                  <c:v>4590</c:v>
                </c:pt>
                <c:pt idx="340">
                  <c:v>4690</c:v>
                </c:pt>
                <c:pt idx="341">
                  <c:v>4790</c:v>
                </c:pt>
                <c:pt idx="342">
                  <c:v>4890</c:v>
                </c:pt>
                <c:pt idx="343">
                  <c:v>4820</c:v>
                </c:pt>
                <c:pt idx="344">
                  <c:v>4750</c:v>
                </c:pt>
                <c:pt idx="345">
                  <c:v>4680</c:v>
                </c:pt>
                <c:pt idx="346">
                  <c:v>4780</c:v>
                </c:pt>
                <c:pt idx="347">
                  <c:v>4710</c:v>
                </c:pt>
                <c:pt idx="348">
                  <c:v>4810</c:v>
                </c:pt>
                <c:pt idx="349">
                  <c:v>4740</c:v>
                </c:pt>
                <c:pt idx="350">
                  <c:v>4670</c:v>
                </c:pt>
                <c:pt idx="351">
                  <c:v>4600</c:v>
                </c:pt>
                <c:pt idx="352">
                  <c:v>4700</c:v>
                </c:pt>
                <c:pt idx="353">
                  <c:v>4630</c:v>
                </c:pt>
                <c:pt idx="354">
                  <c:v>4560</c:v>
                </c:pt>
                <c:pt idx="355">
                  <c:v>4490</c:v>
                </c:pt>
                <c:pt idx="356">
                  <c:v>4420</c:v>
                </c:pt>
                <c:pt idx="357">
                  <c:v>4350</c:v>
                </c:pt>
                <c:pt idx="358">
                  <c:v>4280</c:v>
                </c:pt>
                <c:pt idx="359">
                  <c:v>4380</c:v>
                </c:pt>
                <c:pt idx="360">
                  <c:v>4480</c:v>
                </c:pt>
                <c:pt idx="361">
                  <c:v>4580</c:v>
                </c:pt>
                <c:pt idx="362">
                  <c:v>4680</c:v>
                </c:pt>
                <c:pt idx="363">
                  <c:v>4780</c:v>
                </c:pt>
                <c:pt idx="364">
                  <c:v>4710</c:v>
                </c:pt>
                <c:pt idx="365">
                  <c:v>4810</c:v>
                </c:pt>
                <c:pt idx="366">
                  <c:v>4740</c:v>
                </c:pt>
                <c:pt idx="367">
                  <c:v>4840</c:v>
                </c:pt>
                <c:pt idx="368">
                  <c:v>4940</c:v>
                </c:pt>
                <c:pt idx="369">
                  <c:v>4870</c:v>
                </c:pt>
                <c:pt idx="370">
                  <c:v>4970</c:v>
                </c:pt>
                <c:pt idx="371">
                  <c:v>4900</c:v>
                </c:pt>
                <c:pt idx="372">
                  <c:v>5000</c:v>
                </c:pt>
                <c:pt idx="373">
                  <c:v>5100</c:v>
                </c:pt>
                <c:pt idx="374">
                  <c:v>5030</c:v>
                </c:pt>
                <c:pt idx="375">
                  <c:v>4960</c:v>
                </c:pt>
                <c:pt idx="376">
                  <c:v>4890</c:v>
                </c:pt>
                <c:pt idx="377">
                  <c:v>4990</c:v>
                </c:pt>
                <c:pt idx="378">
                  <c:v>4920</c:v>
                </c:pt>
                <c:pt idx="379">
                  <c:v>5020</c:v>
                </c:pt>
                <c:pt idx="380">
                  <c:v>4950</c:v>
                </c:pt>
                <c:pt idx="381">
                  <c:v>4880</c:v>
                </c:pt>
                <c:pt idx="382">
                  <c:v>4810</c:v>
                </c:pt>
                <c:pt idx="383">
                  <c:v>4910</c:v>
                </c:pt>
                <c:pt idx="384">
                  <c:v>5010</c:v>
                </c:pt>
                <c:pt idx="385">
                  <c:v>5110</c:v>
                </c:pt>
                <c:pt idx="386">
                  <c:v>5040</c:v>
                </c:pt>
                <c:pt idx="387">
                  <c:v>4970</c:v>
                </c:pt>
                <c:pt idx="388">
                  <c:v>5070</c:v>
                </c:pt>
                <c:pt idx="389">
                  <c:v>5000</c:v>
                </c:pt>
                <c:pt idx="390">
                  <c:v>4930</c:v>
                </c:pt>
                <c:pt idx="391">
                  <c:v>5030</c:v>
                </c:pt>
                <c:pt idx="392">
                  <c:v>4960</c:v>
                </c:pt>
                <c:pt idx="393">
                  <c:v>5060</c:v>
                </c:pt>
                <c:pt idx="394">
                  <c:v>5160</c:v>
                </c:pt>
                <c:pt idx="395">
                  <c:v>5090</c:v>
                </c:pt>
                <c:pt idx="396">
                  <c:v>5020</c:v>
                </c:pt>
                <c:pt idx="397">
                  <c:v>4950</c:v>
                </c:pt>
                <c:pt idx="398">
                  <c:v>5050</c:v>
                </c:pt>
                <c:pt idx="399">
                  <c:v>5150</c:v>
                </c:pt>
                <c:pt idx="400">
                  <c:v>5080</c:v>
                </c:pt>
                <c:pt idx="401">
                  <c:v>5180</c:v>
                </c:pt>
                <c:pt idx="402">
                  <c:v>5280</c:v>
                </c:pt>
                <c:pt idx="403">
                  <c:v>5210</c:v>
                </c:pt>
                <c:pt idx="404">
                  <c:v>5140</c:v>
                </c:pt>
                <c:pt idx="405">
                  <c:v>5070</c:v>
                </c:pt>
                <c:pt idx="406">
                  <c:v>5000</c:v>
                </c:pt>
                <c:pt idx="407">
                  <c:v>5100</c:v>
                </c:pt>
                <c:pt idx="408">
                  <c:v>5030</c:v>
                </c:pt>
                <c:pt idx="409">
                  <c:v>4960</c:v>
                </c:pt>
                <c:pt idx="410">
                  <c:v>5060</c:v>
                </c:pt>
                <c:pt idx="411">
                  <c:v>5160</c:v>
                </c:pt>
                <c:pt idx="412">
                  <c:v>5090</c:v>
                </c:pt>
                <c:pt idx="413">
                  <c:v>5190</c:v>
                </c:pt>
                <c:pt idx="414">
                  <c:v>5290</c:v>
                </c:pt>
                <c:pt idx="415">
                  <c:v>5390</c:v>
                </c:pt>
                <c:pt idx="416">
                  <c:v>5490</c:v>
                </c:pt>
                <c:pt idx="417">
                  <c:v>5420</c:v>
                </c:pt>
                <c:pt idx="418">
                  <c:v>5520</c:v>
                </c:pt>
                <c:pt idx="419">
                  <c:v>5620</c:v>
                </c:pt>
                <c:pt idx="420">
                  <c:v>5550</c:v>
                </c:pt>
                <c:pt idx="421">
                  <c:v>5480</c:v>
                </c:pt>
                <c:pt idx="422">
                  <c:v>5410</c:v>
                </c:pt>
                <c:pt idx="423">
                  <c:v>5510</c:v>
                </c:pt>
                <c:pt idx="424">
                  <c:v>5440</c:v>
                </c:pt>
                <c:pt idx="425">
                  <c:v>5370</c:v>
                </c:pt>
                <c:pt idx="426">
                  <c:v>5470</c:v>
                </c:pt>
                <c:pt idx="427">
                  <c:v>5400</c:v>
                </c:pt>
                <c:pt idx="428">
                  <c:v>5330</c:v>
                </c:pt>
                <c:pt idx="429">
                  <c:v>5260</c:v>
                </c:pt>
                <c:pt idx="430">
                  <c:v>5190</c:v>
                </c:pt>
                <c:pt idx="431">
                  <c:v>5120</c:v>
                </c:pt>
                <c:pt idx="432">
                  <c:v>5050</c:v>
                </c:pt>
                <c:pt idx="433">
                  <c:v>4980</c:v>
                </c:pt>
                <c:pt idx="434">
                  <c:v>5080</c:v>
                </c:pt>
                <c:pt idx="435">
                  <c:v>5010</c:v>
                </c:pt>
                <c:pt idx="436">
                  <c:v>4940</c:v>
                </c:pt>
                <c:pt idx="437">
                  <c:v>4870</c:v>
                </c:pt>
                <c:pt idx="438">
                  <c:v>4800</c:v>
                </c:pt>
                <c:pt idx="439">
                  <c:v>4730</c:v>
                </c:pt>
                <c:pt idx="440">
                  <c:v>4830</c:v>
                </c:pt>
                <c:pt idx="441">
                  <c:v>4930</c:v>
                </c:pt>
                <c:pt idx="442">
                  <c:v>5030</c:v>
                </c:pt>
                <c:pt idx="443">
                  <c:v>4960</c:v>
                </c:pt>
                <c:pt idx="444">
                  <c:v>5060</c:v>
                </c:pt>
                <c:pt idx="445">
                  <c:v>5160</c:v>
                </c:pt>
                <c:pt idx="446">
                  <c:v>5090</c:v>
                </c:pt>
                <c:pt idx="447">
                  <c:v>5190</c:v>
                </c:pt>
                <c:pt idx="448">
                  <c:v>5290</c:v>
                </c:pt>
                <c:pt idx="449">
                  <c:v>5220</c:v>
                </c:pt>
                <c:pt idx="450">
                  <c:v>5150</c:v>
                </c:pt>
                <c:pt idx="451">
                  <c:v>5250</c:v>
                </c:pt>
                <c:pt idx="452">
                  <c:v>5350</c:v>
                </c:pt>
                <c:pt idx="453">
                  <c:v>5280</c:v>
                </c:pt>
                <c:pt idx="454">
                  <c:v>5380</c:v>
                </c:pt>
                <c:pt idx="455">
                  <c:v>5310</c:v>
                </c:pt>
                <c:pt idx="456">
                  <c:v>5410</c:v>
                </c:pt>
                <c:pt idx="457">
                  <c:v>5340</c:v>
                </c:pt>
                <c:pt idx="458">
                  <c:v>5440</c:v>
                </c:pt>
                <c:pt idx="459">
                  <c:v>5370</c:v>
                </c:pt>
                <c:pt idx="460">
                  <c:v>5470</c:v>
                </c:pt>
                <c:pt idx="461">
                  <c:v>5400</c:v>
                </c:pt>
                <c:pt idx="462">
                  <c:v>5500</c:v>
                </c:pt>
                <c:pt idx="463">
                  <c:v>5600</c:v>
                </c:pt>
                <c:pt idx="464">
                  <c:v>5700</c:v>
                </c:pt>
                <c:pt idx="465">
                  <c:v>5630</c:v>
                </c:pt>
                <c:pt idx="466">
                  <c:v>5730</c:v>
                </c:pt>
                <c:pt idx="467">
                  <c:v>5830</c:v>
                </c:pt>
                <c:pt idx="468">
                  <c:v>5930</c:v>
                </c:pt>
                <c:pt idx="469">
                  <c:v>5860</c:v>
                </c:pt>
                <c:pt idx="470">
                  <c:v>5790</c:v>
                </c:pt>
                <c:pt idx="471">
                  <c:v>5720</c:v>
                </c:pt>
                <c:pt idx="472">
                  <c:v>5820</c:v>
                </c:pt>
                <c:pt idx="473">
                  <c:v>5750</c:v>
                </c:pt>
                <c:pt idx="474">
                  <c:v>5680</c:v>
                </c:pt>
                <c:pt idx="475">
                  <c:v>5780</c:v>
                </c:pt>
                <c:pt idx="476">
                  <c:v>5710</c:v>
                </c:pt>
                <c:pt idx="477">
                  <c:v>5640</c:v>
                </c:pt>
                <c:pt idx="478">
                  <c:v>5570</c:v>
                </c:pt>
                <c:pt idx="479">
                  <c:v>5670</c:v>
                </c:pt>
                <c:pt idx="480">
                  <c:v>5770</c:v>
                </c:pt>
                <c:pt idx="481">
                  <c:v>5700</c:v>
                </c:pt>
                <c:pt idx="482">
                  <c:v>5630</c:v>
                </c:pt>
                <c:pt idx="483">
                  <c:v>5560</c:v>
                </c:pt>
                <c:pt idx="484">
                  <c:v>5660</c:v>
                </c:pt>
                <c:pt idx="485">
                  <c:v>5760</c:v>
                </c:pt>
                <c:pt idx="486">
                  <c:v>5690</c:v>
                </c:pt>
                <c:pt idx="487">
                  <c:v>5790</c:v>
                </c:pt>
                <c:pt idx="488">
                  <c:v>5720</c:v>
                </c:pt>
                <c:pt idx="489">
                  <c:v>5820</c:v>
                </c:pt>
                <c:pt idx="490">
                  <c:v>5750</c:v>
                </c:pt>
                <c:pt idx="491">
                  <c:v>5850</c:v>
                </c:pt>
                <c:pt idx="492">
                  <c:v>5950</c:v>
                </c:pt>
                <c:pt idx="493">
                  <c:v>5880</c:v>
                </c:pt>
                <c:pt idx="494">
                  <c:v>5810</c:v>
                </c:pt>
                <c:pt idx="495">
                  <c:v>5910</c:v>
                </c:pt>
                <c:pt idx="496">
                  <c:v>6010</c:v>
                </c:pt>
                <c:pt idx="497">
                  <c:v>6110</c:v>
                </c:pt>
                <c:pt idx="498">
                  <c:v>6210</c:v>
                </c:pt>
                <c:pt idx="499">
                  <c:v>6310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D4-4898-9466-9A4551B8C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1594064"/>
        <c:axId val="1275911904"/>
      </c:lineChart>
      <c:catAx>
        <c:axId val="130159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911904"/>
        <c:crosses val="autoZero"/>
        <c:auto val="1"/>
        <c:lblAlgn val="ctr"/>
        <c:lblOffset val="100"/>
        <c:noMultiLvlLbl val="0"/>
      </c:catAx>
      <c:valAx>
        <c:axId val="127591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59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790575</xdr:colOff>
      <xdr:row>1</xdr:row>
      <xdr:rowOff>85725</xdr:rowOff>
    </xdr:from>
    <xdr:to>
      <xdr:col>6</xdr:col>
      <xdr:colOff>238125</xdr:colOff>
      <xdr:row>3</xdr:row>
      <xdr:rowOff>161925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8317B4-4220-6A28-4870-D00D44DEB1A4}"/>
            </a:ext>
          </a:extLst>
        </xdr:cNvPr>
        <xdr:cNvSpPr/>
      </xdr:nvSpPr>
      <xdr:spPr>
        <a:xfrm>
          <a:off x="3076575" y="180975"/>
          <a:ext cx="1438275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276225</xdr:colOff>
      <xdr:row>1</xdr:row>
      <xdr:rowOff>133349</xdr:rowOff>
    </xdr:from>
    <xdr:to>
      <xdr:col>20</xdr:col>
      <xdr:colOff>200025</xdr:colOff>
      <xdr:row>23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411D4BD-6799-4B48-A451-0500B2D688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695325</xdr:colOff>
      <xdr:row>2</xdr:row>
      <xdr:rowOff>28575</xdr:rowOff>
    </xdr:from>
    <xdr:to>
      <xdr:col>12</xdr:col>
      <xdr:colOff>600075</xdr:colOff>
      <xdr:row>5</xdr:row>
      <xdr:rowOff>161925</xdr:rowOff>
    </xdr:to>
    <xdr:sp macro="[0]!Macro1" textlink="">
      <xdr:nvSpPr>
        <xdr:cNvPr id="2" name="Heart 1">
          <a:extLst>
            <a:ext uri="{FF2B5EF4-FFF2-40B4-BE49-F238E27FC236}">
              <a16:creationId xmlns:a16="http://schemas.microsoft.com/office/drawing/2014/main" id="{AD0473C8-3D6C-3283-A37C-AAF40CFACAF6}"/>
            </a:ext>
          </a:extLst>
        </xdr:cNvPr>
        <xdr:cNvSpPr/>
      </xdr:nvSpPr>
      <xdr:spPr>
        <a:xfrm>
          <a:off x="9324975" y="409575"/>
          <a:ext cx="809625" cy="704850"/>
        </a:xfrm>
        <a:prstGeom prst="hear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519"/>
  <sheetViews>
    <sheetView showGridLines="0" workbookViewId="0">
      <selection activeCell="D8" sqref="D8"/>
    </sheetView>
  </sheetViews>
  <sheetFormatPr defaultRowHeight="15" x14ac:dyDescent="0.25"/>
  <cols>
    <col min="1" max="1" width="2.140625" customWidth="1"/>
    <col min="2" max="2" width="9.85546875" style="1" customWidth="1"/>
    <col min="3" max="3" width="10.42578125" customWidth="1"/>
    <col min="4" max="4" width="11.85546875" customWidth="1"/>
    <col min="5" max="5" width="16" style="1" customWidth="1"/>
    <col min="6" max="6" width="13.85546875" style="2" customWidth="1"/>
    <col min="7" max="7" width="18.5703125" style="2" customWidth="1"/>
    <col min="8" max="8" width="11.7109375" style="2" customWidth="1"/>
  </cols>
  <sheetData>
    <row r="1" spans="2:8" ht="7.5" customHeight="1" thickBot="1" x14ac:dyDescent="0.3"/>
    <row r="2" spans="2:8" x14ac:dyDescent="0.25">
      <c r="B2" s="12" t="s">
        <v>2</v>
      </c>
      <c r="C2" s="13"/>
      <c r="D2" s="18">
        <v>0</v>
      </c>
      <c r="H2" s="5"/>
    </row>
    <row r="3" spans="2:8" x14ac:dyDescent="0.25">
      <c r="B3" s="14" t="s">
        <v>4</v>
      </c>
      <c r="C3" s="15"/>
      <c r="D3" s="19">
        <v>0.5</v>
      </c>
      <c r="H3" s="5"/>
    </row>
    <row r="4" spans="2:8" x14ac:dyDescent="0.25">
      <c r="B4" s="14" t="s">
        <v>15</v>
      </c>
      <c r="C4" s="15"/>
      <c r="D4" s="20">
        <f ca="1">G514</f>
        <v>6310</v>
      </c>
      <c r="G4" s="3"/>
      <c r="H4" s="4"/>
    </row>
    <row r="5" spans="2:8" x14ac:dyDescent="0.25">
      <c r="B5" s="14" t="s">
        <v>9</v>
      </c>
      <c r="C5" s="15"/>
      <c r="D5" s="23">
        <f ca="1">COUNTIF(E$15:E$514,"Fold")</f>
        <v>243</v>
      </c>
      <c r="G5" s="3"/>
      <c r="H5" s="4"/>
    </row>
    <row r="6" spans="2:8" x14ac:dyDescent="0.25">
      <c r="B6" s="14" t="s">
        <v>10</v>
      </c>
      <c r="C6" s="15"/>
      <c r="D6" s="23">
        <f ca="1">COUNTIF(E$15:E$514,"Call")</f>
        <v>257</v>
      </c>
      <c r="G6" s="3"/>
      <c r="H6" s="4"/>
    </row>
    <row r="7" spans="2:8" x14ac:dyDescent="0.25">
      <c r="B7" s="14" t="s">
        <v>0</v>
      </c>
      <c r="C7" s="15"/>
      <c r="D7" s="20">
        <v>70</v>
      </c>
      <c r="G7" s="3"/>
      <c r="H7" s="4"/>
    </row>
    <row r="8" spans="2:8" x14ac:dyDescent="0.25">
      <c r="B8" s="14" t="s">
        <v>1</v>
      </c>
      <c r="C8" s="15"/>
      <c r="D8" s="20">
        <v>100</v>
      </c>
      <c r="G8" s="3"/>
      <c r="H8" s="7"/>
    </row>
    <row r="9" spans="2:8" x14ac:dyDescent="0.25">
      <c r="B9" s="14" t="s">
        <v>13</v>
      </c>
      <c r="C9" s="15"/>
      <c r="D9" s="21">
        <f>D7/(D7+D8)</f>
        <v>0.41176470588235292</v>
      </c>
      <c r="G9" s="3"/>
      <c r="H9" s="7"/>
    </row>
    <row r="10" spans="2:8" x14ac:dyDescent="0.25">
      <c r="B10" s="14" t="s">
        <v>7</v>
      </c>
      <c r="C10" s="15"/>
      <c r="D10" s="20">
        <f>-SUM(C15:C514)</f>
        <v>-35000</v>
      </c>
      <c r="G10" s="3"/>
      <c r="H10" s="4"/>
    </row>
    <row r="11" spans="2:8" x14ac:dyDescent="0.25">
      <c r="B11" s="14" t="s">
        <v>12</v>
      </c>
      <c r="C11" s="15"/>
      <c r="D11" s="20">
        <f ca="1">SUMIF($F$15:$F$514,"&gt;0")+D5*D7</f>
        <v>41310</v>
      </c>
      <c r="G11" s="3"/>
      <c r="H11" s="4"/>
    </row>
    <row r="12" spans="2:8" ht="15.75" thickBot="1" x14ac:dyDescent="0.3">
      <c r="B12" s="16" t="s">
        <v>14</v>
      </c>
      <c r="C12" s="17"/>
      <c r="D12" s="22">
        <f ca="1">D4/(-D10)</f>
        <v>0.1802857142857143</v>
      </c>
      <c r="G12" s="3"/>
      <c r="H12" s="4"/>
    </row>
    <row r="13" spans="2:8" ht="15.75" thickBot="1" x14ac:dyDescent="0.3">
      <c r="B13" s="16" t="s">
        <v>16</v>
      </c>
      <c r="C13" s="17"/>
      <c r="D13" s="24">
        <v>1</v>
      </c>
    </row>
    <row r="14" spans="2:8" ht="30" x14ac:dyDescent="0.25">
      <c r="B14" s="8" t="s">
        <v>3</v>
      </c>
      <c r="C14" s="9" t="s">
        <v>0</v>
      </c>
      <c r="D14" s="9" t="s">
        <v>1</v>
      </c>
      <c r="E14" s="10" t="s">
        <v>11</v>
      </c>
      <c r="F14" s="11" t="s">
        <v>5</v>
      </c>
      <c r="G14" s="11" t="s">
        <v>6</v>
      </c>
      <c r="H14" s="9" t="s">
        <v>8</v>
      </c>
    </row>
    <row r="15" spans="2:8" x14ac:dyDescent="0.25">
      <c r="B15" s="1">
        <v>1</v>
      </c>
      <c r="C15" s="3">
        <f>D7</f>
        <v>70</v>
      </c>
      <c r="D15" s="3">
        <f>D8</f>
        <v>100</v>
      </c>
      <c r="E15" s="1" t="str">
        <f t="shared" ref="E15:E78" ca="1" si="0">IF(H15&lt;$D$3,"Fold","Call")</f>
        <v>Call</v>
      </c>
      <c r="F15" s="4">
        <f ca="1">IF(E15="Fold",D15,-C15)</f>
        <v>-70</v>
      </c>
      <c r="G15" s="4">
        <f ca="1">SUM(F$15:F15)</f>
        <v>-70</v>
      </c>
      <c r="H15" s="6">
        <f t="shared" ref="H15:H29" ca="1" si="1">RAND()</f>
        <v>0.88047029976722613</v>
      </c>
    </row>
    <row r="16" spans="2:8" x14ac:dyDescent="0.25">
      <c r="B16" s="1">
        <v>2</v>
      </c>
      <c r="C16" s="3">
        <f>C15</f>
        <v>70</v>
      </c>
      <c r="D16" s="3">
        <f>D15</f>
        <v>100</v>
      </c>
      <c r="E16" s="1" t="str">
        <f t="shared" ca="1" si="0"/>
        <v>Fold</v>
      </c>
      <c r="F16" s="4">
        <f t="shared" ref="F16:F79" ca="1" si="2">IF(E16="Fold",D16,-C16)</f>
        <v>100</v>
      </c>
      <c r="G16" s="4">
        <f ca="1">SUM(F$15:F16)</f>
        <v>30</v>
      </c>
      <c r="H16" s="6">
        <f t="shared" ca="1" si="1"/>
        <v>0.44586675419164512</v>
      </c>
    </row>
    <row r="17" spans="2:8" x14ac:dyDescent="0.25">
      <c r="B17" s="1">
        <f t="shared" ref="B17:B58" si="3">B16+1</f>
        <v>3</v>
      </c>
      <c r="C17" s="3">
        <f t="shared" ref="C17:C80" si="4">C16</f>
        <v>70</v>
      </c>
      <c r="D17" s="3">
        <f t="shared" ref="D17:D80" si="5">D16</f>
        <v>100</v>
      </c>
      <c r="E17" s="1" t="str">
        <f t="shared" ca="1" si="0"/>
        <v>Fold</v>
      </c>
      <c r="F17" s="4">
        <f t="shared" ca="1" si="2"/>
        <v>100</v>
      </c>
      <c r="G17" s="4">
        <f ca="1">SUM(F$15:F17)</f>
        <v>130</v>
      </c>
      <c r="H17" s="6">
        <f t="shared" ca="1" si="1"/>
        <v>0.289916349130104</v>
      </c>
    </row>
    <row r="18" spans="2:8" x14ac:dyDescent="0.25">
      <c r="B18" s="1">
        <f t="shared" si="3"/>
        <v>4</v>
      </c>
      <c r="C18" s="3">
        <f t="shared" si="4"/>
        <v>70</v>
      </c>
      <c r="D18" s="3">
        <f t="shared" si="5"/>
        <v>100</v>
      </c>
      <c r="E18" s="1" t="str">
        <f t="shared" ca="1" si="0"/>
        <v>Call</v>
      </c>
      <c r="F18" s="4">
        <f t="shared" ca="1" si="2"/>
        <v>-70</v>
      </c>
      <c r="G18" s="4">
        <f ca="1">SUM(F$15:F18)</f>
        <v>60</v>
      </c>
      <c r="H18" s="6">
        <f t="shared" ca="1" si="1"/>
        <v>0.69831055267550368</v>
      </c>
    </row>
    <row r="19" spans="2:8" x14ac:dyDescent="0.25">
      <c r="B19" s="1">
        <f t="shared" si="3"/>
        <v>5</v>
      </c>
      <c r="C19" s="3">
        <f t="shared" si="4"/>
        <v>70</v>
      </c>
      <c r="D19" s="3">
        <f t="shared" si="5"/>
        <v>100</v>
      </c>
      <c r="E19" s="1" t="str">
        <f t="shared" ca="1" si="0"/>
        <v>Fold</v>
      </c>
      <c r="F19" s="4">
        <f t="shared" ca="1" si="2"/>
        <v>100</v>
      </c>
      <c r="G19" s="4">
        <f ca="1">SUM(F$15:F19)</f>
        <v>160</v>
      </c>
      <c r="H19" s="6">
        <f t="shared" ca="1" si="1"/>
        <v>8.1838270104941491E-2</v>
      </c>
    </row>
    <row r="20" spans="2:8" x14ac:dyDescent="0.25">
      <c r="B20" s="1">
        <f t="shared" si="3"/>
        <v>6</v>
      </c>
      <c r="C20" s="3">
        <f t="shared" si="4"/>
        <v>70</v>
      </c>
      <c r="D20" s="3">
        <f t="shared" si="5"/>
        <v>100</v>
      </c>
      <c r="E20" s="1" t="str">
        <f t="shared" ca="1" si="0"/>
        <v>Fold</v>
      </c>
      <c r="F20" s="4">
        <f t="shared" ca="1" si="2"/>
        <v>100</v>
      </c>
      <c r="G20" s="4">
        <f ca="1">SUM(F$15:F20)</f>
        <v>260</v>
      </c>
      <c r="H20" s="6">
        <f t="shared" ca="1" si="1"/>
        <v>0.46515442546183405</v>
      </c>
    </row>
    <row r="21" spans="2:8" x14ac:dyDescent="0.25">
      <c r="B21" s="1">
        <f t="shared" si="3"/>
        <v>7</v>
      </c>
      <c r="C21" s="3">
        <f t="shared" si="4"/>
        <v>70</v>
      </c>
      <c r="D21" s="3">
        <f t="shared" si="5"/>
        <v>100</v>
      </c>
      <c r="E21" s="1" t="str">
        <f t="shared" ca="1" si="0"/>
        <v>Call</v>
      </c>
      <c r="F21" s="4">
        <f t="shared" ca="1" si="2"/>
        <v>-70</v>
      </c>
      <c r="G21" s="4">
        <f ca="1">SUM(F$15:F21)</f>
        <v>190</v>
      </c>
      <c r="H21" s="6">
        <f t="shared" ca="1" si="1"/>
        <v>0.65692795595236919</v>
      </c>
    </row>
    <row r="22" spans="2:8" x14ac:dyDescent="0.25">
      <c r="B22" s="1">
        <f t="shared" si="3"/>
        <v>8</v>
      </c>
      <c r="C22" s="3">
        <f t="shared" si="4"/>
        <v>70</v>
      </c>
      <c r="D22" s="3">
        <f t="shared" si="5"/>
        <v>100</v>
      </c>
      <c r="E22" s="1" t="str">
        <f t="shared" ca="1" si="0"/>
        <v>Fold</v>
      </c>
      <c r="F22" s="4">
        <f t="shared" ca="1" si="2"/>
        <v>100</v>
      </c>
      <c r="G22" s="4">
        <f ca="1">SUM(F$15:F22)</f>
        <v>290</v>
      </c>
      <c r="H22" s="6">
        <f t="shared" ca="1" si="1"/>
        <v>0.19968081221342338</v>
      </c>
    </row>
    <row r="23" spans="2:8" x14ac:dyDescent="0.25">
      <c r="B23" s="1">
        <f t="shared" si="3"/>
        <v>9</v>
      </c>
      <c r="C23" s="3">
        <f t="shared" si="4"/>
        <v>70</v>
      </c>
      <c r="D23" s="3">
        <f t="shared" si="5"/>
        <v>100</v>
      </c>
      <c r="E23" s="1" t="str">
        <f t="shared" ca="1" si="0"/>
        <v>Call</v>
      </c>
      <c r="F23" s="4">
        <f t="shared" ca="1" si="2"/>
        <v>-70</v>
      </c>
      <c r="G23" s="4">
        <f ca="1">SUM(F$15:F23)</f>
        <v>220</v>
      </c>
      <c r="H23" s="6">
        <f t="shared" ca="1" si="1"/>
        <v>0.5184978851779265</v>
      </c>
    </row>
    <row r="24" spans="2:8" x14ac:dyDescent="0.25">
      <c r="B24" s="1">
        <f t="shared" si="3"/>
        <v>10</v>
      </c>
      <c r="C24" s="3">
        <f t="shared" si="4"/>
        <v>70</v>
      </c>
      <c r="D24" s="3">
        <f t="shared" si="5"/>
        <v>100</v>
      </c>
      <c r="E24" s="1" t="str">
        <f t="shared" ca="1" si="0"/>
        <v>Fold</v>
      </c>
      <c r="F24" s="4">
        <f t="shared" ca="1" si="2"/>
        <v>100</v>
      </c>
      <c r="G24" s="4">
        <f ca="1">SUM(F$15:F24)</f>
        <v>320</v>
      </c>
      <c r="H24" s="6">
        <f t="shared" ca="1" si="1"/>
        <v>0.2155188630858984</v>
      </c>
    </row>
    <row r="25" spans="2:8" x14ac:dyDescent="0.25">
      <c r="B25" s="1">
        <f t="shared" si="3"/>
        <v>11</v>
      </c>
      <c r="C25" s="3">
        <f t="shared" si="4"/>
        <v>70</v>
      </c>
      <c r="D25" s="3">
        <f t="shared" si="5"/>
        <v>100</v>
      </c>
      <c r="E25" s="1" t="str">
        <f t="shared" ca="1" si="0"/>
        <v>Call</v>
      </c>
      <c r="F25" s="4">
        <f t="shared" ca="1" si="2"/>
        <v>-70</v>
      </c>
      <c r="G25" s="4">
        <f ca="1">SUM(F$15:F25)</f>
        <v>250</v>
      </c>
      <c r="H25" s="6">
        <f t="shared" ca="1" si="1"/>
        <v>0.71729212963044298</v>
      </c>
    </row>
    <row r="26" spans="2:8" x14ac:dyDescent="0.25">
      <c r="B26" s="1">
        <f t="shared" si="3"/>
        <v>12</v>
      </c>
      <c r="C26" s="3">
        <f t="shared" si="4"/>
        <v>70</v>
      </c>
      <c r="D26" s="3">
        <f t="shared" si="5"/>
        <v>100</v>
      </c>
      <c r="E26" s="1" t="str">
        <f t="shared" ca="1" si="0"/>
        <v>Fold</v>
      </c>
      <c r="F26" s="4">
        <f t="shared" ca="1" si="2"/>
        <v>100</v>
      </c>
      <c r="G26" s="4">
        <f ca="1">SUM(F$15:F26)</f>
        <v>350</v>
      </c>
      <c r="H26" s="6">
        <f t="shared" ca="1" si="1"/>
        <v>5.5678598743254315E-2</v>
      </c>
    </row>
    <row r="27" spans="2:8" x14ac:dyDescent="0.25">
      <c r="B27" s="1">
        <f t="shared" si="3"/>
        <v>13</v>
      </c>
      <c r="C27" s="3">
        <f t="shared" si="4"/>
        <v>70</v>
      </c>
      <c r="D27" s="3">
        <f t="shared" si="5"/>
        <v>100</v>
      </c>
      <c r="E27" s="1" t="str">
        <f t="shared" ca="1" si="0"/>
        <v>Fold</v>
      </c>
      <c r="F27" s="4">
        <f t="shared" ca="1" si="2"/>
        <v>100</v>
      </c>
      <c r="G27" s="4">
        <f ca="1">SUM(F$15:F27)</f>
        <v>450</v>
      </c>
      <c r="H27" s="6">
        <f t="shared" ca="1" si="1"/>
        <v>0.18547794045117583</v>
      </c>
    </row>
    <row r="28" spans="2:8" x14ac:dyDescent="0.25">
      <c r="B28" s="1">
        <f t="shared" si="3"/>
        <v>14</v>
      </c>
      <c r="C28" s="3">
        <f t="shared" si="4"/>
        <v>70</v>
      </c>
      <c r="D28" s="3">
        <f t="shared" si="5"/>
        <v>100</v>
      </c>
      <c r="E28" s="1" t="str">
        <f t="shared" ca="1" si="0"/>
        <v>Fold</v>
      </c>
      <c r="F28" s="4">
        <f t="shared" ca="1" si="2"/>
        <v>100</v>
      </c>
      <c r="G28" s="4">
        <f ca="1">SUM(F$15:F28)</f>
        <v>550</v>
      </c>
      <c r="H28" s="6">
        <f t="shared" ca="1" si="1"/>
        <v>0.35386072528051149</v>
      </c>
    </row>
    <row r="29" spans="2:8" x14ac:dyDescent="0.25">
      <c r="B29" s="1">
        <f t="shared" si="3"/>
        <v>15</v>
      </c>
      <c r="C29" s="3">
        <f t="shared" si="4"/>
        <v>70</v>
      </c>
      <c r="D29" s="3">
        <f t="shared" si="5"/>
        <v>100</v>
      </c>
      <c r="E29" s="1" t="str">
        <f t="shared" ca="1" si="0"/>
        <v>Fold</v>
      </c>
      <c r="F29" s="4">
        <f t="shared" ca="1" si="2"/>
        <v>100</v>
      </c>
      <c r="G29" s="4">
        <f ca="1">SUM(F$15:F29)</f>
        <v>650</v>
      </c>
      <c r="H29" s="6">
        <f t="shared" ca="1" si="1"/>
        <v>0.30669312072361521</v>
      </c>
    </row>
    <row r="30" spans="2:8" x14ac:dyDescent="0.25">
      <c r="B30" s="1">
        <f t="shared" si="3"/>
        <v>16</v>
      </c>
      <c r="C30" s="3">
        <f t="shared" si="4"/>
        <v>70</v>
      </c>
      <c r="D30" s="3">
        <f t="shared" si="5"/>
        <v>100</v>
      </c>
      <c r="E30" s="1" t="str">
        <f t="shared" ca="1" si="0"/>
        <v>Fold</v>
      </c>
      <c r="F30" s="4">
        <f t="shared" ca="1" si="2"/>
        <v>100</v>
      </c>
      <c r="G30" s="4">
        <f ca="1">SUM(F$15:F30)</f>
        <v>750</v>
      </c>
      <c r="H30" s="6">
        <f t="shared" ref="H30:H93" ca="1" si="6">RAND()</f>
        <v>0.32787463599225874</v>
      </c>
    </row>
    <row r="31" spans="2:8" x14ac:dyDescent="0.25">
      <c r="B31" s="1">
        <f t="shared" si="3"/>
        <v>17</v>
      </c>
      <c r="C31" s="3">
        <f t="shared" si="4"/>
        <v>70</v>
      </c>
      <c r="D31" s="3">
        <f t="shared" si="5"/>
        <v>100</v>
      </c>
      <c r="E31" s="1" t="str">
        <f t="shared" ca="1" si="0"/>
        <v>Fold</v>
      </c>
      <c r="F31" s="4">
        <f t="shared" ca="1" si="2"/>
        <v>100</v>
      </c>
      <c r="G31" s="4">
        <f ca="1">SUM(F$15:F31)</f>
        <v>850</v>
      </c>
      <c r="H31" s="6">
        <f t="shared" ca="1" si="6"/>
        <v>0.32449378179506938</v>
      </c>
    </row>
    <row r="32" spans="2:8" x14ac:dyDescent="0.25">
      <c r="B32" s="1">
        <f t="shared" si="3"/>
        <v>18</v>
      </c>
      <c r="C32" s="3">
        <f t="shared" si="4"/>
        <v>70</v>
      </c>
      <c r="D32" s="3">
        <f t="shared" si="5"/>
        <v>100</v>
      </c>
      <c r="E32" s="1" t="str">
        <f t="shared" ca="1" si="0"/>
        <v>Fold</v>
      </c>
      <c r="F32" s="4">
        <f t="shared" ca="1" si="2"/>
        <v>100</v>
      </c>
      <c r="G32" s="4">
        <f ca="1">SUM(F$15:F32)</f>
        <v>950</v>
      </c>
      <c r="H32" s="6">
        <f t="shared" ca="1" si="6"/>
        <v>7.7996790671879368E-2</v>
      </c>
    </row>
    <row r="33" spans="2:8" x14ac:dyDescent="0.25">
      <c r="B33" s="1">
        <f t="shared" si="3"/>
        <v>19</v>
      </c>
      <c r="C33" s="3">
        <f t="shared" si="4"/>
        <v>70</v>
      </c>
      <c r="D33" s="3">
        <f t="shared" si="5"/>
        <v>100</v>
      </c>
      <c r="E33" s="1" t="str">
        <f t="shared" ca="1" si="0"/>
        <v>Fold</v>
      </c>
      <c r="F33" s="4">
        <f t="shared" ca="1" si="2"/>
        <v>100</v>
      </c>
      <c r="G33" s="4">
        <f ca="1">SUM(F$15:F33)</f>
        <v>1050</v>
      </c>
      <c r="H33" s="6">
        <f t="shared" ca="1" si="6"/>
        <v>0.29018848784756623</v>
      </c>
    </row>
    <row r="34" spans="2:8" x14ac:dyDescent="0.25">
      <c r="B34" s="1">
        <f t="shared" si="3"/>
        <v>20</v>
      </c>
      <c r="C34" s="3">
        <f t="shared" si="4"/>
        <v>70</v>
      </c>
      <c r="D34" s="3">
        <f t="shared" si="5"/>
        <v>100</v>
      </c>
      <c r="E34" s="1" t="str">
        <f t="shared" ca="1" si="0"/>
        <v>Call</v>
      </c>
      <c r="F34" s="4">
        <f t="shared" ca="1" si="2"/>
        <v>-70</v>
      </c>
      <c r="G34" s="4">
        <f ca="1">SUM(F$15:F34)</f>
        <v>980</v>
      </c>
      <c r="H34" s="6">
        <f t="shared" ca="1" si="6"/>
        <v>0.77636234019192207</v>
      </c>
    </row>
    <row r="35" spans="2:8" x14ac:dyDescent="0.25">
      <c r="B35" s="1">
        <f t="shared" si="3"/>
        <v>21</v>
      </c>
      <c r="C35" s="3">
        <f t="shared" si="4"/>
        <v>70</v>
      </c>
      <c r="D35" s="3">
        <f t="shared" si="5"/>
        <v>100</v>
      </c>
      <c r="E35" s="1" t="str">
        <f t="shared" ca="1" si="0"/>
        <v>Call</v>
      </c>
      <c r="F35" s="4">
        <f t="shared" ca="1" si="2"/>
        <v>-70</v>
      </c>
      <c r="G35" s="4">
        <f ca="1">SUM(F$15:F35)</f>
        <v>910</v>
      </c>
      <c r="H35" s="6">
        <f t="shared" ca="1" si="6"/>
        <v>0.75672672267640151</v>
      </c>
    </row>
    <row r="36" spans="2:8" x14ac:dyDescent="0.25">
      <c r="B36" s="1">
        <f t="shared" si="3"/>
        <v>22</v>
      </c>
      <c r="C36" s="3">
        <f t="shared" si="4"/>
        <v>70</v>
      </c>
      <c r="D36" s="3">
        <f t="shared" si="5"/>
        <v>100</v>
      </c>
      <c r="E36" s="1" t="str">
        <f t="shared" ca="1" si="0"/>
        <v>Fold</v>
      </c>
      <c r="F36" s="4">
        <f t="shared" ca="1" si="2"/>
        <v>100</v>
      </c>
      <c r="G36" s="4">
        <f ca="1">SUM(F$15:F36)</f>
        <v>1010</v>
      </c>
      <c r="H36" s="6">
        <f t="shared" ca="1" si="6"/>
        <v>0.48340495608997369</v>
      </c>
    </row>
    <row r="37" spans="2:8" x14ac:dyDescent="0.25">
      <c r="B37" s="1">
        <f t="shared" si="3"/>
        <v>23</v>
      </c>
      <c r="C37" s="3">
        <f t="shared" si="4"/>
        <v>70</v>
      </c>
      <c r="D37" s="3">
        <f t="shared" si="5"/>
        <v>100</v>
      </c>
      <c r="E37" s="1" t="str">
        <f t="shared" ca="1" si="0"/>
        <v>Call</v>
      </c>
      <c r="F37" s="4">
        <f t="shared" ca="1" si="2"/>
        <v>-70</v>
      </c>
      <c r="G37" s="4">
        <f ca="1">SUM(F$15:F37)</f>
        <v>940</v>
      </c>
      <c r="H37" s="6">
        <f t="shared" ca="1" si="6"/>
        <v>0.90790182369709249</v>
      </c>
    </row>
    <row r="38" spans="2:8" x14ac:dyDescent="0.25">
      <c r="B38" s="1">
        <f t="shared" si="3"/>
        <v>24</v>
      </c>
      <c r="C38" s="3">
        <f t="shared" si="4"/>
        <v>70</v>
      </c>
      <c r="D38" s="3">
        <f t="shared" si="5"/>
        <v>100</v>
      </c>
      <c r="E38" s="1" t="str">
        <f t="shared" ca="1" si="0"/>
        <v>Fold</v>
      </c>
      <c r="F38" s="4">
        <f t="shared" ca="1" si="2"/>
        <v>100</v>
      </c>
      <c r="G38" s="4">
        <f ca="1">SUM(F$15:F38)</f>
        <v>1040</v>
      </c>
      <c r="H38" s="6">
        <f t="shared" ca="1" si="6"/>
        <v>0.12274222888063613</v>
      </c>
    </row>
    <row r="39" spans="2:8" x14ac:dyDescent="0.25">
      <c r="B39" s="1">
        <f t="shared" si="3"/>
        <v>25</v>
      </c>
      <c r="C39" s="3">
        <f t="shared" si="4"/>
        <v>70</v>
      </c>
      <c r="D39" s="3">
        <f t="shared" si="5"/>
        <v>100</v>
      </c>
      <c r="E39" s="1" t="str">
        <f t="shared" ca="1" si="0"/>
        <v>Call</v>
      </c>
      <c r="F39" s="4">
        <f t="shared" ca="1" si="2"/>
        <v>-70</v>
      </c>
      <c r="G39" s="4">
        <f ca="1">SUM(F$15:F39)</f>
        <v>970</v>
      </c>
      <c r="H39" s="6">
        <f t="shared" ca="1" si="6"/>
        <v>0.77499598871798825</v>
      </c>
    </row>
    <row r="40" spans="2:8" x14ac:dyDescent="0.25">
      <c r="B40" s="1">
        <f t="shared" si="3"/>
        <v>26</v>
      </c>
      <c r="C40" s="3">
        <f t="shared" si="4"/>
        <v>70</v>
      </c>
      <c r="D40" s="3">
        <f t="shared" si="5"/>
        <v>100</v>
      </c>
      <c r="E40" s="1" t="str">
        <f t="shared" ca="1" si="0"/>
        <v>Call</v>
      </c>
      <c r="F40" s="4">
        <f t="shared" ca="1" si="2"/>
        <v>-70</v>
      </c>
      <c r="G40" s="4">
        <f ca="1">SUM(F$15:F40)</f>
        <v>900</v>
      </c>
      <c r="H40" s="6">
        <f t="shared" ca="1" si="6"/>
        <v>0.74519463826529586</v>
      </c>
    </row>
    <row r="41" spans="2:8" x14ac:dyDescent="0.25">
      <c r="B41" s="1">
        <f t="shared" si="3"/>
        <v>27</v>
      </c>
      <c r="C41" s="3">
        <f t="shared" si="4"/>
        <v>70</v>
      </c>
      <c r="D41" s="3">
        <f t="shared" si="5"/>
        <v>100</v>
      </c>
      <c r="E41" s="1" t="str">
        <f t="shared" ca="1" si="0"/>
        <v>Fold</v>
      </c>
      <c r="F41" s="4">
        <f t="shared" ca="1" si="2"/>
        <v>100</v>
      </c>
      <c r="G41" s="4">
        <f ca="1">SUM(F$15:F41)</f>
        <v>1000</v>
      </c>
      <c r="H41" s="6">
        <f t="shared" ca="1" si="6"/>
        <v>0.37894725350884217</v>
      </c>
    </row>
    <row r="42" spans="2:8" x14ac:dyDescent="0.25">
      <c r="B42" s="1">
        <f t="shared" si="3"/>
        <v>28</v>
      </c>
      <c r="C42" s="3">
        <f t="shared" si="4"/>
        <v>70</v>
      </c>
      <c r="D42" s="3">
        <f t="shared" si="5"/>
        <v>100</v>
      </c>
      <c r="E42" s="1" t="str">
        <f t="shared" ca="1" si="0"/>
        <v>Call</v>
      </c>
      <c r="F42" s="4">
        <f t="shared" ca="1" si="2"/>
        <v>-70</v>
      </c>
      <c r="G42" s="4">
        <f ca="1">SUM(F$15:F42)</f>
        <v>930</v>
      </c>
      <c r="H42" s="6">
        <f t="shared" ca="1" si="6"/>
        <v>0.68940358563414583</v>
      </c>
    </row>
    <row r="43" spans="2:8" x14ac:dyDescent="0.25">
      <c r="B43" s="1">
        <f t="shared" si="3"/>
        <v>29</v>
      </c>
      <c r="C43" s="3">
        <f t="shared" si="4"/>
        <v>70</v>
      </c>
      <c r="D43" s="3">
        <f t="shared" si="5"/>
        <v>100</v>
      </c>
      <c r="E43" s="1" t="str">
        <f t="shared" ca="1" si="0"/>
        <v>Fold</v>
      </c>
      <c r="F43" s="4">
        <f t="shared" ca="1" si="2"/>
        <v>100</v>
      </c>
      <c r="G43" s="4">
        <f ca="1">SUM(F$15:F43)</f>
        <v>1030</v>
      </c>
      <c r="H43" s="6">
        <f t="shared" ca="1" si="6"/>
        <v>0.39100616546186651</v>
      </c>
    </row>
    <row r="44" spans="2:8" x14ac:dyDescent="0.25">
      <c r="B44" s="1">
        <f t="shared" si="3"/>
        <v>30</v>
      </c>
      <c r="C44" s="3">
        <f t="shared" si="4"/>
        <v>70</v>
      </c>
      <c r="D44" s="3">
        <f t="shared" si="5"/>
        <v>100</v>
      </c>
      <c r="E44" s="1" t="str">
        <f t="shared" ca="1" si="0"/>
        <v>Call</v>
      </c>
      <c r="F44" s="4">
        <f t="shared" ca="1" si="2"/>
        <v>-70</v>
      </c>
      <c r="G44" s="4">
        <f ca="1">SUM(F$15:F44)</f>
        <v>960</v>
      </c>
      <c r="H44" s="6">
        <f t="shared" ca="1" si="6"/>
        <v>0.72758925862822266</v>
      </c>
    </row>
    <row r="45" spans="2:8" x14ac:dyDescent="0.25">
      <c r="B45" s="1">
        <f t="shared" si="3"/>
        <v>31</v>
      </c>
      <c r="C45" s="3">
        <f t="shared" si="4"/>
        <v>70</v>
      </c>
      <c r="D45" s="3">
        <f t="shared" si="5"/>
        <v>100</v>
      </c>
      <c r="E45" s="1" t="str">
        <f t="shared" ca="1" si="0"/>
        <v>Fold</v>
      </c>
      <c r="F45" s="4">
        <f t="shared" ca="1" si="2"/>
        <v>100</v>
      </c>
      <c r="G45" s="4">
        <f ca="1">SUM(F$15:F45)</f>
        <v>1060</v>
      </c>
      <c r="H45" s="6">
        <f t="shared" ca="1" si="6"/>
        <v>0.4058420316510154</v>
      </c>
    </row>
    <row r="46" spans="2:8" x14ac:dyDescent="0.25">
      <c r="B46" s="1">
        <f t="shared" si="3"/>
        <v>32</v>
      </c>
      <c r="C46" s="3">
        <f t="shared" si="4"/>
        <v>70</v>
      </c>
      <c r="D46" s="3">
        <f t="shared" si="5"/>
        <v>100</v>
      </c>
      <c r="E46" s="1" t="str">
        <f t="shared" ca="1" si="0"/>
        <v>Call</v>
      </c>
      <c r="F46" s="4">
        <f t="shared" ca="1" si="2"/>
        <v>-70</v>
      </c>
      <c r="G46" s="4">
        <f ca="1">SUM(F$15:F46)</f>
        <v>990</v>
      </c>
      <c r="H46" s="6">
        <f t="shared" ca="1" si="6"/>
        <v>0.86344908052403224</v>
      </c>
    </row>
    <row r="47" spans="2:8" x14ac:dyDescent="0.25">
      <c r="B47" s="1">
        <f t="shared" si="3"/>
        <v>33</v>
      </c>
      <c r="C47" s="3">
        <f t="shared" si="4"/>
        <v>70</v>
      </c>
      <c r="D47" s="3">
        <f t="shared" si="5"/>
        <v>100</v>
      </c>
      <c r="E47" s="1" t="str">
        <f t="shared" ca="1" si="0"/>
        <v>Fold</v>
      </c>
      <c r="F47" s="4">
        <f t="shared" ca="1" si="2"/>
        <v>100</v>
      </c>
      <c r="G47" s="4">
        <f ca="1">SUM(F$15:F47)</f>
        <v>1090</v>
      </c>
      <c r="H47" s="6">
        <f t="shared" ca="1" si="6"/>
        <v>6.0875914459262104E-2</v>
      </c>
    </row>
    <row r="48" spans="2:8" x14ac:dyDescent="0.25">
      <c r="B48" s="1">
        <f t="shared" si="3"/>
        <v>34</v>
      </c>
      <c r="C48" s="3">
        <f t="shared" si="4"/>
        <v>70</v>
      </c>
      <c r="D48" s="3">
        <f t="shared" si="5"/>
        <v>100</v>
      </c>
      <c r="E48" s="1" t="str">
        <f t="shared" ca="1" si="0"/>
        <v>Fold</v>
      </c>
      <c r="F48" s="4">
        <f t="shared" ca="1" si="2"/>
        <v>100</v>
      </c>
      <c r="G48" s="4">
        <f ca="1">SUM(F$15:F48)</f>
        <v>1190</v>
      </c>
      <c r="H48" s="6">
        <f t="shared" ca="1" si="6"/>
        <v>0.35311785922489258</v>
      </c>
    </row>
    <row r="49" spans="2:8" x14ac:dyDescent="0.25">
      <c r="B49" s="1">
        <f t="shared" si="3"/>
        <v>35</v>
      </c>
      <c r="C49" s="3">
        <f t="shared" si="4"/>
        <v>70</v>
      </c>
      <c r="D49" s="3">
        <f t="shared" si="5"/>
        <v>100</v>
      </c>
      <c r="E49" s="1" t="str">
        <f t="shared" ca="1" si="0"/>
        <v>Fold</v>
      </c>
      <c r="F49" s="4">
        <f t="shared" ca="1" si="2"/>
        <v>100</v>
      </c>
      <c r="G49" s="4">
        <f ca="1">SUM(F$15:F49)</f>
        <v>1290</v>
      </c>
      <c r="H49" s="6">
        <f t="shared" ca="1" si="6"/>
        <v>0.47646825265464232</v>
      </c>
    </row>
    <row r="50" spans="2:8" x14ac:dyDescent="0.25">
      <c r="B50" s="1">
        <f t="shared" si="3"/>
        <v>36</v>
      </c>
      <c r="C50" s="3">
        <f t="shared" si="4"/>
        <v>70</v>
      </c>
      <c r="D50" s="3">
        <f t="shared" si="5"/>
        <v>100</v>
      </c>
      <c r="E50" s="1" t="str">
        <f t="shared" ca="1" si="0"/>
        <v>Call</v>
      </c>
      <c r="F50" s="4">
        <f t="shared" ca="1" si="2"/>
        <v>-70</v>
      </c>
      <c r="G50" s="4">
        <f ca="1">SUM(F$15:F50)</f>
        <v>1220</v>
      </c>
      <c r="H50" s="6">
        <f t="shared" ca="1" si="6"/>
        <v>0.87628377639046939</v>
      </c>
    </row>
    <row r="51" spans="2:8" x14ac:dyDescent="0.25">
      <c r="B51" s="1">
        <f t="shared" si="3"/>
        <v>37</v>
      </c>
      <c r="C51" s="3">
        <f t="shared" si="4"/>
        <v>70</v>
      </c>
      <c r="D51" s="3">
        <f t="shared" si="5"/>
        <v>100</v>
      </c>
      <c r="E51" s="1" t="str">
        <f t="shared" ca="1" si="0"/>
        <v>Fold</v>
      </c>
      <c r="F51" s="4">
        <f t="shared" ca="1" si="2"/>
        <v>100</v>
      </c>
      <c r="G51" s="4">
        <f ca="1">SUM(F$15:F51)</f>
        <v>1320</v>
      </c>
      <c r="H51" s="6">
        <f t="shared" ca="1" si="6"/>
        <v>0.30763906641627692</v>
      </c>
    </row>
    <row r="52" spans="2:8" x14ac:dyDescent="0.25">
      <c r="B52" s="1">
        <f t="shared" si="3"/>
        <v>38</v>
      </c>
      <c r="C52" s="3">
        <f t="shared" si="4"/>
        <v>70</v>
      </c>
      <c r="D52" s="3">
        <f t="shared" si="5"/>
        <v>100</v>
      </c>
      <c r="E52" s="1" t="str">
        <f t="shared" ca="1" si="0"/>
        <v>Fold</v>
      </c>
      <c r="F52" s="4">
        <f t="shared" ca="1" si="2"/>
        <v>100</v>
      </c>
      <c r="G52" s="4">
        <f ca="1">SUM(F$15:F52)</f>
        <v>1420</v>
      </c>
      <c r="H52" s="6">
        <f t="shared" ca="1" si="6"/>
        <v>0.15724333916876765</v>
      </c>
    </row>
    <row r="53" spans="2:8" x14ac:dyDescent="0.25">
      <c r="B53" s="1">
        <f t="shared" si="3"/>
        <v>39</v>
      </c>
      <c r="C53" s="3">
        <f t="shared" si="4"/>
        <v>70</v>
      </c>
      <c r="D53" s="3">
        <f t="shared" si="5"/>
        <v>100</v>
      </c>
      <c r="E53" s="1" t="str">
        <f t="shared" ca="1" si="0"/>
        <v>Fold</v>
      </c>
      <c r="F53" s="4">
        <f t="shared" ca="1" si="2"/>
        <v>100</v>
      </c>
      <c r="G53" s="4">
        <f ca="1">SUM(F$15:F53)</f>
        <v>1520</v>
      </c>
      <c r="H53" s="6">
        <f t="shared" ca="1" si="6"/>
        <v>0.42269184747129007</v>
      </c>
    </row>
    <row r="54" spans="2:8" x14ac:dyDescent="0.25">
      <c r="B54" s="1">
        <f t="shared" si="3"/>
        <v>40</v>
      </c>
      <c r="C54" s="3">
        <f t="shared" si="4"/>
        <v>70</v>
      </c>
      <c r="D54" s="3">
        <f t="shared" si="5"/>
        <v>100</v>
      </c>
      <c r="E54" s="1" t="str">
        <f t="shared" ca="1" si="0"/>
        <v>Call</v>
      </c>
      <c r="F54" s="4">
        <f t="shared" ca="1" si="2"/>
        <v>-70</v>
      </c>
      <c r="G54" s="4">
        <f ca="1">SUM(F$15:F54)</f>
        <v>1450</v>
      </c>
      <c r="H54" s="6">
        <f t="shared" ca="1" si="6"/>
        <v>0.53366038935575966</v>
      </c>
    </row>
    <row r="55" spans="2:8" x14ac:dyDescent="0.25">
      <c r="B55" s="1">
        <f t="shared" si="3"/>
        <v>41</v>
      </c>
      <c r="C55" s="3">
        <f t="shared" si="4"/>
        <v>70</v>
      </c>
      <c r="D55" s="3">
        <f t="shared" si="5"/>
        <v>100</v>
      </c>
      <c r="E55" s="1" t="str">
        <f t="shared" ca="1" si="0"/>
        <v>Fold</v>
      </c>
      <c r="F55" s="4">
        <f t="shared" ca="1" si="2"/>
        <v>100</v>
      </c>
      <c r="G55" s="4">
        <f ca="1">SUM(F$15:F55)</f>
        <v>1550</v>
      </c>
      <c r="H55" s="6">
        <f t="shared" ca="1" si="6"/>
        <v>0.25106560635589081</v>
      </c>
    </row>
    <row r="56" spans="2:8" x14ac:dyDescent="0.25">
      <c r="B56" s="1">
        <f t="shared" si="3"/>
        <v>42</v>
      </c>
      <c r="C56" s="3">
        <f t="shared" si="4"/>
        <v>70</v>
      </c>
      <c r="D56" s="3">
        <f t="shared" si="5"/>
        <v>100</v>
      </c>
      <c r="E56" s="1" t="str">
        <f t="shared" ca="1" si="0"/>
        <v>Call</v>
      </c>
      <c r="F56" s="4">
        <f t="shared" ca="1" si="2"/>
        <v>-70</v>
      </c>
      <c r="G56" s="4">
        <f ca="1">SUM(F$15:F56)</f>
        <v>1480</v>
      </c>
      <c r="H56" s="6">
        <f t="shared" ca="1" si="6"/>
        <v>0.51005528065632633</v>
      </c>
    </row>
    <row r="57" spans="2:8" x14ac:dyDescent="0.25">
      <c r="B57" s="1">
        <f t="shared" si="3"/>
        <v>43</v>
      </c>
      <c r="C57" s="3">
        <f t="shared" si="4"/>
        <v>70</v>
      </c>
      <c r="D57" s="3">
        <f t="shared" si="5"/>
        <v>100</v>
      </c>
      <c r="E57" s="1" t="str">
        <f t="shared" ca="1" si="0"/>
        <v>Call</v>
      </c>
      <c r="F57" s="4">
        <f t="shared" ca="1" si="2"/>
        <v>-70</v>
      </c>
      <c r="G57" s="4">
        <f ca="1">SUM(F$15:F57)</f>
        <v>1410</v>
      </c>
      <c r="H57" s="6">
        <f t="shared" ca="1" si="6"/>
        <v>0.99278070694839382</v>
      </c>
    </row>
    <row r="58" spans="2:8" x14ac:dyDescent="0.25">
      <c r="B58" s="1">
        <f t="shared" si="3"/>
        <v>44</v>
      </c>
      <c r="C58" s="3">
        <f t="shared" si="4"/>
        <v>70</v>
      </c>
      <c r="D58" s="3">
        <f t="shared" si="5"/>
        <v>100</v>
      </c>
      <c r="E58" s="1" t="str">
        <f t="shared" ca="1" si="0"/>
        <v>Call</v>
      </c>
      <c r="F58" s="4">
        <f t="shared" ca="1" si="2"/>
        <v>-70</v>
      </c>
      <c r="G58" s="4">
        <f ca="1">SUM(F$15:F58)</f>
        <v>1340</v>
      </c>
      <c r="H58" s="6">
        <f t="shared" ca="1" si="6"/>
        <v>0.94604080901020982</v>
      </c>
    </row>
    <row r="59" spans="2:8" x14ac:dyDescent="0.25">
      <c r="B59" s="1">
        <f t="shared" ref="B59:B122" si="7">B58+1</f>
        <v>45</v>
      </c>
      <c r="C59" s="3">
        <f t="shared" si="4"/>
        <v>70</v>
      </c>
      <c r="D59" s="3">
        <f t="shared" si="5"/>
        <v>100</v>
      </c>
      <c r="E59" s="1" t="str">
        <f t="shared" ca="1" si="0"/>
        <v>Call</v>
      </c>
      <c r="F59" s="4">
        <f t="shared" ca="1" si="2"/>
        <v>-70</v>
      </c>
      <c r="G59" s="4">
        <f ca="1">SUM(F$15:F59)</f>
        <v>1270</v>
      </c>
      <c r="H59" s="6">
        <f t="shared" ca="1" si="6"/>
        <v>0.58690905899636792</v>
      </c>
    </row>
    <row r="60" spans="2:8" x14ac:dyDescent="0.25">
      <c r="B60" s="1">
        <f t="shared" si="7"/>
        <v>46</v>
      </c>
      <c r="C60" s="3">
        <f t="shared" si="4"/>
        <v>70</v>
      </c>
      <c r="D60" s="3">
        <f t="shared" si="5"/>
        <v>100</v>
      </c>
      <c r="E60" s="1" t="str">
        <f t="shared" ca="1" si="0"/>
        <v>Call</v>
      </c>
      <c r="F60" s="4">
        <f t="shared" ca="1" si="2"/>
        <v>-70</v>
      </c>
      <c r="G60" s="4">
        <f ca="1">SUM(F$15:F60)</f>
        <v>1200</v>
      </c>
      <c r="H60" s="6">
        <f t="shared" ca="1" si="6"/>
        <v>0.52982799701491634</v>
      </c>
    </row>
    <row r="61" spans="2:8" x14ac:dyDescent="0.25">
      <c r="B61" s="1">
        <f t="shared" si="7"/>
        <v>47</v>
      </c>
      <c r="C61" s="3">
        <f t="shared" si="4"/>
        <v>70</v>
      </c>
      <c r="D61" s="3">
        <f t="shared" si="5"/>
        <v>100</v>
      </c>
      <c r="E61" s="1" t="str">
        <f t="shared" ca="1" si="0"/>
        <v>Fold</v>
      </c>
      <c r="F61" s="4">
        <f t="shared" ca="1" si="2"/>
        <v>100</v>
      </c>
      <c r="G61" s="4">
        <f ca="1">SUM(F$15:F61)</f>
        <v>1300</v>
      </c>
      <c r="H61" s="6">
        <f t="shared" ca="1" si="6"/>
        <v>4.4619188476505367E-2</v>
      </c>
    </row>
    <row r="62" spans="2:8" x14ac:dyDescent="0.25">
      <c r="B62" s="1">
        <f t="shared" si="7"/>
        <v>48</v>
      </c>
      <c r="C62" s="3">
        <f t="shared" si="4"/>
        <v>70</v>
      </c>
      <c r="D62" s="3">
        <f t="shared" si="5"/>
        <v>100</v>
      </c>
      <c r="E62" s="1" t="str">
        <f t="shared" ca="1" si="0"/>
        <v>Fold</v>
      </c>
      <c r="F62" s="4">
        <f t="shared" ca="1" si="2"/>
        <v>100</v>
      </c>
      <c r="G62" s="4">
        <f ca="1">SUM(F$15:F62)</f>
        <v>1400</v>
      </c>
      <c r="H62" s="6">
        <f t="shared" ca="1" si="6"/>
        <v>0.29185358694624608</v>
      </c>
    </row>
    <row r="63" spans="2:8" x14ac:dyDescent="0.25">
      <c r="B63" s="1">
        <f t="shared" si="7"/>
        <v>49</v>
      </c>
      <c r="C63" s="3">
        <f t="shared" si="4"/>
        <v>70</v>
      </c>
      <c r="D63" s="3">
        <f t="shared" si="5"/>
        <v>100</v>
      </c>
      <c r="E63" s="1" t="str">
        <f t="shared" ca="1" si="0"/>
        <v>Call</v>
      </c>
      <c r="F63" s="4">
        <f t="shared" ca="1" si="2"/>
        <v>-70</v>
      </c>
      <c r="G63" s="4">
        <f ca="1">SUM(F$15:F63)</f>
        <v>1330</v>
      </c>
      <c r="H63" s="6">
        <f t="shared" ca="1" si="6"/>
        <v>0.78768130585921015</v>
      </c>
    </row>
    <row r="64" spans="2:8" x14ac:dyDescent="0.25">
      <c r="B64" s="1">
        <f t="shared" si="7"/>
        <v>50</v>
      </c>
      <c r="C64" s="3">
        <f t="shared" si="4"/>
        <v>70</v>
      </c>
      <c r="D64" s="3">
        <f t="shared" si="5"/>
        <v>100</v>
      </c>
      <c r="E64" s="1" t="str">
        <f t="shared" ca="1" si="0"/>
        <v>Call</v>
      </c>
      <c r="F64" s="4">
        <f t="shared" ca="1" si="2"/>
        <v>-70</v>
      </c>
      <c r="G64" s="4">
        <f ca="1">SUM(F$15:F64)</f>
        <v>1260</v>
      </c>
      <c r="H64" s="6">
        <f t="shared" ca="1" si="6"/>
        <v>0.53066121925541954</v>
      </c>
    </row>
    <row r="65" spans="2:8" x14ac:dyDescent="0.25">
      <c r="B65" s="1">
        <f t="shared" si="7"/>
        <v>51</v>
      </c>
      <c r="C65" s="3">
        <f t="shared" si="4"/>
        <v>70</v>
      </c>
      <c r="D65" s="3">
        <f t="shared" si="5"/>
        <v>100</v>
      </c>
      <c r="E65" s="1" t="str">
        <f t="shared" ca="1" si="0"/>
        <v>Fold</v>
      </c>
      <c r="F65" s="4">
        <f t="shared" ca="1" si="2"/>
        <v>100</v>
      </c>
      <c r="G65" s="4">
        <f ca="1">SUM(F$15:F65)</f>
        <v>1360</v>
      </c>
      <c r="H65" s="6">
        <f t="shared" ca="1" si="6"/>
        <v>5.3705998448139947E-2</v>
      </c>
    </row>
    <row r="66" spans="2:8" x14ac:dyDescent="0.25">
      <c r="B66" s="1">
        <f t="shared" si="7"/>
        <v>52</v>
      </c>
      <c r="C66" s="3">
        <f t="shared" si="4"/>
        <v>70</v>
      </c>
      <c r="D66" s="3">
        <f t="shared" si="5"/>
        <v>100</v>
      </c>
      <c r="E66" s="1" t="str">
        <f t="shared" ca="1" si="0"/>
        <v>Call</v>
      </c>
      <c r="F66" s="4">
        <f t="shared" ca="1" si="2"/>
        <v>-70</v>
      </c>
      <c r="G66" s="4">
        <f ca="1">SUM(F$15:F66)</f>
        <v>1290</v>
      </c>
      <c r="H66" s="6">
        <f t="shared" ca="1" si="6"/>
        <v>0.58032682831556548</v>
      </c>
    </row>
    <row r="67" spans="2:8" x14ac:dyDescent="0.25">
      <c r="B67" s="1">
        <f t="shared" si="7"/>
        <v>53</v>
      </c>
      <c r="C67" s="3">
        <f t="shared" si="4"/>
        <v>70</v>
      </c>
      <c r="D67" s="3">
        <f t="shared" si="5"/>
        <v>100</v>
      </c>
      <c r="E67" s="1" t="str">
        <f t="shared" ca="1" si="0"/>
        <v>Call</v>
      </c>
      <c r="F67" s="4">
        <f t="shared" ca="1" si="2"/>
        <v>-70</v>
      </c>
      <c r="G67" s="4">
        <f ca="1">SUM(F$15:F67)</f>
        <v>1220</v>
      </c>
      <c r="H67" s="6">
        <f t="shared" ca="1" si="6"/>
        <v>0.76933362649092762</v>
      </c>
    </row>
    <row r="68" spans="2:8" x14ac:dyDescent="0.25">
      <c r="B68" s="1">
        <f t="shared" si="7"/>
        <v>54</v>
      </c>
      <c r="C68" s="3">
        <f t="shared" si="4"/>
        <v>70</v>
      </c>
      <c r="D68" s="3">
        <f t="shared" si="5"/>
        <v>100</v>
      </c>
      <c r="E68" s="1" t="str">
        <f t="shared" ca="1" si="0"/>
        <v>Call</v>
      </c>
      <c r="F68" s="4">
        <f t="shared" ca="1" si="2"/>
        <v>-70</v>
      </c>
      <c r="G68" s="4">
        <f ca="1">SUM(F$15:F68)</f>
        <v>1150</v>
      </c>
      <c r="H68" s="6">
        <f t="shared" ca="1" si="6"/>
        <v>0.66562302208660207</v>
      </c>
    </row>
    <row r="69" spans="2:8" x14ac:dyDescent="0.25">
      <c r="B69" s="1">
        <f t="shared" si="7"/>
        <v>55</v>
      </c>
      <c r="C69" s="3">
        <f t="shared" si="4"/>
        <v>70</v>
      </c>
      <c r="D69" s="3">
        <f t="shared" si="5"/>
        <v>100</v>
      </c>
      <c r="E69" s="1" t="str">
        <f t="shared" ca="1" si="0"/>
        <v>Call</v>
      </c>
      <c r="F69" s="4">
        <f t="shared" ca="1" si="2"/>
        <v>-70</v>
      </c>
      <c r="G69" s="4">
        <f ca="1">SUM(F$15:F69)</f>
        <v>1080</v>
      </c>
      <c r="H69" s="6">
        <f t="shared" ca="1" si="6"/>
        <v>0.87927646067527643</v>
      </c>
    </row>
    <row r="70" spans="2:8" x14ac:dyDescent="0.25">
      <c r="B70" s="1">
        <f t="shared" si="7"/>
        <v>56</v>
      </c>
      <c r="C70" s="3">
        <f t="shared" si="4"/>
        <v>70</v>
      </c>
      <c r="D70" s="3">
        <f t="shared" si="5"/>
        <v>100</v>
      </c>
      <c r="E70" s="1" t="str">
        <f t="shared" ca="1" si="0"/>
        <v>Call</v>
      </c>
      <c r="F70" s="4">
        <f t="shared" ca="1" si="2"/>
        <v>-70</v>
      </c>
      <c r="G70" s="4">
        <f ca="1">SUM(F$15:F70)</f>
        <v>1010</v>
      </c>
      <c r="H70" s="6">
        <f t="shared" ca="1" si="6"/>
        <v>0.98159885349990028</v>
      </c>
    </row>
    <row r="71" spans="2:8" x14ac:dyDescent="0.25">
      <c r="B71" s="1">
        <f t="shared" si="7"/>
        <v>57</v>
      </c>
      <c r="C71" s="3">
        <f t="shared" si="4"/>
        <v>70</v>
      </c>
      <c r="D71" s="3">
        <f t="shared" si="5"/>
        <v>100</v>
      </c>
      <c r="E71" s="1" t="str">
        <f t="shared" ca="1" si="0"/>
        <v>Fold</v>
      </c>
      <c r="F71" s="4">
        <f t="shared" ca="1" si="2"/>
        <v>100</v>
      </c>
      <c r="G71" s="4">
        <f ca="1">SUM(F$15:F71)</f>
        <v>1110</v>
      </c>
      <c r="H71" s="6">
        <f t="shared" ca="1" si="6"/>
        <v>6.318220645564443E-2</v>
      </c>
    </row>
    <row r="72" spans="2:8" x14ac:dyDescent="0.25">
      <c r="B72" s="1">
        <f t="shared" si="7"/>
        <v>58</v>
      </c>
      <c r="C72" s="3">
        <f t="shared" si="4"/>
        <v>70</v>
      </c>
      <c r="D72" s="3">
        <f t="shared" si="5"/>
        <v>100</v>
      </c>
      <c r="E72" s="1" t="str">
        <f t="shared" ca="1" si="0"/>
        <v>Call</v>
      </c>
      <c r="F72" s="4">
        <f t="shared" ca="1" si="2"/>
        <v>-70</v>
      </c>
      <c r="G72" s="4">
        <f ca="1">SUM(F$15:F72)</f>
        <v>1040</v>
      </c>
      <c r="H72" s="6">
        <f t="shared" ca="1" si="6"/>
        <v>0.61984567089065956</v>
      </c>
    </row>
    <row r="73" spans="2:8" x14ac:dyDescent="0.25">
      <c r="B73" s="1">
        <f t="shared" si="7"/>
        <v>59</v>
      </c>
      <c r="C73" s="3">
        <f t="shared" si="4"/>
        <v>70</v>
      </c>
      <c r="D73" s="3">
        <f t="shared" si="5"/>
        <v>100</v>
      </c>
      <c r="E73" s="1" t="str">
        <f t="shared" ca="1" si="0"/>
        <v>Call</v>
      </c>
      <c r="F73" s="4">
        <f t="shared" ca="1" si="2"/>
        <v>-70</v>
      </c>
      <c r="G73" s="4">
        <f ca="1">SUM(F$15:F73)</f>
        <v>970</v>
      </c>
      <c r="H73" s="6">
        <f t="shared" ca="1" si="6"/>
        <v>0.60948278559937519</v>
      </c>
    </row>
    <row r="74" spans="2:8" x14ac:dyDescent="0.25">
      <c r="B74" s="1">
        <f t="shared" si="7"/>
        <v>60</v>
      </c>
      <c r="C74" s="3">
        <f t="shared" si="4"/>
        <v>70</v>
      </c>
      <c r="D74" s="3">
        <f t="shared" si="5"/>
        <v>100</v>
      </c>
      <c r="E74" s="1" t="str">
        <f t="shared" ca="1" si="0"/>
        <v>Fold</v>
      </c>
      <c r="F74" s="4">
        <f t="shared" ca="1" si="2"/>
        <v>100</v>
      </c>
      <c r="G74" s="4">
        <f ca="1">SUM(F$15:F74)</f>
        <v>1070</v>
      </c>
      <c r="H74" s="6">
        <f t="shared" ca="1" si="6"/>
        <v>0.11651586510568546</v>
      </c>
    </row>
    <row r="75" spans="2:8" x14ac:dyDescent="0.25">
      <c r="B75" s="1">
        <f t="shared" si="7"/>
        <v>61</v>
      </c>
      <c r="C75" s="3">
        <f t="shared" si="4"/>
        <v>70</v>
      </c>
      <c r="D75" s="3">
        <f t="shared" si="5"/>
        <v>100</v>
      </c>
      <c r="E75" s="1" t="str">
        <f t="shared" ca="1" si="0"/>
        <v>Fold</v>
      </c>
      <c r="F75" s="4">
        <f t="shared" ca="1" si="2"/>
        <v>100</v>
      </c>
      <c r="G75" s="4">
        <f ca="1">SUM(F$15:F75)</f>
        <v>1170</v>
      </c>
      <c r="H75" s="6">
        <f t="shared" ca="1" si="6"/>
        <v>0.49856575726525643</v>
      </c>
    </row>
    <row r="76" spans="2:8" x14ac:dyDescent="0.25">
      <c r="B76" s="1">
        <f t="shared" si="7"/>
        <v>62</v>
      </c>
      <c r="C76" s="3">
        <f t="shared" si="4"/>
        <v>70</v>
      </c>
      <c r="D76" s="3">
        <f t="shared" si="5"/>
        <v>100</v>
      </c>
      <c r="E76" s="1" t="str">
        <f t="shared" ca="1" si="0"/>
        <v>Fold</v>
      </c>
      <c r="F76" s="4">
        <f t="shared" ca="1" si="2"/>
        <v>100</v>
      </c>
      <c r="G76" s="4">
        <f ca="1">SUM(F$15:F76)</f>
        <v>1270</v>
      </c>
      <c r="H76" s="6">
        <f t="shared" ca="1" si="6"/>
        <v>0.25415454194570419</v>
      </c>
    </row>
    <row r="77" spans="2:8" x14ac:dyDescent="0.25">
      <c r="B77" s="1">
        <f t="shared" si="7"/>
        <v>63</v>
      </c>
      <c r="C77" s="3">
        <f t="shared" si="4"/>
        <v>70</v>
      </c>
      <c r="D77" s="3">
        <f t="shared" si="5"/>
        <v>100</v>
      </c>
      <c r="E77" s="1" t="str">
        <f t="shared" ca="1" si="0"/>
        <v>Call</v>
      </c>
      <c r="F77" s="4">
        <f t="shared" ca="1" si="2"/>
        <v>-70</v>
      </c>
      <c r="G77" s="4">
        <f ca="1">SUM(F$15:F77)</f>
        <v>1200</v>
      </c>
      <c r="H77" s="6">
        <f t="shared" ca="1" si="6"/>
        <v>0.60186414272473321</v>
      </c>
    </row>
    <row r="78" spans="2:8" x14ac:dyDescent="0.25">
      <c r="B78" s="1">
        <f t="shared" si="7"/>
        <v>64</v>
      </c>
      <c r="C78" s="3">
        <f t="shared" si="4"/>
        <v>70</v>
      </c>
      <c r="D78" s="3">
        <f t="shared" si="5"/>
        <v>100</v>
      </c>
      <c r="E78" s="1" t="str">
        <f t="shared" ca="1" si="0"/>
        <v>Fold</v>
      </c>
      <c r="F78" s="4">
        <f t="shared" ca="1" si="2"/>
        <v>100</v>
      </c>
      <c r="G78" s="4">
        <f ca="1">SUM(F$15:F78)</f>
        <v>1300</v>
      </c>
      <c r="H78" s="6">
        <f t="shared" ca="1" si="6"/>
        <v>5.7102009530141107E-2</v>
      </c>
    </row>
    <row r="79" spans="2:8" x14ac:dyDescent="0.25">
      <c r="B79" s="1">
        <f t="shared" si="7"/>
        <v>65</v>
      </c>
      <c r="C79" s="3">
        <f t="shared" si="4"/>
        <v>70</v>
      </c>
      <c r="D79" s="3">
        <f t="shared" si="5"/>
        <v>100</v>
      </c>
      <c r="E79" s="1" t="str">
        <f t="shared" ref="E79:E142" ca="1" si="8">IF(H79&lt;$D$3,"Fold","Call")</f>
        <v>Call</v>
      </c>
      <c r="F79" s="4">
        <f t="shared" ca="1" si="2"/>
        <v>-70</v>
      </c>
      <c r="G79" s="4">
        <f ca="1">SUM(F$15:F79)</f>
        <v>1230</v>
      </c>
      <c r="H79" s="6">
        <f t="shared" ca="1" si="6"/>
        <v>0.90230045894324318</v>
      </c>
    </row>
    <row r="80" spans="2:8" x14ac:dyDescent="0.25">
      <c r="B80" s="1">
        <f t="shared" si="7"/>
        <v>66</v>
      </c>
      <c r="C80" s="3">
        <f t="shared" si="4"/>
        <v>70</v>
      </c>
      <c r="D80" s="3">
        <f t="shared" si="5"/>
        <v>100</v>
      </c>
      <c r="E80" s="1" t="str">
        <f t="shared" ca="1" si="8"/>
        <v>Fold</v>
      </c>
      <c r="F80" s="4">
        <f t="shared" ref="F80:F143" ca="1" si="9">IF(E80="Fold",D80,-C80)</f>
        <v>100</v>
      </c>
      <c r="G80" s="4">
        <f ca="1">SUM(F$15:F80)</f>
        <v>1330</v>
      </c>
      <c r="H80" s="6">
        <f t="shared" ca="1" si="6"/>
        <v>0.49587810258980491</v>
      </c>
    </row>
    <row r="81" spans="2:8" x14ac:dyDescent="0.25">
      <c r="B81" s="1">
        <f t="shared" si="7"/>
        <v>67</v>
      </c>
      <c r="C81" s="3">
        <f t="shared" ref="C81:C144" si="10">C80</f>
        <v>70</v>
      </c>
      <c r="D81" s="3">
        <f t="shared" ref="D81:D144" si="11">D80</f>
        <v>100</v>
      </c>
      <c r="E81" s="1" t="str">
        <f t="shared" ca="1" si="8"/>
        <v>Call</v>
      </c>
      <c r="F81" s="4">
        <f t="shared" ca="1" si="9"/>
        <v>-70</v>
      </c>
      <c r="G81" s="4">
        <f ca="1">SUM(F$15:F81)</f>
        <v>1260</v>
      </c>
      <c r="H81" s="6">
        <f t="shared" ca="1" si="6"/>
        <v>0.5230174404745046</v>
      </c>
    </row>
    <row r="82" spans="2:8" x14ac:dyDescent="0.25">
      <c r="B82" s="1">
        <f t="shared" si="7"/>
        <v>68</v>
      </c>
      <c r="C82" s="3">
        <f t="shared" si="10"/>
        <v>70</v>
      </c>
      <c r="D82" s="3">
        <f t="shared" si="11"/>
        <v>100</v>
      </c>
      <c r="E82" s="1" t="str">
        <f t="shared" ca="1" si="8"/>
        <v>Call</v>
      </c>
      <c r="F82" s="4">
        <f t="shared" ca="1" si="9"/>
        <v>-70</v>
      </c>
      <c r="G82" s="4">
        <f ca="1">SUM(F$15:F82)</f>
        <v>1190</v>
      </c>
      <c r="H82" s="6">
        <f t="shared" ca="1" si="6"/>
        <v>0.58274159849882667</v>
      </c>
    </row>
    <row r="83" spans="2:8" x14ac:dyDescent="0.25">
      <c r="B83" s="1">
        <f t="shared" si="7"/>
        <v>69</v>
      </c>
      <c r="C83" s="3">
        <f t="shared" si="10"/>
        <v>70</v>
      </c>
      <c r="D83" s="3">
        <f t="shared" si="11"/>
        <v>100</v>
      </c>
      <c r="E83" s="1" t="str">
        <f t="shared" ca="1" si="8"/>
        <v>Call</v>
      </c>
      <c r="F83" s="4">
        <f t="shared" ca="1" si="9"/>
        <v>-70</v>
      </c>
      <c r="G83" s="4">
        <f ca="1">SUM(F$15:F83)</f>
        <v>1120</v>
      </c>
      <c r="H83" s="6">
        <f t="shared" ca="1" si="6"/>
        <v>0.67854125248481922</v>
      </c>
    </row>
    <row r="84" spans="2:8" x14ac:dyDescent="0.25">
      <c r="B84" s="1">
        <f t="shared" si="7"/>
        <v>70</v>
      </c>
      <c r="C84" s="3">
        <f t="shared" si="10"/>
        <v>70</v>
      </c>
      <c r="D84" s="3">
        <f t="shared" si="11"/>
        <v>100</v>
      </c>
      <c r="E84" s="1" t="str">
        <f t="shared" ca="1" si="8"/>
        <v>Fold</v>
      </c>
      <c r="F84" s="4">
        <f t="shared" ca="1" si="9"/>
        <v>100</v>
      </c>
      <c r="G84" s="4">
        <f ca="1">SUM(F$15:F84)</f>
        <v>1220</v>
      </c>
      <c r="H84" s="6">
        <f t="shared" ca="1" si="6"/>
        <v>0.23401851854524969</v>
      </c>
    </row>
    <row r="85" spans="2:8" x14ac:dyDescent="0.25">
      <c r="B85" s="1">
        <f t="shared" si="7"/>
        <v>71</v>
      </c>
      <c r="C85" s="3">
        <f t="shared" si="10"/>
        <v>70</v>
      </c>
      <c r="D85" s="3">
        <f t="shared" si="11"/>
        <v>100</v>
      </c>
      <c r="E85" s="1" t="str">
        <f t="shared" ca="1" si="8"/>
        <v>Call</v>
      </c>
      <c r="F85" s="4">
        <f t="shared" ca="1" si="9"/>
        <v>-70</v>
      </c>
      <c r="G85" s="4">
        <f ca="1">SUM(F$15:F85)</f>
        <v>1150</v>
      </c>
      <c r="H85" s="6">
        <f t="shared" ca="1" si="6"/>
        <v>0.99693723655488797</v>
      </c>
    </row>
    <row r="86" spans="2:8" x14ac:dyDescent="0.25">
      <c r="B86" s="1">
        <f t="shared" si="7"/>
        <v>72</v>
      </c>
      <c r="C86" s="3">
        <f t="shared" si="10"/>
        <v>70</v>
      </c>
      <c r="D86" s="3">
        <f t="shared" si="11"/>
        <v>100</v>
      </c>
      <c r="E86" s="1" t="str">
        <f t="shared" ca="1" si="8"/>
        <v>Call</v>
      </c>
      <c r="F86" s="4">
        <f t="shared" ca="1" si="9"/>
        <v>-70</v>
      </c>
      <c r="G86" s="4">
        <f ca="1">SUM(F$15:F86)</f>
        <v>1080</v>
      </c>
      <c r="H86" s="6">
        <f t="shared" ca="1" si="6"/>
        <v>0.99521676516766966</v>
      </c>
    </row>
    <row r="87" spans="2:8" x14ac:dyDescent="0.25">
      <c r="B87" s="1">
        <f t="shared" si="7"/>
        <v>73</v>
      </c>
      <c r="C87" s="3">
        <f t="shared" si="10"/>
        <v>70</v>
      </c>
      <c r="D87" s="3">
        <f t="shared" si="11"/>
        <v>100</v>
      </c>
      <c r="E87" s="1" t="str">
        <f t="shared" ca="1" si="8"/>
        <v>Call</v>
      </c>
      <c r="F87" s="4">
        <f t="shared" ca="1" si="9"/>
        <v>-70</v>
      </c>
      <c r="G87" s="4">
        <f ca="1">SUM(F$15:F87)</f>
        <v>1010</v>
      </c>
      <c r="H87" s="6">
        <f t="shared" ca="1" si="6"/>
        <v>0.77349657662525184</v>
      </c>
    </row>
    <row r="88" spans="2:8" x14ac:dyDescent="0.25">
      <c r="B88" s="1">
        <f t="shared" si="7"/>
        <v>74</v>
      </c>
      <c r="C88" s="3">
        <f t="shared" si="10"/>
        <v>70</v>
      </c>
      <c r="D88" s="3">
        <f t="shared" si="11"/>
        <v>100</v>
      </c>
      <c r="E88" s="1" t="str">
        <f t="shared" ca="1" si="8"/>
        <v>Call</v>
      </c>
      <c r="F88" s="4">
        <f t="shared" ca="1" si="9"/>
        <v>-70</v>
      </c>
      <c r="G88" s="4">
        <f ca="1">SUM(F$15:F88)</f>
        <v>940</v>
      </c>
      <c r="H88" s="6">
        <f t="shared" ca="1" si="6"/>
        <v>0.92760965626228498</v>
      </c>
    </row>
    <row r="89" spans="2:8" x14ac:dyDescent="0.25">
      <c r="B89" s="1">
        <f t="shared" si="7"/>
        <v>75</v>
      </c>
      <c r="C89" s="3">
        <f t="shared" si="10"/>
        <v>70</v>
      </c>
      <c r="D89" s="3">
        <f t="shared" si="11"/>
        <v>100</v>
      </c>
      <c r="E89" s="1" t="str">
        <f t="shared" ca="1" si="8"/>
        <v>Fold</v>
      </c>
      <c r="F89" s="4">
        <f t="shared" ca="1" si="9"/>
        <v>100</v>
      </c>
      <c r="G89" s="4">
        <f ca="1">SUM(F$15:F89)</f>
        <v>1040</v>
      </c>
      <c r="H89" s="6">
        <f t="shared" ca="1" si="6"/>
        <v>0.11343957828062112</v>
      </c>
    </row>
    <row r="90" spans="2:8" x14ac:dyDescent="0.25">
      <c r="B90" s="1">
        <f t="shared" si="7"/>
        <v>76</v>
      </c>
      <c r="C90" s="3">
        <f t="shared" si="10"/>
        <v>70</v>
      </c>
      <c r="D90" s="3">
        <f t="shared" si="11"/>
        <v>100</v>
      </c>
      <c r="E90" s="1" t="str">
        <f t="shared" ca="1" si="8"/>
        <v>Fold</v>
      </c>
      <c r="F90" s="4">
        <f t="shared" ca="1" si="9"/>
        <v>100</v>
      </c>
      <c r="G90" s="4">
        <f ca="1">SUM(F$15:F90)</f>
        <v>1140</v>
      </c>
      <c r="H90" s="6">
        <f t="shared" ca="1" si="6"/>
        <v>0.19160823097930768</v>
      </c>
    </row>
    <row r="91" spans="2:8" x14ac:dyDescent="0.25">
      <c r="B91" s="1">
        <f t="shared" si="7"/>
        <v>77</v>
      </c>
      <c r="C91" s="3">
        <f t="shared" si="10"/>
        <v>70</v>
      </c>
      <c r="D91" s="3">
        <f t="shared" si="11"/>
        <v>100</v>
      </c>
      <c r="E91" s="1" t="str">
        <f t="shared" ca="1" si="8"/>
        <v>Fold</v>
      </c>
      <c r="F91" s="4">
        <f t="shared" ca="1" si="9"/>
        <v>100</v>
      </c>
      <c r="G91" s="4">
        <f ca="1">SUM(F$15:F91)</f>
        <v>1240</v>
      </c>
      <c r="H91" s="6">
        <f t="shared" ca="1" si="6"/>
        <v>0.32657212705444205</v>
      </c>
    </row>
    <row r="92" spans="2:8" x14ac:dyDescent="0.25">
      <c r="B92" s="1">
        <f t="shared" si="7"/>
        <v>78</v>
      </c>
      <c r="C92" s="3">
        <f t="shared" si="10"/>
        <v>70</v>
      </c>
      <c r="D92" s="3">
        <f t="shared" si="11"/>
        <v>100</v>
      </c>
      <c r="E92" s="1" t="str">
        <f t="shared" ca="1" si="8"/>
        <v>Fold</v>
      </c>
      <c r="F92" s="4">
        <f t="shared" ca="1" si="9"/>
        <v>100</v>
      </c>
      <c r="G92" s="4">
        <f ca="1">SUM(F$15:F92)</f>
        <v>1340</v>
      </c>
      <c r="H92" s="6">
        <f t="shared" ca="1" si="6"/>
        <v>0.41581188033947425</v>
      </c>
    </row>
    <row r="93" spans="2:8" x14ac:dyDescent="0.25">
      <c r="B93" s="1">
        <f t="shared" si="7"/>
        <v>79</v>
      </c>
      <c r="C93" s="3">
        <f t="shared" si="10"/>
        <v>70</v>
      </c>
      <c r="D93" s="3">
        <f t="shared" si="11"/>
        <v>100</v>
      </c>
      <c r="E93" s="1" t="str">
        <f t="shared" ca="1" si="8"/>
        <v>Fold</v>
      </c>
      <c r="F93" s="4">
        <f t="shared" ca="1" si="9"/>
        <v>100</v>
      </c>
      <c r="G93" s="4">
        <f ca="1">SUM(F$15:F93)</f>
        <v>1440</v>
      </c>
      <c r="H93" s="6">
        <f t="shared" ca="1" si="6"/>
        <v>0.15144378214081078</v>
      </c>
    </row>
    <row r="94" spans="2:8" x14ac:dyDescent="0.25">
      <c r="B94" s="1">
        <f t="shared" si="7"/>
        <v>80</v>
      </c>
      <c r="C94" s="3">
        <f t="shared" si="10"/>
        <v>70</v>
      </c>
      <c r="D94" s="3">
        <f t="shared" si="11"/>
        <v>100</v>
      </c>
      <c r="E94" s="1" t="str">
        <f t="shared" ca="1" si="8"/>
        <v>Call</v>
      </c>
      <c r="F94" s="4">
        <f t="shared" ca="1" si="9"/>
        <v>-70</v>
      </c>
      <c r="G94" s="4">
        <f ca="1">SUM(F$15:F94)</f>
        <v>1370</v>
      </c>
      <c r="H94" s="6">
        <f t="shared" ref="H94:H157" ca="1" si="12">RAND()</f>
        <v>0.77660244426557579</v>
      </c>
    </row>
    <row r="95" spans="2:8" x14ac:dyDescent="0.25">
      <c r="B95" s="1">
        <f t="shared" si="7"/>
        <v>81</v>
      </c>
      <c r="C95" s="3">
        <f t="shared" si="10"/>
        <v>70</v>
      </c>
      <c r="D95" s="3">
        <f t="shared" si="11"/>
        <v>100</v>
      </c>
      <c r="E95" s="1" t="str">
        <f t="shared" ca="1" si="8"/>
        <v>Call</v>
      </c>
      <c r="F95" s="4">
        <f t="shared" ca="1" si="9"/>
        <v>-70</v>
      </c>
      <c r="G95" s="4">
        <f ca="1">SUM(F$15:F95)</f>
        <v>1300</v>
      </c>
      <c r="H95" s="6">
        <f t="shared" ca="1" si="12"/>
        <v>0.65960026974391928</v>
      </c>
    </row>
    <row r="96" spans="2:8" x14ac:dyDescent="0.25">
      <c r="B96" s="1">
        <f t="shared" si="7"/>
        <v>82</v>
      </c>
      <c r="C96" s="3">
        <f t="shared" si="10"/>
        <v>70</v>
      </c>
      <c r="D96" s="3">
        <f t="shared" si="11"/>
        <v>100</v>
      </c>
      <c r="E96" s="1" t="str">
        <f t="shared" ca="1" si="8"/>
        <v>Fold</v>
      </c>
      <c r="F96" s="4">
        <f t="shared" ca="1" si="9"/>
        <v>100</v>
      </c>
      <c r="G96" s="4">
        <f ca="1">SUM(F$15:F96)</f>
        <v>1400</v>
      </c>
      <c r="H96" s="6">
        <f t="shared" ca="1" si="12"/>
        <v>0.4510635532354732</v>
      </c>
    </row>
    <row r="97" spans="2:8" x14ac:dyDescent="0.25">
      <c r="B97" s="1">
        <f t="shared" si="7"/>
        <v>83</v>
      </c>
      <c r="C97" s="3">
        <f t="shared" si="10"/>
        <v>70</v>
      </c>
      <c r="D97" s="3">
        <f t="shared" si="11"/>
        <v>100</v>
      </c>
      <c r="E97" s="1" t="str">
        <f t="shared" ca="1" si="8"/>
        <v>Call</v>
      </c>
      <c r="F97" s="4">
        <f t="shared" ca="1" si="9"/>
        <v>-70</v>
      </c>
      <c r="G97" s="4">
        <f ca="1">SUM(F$15:F97)</f>
        <v>1330</v>
      </c>
      <c r="H97" s="6">
        <f t="shared" ca="1" si="12"/>
        <v>0.64828609819277339</v>
      </c>
    </row>
    <row r="98" spans="2:8" x14ac:dyDescent="0.25">
      <c r="B98" s="1">
        <f t="shared" si="7"/>
        <v>84</v>
      </c>
      <c r="C98" s="3">
        <f t="shared" si="10"/>
        <v>70</v>
      </c>
      <c r="D98" s="3">
        <f t="shared" si="11"/>
        <v>100</v>
      </c>
      <c r="E98" s="1" t="str">
        <f t="shared" ca="1" si="8"/>
        <v>Fold</v>
      </c>
      <c r="F98" s="4">
        <f t="shared" ca="1" si="9"/>
        <v>100</v>
      </c>
      <c r="G98" s="4">
        <f ca="1">SUM(F$15:F98)</f>
        <v>1430</v>
      </c>
      <c r="H98" s="6">
        <f t="shared" ca="1" si="12"/>
        <v>0.20176353869437269</v>
      </c>
    </row>
    <row r="99" spans="2:8" x14ac:dyDescent="0.25">
      <c r="B99" s="1">
        <f t="shared" si="7"/>
        <v>85</v>
      </c>
      <c r="C99" s="3">
        <f t="shared" si="10"/>
        <v>70</v>
      </c>
      <c r="D99" s="3">
        <f t="shared" si="11"/>
        <v>100</v>
      </c>
      <c r="E99" s="1" t="str">
        <f t="shared" ca="1" si="8"/>
        <v>Call</v>
      </c>
      <c r="F99" s="4">
        <f t="shared" ca="1" si="9"/>
        <v>-70</v>
      </c>
      <c r="G99" s="4">
        <f ca="1">SUM(F$15:F99)</f>
        <v>1360</v>
      </c>
      <c r="H99" s="6">
        <f t="shared" ca="1" si="12"/>
        <v>0.8584627323609284</v>
      </c>
    </row>
    <row r="100" spans="2:8" x14ac:dyDescent="0.25">
      <c r="B100" s="1">
        <f t="shared" si="7"/>
        <v>86</v>
      </c>
      <c r="C100" s="3">
        <f t="shared" si="10"/>
        <v>70</v>
      </c>
      <c r="D100" s="3">
        <f t="shared" si="11"/>
        <v>100</v>
      </c>
      <c r="E100" s="1" t="str">
        <f t="shared" ca="1" si="8"/>
        <v>Fold</v>
      </c>
      <c r="F100" s="4">
        <f t="shared" ca="1" si="9"/>
        <v>100</v>
      </c>
      <c r="G100" s="4">
        <f ca="1">SUM(F$15:F100)</f>
        <v>1460</v>
      </c>
      <c r="H100" s="6">
        <f t="shared" ca="1" si="12"/>
        <v>4.9420415012134122E-2</v>
      </c>
    </row>
    <row r="101" spans="2:8" x14ac:dyDescent="0.25">
      <c r="B101" s="1">
        <f t="shared" si="7"/>
        <v>87</v>
      </c>
      <c r="C101" s="3">
        <f t="shared" si="10"/>
        <v>70</v>
      </c>
      <c r="D101" s="3">
        <f t="shared" si="11"/>
        <v>100</v>
      </c>
      <c r="E101" s="1" t="str">
        <f t="shared" ca="1" si="8"/>
        <v>Call</v>
      </c>
      <c r="F101" s="4">
        <f t="shared" ca="1" si="9"/>
        <v>-70</v>
      </c>
      <c r="G101" s="4">
        <f ca="1">SUM(F$15:F101)</f>
        <v>1390</v>
      </c>
      <c r="H101" s="6">
        <f t="shared" ca="1" si="12"/>
        <v>0.7799667344459057</v>
      </c>
    </row>
    <row r="102" spans="2:8" x14ac:dyDescent="0.25">
      <c r="B102" s="1">
        <f t="shared" si="7"/>
        <v>88</v>
      </c>
      <c r="C102" s="3">
        <f t="shared" si="10"/>
        <v>70</v>
      </c>
      <c r="D102" s="3">
        <f t="shared" si="11"/>
        <v>100</v>
      </c>
      <c r="E102" s="1" t="str">
        <f t="shared" ca="1" si="8"/>
        <v>Fold</v>
      </c>
      <c r="F102" s="4">
        <f t="shared" ca="1" si="9"/>
        <v>100</v>
      </c>
      <c r="G102" s="4">
        <f ca="1">SUM(F$15:F102)</f>
        <v>1490</v>
      </c>
      <c r="H102" s="6">
        <f t="shared" ca="1" si="12"/>
        <v>9.1546723510517736E-2</v>
      </c>
    </row>
    <row r="103" spans="2:8" x14ac:dyDescent="0.25">
      <c r="B103" s="1">
        <f t="shared" si="7"/>
        <v>89</v>
      </c>
      <c r="C103" s="3">
        <f t="shared" si="10"/>
        <v>70</v>
      </c>
      <c r="D103" s="3">
        <f t="shared" si="11"/>
        <v>100</v>
      </c>
      <c r="E103" s="1" t="str">
        <f t="shared" ca="1" si="8"/>
        <v>Call</v>
      </c>
      <c r="F103" s="4">
        <f t="shared" ca="1" si="9"/>
        <v>-70</v>
      </c>
      <c r="G103" s="4">
        <f ca="1">SUM(F$15:F103)</f>
        <v>1420</v>
      </c>
      <c r="H103" s="6">
        <f t="shared" ca="1" si="12"/>
        <v>0.96466892787301461</v>
      </c>
    </row>
    <row r="104" spans="2:8" x14ac:dyDescent="0.25">
      <c r="B104" s="1">
        <f t="shared" si="7"/>
        <v>90</v>
      </c>
      <c r="C104" s="3">
        <f t="shared" si="10"/>
        <v>70</v>
      </c>
      <c r="D104" s="3">
        <f t="shared" si="11"/>
        <v>100</v>
      </c>
      <c r="E104" s="1" t="str">
        <f t="shared" ca="1" si="8"/>
        <v>Call</v>
      </c>
      <c r="F104" s="4">
        <f t="shared" ca="1" si="9"/>
        <v>-70</v>
      </c>
      <c r="G104" s="4">
        <f ca="1">SUM(F$15:F104)</f>
        <v>1350</v>
      </c>
      <c r="H104" s="6">
        <f t="shared" ca="1" si="12"/>
        <v>0.69121533768137677</v>
      </c>
    </row>
    <row r="105" spans="2:8" x14ac:dyDescent="0.25">
      <c r="B105" s="1">
        <f t="shared" si="7"/>
        <v>91</v>
      </c>
      <c r="C105" s="3">
        <f t="shared" si="10"/>
        <v>70</v>
      </c>
      <c r="D105" s="3">
        <f t="shared" si="11"/>
        <v>100</v>
      </c>
      <c r="E105" s="1" t="str">
        <f t="shared" ca="1" si="8"/>
        <v>Call</v>
      </c>
      <c r="F105" s="4">
        <f t="shared" ca="1" si="9"/>
        <v>-70</v>
      </c>
      <c r="G105" s="4">
        <f ca="1">SUM(F$15:F105)</f>
        <v>1280</v>
      </c>
      <c r="H105" s="6">
        <f t="shared" ca="1" si="12"/>
        <v>0.98776203065763235</v>
      </c>
    </row>
    <row r="106" spans="2:8" x14ac:dyDescent="0.25">
      <c r="B106" s="1">
        <f t="shared" si="7"/>
        <v>92</v>
      </c>
      <c r="C106" s="3">
        <f t="shared" si="10"/>
        <v>70</v>
      </c>
      <c r="D106" s="3">
        <f t="shared" si="11"/>
        <v>100</v>
      </c>
      <c r="E106" s="1" t="str">
        <f t="shared" ca="1" si="8"/>
        <v>Call</v>
      </c>
      <c r="F106" s="4">
        <f t="shared" ca="1" si="9"/>
        <v>-70</v>
      </c>
      <c r="G106" s="4">
        <f ca="1">SUM(F$15:F106)</f>
        <v>1210</v>
      </c>
      <c r="H106" s="6">
        <f t="shared" ca="1" si="12"/>
        <v>0.88351759295971388</v>
      </c>
    </row>
    <row r="107" spans="2:8" x14ac:dyDescent="0.25">
      <c r="B107" s="1">
        <f t="shared" si="7"/>
        <v>93</v>
      </c>
      <c r="C107" s="3">
        <f t="shared" si="10"/>
        <v>70</v>
      </c>
      <c r="D107" s="3">
        <f t="shared" si="11"/>
        <v>100</v>
      </c>
      <c r="E107" s="1" t="str">
        <f t="shared" ca="1" si="8"/>
        <v>Fold</v>
      </c>
      <c r="F107" s="4">
        <f t="shared" ca="1" si="9"/>
        <v>100</v>
      </c>
      <c r="G107" s="4">
        <f ca="1">SUM(F$15:F107)</f>
        <v>1310</v>
      </c>
      <c r="H107" s="6">
        <f t="shared" ca="1" si="12"/>
        <v>0.38141557733084475</v>
      </c>
    </row>
    <row r="108" spans="2:8" x14ac:dyDescent="0.25">
      <c r="B108" s="1">
        <f t="shared" si="7"/>
        <v>94</v>
      </c>
      <c r="C108" s="3">
        <f t="shared" si="10"/>
        <v>70</v>
      </c>
      <c r="D108" s="3">
        <f t="shared" si="11"/>
        <v>100</v>
      </c>
      <c r="E108" s="1" t="str">
        <f t="shared" ca="1" si="8"/>
        <v>Call</v>
      </c>
      <c r="F108" s="4">
        <f t="shared" ca="1" si="9"/>
        <v>-70</v>
      </c>
      <c r="G108" s="4">
        <f ca="1">SUM(F$15:F108)</f>
        <v>1240</v>
      </c>
      <c r="H108" s="6">
        <f t="shared" ca="1" si="12"/>
        <v>0.53216995799174771</v>
      </c>
    </row>
    <row r="109" spans="2:8" x14ac:dyDescent="0.25">
      <c r="B109" s="1">
        <f t="shared" si="7"/>
        <v>95</v>
      </c>
      <c r="C109" s="3">
        <f t="shared" si="10"/>
        <v>70</v>
      </c>
      <c r="D109" s="3">
        <f t="shared" si="11"/>
        <v>100</v>
      </c>
      <c r="E109" s="1" t="str">
        <f t="shared" ca="1" si="8"/>
        <v>Call</v>
      </c>
      <c r="F109" s="4">
        <f t="shared" ca="1" si="9"/>
        <v>-70</v>
      </c>
      <c r="G109" s="4">
        <f ca="1">SUM(F$15:F109)</f>
        <v>1170</v>
      </c>
      <c r="H109" s="6">
        <f t="shared" ca="1" si="12"/>
        <v>0.84061546096155493</v>
      </c>
    </row>
    <row r="110" spans="2:8" x14ac:dyDescent="0.25">
      <c r="B110" s="1">
        <f t="shared" si="7"/>
        <v>96</v>
      </c>
      <c r="C110" s="3">
        <f t="shared" si="10"/>
        <v>70</v>
      </c>
      <c r="D110" s="3">
        <f t="shared" si="11"/>
        <v>100</v>
      </c>
      <c r="E110" s="1" t="str">
        <f t="shared" ca="1" si="8"/>
        <v>Call</v>
      </c>
      <c r="F110" s="4">
        <f t="shared" ca="1" si="9"/>
        <v>-70</v>
      </c>
      <c r="G110" s="4">
        <f ca="1">SUM(F$15:F110)</f>
        <v>1100</v>
      </c>
      <c r="H110" s="6">
        <f t="shared" ca="1" si="12"/>
        <v>0.9257534040898262</v>
      </c>
    </row>
    <row r="111" spans="2:8" x14ac:dyDescent="0.25">
      <c r="B111" s="1">
        <f t="shared" si="7"/>
        <v>97</v>
      </c>
      <c r="C111" s="3">
        <f t="shared" si="10"/>
        <v>70</v>
      </c>
      <c r="D111" s="3">
        <f t="shared" si="11"/>
        <v>100</v>
      </c>
      <c r="E111" s="1" t="str">
        <f t="shared" ca="1" si="8"/>
        <v>Call</v>
      </c>
      <c r="F111" s="4">
        <f t="shared" ca="1" si="9"/>
        <v>-70</v>
      </c>
      <c r="G111" s="4">
        <f ca="1">SUM(F$15:F111)</f>
        <v>1030</v>
      </c>
      <c r="H111" s="6">
        <f t="shared" ca="1" si="12"/>
        <v>0.98433028790322596</v>
      </c>
    </row>
    <row r="112" spans="2:8" x14ac:dyDescent="0.25">
      <c r="B112" s="1">
        <f t="shared" si="7"/>
        <v>98</v>
      </c>
      <c r="C112" s="3">
        <f t="shared" si="10"/>
        <v>70</v>
      </c>
      <c r="D112" s="3">
        <f t="shared" si="11"/>
        <v>100</v>
      </c>
      <c r="E112" s="1" t="str">
        <f t="shared" ca="1" si="8"/>
        <v>Call</v>
      </c>
      <c r="F112" s="4">
        <f t="shared" ca="1" si="9"/>
        <v>-70</v>
      </c>
      <c r="G112" s="4">
        <f ca="1">SUM(F$15:F112)</f>
        <v>960</v>
      </c>
      <c r="H112" s="6">
        <f t="shared" ca="1" si="12"/>
        <v>0.64328352862975069</v>
      </c>
    </row>
    <row r="113" spans="2:8" x14ac:dyDescent="0.25">
      <c r="B113" s="1">
        <f t="shared" si="7"/>
        <v>99</v>
      </c>
      <c r="C113" s="3">
        <f t="shared" si="10"/>
        <v>70</v>
      </c>
      <c r="D113" s="3">
        <f t="shared" si="11"/>
        <v>100</v>
      </c>
      <c r="E113" s="1" t="str">
        <f t="shared" ca="1" si="8"/>
        <v>Call</v>
      </c>
      <c r="F113" s="4">
        <f t="shared" ca="1" si="9"/>
        <v>-70</v>
      </c>
      <c r="G113" s="4">
        <f ca="1">SUM(F$15:F113)</f>
        <v>890</v>
      </c>
      <c r="H113" s="6">
        <f t="shared" ca="1" si="12"/>
        <v>0.93935035009451928</v>
      </c>
    </row>
    <row r="114" spans="2:8" x14ac:dyDescent="0.25">
      <c r="B114" s="1">
        <f t="shared" si="7"/>
        <v>100</v>
      </c>
      <c r="C114" s="3">
        <f t="shared" si="10"/>
        <v>70</v>
      </c>
      <c r="D114" s="3">
        <f t="shared" si="11"/>
        <v>100</v>
      </c>
      <c r="E114" s="1" t="str">
        <f t="shared" ca="1" si="8"/>
        <v>Call</v>
      </c>
      <c r="F114" s="4">
        <f t="shared" ca="1" si="9"/>
        <v>-70</v>
      </c>
      <c r="G114" s="4">
        <f ca="1">SUM(F$15:F114)</f>
        <v>820</v>
      </c>
      <c r="H114" s="6">
        <f t="shared" ca="1" si="12"/>
        <v>0.75809227712389538</v>
      </c>
    </row>
    <row r="115" spans="2:8" x14ac:dyDescent="0.25">
      <c r="B115" s="1">
        <f t="shared" si="7"/>
        <v>101</v>
      </c>
      <c r="C115" s="3">
        <f t="shared" si="10"/>
        <v>70</v>
      </c>
      <c r="D115" s="3">
        <f t="shared" si="11"/>
        <v>100</v>
      </c>
      <c r="E115" s="1" t="str">
        <f t="shared" ca="1" si="8"/>
        <v>Call</v>
      </c>
      <c r="F115" s="4">
        <f t="shared" ca="1" si="9"/>
        <v>-70</v>
      </c>
      <c r="G115" s="4">
        <f ca="1">SUM(F$15:F115)</f>
        <v>750</v>
      </c>
      <c r="H115" s="6">
        <f t="shared" ca="1" si="12"/>
        <v>0.76540336470883175</v>
      </c>
    </row>
    <row r="116" spans="2:8" x14ac:dyDescent="0.25">
      <c r="B116" s="1">
        <f t="shared" si="7"/>
        <v>102</v>
      </c>
      <c r="C116" s="3">
        <f t="shared" si="10"/>
        <v>70</v>
      </c>
      <c r="D116" s="3">
        <f t="shared" si="11"/>
        <v>100</v>
      </c>
      <c r="E116" s="1" t="str">
        <f t="shared" ca="1" si="8"/>
        <v>Fold</v>
      </c>
      <c r="F116" s="4">
        <f t="shared" ca="1" si="9"/>
        <v>100</v>
      </c>
      <c r="G116" s="4">
        <f ca="1">SUM(F$15:F116)</f>
        <v>850</v>
      </c>
      <c r="H116" s="6">
        <f t="shared" ca="1" si="12"/>
        <v>0.44516284118951965</v>
      </c>
    </row>
    <row r="117" spans="2:8" x14ac:dyDescent="0.25">
      <c r="B117" s="1">
        <f t="shared" si="7"/>
        <v>103</v>
      </c>
      <c r="C117" s="3">
        <f t="shared" si="10"/>
        <v>70</v>
      </c>
      <c r="D117" s="3">
        <f t="shared" si="11"/>
        <v>100</v>
      </c>
      <c r="E117" s="1" t="str">
        <f t="shared" ca="1" si="8"/>
        <v>Call</v>
      </c>
      <c r="F117" s="4">
        <f t="shared" ca="1" si="9"/>
        <v>-70</v>
      </c>
      <c r="G117" s="4">
        <f ca="1">SUM(F$15:F117)</f>
        <v>780</v>
      </c>
      <c r="H117" s="6">
        <f t="shared" ca="1" si="12"/>
        <v>0.65774157079565643</v>
      </c>
    </row>
    <row r="118" spans="2:8" x14ac:dyDescent="0.25">
      <c r="B118" s="1">
        <f t="shared" si="7"/>
        <v>104</v>
      </c>
      <c r="C118" s="3">
        <f t="shared" si="10"/>
        <v>70</v>
      </c>
      <c r="D118" s="3">
        <f t="shared" si="11"/>
        <v>100</v>
      </c>
      <c r="E118" s="1" t="str">
        <f t="shared" ca="1" si="8"/>
        <v>Fold</v>
      </c>
      <c r="F118" s="4">
        <f t="shared" ca="1" si="9"/>
        <v>100</v>
      </c>
      <c r="G118" s="4">
        <f ca="1">SUM(F$15:F118)</f>
        <v>880</v>
      </c>
      <c r="H118" s="6">
        <f t="shared" ca="1" si="12"/>
        <v>0.11633794887236615</v>
      </c>
    </row>
    <row r="119" spans="2:8" x14ac:dyDescent="0.25">
      <c r="B119" s="1">
        <f t="shared" si="7"/>
        <v>105</v>
      </c>
      <c r="C119" s="3">
        <f t="shared" si="10"/>
        <v>70</v>
      </c>
      <c r="D119" s="3">
        <f t="shared" si="11"/>
        <v>100</v>
      </c>
      <c r="E119" s="1" t="str">
        <f t="shared" ca="1" si="8"/>
        <v>Fold</v>
      </c>
      <c r="F119" s="4">
        <f t="shared" ca="1" si="9"/>
        <v>100</v>
      </c>
      <c r="G119" s="4">
        <f ca="1">SUM(F$15:F119)</f>
        <v>980</v>
      </c>
      <c r="H119" s="6">
        <f t="shared" ca="1" si="12"/>
        <v>0.481950965537292</v>
      </c>
    </row>
    <row r="120" spans="2:8" x14ac:dyDescent="0.25">
      <c r="B120" s="1">
        <f t="shared" si="7"/>
        <v>106</v>
      </c>
      <c r="C120" s="3">
        <f t="shared" si="10"/>
        <v>70</v>
      </c>
      <c r="D120" s="3">
        <f t="shared" si="11"/>
        <v>100</v>
      </c>
      <c r="E120" s="1" t="str">
        <f t="shared" ca="1" si="8"/>
        <v>Fold</v>
      </c>
      <c r="F120" s="4">
        <f t="shared" ca="1" si="9"/>
        <v>100</v>
      </c>
      <c r="G120" s="4">
        <f ca="1">SUM(F$15:F120)</f>
        <v>1080</v>
      </c>
      <c r="H120" s="6">
        <f t="shared" ca="1" si="12"/>
        <v>0.49540455117536675</v>
      </c>
    </row>
    <row r="121" spans="2:8" x14ac:dyDescent="0.25">
      <c r="B121" s="1">
        <f t="shared" si="7"/>
        <v>107</v>
      </c>
      <c r="C121" s="3">
        <f t="shared" si="10"/>
        <v>70</v>
      </c>
      <c r="D121" s="3">
        <f t="shared" si="11"/>
        <v>100</v>
      </c>
      <c r="E121" s="1" t="str">
        <f t="shared" ca="1" si="8"/>
        <v>Fold</v>
      </c>
      <c r="F121" s="4">
        <f t="shared" ca="1" si="9"/>
        <v>100</v>
      </c>
      <c r="G121" s="4">
        <f ca="1">SUM(F$15:F121)</f>
        <v>1180</v>
      </c>
      <c r="H121" s="6">
        <f t="shared" ca="1" si="12"/>
        <v>0.36526517526246449</v>
      </c>
    </row>
    <row r="122" spans="2:8" x14ac:dyDescent="0.25">
      <c r="B122" s="1">
        <f t="shared" si="7"/>
        <v>108</v>
      </c>
      <c r="C122" s="3">
        <f t="shared" si="10"/>
        <v>70</v>
      </c>
      <c r="D122" s="3">
        <f t="shared" si="11"/>
        <v>100</v>
      </c>
      <c r="E122" s="1" t="str">
        <f t="shared" ca="1" si="8"/>
        <v>Fold</v>
      </c>
      <c r="F122" s="4">
        <f t="shared" ca="1" si="9"/>
        <v>100</v>
      </c>
      <c r="G122" s="4">
        <f ca="1">SUM(F$15:F122)</f>
        <v>1280</v>
      </c>
      <c r="H122" s="6">
        <f t="shared" ca="1" si="12"/>
        <v>0.19006055554087276</v>
      </c>
    </row>
    <row r="123" spans="2:8" x14ac:dyDescent="0.25">
      <c r="B123" s="1">
        <f t="shared" ref="B123:B186" si="13">B122+1</f>
        <v>109</v>
      </c>
      <c r="C123" s="3">
        <f t="shared" si="10"/>
        <v>70</v>
      </c>
      <c r="D123" s="3">
        <f t="shared" si="11"/>
        <v>100</v>
      </c>
      <c r="E123" s="1" t="str">
        <f t="shared" ca="1" si="8"/>
        <v>Call</v>
      </c>
      <c r="F123" s="4">
        <f t="shared" ca="1" si="9"/>
        <v>-70</v>
      </c>
      <c r="G123" s="4">
        <f ca="1">SUM(F$15:F123)</f>
        <v>1210</v>
      </c>
      <c r="H123" s="6">
        <f t="shared" ca="1" si="12"/>
        <v>0.99458981361382448</v>
      </c>
    </row>
    <row r="124" spans="2:8" x14ac:dyDescent="0.25">
      <c r="B124" s="1">
        <f t="shared" si="13"/>
        <v>110</v>
      </c>
      <c r="C124" s="3">
        <f t="shared" si="10"/>
        <v>70</v>
      </c>
      <c r="D124" s="3">
        <f t="shared" si="11"/>
        <v>100</v>
      </c>
      <c r="E124" s="1" t="str">
        <f t="shared" ca="1" si="8"/>
        <v>Fold</v>
      </c>
      <c r="F124" s="4">
        <f t="shared" ca="1" si="9"/>
        <v>100</v>
      </c>
      <c r="G124" s="4">
        <f ca="1">SUM(F$15:F124)</f>
        <v>1310</v>
      </c>
      <c r="H124" s="6">
        <f t="shared" ca="1" si="12"/>
        <v>0.20405364855291019</v>
      </c>
    </row>
    <row r="125" spans="2:8" x14ac:dyDescent="0.25">
      <c r="B125" s="1">
        <f t="shared" si="13"/>
        <v>111</v>
      </c>
      <c r="C125" s="3">
        <f t="shared" si="10"/>
        <v>70</v>
      </c>
      <c r="D125" s="3">
        <f t="shared" si="11"/>
        <v>100</v>
      </c>
      <c r="E125" s="1" t="str">
        <f t="shared" ca="1" si="8"/>
        <v>Fold</v>
      </c>
      <c r="F125" s="4">
        <f t="shared" ca="1" si="9"/>
        <v>100</v>
      </c>
      <c r="G125" s="4">
        <f ca="1">SUM(F$15:F125)</f>
        <v>1410</v>
      </c>
      <c r="H125" s="6">
        <f t="shared" ca="1" si="12"/>
        <v>0.43713597333950038</v>
      </c>
    </row>
    <row r="126" spans="2:8" x14ac:dyDescent="0.25">
      <c r="B126" s="1">
        <f t="shared" si="13"/>
        <v>112</v>
      </c>
      <c r="C126" s="3">
        <f t="shared" si="10"/>
        <v>70</v>
      </c>
      <c r="D126" s="3">
        <f t="shared" si="11"/>
        <v>100</v>
      </c>
      <c r="E126" s="1" t="str">
        <f t="shared" ca="1" si="8"/>
        <v>Fold</v>
      </c>
      <c r="F126" s="4">
        <f t="shared" ca="1" si="9"/>
        <v>100</v>
      </c>
      <c r="G126" s="4">
        <f ca="1">SUM(F$15:F126)</f>
        <v>1510</v>
      </c>
      <c r="H126" s="6">
        <f t="shared" ca="1" si="12"/>
        <v>3.7730370451926065E-3</v>
      </c>
    </row>
    <row r="127" spans="2:8" x14ac:dyDescent="0.25">
      <c r="B127" s="1">
        <f t="shared" si="13"/>
        <v>113</v>
      </c>
      <c r="C127" s="3">
        <f t="shared" si="10"/>
        <v>70</v>
      </c>
      <c r="D127" s="3">
        <f t="shared" si="11"/>
        <v>100</v>
      </c>
      <c r="E127" s="1" t="str">
        <f t="shared" ca="1" si="8"/>
        <v>Fold</v>
      </c>
      <c r="F127" s="4">
        <f t="shared" ca="1" si="9"/>
        <v>100</v>
      </c>
      <c r="G127" s="4">
        <f ca="1">SUM(F$15:F127)</f>
        <v>1610</v>
      </c>
      <c r="H127" s="6">
        <f t="shared" ca="1" si="12"/>
        <v>0.27848356239145533</v>
      </c>
    </row>
    <row r="128" spans="2:8" x14ac:dyDescent="0.25">
      <c r="B128" s="1">
        <f t="shared" si="13"/>
        <v>114</v>
      </c>
      <c r="C128" s="3">
        <f t="shared" si="10"/>
        <v>70</v>
      </c>
      <c r="D128" s="3">
        <f t="shared" si="11"/>
        <v>100</v>
      </c>
      <c r="E128" s="1" t="str">
        <f t="shared" ca="1" si="8"/>
        <v>Call</v>
      </c>
      <c r="F128" s="4">
        <f t="shared" ca="1" si="9"/>
        <v>-70</v>
      </c>
      <c r="G128" s="4">
        <f ca="1">SUM(F$15:F128)</f>
        <v>1540</v>
      </c>
      <c r="H128" s="6">
        <f t="shared" ca="1" si="12"/>
        <v>0.9280433069683518</v>
      </c>
    </row>
    <row r="129" spans="2:8" x14ac:dyDescent="0.25">
      <c r="B129" s="1">
        <f t="shared" si="13"/>
        <v>115</v>
      </c>
      <c r="C129" s="3">
        <f t="shared" si="10"/>
        <v>70</v>
      </c>
      <c r="D129" s="3">
        <f t="shared" si="11"/>
        <v>100</v>
      </c>
      <c r="E129" s="1" t="str">
        <f t="shared" ca="1" si="8"/>
        <v>Call</v>
      </c>
      <c r="F129" s="4">
        <f t="shared" ca="1" si="9"/>
        <v>-70</v>
      </c>
      <c r="G129" s="4">
        <f ca="1">SUM(F$15:F129)</f>
        <v>1470</v>
      </c>
      <c r="H129" s="6">
        <f t="shared" ca="1" si="12"/>
        <v>0.78355797590867049</v>
      </c>
    </row>
    <row r="130" spans="2:8" x14ac:dyDescent="0.25">
      <c r="B130" s="1">
        <f t="shared" si="13"/>
        <v>116</v>
      </c>
      <c r="C130" s="3">
        <f t="shared" si="10"/>
        <v>70</v>
      </c>
      <c r="D130" s="3">
        <f t="shared" si="11"/>
        <v>100</v>
      </c>
      <c r="E130" s="1" t="str">
        <f t="shared" ca="1" si="8"/>
        <v>Call</v>
      </c>
      <c r="F130" s="4">
        <f t="shared" ca="1" si="9"/>
        <v>-70</v>
      </c>
      <c r="G130" s="4">
        <f ca="1">SUM(F$15:F130)</f>
        <v>1400</v>
      </c>
      <c r="H130" s="6">
        <f t="shared" ca="1" si="12"/>
        <v>0.70491848899684162</v>
      </c>
    </row>
    <row r="131" spans="2:8" x14ac:dyDescent="0.25">
      <c r="B131" s="1">
        <f t="shared" si="13"/>
        <v>117</v>
      </c>
      <c r="C131" s="3">
        <f t="shared" si="10"/>
        <v>70</v>
      </c>
      <c r="D131" s="3">
        <f t="shared" si="11"/>
        <v>100</v>
      </c>
      <c r="E131" s="1" t="str">
        <f t="shared" ca="1" si="8"/>
        <v>Call</v>
      </c>
      <c r="F131" s="4">
        <f t="shared" ca="1" si="9"/>
        <v>-70</v>
      </c>
      <c r="G131" s="4">
        <f ca="1">SUM(F$15:F131)</f>
        <v>1330</v>
      </c>
      <c r="H131" s="6">
        <f t="shared" ca="1" si="12"/>
        <v>0.55041471744145587</v>
      </c>
    </row>
    <row r="132" spans="2:8" x14ac:dyDescent="0.25">
      <c r="B132" s="1">
        <f t="shared" si="13"/>
        <v>118</v>
      </c>
      <c r="C132" s="3">
        <f t="shared" si="10"/>
        <v>70</v>
      </c>
      <c r="D132" s="3">
        <f t="shared" si="11"/>
        <v>100</v>
      </c>
      <c r="E132" s="1" t="str">
        <f t="shared" ca="1" si="8"/>
        <v>Call</v>
      </c>
      <c r="F132" s="4">
        <f t="shared" ca="1" si="9"/>
        <v>-70</v>
      </c>
      <c r="G132" s="4">
        <f ca="1">SUM(F$15:F132)</f>
        <v>1260</v>
      </c>
      <c r="H132" s="6">
        <f t="shared" ca="1" si="12"/>
        <v>0.81598290054088107</v>
      </c>
    </row>
    <row r="133" spans="2:8" x14ac:dyDescent="0.25">
      <c r="B133" s="1">
        <f t="shared" si="13"/>
        <v>119</v>
      </c>
      <c r="C133" s="3">
        <f t="shared" si="10"/>
        <v>70</v>
      </c>
      <c r="D133" s="3">
        <f t="shared" si="11"/>
        <v>100</v>
      </c>
      <c r="E133" s="1" t="str">
        <f t="shared" ca="1" si="8"/>
        <v>Fold</v>
      </c>
      <c r="F133" s="4">
        <f t="shared" ca="1" si="9"/>
        <v>100</v>
      </c>
      <c r="G133" s="4">
        <f ca="1">SUM(F$15:F133)</f>
        <v>1360</v>
      </c>
      <c r="H133" s="6">
        <f t="shared" ca="1" si="12"/>
        <v>0.47691328692555457</v>
      </c>
    </row>
    <row r="134" spans="2:8" x14ac:dyDescent="0.25">
      <c r="B134" s="1">
        <f t="shared" si="13"/>
        <v>120</v>
      </c>
      <c r="C134" s="3">
        <f t="shared" si="10"/>
        <v>70</v>
      </c>
      <c r="D134" s="3">
        <f t="shared" si="11"/>
        <v>100</v>
      </c>
      <c r="E134" s="1" t="str">
        <f t="shared" ca="1" si="8"/>
        <v>Fold</v>
      </c>
      <c r="F134" s="4">
        <f t="shared" ca="1" si="9"/>
        <v>100</v>
      </c>
      <c r="G134" s="4">
        <f ca="1">SUM(F$15:F134)</f>
        <v>1460</v>
      </c>
      <c r="H134" s="6">
        <f t="shared" ca="1" si="12"/>
        <v>1.0979152186229135E-2</v>
      </c>
    </row>
    <row r="135" spans="2:8" x14ac:dyDescent="0.25">
      <c r="B135" s="1">
        <f t="shared" si="13"/>
        <v>121</v>
      </c>
      <c r="C135" s="3">
        <f t="shared" si="10"/>
        <v>70</v>
      </c>
      <c r="D135" s="3">
        <f t="shared" si="11"/>
        <v>100</v>
      </c>
      <c r="E135" s="1" t="str">
        <f t="shared" ca="1" si="8"/>
        <v>Fold</v>
      </c>
      <c r="F135" s="4">
        <f t="shared" ca="1" si="9"/>
        <v>100</v>
      </c>
      <c r="G135" s="4">
        <f ca="1">SUM(F$15:F135)</f>
        <v>1560</v>
      </c>
      <c r="H135" s="6">
        <f t="shared" ca="1" si="12"/>
        <v>0.32194900863449694</v>
      </c>
    </row>
    <row r="136" spans="2:8" x14ac:dyDescent="0.25">
      <c r="B136" s="1">
        <f t="shared" si="13"/>
        <v>122</v>
      </c>
      <c r="C136" s="3">
        <f t="shared" si="10"/>
        <v>70</v>
      </c>
      <c r="D136" s="3">
        <f t="shared" si="11"/>
        <v>100</v>
      </c>
      <c r="E136" s="1" t="str">
        <f t="shared" ca="1" si="8"/>
        <v>Fold</v>
      </c>
      <c r="F136" s="4">
        <f t="shared" ca="1" si="9"/>
        <v>100</v>
      </c>
      <c r="G136" s="4">
        <f ca="1">SUM(F$15:F136)</f>
        <v>1660</v>
      </c>
      <c r="H136" s="6">
        <f t="shared" ca="1" si="12"/>
        <v>0.37942850307534026</v>
      </c>
    </row>
    <row r="137" spans="2:8" x14ac:dyDescent="0.25">
      <c r="B137" s="1">
        <f t="shared" si="13"/>
        <v>123</v>
      </c>
      <c r="C137" s="3">
        <f t="shared" si="10"/>
        <v>70</v>
      </c>
      <c r="D137" s="3">
        <f t="shared" si="11"/>
        <v>100</v>
      </c>
      <c r="E137" s="1" t="str">
        <f t="shared" ca="1" si="8"/>
        <v>Fold</v>
      </c>
      <c r="F137" s="4">
        <f t="shared" ca="1" si="9"/>
        <v>100</v>
      </c>
      <c r="G137" s="4">
        <f ca="1">SUM(F$15:F137)</f>
        <v>1760</v>
      </c>
      <c r="H137" s="6">
        <f t="shared" ca="1" si="12"/>
        <v>7.9350929563059558E-2</v>
      </c>
    </row>
    <row r="138" spans="2:8" x14ac:dyDescent="0.25">
      <c r="B138" s="1">
        <f t="shared" si="13"/>
        <v>124</v>
      </c>
      <c r="C138" s="3">
        <f t="shared" si="10"/>
        <v>70</v>
      </c>
      <c r="D138" s="3">
        <f t="shared" si="11"/>
        <v>100</v>
      </c>
      <c r="E138" s="1" t="str">
        <f t="shared" ca="1" si="8"/>
        <v>Call</v>
      </c>
      <c r="F138" s="4">
        <f t="shared" ca="1" si="9"/>
        <v>-70</v>
      </c>
      <c r="G138" s="4">
        <f ca="1">SUM(F$15:F138)</f>
        <v>1690</v>
      </c>
      <c r="H138" s="6">
        <f t="shared" ca="1" si="12"/>
        <v>0.89462464051591895</v>
      </c>
    </row>
    <row r="139" spans="2:8" x14ac:dyDescent="0.25">
      <c r="B139" s="1">
        <f t="shared" si="13"/>
        <v>125</v>
      </c>
      <c r="C139" s="3">
        <f t="shared" si="10"/>
        <v>70</v>
      </c>
      <c r="D139" s="3">
        <f t="shared" si="11"/>
        <v>100</v>
      </c>
      <c r="E139" s="1" t="str">
        <f t="shared" ca="1" si="8"/>
        <v>Fold</v>
      </c>
      <c r="F139" s="4">
        <f t="shared" ca="1" si="9"/>
        <v>100</v>
      </c>
      <c r="G139" s="4">
        <f ca="1">SUM(F$15:F139)</f>
        <v>1790</v>
      </c>
      <c r="H139" s="6">
        <f t="shared" ca="1" si="12"/>
        <v>0.17688468761318654</v>
      </c>
    </row>
    <row r="140" spans="2:8" x14ac:dyDescent="0.25">
      <c r="B140" s="1">
        <f t="shared" si="13"/>
        <v>126</v>
      </c>
      <c r="C140" s="3">
        <f t="shared" si="10"/>
        <v>70</v>
      </c>
      <c r="D140" s="3">
        <f t="shared" si="11"/>
        <v>100</v>
      </c>
      <c r="E140" s="1" t="str">
        <f t="shared" ca="1" si="8"/>
        <v>Call</v>
      </c>
      <c r="F140" s="4">
        <f t="shared" ca="1" si="9"/>
        <v>-70</v>
      </c>
      <c r="G140" s="4">
        <f ca="1">SUM(F$15:F140)</f>
        <v>1720</v>
      </c>
      <c r="H140" s="6">
        <f t="shared" ca="1" si="12"/>
        <v>0.63033905122897227</v>
      </c>
    </row>
    <row r="141" spans="2:8" x14ac:dyDescent="0.25">
      <c r="B141" s="1">
        <f t="shared" si="13"/>
        <v>127</v>
      </c>
      <c r="C141" s="3">
        <f t="shared" si="10"/>
        <v>70</v>
      </c>
      <c r="D141" s="3">
        <f t="shared" si="11"/>
        <v>100</v>
      </c>
      <c r="E141" s="1" t="str">
        <f t="shared" ca="1" si="8"/>
        <v>Call</v>
      </c>
      <c r="F141" s="4">
        <f t="shared" ca="1" si="9"/>
        <v>-70</v>
      </c>
      <c r="G141" s="4">
        <f ca="1">SUM(F$15:F141)</f>
        <v>1650</v>
      </c>
      <c r="H141" s="6">
        <f t="shared" ca="1" si="12"/>
        <v>0.89637502616762965</v>
      </c>
    </row>
    <row r="142" spans="2:8" x14ac:dyDescent="0.25">
      <c r="B142" s="1">
        <f t="shared" si="13"/>
        <v>128</v>
      </c>
      <c r="C142" s="3">
        <f t="shared" si="10"/>
        <v>70</v>
      </c>
      <c r="D142" s="3">
        <f t="shared" si="11"/>
        <v>100</v>
      </c>
      <c r="E142" s="1" t="str">
        <f t="shared" ca="1" si="8"/>
        <v>Fold</v>
      </c>
      <c r="F142" s="4">
        <f t="shared" ca="1" si="9"/>
        <v>100</v>
      </c>
      <c r="G142" s="4">
        <f ca="1">SUM(F$15:F142)</f>
        <v>1750</v>
      </c>
      <c r="H142" s="6">
        <f t="shared" ca="1" si="12"/>
        <v>0.17090358307558695</v>
      </c>
    </row>
    <row r="143" spans="2:8" x14ac:dyDescent="0.25">
      <c r="B143" s="1">
        <f t="shared" si="13"/>
        <v>129</v>
      </c>
      <c r="C143" s="3">
        <f t="shared" si="10"/>
        <v>70</v>
      </c>
      <c r="D143" s="3">
        <f t="shared" si="11"/>
        <v>100</v>
      </c>
      <c r="E143" s="1" t="str">
        <f t="shared" ref="E143:E206" ca="1" si="14">IF(H143&lt;$D$3,"Fold","Call")</f>
        <v>Fold</v>
      </c>
      <c r="F143" s="4">
        <f t="shared" ca="1" si="9"/>
        <v>100</v>
      </c>
      <c r="G143" s="4">
        <f ca="1">SUM(F$15:F143)</f>
        <v>1850</v>
      </c>
      <c r="H143" s="6">
        <f t="shared" ca="1" si="12"/>
        <v>0.19752825325315471</v>
      </c>
    </row>
    <row r="144" spans="2:8" x14ac:dyDescent="0.25">
      <c r="B144" s="1">
        <f t="shared" si="13"/>
        <v>130</v>
      </c>
      <c r="C144" s="3">
        <f t="shared" si="10"/>
        <v>70</v>
      </c>
      <c r="D144" s="3">
        <f t="shared" si="11"/>
        <v>100</v>
      </c>
      <c r="E144" s="1" t="str">
        <f t="shared" ca="1" si="14"/>
        <v>Call</v>
      </c>
      <c r="F144" s="4">
        <f t="shared" ref="F144:F207" ca="1" si="15">IF(E144="Fold",D144,-C144)</f>
        <v>-70</v>
      </c>
      <c r="G144" s="4">
        <f ca="1">SUM(F$15:F144)</f>
        <v>1780</v>
      </c>
      <c r="H144" s="6">
        <f t="shared" ca="1" si="12"/>
        <v>0.59387837702431301</v>
      </c>
    </row>
    <row r="145" spans="2:8" x14ac:dyDescent="0.25">
      <c r="B145" s="1">
        <f t="shared" si="13"/>
        <v>131</v>
      </c>
      <c r="C145" s="3">
        <f t="shared" ref="C145:C208" si="16">C144</f>
        <v>70</v>
      </c>
      <c r="D145" s="3">
        <f t="shared" ref="D145:D208" si="17">D144</f>
        <v>100</v>
      </c>
      <c r="E145" s="1" t="str">
        <f t="shared" ca="1" si="14"/>
        <v>Call</v>
      </c>
      <c r="F145" s="4">
        <f t="shared" ca="1" si="15"/>
        <v>-70</v>
      </c>
      <c r="G145" s="4">
        <f ca="1">SUM(F$15:F145)</f>
        <v>1710</v>
      </c>
      <c r="H145" s="6">
        <f t="shared" ca="1" si="12"/>
        <v>0.77575175082378378</v>
      </c>
    </row>
    <row r="146" spans="2:8" x14ac:dyDescent="0.25">
      <c r="B146" s="1">
        <f t="shared" si="13"/>
        <v>132</v>
      </c>
      <c r="C146" s="3">
        <f t="shared" si="16"/>
        <v>70</v>
      </c>
      <c r="D146" s="3">
        <f t="shared" si="17"/>
        <v>100</v>
      </c>
      <c r="E146" s="1" t="str">
        <f t="shared" ca="1" si="14"/>
        <v>Call</v>
      </c>
      <c r="F146" s="4">
        <f t="shared" ca="1" si="15"/>
        <v>-70</v>
      </c>
      <c r="G146" s="4">
        <f ca="1">SUM(F$15:F146)</f>
        <v>1640</v>
      </c>
      <c r="H146" s="6">
        <f t="shared" ca="1" si="12"/>
        <v>0.82515011414112283</v>
      </c>
    </row>
    <row r="147" spans="2:8" x14ac:dyDescent="0.25">
      <c r="B147" s="1">
        <f t="shared" si="13"/>
        <v>133</v>
      </c>
      <c r="C147" s="3">
        <f t="shared" si="16"/>
        <v>70</v>
      </c>
      <c r="D147" s="3">
        <f t="shared" si="17"/>
        <v>100</v>
      </c>
      <c r="E147" s="1" t="str">
        <f t="shared" ca="1" si="14"/>
        <v>Call</v>
      </c>
      <c r="F147" s="4">
        <f t="shared" ca="1" si="15"/>
        <v>-70</v>
      </c>
      <c r="G147" s="4">
        <f ca="1">SUM(F$15:F147)</f>
        <v>1570</v>
      </c>
      <c r="H147" s="6">
        <f t="shared" ca="1" si="12"/>
        <v>0.77314791426615914</v>
      </c>
    </row>
    <row r="148" spans="2:8" x14ac:dyDescent="0.25">
      <c r="B148" s="1">
        <f t="shared" si="13"/>
        <v>134</v>
      </c>
      <c r="C148" s="3">
        <f t="shared" si="16"/>
        <v>70</v>
      </c>
      <c r="D148" s="3">
        <f t="shared" si="17"/>
        <v>100</v>
      </c>
      <c r="E148" s="1" t="str">
        <f t="shared" ca="1" si="14"/>
        <v>Fold</v>
      </c>
      <c r="F148" s="4">
        <f t="shared" ca="1" si="15"/>
        <v>100</v>
      </c>
      <c r="G148" s="4">
        <f ca="1">SUM(F$15:F148)</f>
        <v>1670</v>
      </c>
      <c r="H148" s="6">
        <f t="shared" ca="1" si="12"/>
        <v>0.38086481560349617</v>
      </c>
    </row>
    <row r="149" spans="2:8" x14ac:dyDescent="0.25">
      <c r="B149" s="1">
        <f t="shared" si="13"/>
        <v>135</v>
      </c>
      <c r="C149" s="3">
        <f t="shared" si="16"/>
        <v>70</v>
      </c>
      <c r="D149" s="3">
        <f t="shared" si="17"/>
        <v>100</v>
      </c>
      <c r="E149" s="1" t="str">
        <f t="shared" ca="1" si="14"/>
        <v>Fold</v>
      </c>
      <c r="F149" s="4">
        <f t="shared" ca="1" si="15"/>
        <v>100</v>
      </c>
      <c r="G149" s="4">
        <f ca="1">SUM(F$15:F149)</f>
        <v>1770</v>
      </c>
      <c r="H149" s="6">
        <f t="shared" ca="1" si="12"/>
        <v>0.27546757267217314</v>
      </c>
    </row>
    <row r="150" spans="2:8" x14ac:dyDescent="0.25">
      <c r="B150" s="1">
        <f t="shared" si="13"/>
        <v>136</v>
      </c>
      <c r="C150" s="3">
        <f t="shared" si="16"/>
        <v>70</v>
      </c>
      <c r="D150" s="3">
        <f t="shared" si="17"/>
        <v>100</v>
      </c>
      <c r="E150" s="1" t="str">
        <f t="shared" ca="1" si="14"/>
        <v>Call</v>
      </c>
      <c r="F150" s="4">
        <f t="shared" ca="1" si="15"/>
        <v>-70</v>
      </c>
      <c r="G150" s="4">
        <f ca="1">SUM(F$15:F150)</f>
        <v>1700</v>
      </c>
      <c r="H150" s="6">
        <f t="shared" ca="1" si="12"/>
        <v>0.53021765617856564</v>
      </c>
    </row>
    <row r="151" spans="2:8" x14ac:dyDescent="0.25">
      <c r="B151" s="1">
        <f t="shared" si="13"/>
        <v>137</v>
      </c>
      <c r="C151" s="3">
        <f t="shared" si="16"/>
        <v>70</v>
      </c>
      <c r="D151" s="3">
        <f t="shared" si="17"/>
        <v>100</v>
      </c>
      <c r="E151" s="1" t="str">
        <f t="shared" ca="1" si="14"/>
        <v>Fold</v>
      </c>
      <c r="F151" s="4">
        <f t="shared" ca="1" si="15"/>
        <v>100</v>
      </c>
      <c r="G151" s="4">
        <f ca="1">SUM(F$15:F151)</f>
        <v>1800</v>
      </c>
      <c r="H151" s="6">
        <f t="shared" ca="1" si="12"/>
        <v>3.8156963570330937E-2</v>
      </c>
    </row>
    <row r="152" spans="2:8" x14ac:dyDescent="0.25">
      <c r="B152" s="1">
        <f t="shared" si="13"/>
        <v>138</v>
      </c>
      <c r="C152" s="3">
        <f t="shared" si="16"/>
        <v>70</v>
      </c>
      <c r="D152" s="3">
        <f t="shared" si="17"/>
        <v>100</v>
      </c>
      <c r="E152" s="1" t="str">
        <f t="shared" ca="1" si="14"/>
        <v>Call</v>
      </c>
      <c r="F152" s="4">
        <f t="shared" ca="1" si="15"/>
        <v>-70</v>
      </c>
      <c r="G152" s="4">
        <f ca="1">SUM(F$15:F152)</f>
        <v>1730</v>
      </c>
      <c r="H152" s="6">
        <f t="shared" ca="1" si="12"/>
        <v>0.68433318545585153</v>
      </c>
    </row>
    <row r="153" spans="2:8" x14ac:dyDescent="0.25">
      <c r="B153" s="1">
        <f t="shared" si="13"/>
        <v>139</v>
      </c>
      <c r="C153" s="3">
        <f t="shared" si="16"/>
        <v>70</v>
      </c>
      <c r="D153" s="3">
        <f t="shared" si="17"/>
        <v>100</v>
      </c>
      <c r="E153" s="1" t="str">
        <f t="shared" ca="1" si="14"/>
        <v>Fold</v>
      </c>
      <c r="F153" s="4">
        <f t="shared" ca="1" si="15"/>
        <v>100</v>
      </c>
      <c r="G153" s="4">
        <f ca="1">SUM(F$15:F153)</f>
        <v>1830</v>
      </c>
      <c r="H153" s="6">
        <f t="shared" ca="1" si="12"/>
        <v>0.23237150658127215</v>
      </c>
    </row>
    <row r="154" spans="2:8" x14ac:dyDescent="0.25">
      <c r="B154" s="1">
        <f t="shared" si="13"/>
        <v>140</v>
      </c>
      <c r="C154" s="3">
        <f t="shared" si="16"/>
        <v>70</v>
      </c>
      <c r="D154" s="3">
        <f t="shared" si="17"/>
        <v>100</v>
      </c>
      <c r="E154" s="1" t="str">
        <f t="shared" ca="1" si="14"/>
        <v>Call</v>
      </c>
      <c r="F154" s="4">
        <f t="shared" ca="1" si="15"/>
        <v>-70</v>
      </c>
      <c r="G154" s="4">
        <f ca="1">SUM(F$15:F154)</f>
        <v>1760</v>
      </c>
      <c r="H154" s="6">
        <f t="shared" ca="1" si="12"/>
        <v>0.75916137865192124</v>
      </c>
    </row>
    <row r="155" spans="2:8" x14ac:dyDescent="0.25">
      <c r="B155" s="1">
        <f t="shared" si="13"/>
        <v>141</v>
      </c>
      <c r="C155" s="3">
        <f t="shared" si="16"/>
        <v>70</v>
      </c>
      <c r="D155" s="3">
        <f t="shared" si="17"/>
        <v>100</v>
      </c>
      <c r="E155" s="1" t="str">
        <f t="shared" ca="1" si="14"/>
        <v>Fold</v>
      </c>
      <c r="F155" s="4">
        <f t="shared" ca="1" si="15"/>
        <v>100</v>
      </c>
      <c r="G155" s="4">
        <f ca="1">SUM(F$15:F155)</f>
        <v>1860</v>
      </c>
      <c r="H155" s="6">
        <f t="shared" ca="1" si="12"/>
        <v>0.16828332410029179</v>
      </c>
    </row>
    <row r="156" spans="2:8" x14ac:dyDescent="0.25">
      <c r="B156" s="1">
        <f t="shared" si="13"/>
        <v>142</v>
      </c>
      <c r="C156" s="3">
        <f t="shared" si="16"/>
        <v>70</v>
      </c>
      <c r="D156" s="3">
        <f t="shared" si="17"/>
        <v>100</v>
      </c>
      <c r="E156" s="1" t="str">
        <f t="shared" ca="1" si="14"/>
        <v>Call</v>
      </c>
      <c r="F156" s="4">
        <f t="shared" ca="1" si="15"/>
        <v>-70</v>
      </c>
      <c r="G156" s="4">
        <f ca="1">SUM(F$15:F156)</f>
        <v>1790</v>
      </c>
      <c r="H156" s="6">
        <f t="shared" ca="1" si="12"/>
        <v>0.53548015109795521</v>
      </c>
    </row>
    <row r="157" spans="2:8" x14ac:dyDescent="0.25">
      <c r="B157" s="1">
        <f t="shared" si="13"/>
        <v>143</v>
      </c>
      <c r="C157" s="3">
        <f t="shared" si="16"/>
        <v>70</v>
      </c>
      <c r="D157" s="3">
        <f t="shared" si="17"/>
        <v>100</v>
      </c>
      <c r="E157" s="1" t="str">
        <f t="shared" ca="1" si="14"/>
        <v>Call</v>
      </c>
      <c r="F157" s="4">
        <f t="shared" ca="1" si="15"/>
        <v>-70</v>
      </c>
      <c r="G157" s="4">
        <f ca="1">SUM(F$15:F157)</f>
        <v>1720</v>
      </c>
      <c r="H157" s="6">
        <f t="shared" ca="1" si="12"/>
        <v>0.85748724355540573</v>
      </c>
    </row>
    <row r="158" spans="2:8" x14ac:dyDescent="0.25">
      <c r="B158" s="1">
        <f t="shared" si="13"/>
        <v>144</v>
      </c>
      <c r="C158" s="3">
        <f t="shared" si="16"/>
        <v>70</v>
      </c>
      <c r="D158" s="3">
        <f t="shared" si="17"/>
        <v>100</v>
      </c>
      <c r="E158" s="1" t="str">
        <f t="shared" ca="1" si="14"/>
        <v>Call</v>
      </c>
      <c r="F158" s="4">
        <f t="shared" ca="1" si="15"/>
        <v>-70</v>
      </c>
      <c r="G158" s="4">
        <f ca="1">SUM(F$15:F158)</f>
        <v>1650</v>
      </c>
      <c r="H158" s="6">
        <f t="shared" ref="H158:H221" ca="1" si="18">RAND()</f>
        <v>0.55245223015132727</v>
      </c>
    </row>
    <row r="159" spans="2:8" x14ac:dyDescent="0.25">
      <c r="B159" s="1">
        <f t="shared" si="13"/>
        <v>145</v>
      </c>
      <c r="C159" s="3">
        <f t="shared" si="16"/>
        <v>70</v>
      </c>
      <c r="D159" s="3">
        <f t="shared" si="17"/>
        <v>100</v>
      </c>
      <c r="E159" s="1" t="str">
        <f t="shared" ca="1" si="14"/>
        <v>Fold</v>
      </c>
      <c r="F159" s="4">
        <f t="shared" ca="1" si="15"/>
        <v>100</v>
      </c>
      <c r="G159" s="4">
        <f ca="1">SUM(F$15:F159)</f>
        <v>1750</v>
      </c>
      <c r="H159" s="6">
        <f t="shared" ca="1" si="18"/>
        <v>0.1660406880966967</v>
      </c>
    </row>
    <row r="160" spans="2:8" x14ac:dyDescent="0.25">
      <c r="B160" s="1">
        <f t="shared" si="13"/>
        <v>146</v>
      </c>
      <c r="C160" s="3">
        <f t="shared" si="16"/>
        <v>70</v>
      </c>
      <c r="D160" s="3">
        <f t="shared" si="17"/>
        <v>100</v>
      </c>
      <c r="E160" s="1" t="str">
        <f t="shared" ca="1" si="14"/>
        <v>Fold</v>
      </c>
      <c r="F160" s="4">
        <f t="shared" ca="1" si="15"/>
        <v>100</v>
      </c>
      <c r="G160" s="4">
        <f ca="1">SUM(F$15:F160)</f>
        <v>1850</v>
      </c>
      <c r="H160" s="6">
        <f t="shared" ca="1" si="18"/>
        <v>0.34100134001985871</v>
      </c>
    </row>
    <row r="161" spans="2:8" x14ac:dyDescent="0.25">
      <c r="B161" s="1">
        <f t="shared" si="13"/>
        <v>147</v>
      </c>
      <c r="C161" s="3">
        <f t="shared" si="16"/>
        <v>70</v>
      </c>
      <c r="D161" s="3">
        <f t="shared" si="17"/>
        <v>100</v>
      </c>
      <c r="E161" s="1" t="str">
        <f t="shared" ca="1" si="14"/>
        <v>Fold</v>
      </c>
      <c r="F161" s="4">
        <f t="shared" ca="1" si="15"/>
        <v>100</v>
      </c>
      <c r="G161" s="4">
        <f ca="1">SUM(F$15:F161)</f>
        <v>1950</v>
      </c>
      <c r="H161" s="6">
        <f t="shared" ca="1" si="18"/>
        <v>0.38059812209289634</v>
      </c>
    </row>
    <row r="162" spans="2:8" x14ac:dyDescent="0.25">
      <c r="B162" s="1">
        <f t="shared" si="13"/>
        <v>148</v>
      </c>
      <c r="C162" s="3">
        <f t="shared" si="16"/>
        <v>70</v>
      </c>
      <c r="D162" s="3">
        <f t="shared" si="17"/>
        <v>100</v>
      </c>
      <c r="E162" s="1" t="str">
        <f t="shared" ca="1" si="14"/>
        <v>Fold</v>
      </c>
      <c r="F162" s="4">
        <f t="shared" ca="1" si="15"/>
        <v>100</v>
      </c>
      <c r="G162" s="4">
        <f ca="1">SUM(F$15:F162)</f>
        <v>2050</v>
      </c>
      <c r="H162" s="6">
        <f t="shared" ca="1" si="18"/>
        <v>0.12402741190163535</v>
      </c>
    </row>
    <row r="163" spans="2:8" x14ac:dyDescent="0.25">
      <c r="B163" s="1">
        <f t="shared" si="13"/>
        <v>149</v>
      </c>
      <c r="C163" s="3">
        <f t="shared" si="16"/>
        <v>70</v>
      </c>
      <c r="D163" s="3">
        <f t="shared" si="17"/>
        <v>100</v>
      </c>
      <c r="E163" s="1" t="str">
        <f t="shared" ca="1" si="14"/>
        <v>Fold</v>
      </c>
      <c r="F163" s="4">
        <f t="shared" ca="1" si="15"/>
        <v>100</v>
      </c>
      <c r="G163" s="4">
        <f ca="1">SUM(F$15:F163)</f>
        <v>2150</v>
      </c>
      <c r="H163" s="6">
        <f t="shared" ca="1" si="18"/>
        <v>1.8745003984670383E-3</v>
      </c>
    </row>
    <row r="164" spans="2:8" x14ac:dyDescent="0.25">
      <c r="B164" s="1">
        <f t="shared" si="13"/>
        <v>150</v>
      </c>
      <c r="C164" s="3">
        <f t="shared" si="16"/>
        <v>70</v>
      </c>
      <c r="D164" s="3">
        <f t="shared" si="17"/>
        <v>100</v>
      </c>
      <c r="E164" s="1" t="str">
        <f t="shared" ca="1" si="14"/>
        <v>Fold</v>
      </c>
      <c r="F164" s="4">
        <f t="shared" ca="1" si="15"/>
        <v>100</v>
      </c>
      <c r="G164" s="4">
        <f ca="1">SUM(F$15:F164)</f>
        <v>2250</v>
      </c>
      <c r="H164" s="6">
        <f t="shared" ca="1" si="18"/>
        <v>0.31910207229636456</v>
      </c>
    </row>
    <row r="165" spans="2:8" x14ac:dyDescent="0.25">
      <c r="B165" s="1">
        <f t="shared" si="13"/>
        <v>151</v>
      </c>
      <c r="C165" s="3">
        <f t="shared" si="16"/>
        <v>70</v>
      </c>
      <c r="D165" s="3">
        <f t="shared" si="17"/>
        <v>100</v>
      </c>
      <c r="E165" s="1" t="str">
        <f t="shared" ca="1" si="14"/>
        <v>Fold</v>
      </c>
      <c r="F165" s="4">
        <f t="shared" ca="1" si="15"/>
        <v>100</v>
      </c>
      <c r="G165" s="4">
        <f ca="1">SUM(F$15:F165)</f>
        <v>2350</v>
      </c>
      <c r="H165" s="6">
        <f t="shared" ca="1" si="18"/>
        <v>0.41797234660759719</v>
      </c>
    </row>
    <row r="166" spans="2:8" x14ac:dyDescent="0.25">
      <c r="B166" s="1">
        <f t="shared" si="13"/>
        <v>152</v>
      </c>
      <c r="C166" s="3">
        <f t="shared" si="16"/>
        <v>70</v>
      </c>
      <c r="D166" s="3">
        <f t="shared" si="17"/>
        <v>100</v>
      </c>
      <c r="E166" s="1" t="str">
        <f t="shared" ca="1" si="14"/>
        <v>Call</v>
      </c>
      <c r="F166" s="4">
        <f t="shared" ca="1" si="15"/>
        <v>-70</v>
      </c>
      <c r="G166" s="4">
        <f ca="1">SUM(F$15:F166)</f>
        <v>2280</v>
      </c>
      <c r="H166" s="6">
        <f t="shared" ca="1" si="18"/>
        <v>0.82037493509037684</v>
      </c>
    </row>
    <row r="167" spans="2:8" x14ac:dyDescent="0.25">
      <c r="B167" s="1">
        <f t="shared" si="13"/>
        <v>153</v>
      </c>
      <c r="C167" s="3">
        <f t="shared" si="16"/>
        <v>70</v>
      </c>
      <c r="D167" s="3">
        <f t="shared" si="17"/>
        <v>100</v>
      </c>
      <c r="E167" s="1" t="str">
        <f t="shared" ca="1" si="14"/>
        <v>Call</v>
      </c>
      <c r="F167" s="4">
        <f t="shared" ca="1" si="15"/>
        <v>-70</v>
      </c>
      <c r="G167" s="4">
        <f ca="1">SUM(F$15:F167)</f>
        <v>2210</v>
      </c>
      <c r="H167" s="6">
        <f t="shared" ca="1" si="18"/>
        <v>0.99676002084932458</v>
      </c>
    </row>
    <row r="168" spans="2:8" x14ac:dyDescent="0.25">
      <c r="B168" s="1">
        <f t="shared" si="13"/>
        <v>154</v>
      </c>
      <c r="C168" s="3">
        <f t="shared" si="16"/>
        <v>70</v>
      </c>
      <c r="D168" s="3">
        <f t="shared" si="17"/>
        <v>100</v>
      </c>
      <c r="E168" s="1" t="str">
        <f t="shared" ca="1" si="14"/>
        <v>Fold</v>
      </c>
      <c r="F168" s="4">
        <f t="shared" ca="1" si="15"/>
        <v>100</v>
      </c>
      <c r="G168" s="4">
        <f ca="1">SUM(F$15:F168)</f>
        <v>2310</v>
      </c>
      <c r="H168" s="6">
        <f t="shared" ca="1" si="18"/>
        <v>6.4199656345926948E-2</v>
      </c>
    </row>
    <row r="169" spans="2:8" x14ac:dyDescent="0.25">
      <c r="B169" s="1">
        <f t="shared" si="13"/>
        <v>155</v>
      </c>
      <c r="C169" s="3">
        <f t="shared" si="16"/>
        <v>70</v>
      </c>
      <c r="D169" s="3">
        <f t="shared" si="17"/>
        <v>100</v>
      </c>
      <c r="E169" s="1" t="str">
        <f t="shared" ca="1" si="14"/>
        <v>Call</v>
      </c>
      <c r="F169" s="4">
        <f t="shared" ca="1" si="15"/>
        <v>-70</v>
      </c>
      <c r="G169" s="4">
        <f ca="1">SUM(F$15:F169)</f>
        <v>2240</v>
      </c>
      <c r="H169" s="6">
        <f t="shared" ca="1" si="18"/>
        <v>0.92865408344064204</v>
      </c>
    </row>
    <row r="170" spans="2:8" x14ac:dyDescent="0.25">
      <c r="B170" s="1">
        <f t="shared" si="13"/>
        <v>156</v>
      </c>
      <c r="C170" s="3">
        <f t="shared" si="16"/>
        <v>70</v>
      </c>
      <c r="D170" s="3">
        <f t="shared" si="17"/>
        <v>100</v>
      </c>
      <c r="E170" s="1" t="str">
        <f t="shared" ca="1" si="14"/>
        <v>Call</v>
      </c>
      <c r="F170" s="4">
        <f t="shared" ca="1" si="15"/>
        <v>-70</v>
      </c>
      <c r="G170" s="4">
        <f ca="1">SUM(F$15:F170)</f>
        <v>2170</v>
      </c>
      <c r="H170" s="6">
        <f t="shared" ca="1" si="18"/>
        <v>0.58723021374932738</v>
      </c>
    </row>
    <row r="171" spans="2:8" x14ac:dyDescent="0.25">
      <c r="B171" s="1">
        <f t="shared" si="13"/>
        <v>157</v>
      </c>
      <c r="C171" s="3">
        <f t="shared" si="16"/>
        <v>70</v>
      </c>
      <c r="D171" s="3">
        <f t="shared" si="17"/>
        <v>100</v>
      </c>
      <c r="E171" s="1" t="str">
        <f t="shared" ca="1" si="14"/>
        <v>Call</v>
      </c>
      <c r="F171" s="4">
        <f t="shared" ca="1" si="15"/>
        <v>-70</v>
      </c>
      <c r="G171" s="4">
        <f ca="1">SUM(F$15:F171)</f>
        <v>2100</v>
      </c>
      <c r="H171" s="6">
        <f t="shared" ca="1" si="18"/>
        <v>0.82110579687554208</v>
      </c>
    </row>
    <row r="172" spans="2:8" x14ac:dyDescent="0.25">
      <c r="B172" s="1">
        <f t="shared" si="13"/>
        <v>158</v>
      </c>
      <c r="C172" s="3">
        <f t="shared" si="16"/>
        <v>70</v>
      </c>
      <c r="D172" s="3">
        <f t="shared" si="17"/>
        <v>100</v>
      </c>
      <c r="E172" s="1" t="str">
        <f t="shared" ca="1" si="14"/>
        <v>Fold</v>
      </c>
      <c r="F172" s="4">
        <f t="shared" ca="1" si="15"/>
        <v>100</v>
      </c>
      <c r="G172" s="4">
        <f ca="1">SUM(F$15:F172)</f>
        <v>2200</v>
      </c>
      <c r="H172" s="6">
        <f t="shared" ca="1" si="18"/>
        <v>0.11654702150875429</v>
      </c>
    </row>
    <row r="173" spans="2:8" x14ac:dyDescent="0.25">
      <c r="B173" s="1">
        <f t="shared" si="13"/>
        <v>159</v>
      </c>
      <c r="C173" s="3">
        <f t="shared" si="16"/>
        <v>70</v>
      </c>
      <c r="D173" s="3">
        <f t="shared" si="17"/>
        <v>100</v>
      </c>
      <c r="E173" s="1" t="str">
        <f t="shared" ca="1" si="14"/>
        <v>Fold</v>
      </c>
      <c r="F173" s="4">
        <f t="shared" ca="1" si="15"/>
        <v>100</v>
      </c>
      <c r="G173" s="4">
        <f ca="1">SUM(F$15:F173)</f>
        <v>2300</v>
      </c>
      <c r="H173" s="6">
        <f t="shared" ca="1" si="18"/>
        <v>0.34066775125907389</v>
      </c>
    </row>
    <row r="174" spans="2:8" x14ac:dyDescent="0.25">
      <c r="B174" s="1">
        <f t="shared" si="13"/>
        <v>160</v>
      </c>
      <c r="C174" s="3">
        <f t="shared" si="16"/>
        <v>70</v>
      </c>
      <c r="D174" s="3">
        <f t="shared" si="17"/>
        <v>100</v>
      </c>
      <c r="E174" s="1" t="str">
        <f t="shared" ca="1" si="14"/>
        <v>Fold</v>
      </c>
      <c r="F174" s="4">
        <f t="shared" ca="1" si="15"/>
        <v>100</v>
      </c>
      <c r="G174" s="4">
        <f ca="1">SUM(F$15:F174)</f>
        <v>2400</v>
      </c>
      <c r="H174" s="6">
        <f t="shared" ca="1" si="18"/>
        <v>9.1028838439120019E-2</v>
      </c>
    </row>
    <row r="175" spans="2:8" x14ac:dyDescent="0.25">
      <c r="B175" s="1">
        <f t="shared" si="13"/>
        <v>161</v>
      </c>
      <c r="C175" s="3">
        <f t="shared" si="16"/>
        <v>70</v>
      </c>
      <c r="D175" s="3">
        <f t="shared" si="17"/>
        <v>100</v>
      </c>
      <c r="E175" s="1" t="str">
        <f t="shared" ca="1" si="14"/>
        <v>Fold</v>
      </c>
      <c r="F175" s="4">
        <f t="shared" ca="1" si="15"/>
        <v>100</v>
      </c>
      <c r="G175" s="4">
        <f ca="1">SUM(F$15:F175)</f>
        <v>2500</v>
      </c>
      <c r="H175" s="6">
        <f t="shared" ca="1" si="18"/>
        <v>0.18532053903522461</v>
      </c>
    </row>
    <row r="176" spans="2:8" x14ac:dyDescent="0.25">
      <c r="B176" s="1">
        <f t="shared" si="13"/>
        <v>162</v>
      </c>
      <c r="C176" s="3">
        <f t="shared" si="16"/>
        <v>70</v>
      </c>
      <c r="D176" s="3">
        <f t="shared" si="17"/>
        <v>100</v>
      </c>
      <c r="E176" s="1" t="str">
        <f t="shared" ca="1" si="14"/>
        <v>Fold</v>
      </c>
      <c r="F176" s="4">
        <f t="shared" ca="1" si="15"/>
        <v>100</v>
      </c>
      <c r="G176" s="4">
        <f ca="1">SUM(F$15:F176)</f>
        <v>2600</v>
      </c>
      <c r="H176" s="6">
        <f t="shared" ca="1" si="18"/>
        <v>0.34013916187476656</v>
      </c>
    </row>
    <row r="177" spans="2:8" x14ac:dyDescent="0.25">
      <c r="B177" s="1">
        <f t="shared" si="13"/>
        <v>163</v>
      </c>
      <c r="C177" s="3">
        <f t="shared" si="16"/>
        <v>70</v>
      </c>
      <c r="D177" s="3">
        <f t="shared" si="17"/>
        <v>100</v>
      </c>
      <c r="E177" s="1" t="str">
        <f t="shared" ca="1" si="14"/>
        <v>Call</v>
      </c>
      <c r="F177" s="4">
        <f t="shared" ca="1" si="15"/>
        <v>-70</v>
      </c>
      <c r="G177" s="4">
        <f ca="1">SUM(F$15:F177)</f>
        <v>2530</v>
      </c>
      <c r="H177" s="6">
        <f t="shared" ca="1" si="18"/>
        <v>0.84257605191734997</v>
      </c>
    </row>
    <row r="178" spans="2:8" x14ac:dyDescent="0.25">
      <c r="B178" s="1">
        <f t="shared" si="13"/>
        <v>164</v>
      </c>
      <c r="C178" s="3">
        <f t="shared" si="16"/>
        <v>70</v>
      </c>
      <c r="D178" s="3">
        <f t="shared" si="17"/>
        <v>100</v>
      </c>
      <c r="E178" s="1" t="str">
        <f t="shared" ca="1" si="14"/>
        <v>Call</v>
      </c>
      <c r="F178" s="4">
        <f t="shared" ca="1" si="15"/>
        <v>-70</v>
      </c>
      <c r="G178" s="4">
        <f ca="1">SUM(F$15:F178)</f>
        <v>2460</v>
      </c>
      <c r="H178" s="6">
        <f t="shared" ca="1" si="18"/>
        <v>0.53572363579344129</v>
      </c>
    </row>
    <row r="179" spans="2:8" x14ac:dyDescent="0.25">
      <c r="B179" s="1">
        <f t="shared" si="13"/>
        <v>165</v>
      </c>
      <c r="C179" s="3">
        <f t="shared" si="16"/>
        <v>70</v>
      </c>
      <c r="D179" s="3">
        <f t="shared" si="17"/>
        <v>100</v>
      </c>
      <c r="E179" s="1" t="str">
        <f t="shared" ca="1" si="14"/>
        <v>Call</v>
      </c>
      <c r="F179" s="4">
        <f t="shared" ca="1" si="15"/>
        <v>-70</v>
      </c>
      <c r="G179" s="4">
        <f ca="1">SUM(F$15:F179)</f>
        <v>2390</v>
      </c>
      <c r="H179" s="6">
        <f t="shared" ca="1" si="18"/>
        <v>0.68506497662445232</v>
      </c>
    </row>
    <row r="180" spans="2:8" x14ac:dyDescent="0.25">
      <c r="B180" s="1">
        <f t="shared" si="13"/>
        <v>166</v>
      </c>
      <c r="C180" s="3">
        <f t="shared" si="16"/>
        <v>70</v>
      </c>
      <c r="D180" s="3">
        <f t="shared" si="17"/>
        <v>100</v>
      </c>
      <c r="E180" s="1" t="str">
        <f t="shared" ca="1" si="14"/>
        <v>Fold</v>
      </c>
      <c r="F180" s="4">
        <f t="shared" ca="1" si="15"/>
        <v>100</v>
      </c>
      <c r="G180" s="4">
        <f ca="1">SUM(F$15:F180)</f>
        <v>2490</v>
      </c>
      <c r="H180" s="6">
        <f t="shared" ca="1" si="18"/>
        <v>0.13237600935170335</v>
      </c>
    </row>
    <row r="181" spans="2:8" x14ac:dyDescent="0.25">
      <c r="B181" s="1">
        <f t="shared" si="13"/>
        <v>167</v>
      </c>
      <c r="C181" s="3">
        <f t="shared" si="16"/>
        <v>70</v>
      </c>
      <c r="D181" s="3">
        <f t="shared" si="17"/>
        <v>100</v>
      </c>
      <c r="E181" s="1" t="str">
        <f t="shared" ca="1" si="14"/>
        <v>Call</v>
      </c>
      <c r="F181" s="4">
        <f t="shared" ca="1" si="15"/>
        <v>-70</v>
      </c>
      <c r="G181" s="4">
        <f ca="1">SUM(F$15:F181)</f>
        <v>2420</v>
      </c>
      <c r="H181" s="6">
        <f t="shared" ca="1" si="18"/>
        <v>0.67572445046707041</v>
      </c>
    </row>
    <row r="182" spans="2:8" x14ac:dyDescent="0.25">
      <c r="B182" s="1">
        <f t="shared" si="13"/>
        <v>168</v>
      </c>
      <c r="C182" s="3">
        <f t="shared" si="16"/>
        <v>70</v>
      </c>
      <c r="D182" s="3">
        <f t="shared" si="17"/>
        <v>100</v>
      </c>
      <c r="E182" s="1" t="str">
        <f t="shared" ca="1" si="14"/>
        <v>Fold</v>
      </c>
      <c r="F182" s="4">
        <f t="shared" ca="1" si="15"/>
        <v>100</v>
      </c>
      <c r="G182" s="4">
        <f ca="1">SUM(F$15:F182)</f>
        <v>2520</v>
      </c>
      <c r="H182" s="6">
        <f t="shared" ca="1" si="18"/>
        <v>0.35725858429437096</v>
      </c>
    </row>
    <row r="183" spans="2:8" x14ac:dyDescent="0.25">
      <c r="B183" s="1">
        <f t="shared" si="13"/>
        <v>169</v>
      </c>
      <c r="C183" s="3">
        <f t="shared" si="16"/>
        <v>70</v>
      </c>
      <c r="D183" s="3">
        <f t="shared" si="17"/>
        <v>100</v>
      </c>
      <c r="E183" s="1" t="str">
        <f t="shared" ca="1" si="14"/>
        <v>Fold</v>
      </c>
      <c r="F183" s="4">
        <f t="shared" ca="1" si="15"/>
        <v>100</v>
      </c>
      <c r="G183" s="4">
        <f ca="1">SUM(F$15:F183)</f>
        <v>2620</v>
      </c>
      <c r="H183" s="6">
        <f t="shared" ca="1" si="18"/>
        <v>8.1511890292798372E-2</v>
      </c>
    </row>
    <row r="184" spans="2:8" x14ac:dyDescent="0.25">
      <c r="B184" s="1">
        <f t="shared" si="13"/>
        <v>170</v>
      </c>
      <c r="C184" s="3">
        <f t="shared" si="16"/>
        <v>70</v>
      </c>
      <c r="D184" s="3">
        <f t="shared" si="17"/>
        <v>100</v>
      </c>
      <c r="E184" s="1" t="str">
        <f t="shared" ca="1" si="14"/>
        <v>Call</v>
      </c>
      <c r="F184" s="4">
        <f t="shared" ca="1" si="15"/>
        <v>-70</v>
      </c>
      <c r="G184" s="4">
        <f ca="1">SUM(F$15:F184)</f>
        <v>2550</v>
      </c>
      <c r="H184" s="6">
        <f t="shared" ca="1" si="18"/>
        <v>0.74994627817009551</v>
      </c>
    </row>
    <row r="185" spans="2:8" x14ac:dyDescent="0.25">
      <c r="B185" s="1">
        <f t="shared" si="13"/>
        <v>171</v>
      </c>
      <c r="C185" s="3">
        <f t="shared" si="16"/>
        <v>70</v>
      </c>
      <c r="D185" s="3">
        <f t="shared" si="17"/>
        <v>100</v>
      </c>
      <c r="E185" s="1" t="str">
        <f t="shared" ca="1" si="14"/>
        <v>Fold</v>
      </c>
      <c r="F185" s="4">
        <f t="shared" ca="1" si="15"/>
        <v>100</v>
      </c>
      <c r="G185" s="4">
        <f ca="1">SUM(F$15:F185)</f>
        <v>2650</v>
      </c>
      <c r="H185" s="6">
        <f t="shared" ca="1" si="18"/>
        <v>0.43699208798284195</v>
      </c>
    </row>
    <row r="186" spans="2:8" x14ac:dyDescent="0.25">
      <c r="B186" s="1">
        <f t="shared" si="13"/>
        <v>172</v>
      </c>
      <c r="C186" s="3">
        <f t="shared" si="16"/>
        <v>70</v>
      </c>
      <c r="D186" s="3">
        <f t="shared" si="17"/>
        <v>100</v>
      </c>
      <c r="E186" s="1" t="str">
        <f t="shared" ca="1" si="14"/>
        <v>Call</v>
      </c>
      <c r="F186" s="4">
        <f t="shared" ca="1" si="15"/>
        <v>-70</v>
      </c>
      <c r="G186" s="4">
        <f ca="1">SUM(F$15:F186)</f>
        <v>2580</v>
      </c>
      <c r="H186" s="6">
        <f t="shared" ca="1" si="18"/>
        <v>0.69292687795380858</v>
      </c>
    </row>
    <row r="187" spans="2:8" x14ac:dyDescent="0.25">
      <c r="B187" s="1">
        <f t="shared" ref="B187:B190" si="19">B186+1</f>
        <v>173</v>
      </c>
      <c r="C187" s="3">
        <f t="shared" si="16"/>
        <v>70</v>
      </c>
      <c r="D187" s="3">
        <f t="shared" si="17"/>
        <v>100</v>
      </c>
      <c r="E187" s="1" t="str">
        <f t="shared" ca="1" si="14"/>
        <v>Call</v>
      </c>
      <c r="F187" s="4">
        <f t="shared" ca="1" si="15"/>
        <v>-70</v>
      </c>
      <c r="G187" s="4">
        <f ca="1">SUM(F$15:F187)</f>
        <v>2510</v>
      </c>
      <c r="H187" s="6">
        <f t="shared" ca="1" si="18"/>
        <v>0.92790118579105663</v>
      </c>
    </row>
    <row r="188" spans="2:8" x14ac:dyDescent="0.25">
      <c r="B188" s="1">
        <f t="shared" si="19"/>
        <v>174</v>
      </c>
      <c r="C188" s="3">
        <f t="shared" si="16"/>
        <v>70</v>
      </c>
      <c r="D188" s="3">
        <f t="shared" si="17"/>
        <v>100</v>
      </c>
      <c r="E188" s="1" t="str">
        <f t="shared" ca="1" si="14"/>
        <v>Fold</v>
      </c>
      <c r="F188" s="4">
        <f t="shared" ca="1" si="15"/>
        <v>100</v>
      </c>
      <c r="G188" s="4">
        <f ca="1">SUM(F$15:F188)</f>
        <v>2610</v>
      </c>
      <c r="H188" s="6">
        <f t="shared" ca="1" si="18"/>
        <v>0.27458466426480255</v>
      </c>
    </row>
    <row r="189" spans="2:8" x14ac:dyDescent="0.25">
      <c r="B189" s="1">
        <f t="shared" si="19"/>
        <v>175</v>
      </c>
      <c r="C189" s="3">
        <f t="shared" si="16"/>
        <v>70</v>
      </c>
      <c r="D189" s="3">
        <f t="shared" si="17"/>
        <v>100</v>
      </c>
      <c r="E189" s="1" t="str">
        <f t="shared" ca="1" si="14"/>
        <v>Fold</v>
      </c>
      <c r="F189" s="4">
        <f t="shared" ca="1" si="15"/>
        <v>100</v>
      </c>
      <c r="G189" s="4">
        <f ca="1">SUM(F$15:F189)</f>
        <v>2710</v>
      </c>
      <c r="H189" s="6">
        <f t="shared" ca="1" si="18"/>
        <v>0.11580331881229722</v>
      </c>
    </row>
    <row r="190" spans="2:8" x14ac:dyDescent="0.25">
      <c r="B190" s="1">
        <f t="shared" si="19"/>
        <v>176</v>
      </c>
      <c r="C190" s="3">
        <f t="shared" si="16"/>
        <v>70</v>
      </c>
      <c r="D190" s="3">
        <f t="shared" si="17"/>
        <v>100</v>
      </c>
      <c r="E190" s="1" t="str">
        <f t="shared" ca="1" si="14"/>
        <v>Fold</v>
      </c>
      <c r="F190" s="4">
        <f t="shared" ca="1" si="15"/>
        <v>100</v>
      </c>
      <c r="G190" s="4">
        <f ca="1">SUM(F$15:F190)</f>
        <v>2810</v>
      </c>
      <c r="H190" s="6">
        <f t="shared" ca="1" si="18"/>
        <v>0.26662099555464536</v>
      </c>
    </row>
    <row r="191" spans="2:8" x14ac:dyDescent="0.25">
      <c r="B191" s="1">
        <f t="shared" ref="B191:B254" si="20">B190+1</f>
        <v>177</v>
      </c>
      <c r="C191" s="3">
        <f t="shared" si="16"/>
        <v>70</v>
      </c>
      <c r="D191" s="3">
        <f t="shared" si="17"/>
        <v>100</v>
      </c>
      <c r="E191" s="1" t="str">
        <f t="shared" ca="1" si="14"/>
        <v>Call</v>
      </c>
      <c r="F191" s="4">
        <f t="shared" ca="1" si="15"/>
        <v>-70</v>
      </c>
      <c r="G191" s="4">
        <f ca="1">SUM(F$15:F191)</f>
        <v>2740</v>
      </c>
      <c r="H191" s="6">
        <f t="shared" ca="1" si="18"/>
        <v>0.91095466979664419</v>
      </c>
    </row>
    <row r="192" spans="2:8" x14ac:dyDescent="0.25">
      <c r="B192" s="1">
        <f t="shared" si="20"/>
        <v>178</v>
      </c>
      <c r="C192" s="3">
        <f t="shared" si="16"/>
        <v>70</v>
      </c>
      <c r="D192" s="3">
        <f t="shared" si="17"/>
        <v>100</v>
      </c>
      <c r="E192" s="1" t="str">
        <f t="shared" ca="1" si="14"/>
        <v>Fold</v>
      </c>
      <c r="F192" s="4">
        <f t="shared" ca="1" si="15"/>
        <v>100</v>
      </c>
      <c r="G192" s="4">
        <f ca="1">SUM(F$15:F192)</f>
        <v>2840</v>
      </c>
      <c r="H192" s="6">
        <f t="shared" ca="1" si="18"/>
        <v>0.34089779152966493</v>
      </c>
    </row>
    <row r="193" spans="2:8" x14ac:dyDescent="0.25">
      <c r="B193" s="1">
        <f t="shared" si="20"/>
        <v>179</v>
      </c>
      <c r="C193" s="3">
        <f t="shared" si="16"/>
        <v>70</v>
      </c>
      <c r="D193" s="3">
        <f t="shared" si="17"/>
        <v>100</v>
      </c>
      <c r="E193" s="1" t="str">
        <f t="shared" ca="1" si="14"/>
        <v>Call</v>
      </c>
      <c r="F193" s="4">
        <f t="shared" ca="1" si="15"/>
        <v>-70</v>
      </c>
      <c r="G193" s="4">
        <f ca="1">SUM(F$15:F193)</f>
        <v>2770</v>
      </c>
      <c r="H193" s="6">
        <f t="shared" ca="1" si="18"/>
        <v>0.96240392369119665</v>
      </c>
    </row>
    <row r="194" spans="2:8" x14ac:dyDescent="0.25">
      <c r="B194" s="1">
        <f t="shared" si="20"/>
        <v>180</v>
      </c>
      <c r="C194" s="3">
        <f t="shared" si="16"/>
        <v>70</v>
      </c>
      <c r="D194" s="3">
        <f t="shared" si="17"/>
        <v>100</v>
      </c>
      <c r="E194" s="1" t="str">
        <f t="shared" ca="1" si="14"/>
        <v>Fold</v>
      </c>
      <c r="F194" s="4">
        <f t="shared" ca="1" si="15"/>
        <v>100</v>
      </c>
      <c r="G194" s="4">
        <f ca="1">SUM(F$15:F194)</f>
        <v>2870</v>
      </c>
      <c r="H194" s="6">
        <f t="shared" ca="1" si="18"/>
        <v>0.40600236086546904</v>
      </c>
    </row>
    <row r="195" spans="2:8" x14ac:dyDescent="0.25">
      <c r="B195" s="1">
        <f t="shared" si="20"/>
        <v>181</v>
      </c>
      <c r="C195" s="3">
        <f t="shared" si="16"/>
        <v>70</v>
      </c>
      <c r="D195" s="3">
        <f t="shared" si="17"/>
        <v>100</v>
      </c>
      <c r="E195" s="1" t="str">
        <f t="shared" ca="1" si="14"/>
        <v>Call</v>
      </c>
      <c r="F195" s="4">
        <f t="shared" ca="1" si="15"/>
        <v>-70</v>
      </c>
      <c r="G195" s="4">
        <f ca="1">SUM(F$15:F195)</f>
        <v>2800</v>
      </c>
      <c r="H195" s="6">
        <f t="shared" ca="1" si="18"/>
        <v>0.81759809118473326</v>
      </c>
    </row>
    <row r="196" spans="2:8" x14ac:dyDescent="0.25">
      <c r="B196" s="1">
        <f t="shared" si="20"/>
        <v>182</v>
      </c>
      <c r="C196" s="3">
        <f t="shared" si="16"/>
        <v>70</v>
      </c>
      <c r="D196" s="3">
        <f t="shared" si="17"/>
        <v>100</v>
      </c>
      <c r="E196" s="1" t="str">
        <f t="shared" ca="1" si="14"/>
        <v>Call</v>
      </c>
      <c r="F196" s="4">
        <f t="shared" ca="1" si="15"/>
        <v>-70</v>
      </c>
      <c r="G196" s="4">
        <f ca="1">SUM(F$15:F196)</f>
        <v>2730</v>
      </c>
      <c r="H196" s="6">
        <f t="shared" ca="1" si="18"/>
        <v>0.60231168547301006</v>
      </c>
    </row>
    <row r="197" spans="2:8" x14ac:dyDescent="0.25">
      <c r="B197" s="1">
        <f t="shared" si="20"/>
        <v>183</v>
      </c>
      <c r="C197" s="3">
        <f t="shared" si="16"/>
        <v>70</v>
      </c>
      <c r="D197" s="3">
        <f t="shared" si="17"/>
        <v>100</v>
      </c>
      <c r="E197" s="1" t="str">
        <f t="shared" ca="1" si="14"/>
        <v>Call</v>
      </c>
      <c r="F197" s="4">
        <f t="shared" ca="1" si="15"/>
        <v>-70</v>
      </c>
      <c r="G197" s="4">
        <f ca="1">SUM(F$15:F197)</f>
        <v>2660</v>
      </c>
      <c r="H197" s="6">
        <f t="shared" ca="1" si="18"/>
        <v>0.92990031384571947</v>
      </c>
    </row>
    <row r="198" spans="2:8" x14ac:dyDescent="0.25">
      <c r="B198" s="1">
        <f t="shared" si="20"/>
        <v>184</v>
      </c>
      <c r="C198" s="3">
        <f t="shared" si="16"/>
        <v>70</v>
      </c>
      <c r="D198" s="3">
        <f t="shared" si="17"/>
        <v>100</v>
      </c>
      <c r="E198" s="1" t="str">
        <f t="shared" ca="1" si="14"/>
        <v>Call</v>
      </c>
      <c r="F198" s="4">
        <f t="shared" ca="1" si="15"/>
        <v>-70</v>
      </c>
      <c r="G198" s="4">
        <f ca="1">SUM(F$15:F198)</f>
        <v>2590</v>
      </c>
      <c r="H198" s="6">
        <f t="shared" ca="1" si="18"/>
        <v>0.92084798589746708</v>
      </c>
    </row>
    <row r="199" spans="2:8" x14ac:dyDescent="0.25">
      <c r="B199" s="1">
        <f t="shared" si="20"/>
        <v>185</v>
      </c>
      <c r="C199" s="3">
        <f t="shared" si="16"/>
        <v>70</v>
      </c>
      <c r="D199" s="3">
        <f t="shared" si="17"/>
        <v>100</v>
      </c>
      <c r="E199" s="1" t="str">
        <f t="shared" ca="1" si="14"/>
        <v>Call</v>
      </c>
      <c r="F199" s="4">
        <f t="shared" ca="1" si="15"/>
        <v>-70</v>
      </c>
      <c r="G199" s="4">
        <f ca="1">SUM(F$15:F199)</f>
        <v>2520</v>
      </c>
      <c r="H199" s="6">
        <f t="shared" ca="1" si="18"/>
        <v>0.58066315318869532</v>
      </c>
    </row>
    <row r="200" spans="2:8" x14ac:dyDescent="0.25">
      <c r="B200" s="1">
        <f t="shared" si="20"/>
        <v>186</v>
      </c>
      <c r="C200" s="3">
        <f t="shared" si="16"/>
        <v>70</v>
      </c>
      <c r="D200" s="3">
        <f t="shared" si="17"/>
        <v>100</v>
      </c>
      <c r="E200" s="1" t="str">
        <f t="shared" ca="1" si="14"/>
        <v>Fold</v>
      </c>
      <c r="F200" s="4">
        <f t="shared" ca="1" si="15"/>
        <v>100</v>
      </c>
      <c r="G200" s="4">
        <f ca="1">SUM(F$15:F200)</f>
        <v>2620</v>
      </c>
      <c r="H200" s="6">
        <f t="shared" ca="1" si="18"/>
        <v>0.23265367761346489</v>
      </c>
    </row>
    <row r="201" spans="2:8" x14ac:dyDescent="0.25">
      <c r="B201" s="1">
        <f t="shared" si="20"/>
        <v>187</v>
      </c>
      <c r="C201" s="3">
        <f t="shared" si="16"/>
        <v>70</v>
      </c>
      <c r="D201" s="3">
        <f t="shared" si="17"/>
        <v>100</v>
      </c>
      <c r="E201" s="1" t="str">
        <f t="shared" ca="1" si="14"/>
        <v>Fold</v>
      </c>
      <c r="F201" s="4">
        <f t="shared" ca="1" si="15"/>
        <v>100</v>
      </c>
      <c r="G201" s="4">
        <f ca="1">SUM(F$15:F201)</f>
        <v>2720</v>
      </c>
      <c r="H201" s="6">
        <f t="shared" ca="1" si="18"/>
        <v>0.2907938759761447</v>
      </c>
    </row>
    <row r="202" spans="2:8" x14ac:dyDescent="0.25">
      <c r="B202" s="1">
        <f t="shared" si="20"/>
        <v>188</v>
      </c>
      <c r="C202" s="3">
        <f t="shared" si="16"/>
        <v>70</v>
      </c>
      <c r="D202" s="3">
        <f t="shared" si="17"/>
        <v>100</v>
      </c>
      <c r="E202" s="1" t="str">
        <f t="shared" ca="1" si="14"/>
        <v>Fold</v>
      </c>
      <c r="F202" s="4">
        <f t="shared" ca="1" si="15"/>
        <v>100</v>
      </c>
      <c r="G202" s="4">
        <f ca="1">SUM(F$15:F202)</f>
        <v>2820</v>
      </c>
      <c r="H202" s="6">
        <f t="shared" ca="1" si="18"/>
        <v>0.26549066298766966</v>
      </c>
    </row>
    <row r="203" spans="2:8" x14ac:dyDescent="0.25">
      <c r="B203" s="1">
        <f t="shared" si="20"/>
        <v>189</v>
      </c>
      <c r="C203" s="3">
        <f t="shared" si="16"/>
        <v>70</v>
      </c>
      <c r="D203" s="3">
        <f t="shared" si="17"/>
        <v>100</v>
      </c>
      <c r="E203" s="1" t="str">
        <f t="shared" ca="1" si="14"/>
        <v>Fold</v>
      </c>
      <c r="F203" s="4">
        <f t="shared" ca="1" si="15"/>
        <v>100</v>
      </c>
      <c r="G203" s="4">
        <f ca="1">SUM(F$15:F203)</f>
        <v>2920</v>
      </c>
      <c r="H203" s="6">
        <f t="shared" ca="1" si="18"/>
        <v>0.22491794030955403</v>
      </c>
    </row>
    <row r="204" spans="2:8" x14ac:dyDescent="0.25">
      <c r="B204" s="1">
        <f t="shared" si="20"/>
        <v>190</v>
      </c>
      <c r="C204" s="3">
        <f t="shared" si="16"/>
        <v>70</v>
      </c>
      <c r="D204" s="3">
        <f t="shared" si="17"/>
        <v>100</v>
      </c>
      <c r="E204" s="1" t="str">
        <f t="shared" ca="1" si="14"/>
        <v>Fold</v>
      </c>
      <c r="F204" s="4">
        <f t="shared" ca="1" si="15"/>
        <v>100</v>
      </c>
      <c r="G204" s="4">
        <f ca="1">SUM(F$15:F204)</f>
        <v>3020</v>
      </c>
      <c r="H204" s="6">
        <f t="shared" ca="1" si="18"/>
        <v>9.8526627145411716E-2</v>
      </c>
    </row>
    <row r="205" spans="2:8" x14ac:dyDescent="0.25">
      <c r="B205" s="1">
        <f t="shared" si="20"/>
        <v>191</v>
      </c>
      <c r="C205" s="3">
        <f t="shared" si="16"/>
        <v>70</v>
      </c>
      <c r="D205" s="3">
        <f t="shared" si="17"/>
        <v>100</v>
      </c>
      <c r="E205" s="1" t="str">
        <f t="shared" ca="1" si="14"/>
        <v>Call</v>
      </c>
      <c r="F205" s="4">
        <f t="shared" ca="1" si="15"/>
        <v>-70</v>
      </c>
      <c r="G205" s="4">
        <f ca="1">SUM(F$15:F205)</f>
        <v>2950</v>
      </c>
      <c r="H205" s="6">
        <f t="shared" ca="1" si="18"/>
        <v>0.87278990281270474</v>
      </c>
    </row>
    <row r="206" spans="2:8" x14ac:dyDescent="0.25">
      <c r="B206" s="1">
        <f t="shared" si="20"/>
        <v>192</v>
      </c>
      <c r="C206" s="3">
        <f t="shared" si="16"/>
        <v>70</v>
      </c>
      <c r="D206" s="3">
        <f t="shared" si="17"/>
        <v>100</v>
      </c>
      <c r="E206" s="1" t="str">
        <f t="shared" ca="1" si="14"/>
        <v>Call</v>
      </c>
      <c r="F206" s="4">
        <f t="shared" ca="1" si="15"/>
        <v>-70</v>
      </c>
      <c r="G206" s="4">
        <f ca="1">SUM(F$15:F206)</f>
        <v>2880</v>
      </c>
      <c r="H206" s="6">
        <f t="shared" ca="1" si="18"/>
        <v>0.97534532892566828</v>
      </c>
    </row>
    <row r="207" spans="2:8" x14ac:dyDescent="0.25">
      <c r="B207" s="1">
        <f t="shared" si="20"/>
        <v>193</v>
      </c>
      <c r="C207" s="3">
        <f t="shared" si="16"/>
        <v>70</v>
      </c>
      <c r="D207" s="3">
        <f t="shared" si="17"/>
        <v>100</v>
      </c>
      <c r="E207" s="1" t="str">
        <f t="shared" ref="E207:E270" ca="1" si="21">IF(H207&lt;$D$3,"Fold","Call")</f>
        <v>Fold</v>
      </c>
      <c r="F207" s="4">
        <f t="shared" ca="1" si="15"/>
        <v>100</v>
      </c>
      <c r="G207" s="4">
        <f ca="1">SUM(F$15:F207)</f>
        <v>2980</v>
      </c>
      <c r="H207" s="6">
        <f t="shared" ca="1" si="18"/>
        <v>0.24092941088882913</v>
      </c>
    </row>
    <row r="208" spans="2:8" x14ac:dyDescent="0.25">
      <c r="B208" s="1">
        <f t="shared" si="20"/>
        <v>194</v>
      </c>
      <c r="C208" s="3">
        <f t="shared" si="16"/>
        <v>70</v>
      </c>
      <c r="D208" s="3">
        <f t="shared" si="17"/>
        <v>100</v>
      </c>
      <c r="E208" s="1" t="str">
        <f t="shared" ca="1" si="21"/>
        <v>Fold</v>
      </c>
      <c r="F208" s="4">
        <f t="shared" ref="F208:F271" ca="1" si="22">IF(E208="Fold",D208,-C208)</f>
        <v>100</v>
      </c>
      <c r="G208" s="4">
        <f ca="1">SUM(F$15:F208)</f>
        <v>3080</v>
      </c>
      <c r="H208" s="6">
        <f t="shared" ca="1" si="18"/>
        <v>5.3310791177619943E-2</v>
      </c>
    </row>
    <row r="209" spans="2:8" x14ac:dyDescent="0.25">
      <c r="B209" s="1">
        <f t="shared" si="20"/>
        <v>195</v>
      </c>
      <c r="C209" s="3">
        <f t="shared" ref="C209:C272" si="23">C208</f>
        <v>70</v>
      </c>
      <c r="D209" s="3">
        <f t="shared" ref="D209:D272" si="24">D208</f>
        <v>100</v>
      </c>
      <c r="E209" s="1" t="str">
        <f t="shared" ca="1" si="21"/>
        <v>Fold</v>
      </c>
      <c r="F209" s="4">
        <f t="shared" ca="1" si="22"/>
        <v>100</v>
      </c>
      <c r="G209" s="4">
        <f ca="1">SUM(F$15:F209)</f>
        <v>3180</v>
      </c>
      <c r="H209" s="6">
        <f t="shared" ca="1" si="18"/>
        <v>2.1010737491792275E-3</v>
      </c>
    </row>
    <row r="210" spans="2:8" x14ac:dyDescent="0.25">
      <c r="B210" s="1">
        <f t="shared" si="20"/>
        <v>196</v>
      </c>
      <c r="C210" s="3">
        <f t="shared" si="23"/>
        <v>70</v>
      </c>
      <c r="D210" s="3">
        <f t="shared" si="24"/>
        <v>100</v>
      </c>
      <c r="E210" s="1" t="str">
        <f t="shared" ca="1" si="21"/>
        <v>Fold</v>
      </c>
      <c r="F210" s="4">
        <f t="shared" ca="1" si="22"/>
        <v>100</v>
      </c>
      <c r="G210" s="4">
        <f ca="1">SUM(F$15:F210)</f>
        <v>3280</v>
      </c>
      <c r="H210" s="6">
        <f t="shared" ca="1" si="18"/>
        <v>0.13926173910401696</v>
      </c>
    </row>
    <row r="211" spans="2:8" x14ac:dyDescent="0.25">
      <c r="B211" s="1">
        <f t="shared" si="20"/>
        <v>197</v>
      </c>
      <c r="C211" s="3">
        <f t="shared" si="23"/>
        <v>70</v>
      </c>
      <c r="D211" s="3">
        <f t="shared" si="24"/>
        <v>100</v>
      </c>
      <c r="E211" s="1" t="str">
        <f t="shared" ca="1" si="21"/>
        <v>Fold</v>
      </c>
      <c r="F211" s="4">
        <f t="shared" ca="1" si="22"/>
        <v>100</v>
      </c>
      <c r="G211" s="4">
        <f ca="1">SUM(F$15:F211)</f>
        <v>3380</v>
      </c>
      <c r="H211" s="6">
        <f t="shared" ca="1" si="18"/>
        <v>0.11798352219359476</v>
      </c>
    </row>
    <row r="212" spans="2:8" x14ac:dyDescent="0.25">
      <c r="B212" s="1">
        <f t="shared" si="20"/>
        <v>198</v>
      </c>
      <c r="C212" s="3">
        <f t="shared" si="23"/>
        <v>70</v>
      </c>
      <c r="D212" s="3">
        <f t="shared" si="24"/>
        <v>100</v>
      </c>
      <c r="E212" s="1" t="str">
        <f t="shared" ca="1" si="21"/>
        <v>Call</v>
      </c>
      <c r="F212" s="4">
        <f t="shared" ca="1" si="22"/>
        <v>-70</v>
      </c>
      <c r="G212" s="4">
        <f ca="1">SUM(F$15:F212)</f>
        <v>3310</v>
      </c>
      <c r="H212" s="6">
        <f t="shared" ca="1" si="18"/>
        <v>0.65937877684481294</v>
      </c>
    </row>
    <row r="213" spans="2:8" x14ac:dyDescent="0.25">
      <c r="B213" s="1">
        <f t="shared" si="20"/>
        <v>199</v>
      </c>
      <c r="C213" s="3">
        <f t="shared" si="23"/>
        <v>70</v>
      </c>
      <c r="D213" s="3">
        <f t="shared" si="24"/>
        <v>100</v>
      </c>
      <c r="E213" s="1" t="str">
        <f t="shared" ca="1" si="21"/>
        <v>Fold</v>
      </c>
      <c r="F213" s="4">
        <f t="shared" ca="1" si="22"/>
        <v>100</v>
      </c>
      <c r="G213" s="4">
        <f ca="1">SUM(F$15:F213)</f>
        <v>3410</v>
      </c>
      <c r="H213" s="6">
        <f t="shared" ca="1" si="18"/>
        <v>0.10359143042614416</v>
      </c>
    </row>
    <row r="214" spans="2:8" x14ac:dyDescent="0.25">
      <c r="B214" s="1">
        <f t="shared" si="20"/>
        <v>200</v>
      </c>
      <c r="C214" s="3">
        <f t="shared" si="23"/>
        <v>70</v>
      </c>
      <c r="D214" s="3">
        <f t="shared" si="24"/>
        <v>100</v>
      </c>
      <c r="E214" s="1" t="str">
        <f t="shared" ca="1" si="21"/>
        <v>Fold</v>
      </c>
      <c r="F214" s="4">
        <f t="shared" ca="1" si="22"/>
        <v>100</v>
      </c>
      <c r="G214" s="4">
        <f ca="1">SUM(F$15:F214)</f>
        <v>3510</v>
      </c>
      <c r="H214" s="6">
        <f t="shared" ca="1" si="18"/>
        <v>0.29137909608572066</v>
      </c>
    </row>
    <row r="215" spans="2:8" x14ac:dyDescent="0.25">
      <c r="B215" s="1">
        <f t="shared" si="20"/>
        <v>201</v>
      </c>
      <c r="C215" s="3">
        <f t="shared" si="23"/>
        <v>70</v>
      </c>
      <c r="D215" s="3">
        <f t="shared" si="24"/>
        <v>100</v>
      </c>
      <c r="E215" s="1" t="str">
        <f t="shared" ca="1" si="21"/>
        <v>Fold</v>
      </c>
      <c r="F215" s="4">
        <f t="shared" ca="1" si="22"/>
        <v>100</v>
      </c>
      <c r="G215" s="4">
        <f ca="1">SUM(F$15:F215)</f>
        <v>3610</v>
      </c>
      <c r="H215" s="6">
        <f t="shared" ca="1" si="18"/>
        <v>0.15787145429953908</v>
      </c>
    </row>
    <row r="216" spans="2:8" x14ac:dyDescent="0.25">
      <c r="B216" s="1">
        <f t="shared" si="20"/>
        <v>202</v>
      </c>
      <c r="C216" s="3">
        <f t="shared" si="23"/>
        <v>70</v>
      </c>
      <c r="D216" s="3">
        <f t="shared" si="24"/>
        <v>100</v>
      </c>
      <c r="E216" s="1" t="str">
        <f t="shared" ca="1" si="21"/>
        <v>Call</v>
      </c>
      <c r="F216" s="4">
        <f t="shared" ca="1" si="22"/>
        <v>-70</v>
      </c>
      <c r="G216" s="4">
        <f ca="1">SUM(F$15:F216)</f>
        <v>3540</v>
      </c>
      <c r="H216" s="6">
        <f t="shared" ca="1" si="18"/>
        <v>0.78400697721576817</v>
      </c>
    </row>
    <row r="217" spans="2:8" x14ac:dyDescent="0.25">
      <c r="B217" s="1">
        <f t="shared" si="20"/>
        <v>203</v>
      </c>
      <c r="C217" s="3">
        <f t="shared" si="23"/>
        <v>70</v>
      </c>
      <c r="D217" s="3">
        <f t="shared" si="24"/>
        <v>100</v>
      </c>
      <c r="E217" s="1" t="str">
        <f t="shared" ca="1" si="21"/>
        <v>Call</v>
      </c>
      <c r="F217" s="4">
        <f t="shared" ca="1" si="22"/>
        <v>-70</v>
      </c>
      <c r="G217" s="4">
        <f ca="1">SUM(F$15:F217)</f>
        <v>3470</v>
      </c>
      <c r="H217" s="6">
        <f t="shared" ca="1" si="18"/>
        <v>0.6115163542626284</v>
      </c>
    </row>
    <row r="218" spans="2:8" x14ac:dyDescent="0.25">
      <c r="B218" s="1">
        <f t="shared" si="20"/>
        <v>204</v>
      </c>
      <c r="C218" s="3">
        <f t="shared" si="23"/>
        <v>70</v>
      </c>
      <c r="D218" s="3">
        <f t="shared" si="24"/>
        <v>100</v>
      </c>
      <c r="E218" s="1" t="str">
        <f t="shared" ca="1" si="21"/>
        <v>Call</v>
      </c>
      <c r="F218" s="4">
        <f t="shared" ca="1" si="22"/>
        <v>-70</v>
      </c>
      <c r="G218" s="4">
        <f ca="1">SUM(F$15:F218)</f>
        <v>3400</v>
      </c>
      <c r="H218" s="6">
        <f t="shared" ca="1" si="18"/>
        <v>0.51598783643493429</v>
      </c>
    </row>
    <row r="219" spans="2:8" x14ac:dyDescent="0.25">
      <c r="B219" s="1">
        <f t="shared" si="20"/>
        <v>205</v>
      </c>
      <c r="C219" s="3">
        <f t="shared" si="23"/>
        <v>70</v>
      </c>
      <c r="D219" s="3">
        <f t="shared" si="24"/>
        <v>100</v>
      </c>
      <c r="E219" s="1" t="str">
        <f t="shared" ca="1" si="21"/>
        <v>Call</v>
      </c>
      <c r="F219" s="4">
        <f t="shared" ca="1" si="22"/>
        <v>-70</v>
      </c>
      <c r="G219" s="4">
        <f ca="1">SUM(F$15:F219)</f>
        <v>3330</v>
      </c>
      <c r="H219" s="6">
        <f t="shared" ca="1" si="18"/>
        <v>0.54436335230358135</v>
      </c>
    </row>
    <row r="220" spans="2:8" x14ac:dyDescent="0.25">
      <c r="B220" s="1">
        <f t="shared" si="20"/>
        <v>206</v>
      </c>
      <c r="C220" s="3">
        <f t="shared" si="23"/>
        <v>70</v>
      </c>
      <c r="D220" s="3">
        <f t="shared" si="24"/>
        <v>100</v>
      </c>
      <c r="E220" s="1" t="str">
        <f t="shared" ca="1" si="21"/>
        <v>Call</v>
      </c>
      <c r="F220" s="4">
        <f t="shared" ca="1" si="22"/>
        <v>-70</v>
      </c>
      <c r="G220" s="4">
        <f ca="1">SUM(F$15:F220)</f>
        <v>3260</v>
      </c>
      <c r="H220" s="6">
        <f t="shared" ca="1" si="18"/>
        <v>0.64155307853449928</v>
      </c>
    </row>
    <row r="221" spans="2:8" x14ac:dyDescent="0.25">
      <c r="B221" s="1">
        <f t="shared" si="20"/>
        <v>207</v>
      </c>
      <c r="C221" s="3">
        <f t="shared" si="23"/>
        <v>70</v>
      </c>
      <c r="D221" s="3">
        <f t="shared" si="24"/>
        <v>100</v>
      </c>
      <c r="E221" s="1" t="str">
        <f t="shared" ca="1" si="21"/>
        <v>Fold</v>
      </c>
      <c r="F221" s="4">
        <f t="shared" ca="1" si="22"/>
        <v>100</v>
      </c>
      <c r="G221" s="4">
        <f ca="1">SUM(F$15:F221)</f>
        <v>3360</v>
      </c>
      <c r="H221" s="6">
        <f t="shared" ca="1" si="18"/>
        <v>0.40524117503664348</v>
      </c>
    </row>
    <row r="222" spans="2:8" x14ac:dyDescent="0.25">
      <c r="B222" s="1">
        <f t="shared" si="20"/>
        <v>208</v>
      </c>
      <c r="C222" s="3">
        <f t="shared" si="23"/>
        <v>70</v>
      </c>
      <c r="D222" s="3">
        <f t="shared" si="24"/>
        <v>100</v>
      </c>
      <c r="E222" s="1" t="str">
        <f t="shared" ca="1" si="21"/>
        <v>Call</v>
      </c>
      <c r="F222" s="4">
        <f t="shared" ca="1" si="22"/>
        <v>-70</v>
      </c>
      <c r="G222" s="4">
        <f ca="1">SUM(F$15:F222)</f>
        <v>3290</v>
      </c>
      <c r="H222" s="6">
        <f t="shared" ref="H222:H285" ca="1" si="25">RAND()</f>
        <v>0.59406712232139758</v>
      </c>
    </row>
    <row r="223" spans="2:8" x14ac:dyDescent="0.25">
      <c r="B223" s="1">
        <f t="shared" si="20"/>
        <v>209</v>
      </c>
      <c r="C223" s="3">
        <f t="shared" si="23"/>
        <v>70</v>
      </c>
      <c r="D223" s="3">
        <f t="shared" si="24"/>
        <v>100</v>
      </c>
      <c r="E223" s="1" t="str">
        <f t="shared" ca="1" si="21"/>
        <v>Call</v>
      </c>
      <c r="F223" s="4">
        <f t="shared" ca="1" si="22"/>
        <v>-70</v>
      </c>
      <c r="G223" s="4">
        <f ca="1">SUM(F$15:F223)</f>
        <v>3220</v>
      </c>
      <c r="H223" s="6">
        <f t="shared" ca="1" si="25"/>
        <v>0.55718121646416852</v>
      </c>
    </row>
    <row r="224" spans="2:8" x14ac:dyDescent="0.25">
      <c r="B224" s="1">
        <f t="shared" si="20"/>
        <v>210</v>
      </c>
      <c r="C224" s="3">
        <f t="shared" si="23"/>
        <v>70</v>
      </c>
      <c r="D224" s="3">
        <f t="shared" si="24"/>
        <v>100</v>
      </c>
      <c r="E224" s="1" t="str">
        <f t="shared" ca="1" si="21"/>
        <v>Call</v>
      </c>
      <c r="F224" s="4">
        <f t="shared" ca="1" si="22"/>
        <v>-70</v>
      </c>
      <c r="G224" s="4">
        <f ca="1">SUM(F$15:F224)</f>
        <v>3150</v>
      </c>
      <c r="H224" s="6">
        <f t="shared" ca="1" si="25"/>
        <v>0.58787163213533877</v>
      </c>
    </row>
    <row r="225" spans="2:8" x14ac:dyDescent="0.25">
      <c r="B225" s="1">
        <f t="shared" si="20"/>
        <v>211</v>
      </c>
      <c r="C225" s="3">
        <f t="shared" si="23"/>
        <v>70</v>
      </c>
      <c r="D225" s="3">
        <f t="shared" si="24"/>
        <v>100</v>
      </c>
      <c r="E225" s="1" t="str">
        <f t="shared" ca="1" si="21"/>
        <v>Fold</v>
      </c>
      <c r="F225" s="4">
        <f t="shared" ca="1" si="22"/>
        <v>100</v>
      </c>
      <c r="G225" s="4">
        <f ca="1">SUM(F$15:F225)</f>
        <v>3250</v>
      </c>
      <c r="H225" s="6">
        <f t="shared" ca="1" si="25"/>
        <v>0.44725064159189909</v>
      </c>
    </row>
    <row r="226" spans="2:8" x14ac:dyDescent="0.25">
      <c r="B226" s="1">
        <f t="shared" si="20"/>
        <v>212</v>
      </c>
      <c r="C226" s="3">
        <f t="shared" si="23"/>
        <v>70</v>
      </c>
      <c r="D226" s="3">
        <f t="shared" si="24"/>
        <v>100</v>
      </c>
      <c r="E226" s="1" t="str">
        <f t="shared" ca="1" si="21"/>
        <v>Fold</v>
      </c>
      <c r="F226" s="4">
        <f t="shared" ca="1" si="22"/>
        <v>100</v>
      </c>
      <c r="G226" s="4">
        <f ca="1">SUM(F$15:F226)</f>
        <v>3350</v>
      </c>
      <c r="H226" s="6">
        <f t="shared" ca="1" si="25"/>
        <v>0.32649822469601397</v>
      </c>
    </row>
    <row r="227" spans="2:8" x14ac:dyDescent="0.25">
      <c r="B227" s="1">
        <f t="shared" si="20"/>
        <v>213</v>
      </c>
      <c r="C227" s="3">
        <f t="shared" si="23"/>
        <v>70</v>
      </c>
      <c r="D227" s="3">
        <f t="shared" si="24"/>
        <v>100</v>
      </c>
      <c r="E227" s="1" t="str">
        <f t="shared" ca="1" si="21"/>
        <v>Call</v>
      </c>
      <c r="F227" s="4">
        <f t="shared" ca="1" si="22"/>
        <v>-70</v>
      </c>
      <c r="G227" s="4">
        <f ca="1">SUM(F$15:F227)</f>
        <v>3280</v>
      </c>
      <c r="H227" s="6">
        <f t="shared" ca="1" si="25"/>
        <v>0.53094131014061252</v>
      </c>
    </row>
    <row r="228" spans="2:8" x14ac:dyDescent="0.25">
      <c r="B228" s="1">
        <f t="shared" si="20"/>
        <v>214</v>
      </c>
      <c r="C228" s="3">
        <f t="shared" si="23"/>
        <v>70</v>
      </c>
      <c r="D228" s="3">
        <f t="shared" si="24"/>
        <v>100</v>
      </c>
      <c r="E228" s="1" t="str">
        <f t="shared" ca="1" si="21"/>
        <v>Call</v>
      </c>
      <c r="F228" s="4">
        <f t="shared" ca="1" si="22"/>
        <v>-70</v>
      </c>
      <c r="G228" s="4">
        <f ca="1">SUM(F$15:F228)</f>
        <v>3210</v>
      </c>
      <c r="H228" s="6">
        <f t="shared" ca="1" si="25"/>
        <v>0.71657007511188398</v>
      </c>
    </row>
    <row r="229" spans="2:8" x14ac:dyDescent="0.25">
      <c r="B229" s="1">
        <f t="shared" si="20"/>
        <v>215</v>
      </c>
      <c r="C229" s="3">
        <f t="shared" si="23"/>
        <v>70</v>
      </c>
      <c r="D229" s="3">
        <f t="shared" si="24"/>
        <v>100</v>
      </c>
      <c r="E229" s="1" t="str">
        <f t="shared" ca="1" si="21"/>
        <v>Call</v>
      </c>
      <c r="F229" s="4">
        <f t="shared" ca="1" si="22"/>
        <v>-70</v>
      </c>
      <c r="G229" s="4">
        <f ca="1">SUM(F$15:F229)</f>
        <v>3140</v>
      </c>
      <c r="H229" s="6">
        <f t="shared" ca="1" si="25"/>
        <v>0.59705217332365212</v>
      </c>
    </row>
    <row r="230" spans="2:8" x14ac:dyDescent="0.25">
      <c r="B230" s="1">
        <f t="shared" si="20"/>
        <v>216</v>
      </c>
      <c r="C230" s="3">
        <f t="shared" si="23"/>
        <v>70</v>
      </c>
      <c r="D230" s="3">
        <f t="shared" si="24"/>
        <v>100</v>
      </c>
      <c r="E230" s="1" t="str">
        <f t="shared" ca="1" si="21"/>
        <v>Call</v>
      </c>
      <c r="F230" s="4">
        <f t="shared" ca="1" si="22"/>
        <v>-70</v>
      </c>
      <c r="G230" s="4">
        <f ca="1">SUM(F$15:F230)</f>
        <v>3070</v>
      </c>
      <c r="H230" s="6">
        <f t="shared" ca="1" si="25"/>
        <v>0.51236372299496757</v>
      </c>
    </row>
    <row r="231" spans="2:8" x14ac:dyDescent="0.25">
      <c r="B231" s="1">
        <f t="shared" si="20"/>
        <v>217</v>
      </c>
      <c r="C231" s="3">
        <f t="shared" si="23"/>
        <v>70</v>
      </c>
      <c r="D231" s="3">
        <f t="shared" si="24"/>
        <v>100</v>
      </c>
      <c r="E231" s="1" t="str">
        <f t="shared" ca="1" si="21"/>
        <v>Fold</v>
      </c>
      <c r="F231" s="4">
        <f t="shared" ca="1" si="22"/>
        <v>100</v>
      </c>
      <c r="G231" s="4">
        <f ca="1">SUM(F$15:F231)</f>
        <v>3170</v>
      </c>
      <c r="H231" s="6">
        <f t="shared" ca="1" si="25"/>
        <v>0.45774658480489183</v>
      </c>
    </row>
    <row r="232" spans="2:8" x14ac:dyDescent="0.25">
      <c r="B232" s="1">
        <f t="shared" si="20"/>
        <v>218</v>
      </c>
      <c r="C232" s="3">
        <f t="shared" si="23"/>
        <v>70</v>
      </c>
      <c r="D232" s="3">
        <f t="shared" si="24"/>
        <v>100</v>
      </c>
      <c r="E232" s="1" t="str">
        <f t="shared" ca="1" si="21"/>
        <v>Call</v>
      </c>
      <c r="F232" s="4">
        <f t="shared" ca="1" si="22"/>
        <v>-70</v>
      </c>
      <c r="G232" s="4">
        <f ca="1">SUM(F$15:F232)</f>
        <v>3100</v>
      </c>
      <c r="H232" s="6">
        <f t="shared" ca="1" si="25"/>
        <v>0.85016646458404876</v>
      </c>
    </row>
    <row r="233" spans="2:8" x14ac:dyDescent="0.25">
      <c r="B233" s="1">
        <f t="shared" si="20"/>
        <v>219</v>
      </c>
      <c r="C233" s="3">
        <f t="shared" si="23"/>
        <v>70</v>
      </c>
      <c r="D233" s="3">
        <f t="shared" si="24"/>
        <v>100</v>
      </c>
      <c r="E233" s="1" t="str">
        <f t="shared" ca="1" si="21"/>
        <v>Call</v>
      </c>
      <c r="F233" s="4">
        <f t="shared" ca="1" si="22"/>
        <v>-70</v>
      </c>
      <c r="G233" s="4">
        <f ca="1">SUM(F$15:F233)</f>
        <v>3030</v>
      </c>
      <c r="H233" s="6">
        <f t="shared" ca="1" si="25"/>
        <v>0.97526289991192006</v>
      </c>
    </row>
    <row r="234" spans="2:8" x14ac:dyDescent="0.25">
      <c r="B234" s="1">
        <f t="shared" si="20"/>
        <v>220</v>
      </c>
      <c r="C234" s="3">
        <f t="shared" si="23"/>
        <v>70</v>
      </c>
      <c r="D234" s="3">
        <f t="shared" si="24"/>
        <v>100</v>
      </c>
      <c r="E234" s="1" t="str">
        <f t="shared" ca="1" si="21"/>
        <v>Call</v>
      </c>
      <c r="F234" s="4">
        <f t="shared" ca="1" si="22"/>
        <v>-70</v>
      </c>
      <c r="G234" s="4">
        <f ca="1">SUM(F$15:F234)</f>
        <v>2960</v>
      </c>
      <c r="H234" s="6">
        <f t="shared" ca="1" si="25"/>
        <v>0.75114307746072151</v>
      </c>
    </row>
    <row r="235" spans="2:8" x14ac:dyDescent="0.25">
      <c r="B235" s="1">
        <f t="shared" si="20"/>
        <v>221</v>
      </c>
      <c r="C235" s="3">
        <f t="shared" si="23"/>
        <v>70</v>
      </c>
      <c r="D235" s="3">
        <f t="shared" si="24"/>
        <v>100</v>
      </c>
      <c r="E235" s="1" t="str">
        <f t="shared" ca="1" si="21"/>
        <v>Fold</v>
      </c>
      <c r="F235" s="4">
        <f t="shared" ca="1" si="22"/>
        <v>100</v>
      </c>
      <c r="G235" s="4">
        <f ca="1">SUM(F$15:F235)</f>
        <v>3060</v>
      </c>
      <c r="H235" s="6">
        <f t="shared" ca="1" si="25"/>
        <v>0.12366023736958498</v>
      </c>
    </row>
    <row r="236" spans="2:8" x14ac:dyDescent="0.25">
      <c r="B236" s="1">
        <f t="shared" si="20"/>
        <v>222</v>
      </c>
      <c r="C236" s="3">
        <f t="shared" si="23"/>
        <v>70</v>
      </c>
      <c r="D236" s="3">
        <f t="shared" si="24"/>
        <v>100</v>
      </c>
      <c r="E236" s="1" t="str">
        <f t="shared" ca="1" si="21"/>
        <v>Fold</v>
      </c>
      <c r="F236" s="4">
        <f t="shared" ca="1" si="22"/>
        <v>100</v>
      </c>
      <c r="G236" s="4">
        <f ca="1">SUM(F$15:F236)</f>
        <v>3160</v>
      </c>
      <c r="H236" s="6">
        <f t="shared" ca="1" si="25"/>
        <v>1.0257685091331958E-2</v>
      </c>
    </row>
    <row r="237" spans="2:8" x14ac:dyDescent="0.25">
      <c r="B237" s="1">
        <f t="shared" si="20"/>
        <v>223</v>
      </c>
      <c r="C237" s="3">
        <f t="shared" si="23"/>
        <v>70</v>
      </c>
      <c r="D237" s="3">
        <f t="shared" si="24"/>
        <v>100</v>
      </c>
      <c r="E237" s="1" t="str">
        <f t="shared" ca="1" si="21"/>
        <v>Call</v>
      </c>
      <c r="F237" s="4">
        <f t="shared" ca="1" si="22"/>
        <v>-70</v>
      </c>
      <c r="G237" s="4">
        <f ca="1">SUM(F$15:F237)</f>
        <v>3090</v>
      </c>
      <c r="H237" s="6">
        <f t="shared" ca="1" si="25"/>
        <v>0.83039318914470772</v>
      </c>
    </row>
    <row r="238" spans="2:8" x14ac:dyDescent="0.25">
      <c r="B238" s="1">
        <f t="shared" si="20"/>
        <v>224</v>
      </c>
      <c r="C238" s="3">
        <f t="shared" si="23"/>
        <v>70</v>
      </c>
      <c r="D238" s="3">
        <f t="shared" si="24"/>
        <v>100</v>
      </c>
      <c r="E238" s="1" t="str">
        <f t="shared" ca="1" si="21"/>
        <v>Fold</v>
      </c>
      <c r="F238" s="4">
        <f t="shared" ca="1" si="22"/>
        <v>100</v>
      </c>
      <c r="G238" s="4">
        <f ca="1">SUM(F$15:F238)</f>
        <v>3190</v>
      </c>
      <c r="H238" s="6">
        <f t="shared" ca="1" si="25"/>
        <v>0.46767994748674069</v>
      </c>
    </row>
    <row r="239" spans="2:8" x14ac:dyDescent="0.25">
      <c r="B239" s="1">
        <f t="shared" si="20"/>
        <v>225</v>
      </c>
      <c r="C239" s="3">
        <f t="shared" si="23"/>
        <v>70</v>
      </c>
      <c r="D239" s="3">
        <f t="shared" si="24"/>
        <v>100</v>
      </c>
      <c r="E239" s="1" t="str">
        <f t="shared" ca="1" si="21"/>
        <v>Call</v>
      </c>
      <c r="F239" s="4">
        <f t="shared" ca="1" si="22"/>
        <v>-70</v>
      </c>
      <c r="G239" s="4">
        <f ca="1">SUM(F$15:F239)</f>
        <v>3120</v>
      </c>
      <c r="H239" s="6">
        <f t="shared" ca="1" si="25"/>
        <v>0.8734538138768968</v>
      </c>
    </row>
    <row r="240" spans="2:8" x14ac:dyDescent="0.25">
      <c r="B240" s="1">
        <f t="shared" si="20"/>
        <v>226</v>
      </c>
      <c r="C240" s="3">
        <f t="shared" si="23"/>
        <v>70</v>
      </c>
      <c r="D240" s="3">
        <f t="shared" si="24"/>
        <v>100</v>
      </c>
      <c r="E240" s="1" t="str">
        <f t="shared" ca="1" si="21"/>
        <v>Fold</v>
      </c>
      <c r="F240" s="4">
        <f t="shared" ca="1" si="22"/>
        <v>100</v>
      </c>
      <c r="G240" s="4">
        <f ca="1">SUM(F$15:F240)</f>
        <v>3220</v>
      </c>
      <c r="H240" s="6">
        <f t="shared" ca="1" si="25"/>
        <v>0.48908613584826299</v>
      </c>
    </row>
    <row r="241" spans="2:8" x14ac:dyDescent="0.25">
      <c r="B241" s="1">
        <f t="shared" si="20"/>
        <v>227</v>
      </c>
      <c r="C241" s="3">
        <f t="shared" si="23"/>
        <v>70</v>
      </c>
      <c r="D241" s="3">
        <f t="shared" si="24"/>
        <v>100</v>
      </c>
      <c r="E241" s="1" t="str">
        <f t="shared" ca="1" si="21"/>
        <v>Fold</v>
      </c>
      <c r="F241" s="4">
        <f t="shared" ca="1" si="22"/>
        <v>100</v>
      </c>
      <c r="G241" s="4">
        <f ca="1">SUM(F$15:F241)</f>
        <v>3320</v>
      </c>
      <c r="H241" s="6">
        <f t="shared" ca="1" si="25"/>
        <v>0.11750807319348555</v>
      </c>
    </row>
    <row r="242" spans="2:8" x14ac:dyDescent="0.25">
      <c r="B242" s="1">
        <f t="shared" si="20"/>
        <v>228</v>
      </c>
      <c r="C242" s="3">
        <f t="shared" si="23"/>
        <v>70</v>
      </c>
      <c r="D242" s="3">
        <f t="shared" si="24"/>
        <v>100</v>
      </c>
      <c r="E242" s="1" t="str">
        <f t="shared" ca="1" si="21"/>
        <v>Call</v>
      </c>
      <c r="F242" s="4">
        <f t="shared" ca="1" si="22"/>
        <v>-70</v>
      </c>
      <c r="G242" s="4">
        <f ca="1">SUM(F$15:F242)</f>
        <v>3250</v>
      </c>
      <c r="H242" s="6">
        <f t="shared" ca="1" si="25"/>
        <v>0.90378991366440475</v>
      </c>
    </row>
    <row r="243" spans="2:8" x14ac:dyDescent="0.25">
      <c r="B243" s="1">
        <f t="shared" si="20"/>
        <v>229</v>
      </c>
      <c r="C243" s="3">
        <f t="shared" si="23"/>
        <v>70</v>
      </c>
      <c r="D243" s="3">
        <f t="shared" si="24"/>
        <v>100</v>
      </c>
      <c r="E243" s="1" t="str">
        <f t="shared" ca="1" si="21"/>
        <v>Fold</v>
      </c>
      <c r="F243" s="4">
        <f t="shared" ca="1" si="22"/>
        <v>100</v>
      </c>
      <c r="G243" s="4">
        <f ca="1">SUM(F$15:F243)</f>
        <v>3350</v>
      </c>
      <c r="H243" s="6">
        <f t="shared" ca="1" si="25"/>
        <v>0.15278425985814537</v>
      </c>
    </row>
    <row r="244" spans="2:8" x14ac:dyDescent="0.25">
      <c r="B244" s="1">
        <f t="shared" si="20"/>
        <v>230</v>
      </c>
      <c r="C244" s="3">
        <f t="shared" si="23"/>
        <v>70</v>
      </c>
      <c r="D244" s="3">
        <f t="shared" si="24"/>
        <v>100</v>
      </c>
      <c r="E244" s="1" t="str">
        <f t="shared" ca="1" si="21"/>
        <v>Call</v>
      </c>
      <c r="F244" s="4">
        <f t="shared" ca="1" si="22"/>
        <v>-70</v>
      </c>
      <c r="G244" s="4">
        <f ca="1">SUM(F$15:F244)</f>
        <v>3280</v>
      </c>
      <c r="H244" s="6">
        <f t="shared" ca="1" si="25"/>
        <v>0.77246447385619599</v>
      </c>
    </row>
    <row r="245" spans="2:8" x14ac:dyDescent="0.25">
      <c r="B245" s="1">
        <f t="shared" si="20"/>
        <v>231</v>
      </c>
      <c r="C245" s="3">
        <f t="shared" si="23"/>
        <v>70</v>
      </c>
      <c r="D245" s="3">
        <f t="shared" si="24"/>
        <v>100</v>
      </c>
      <c r="E245" s="1" t="str">
        <f t="shared" ca="1" si="21"/>
        <v>Call</v>
      </c>
      <c r="F245" s="4">
        <f t="shared" ca="1" si="22"/>
        <v>-70</v>
      </c>
      <c r="G245" s="4">
        <f ca="1">SUM(F$15:F245)</f>
        <v>3210</v>
      </c>
      <c r="H245" s="6">
        <f t="shared" ca="1" si="25"/>
        <v>0.70294499542937383</v>
      </c>
    </row>
    <row r="246" spans="2:8" x14ac:dyDescent="0.25">
      <c r="B246" s="1">
        <f t="shared" si="20"/>
        <v>232</v>
      </c>
      <c r="C246" s="3">
        <f t="shared" si="23"/>
        <v>70</v>
      </c>
      <c r="D246" s="3">
        <f t="shared" si="24"/>
        <v>100</v>
      </c>
      <c r="E246" s="1" t="str">
        <f t="shared" ca="1" si="21"/>
        <v>Fold</v>
      </c>
      <c r="F246" s="4">
        <f t="shared" ca="1" si="22"/>
        <v>100</v>
      </c>
      <c r="G246" s="4">
        <f ca="1">SUM(F$15:F246)</f>
        <v>3310</v>
      </c>
      <c r="H246" s="6">
        <f t="shared" ca="1" si="25"/>
        <v>0.48301476036864044</v>
      </c>
    </row>
    <row r="247" spans="2:8" x14ac:dyDescent="0.25">
      <c r="B247" s="1">
        <f t="shared" si="20"/>
        <v>233</v>
      </c>
      <c r="C247" s="3">
        <f t="shared" si="23"/>
        <v>70</v>
      </c>
      <c r="D247" s="3">
        <f t="shared" si="24"/>
        <v>100</v>
      </c>
      <c r="E247" s="1" t="str">
        <f t="shared" ca="1" si="21"/>
        <v>Call</v>
      </c>
      <c r="F247" s="4">
        <f t="shared" ca="1" si="22"/>
        <v>-70</v>
      </c>
      <c r="G247" s="4">
        <f ca="1">SUM(F$15:F247)</f>
        <v>3240</v>
      </c>
      <c r="H247" s="6">
        <f t="shared" ca="1" si="25"/>
        <v>0.65766037045713743</v>
      </c>
    </row>
    <row r="248" spans="2:8" x14ac:dyDescent="0.25">
      <c r="B248" s="1">
        <f t="shared" si="20"/>
        <v>234</v>
      </c>
      <c r="C248" s="3">
        <f t="shared" si="23"/>
        <v>70</v>
      </c>
      <c r="D248" s="3">
        <f t="shared" si="24"/>
        <v>100</v>
      </c>
      <c r="E248" s="1" t="str">
        <f t="shared" ca="1" si="21"/>
        <v>Fold</v>
      </c>
      <c r="F248" s="4">
        <f t="shared" ca="1" si="22"/>
        <v>100</v>
      </c>
      <c r="G248" s="4">
        <f ca="1">SUM(F$15:F248)</f>
        <v>3340</v>
      </c>
      <c r="H248" s="6">
        <f t="shared" ca="1" si="25"/>
        <v>0.10901363061911706</v>
      </c>
    </row>
    <row r="249" spans="2:8" x14ac:dyDescent="0.25">
      <c r="B249" s="1">
        <f t="shared" si="20"/>
        <v>235</v>
      </c>
      <c r="C249" s="3">
        <f t="shared" si="23"/>
        <v>70</v>
      </c>
      <c r="D249" s="3">
        <f t="shared" si="24"/>
        <v>100</v>
      </c>
      <c r="E249" s="1" t="str">
        <f t="shared" ca="1" si="21"/>
        <v>Call</v>
      </c>
      <c r="F249" s="4">
        <f t="shared" ca="1" si="22"/>
        <v>-70</v>
      </c>
      <c r="G249" s="4">
        <f ca="1">SUM(F$15:F249)</f>
        <v>3270</v>
      </c>
      <c r="H249" s="6">
        <f t="shared" ca="1" si="25"/>
        <v>0.5949257930432934</v>
      </c>
    </row>
    <row r="250" spans="2:8" x14ac:dyDescent="0.25">
      <c r="B250" s="1">
        <f t="shared" si="20"/>
        <v>236</v>
      </c>
      <c r="C250" s="3">
        <f t="shared" si="23"/>
        <v>70</v>
      </c>
      <c r="D250" s="3">
        <f t="shared" si="24"/>
        <v>100</v>
      </c>
      <c r="E250" s="1" t="str">
        <f t="shared" ca="1" si="21"/>
        <v>Fold</v>
      </c>
      <c r="F250" s="4">
        <f t="shared" ca="1" si="22"/>
        <v>100</v>
      </c>
      <c r="G250" s="4">
        <f ca="1">SUM(F$15:F250)</f>
        <v>3370</v>
      </c>
      <c r="H250" s="6">
        <f t="shared" ca="1" si="25"/>
        <v>0.14998542223597666</v>
      </c>
    </row>
    <row r="251" spans="2:8" x14ac:dyDescent="0.25">
      <c r="B251" s="1">
        <f t="shared" si="20"/>
        <v>237</v>
      </c>
      <c r="C251" s="3">
        <f t="shared" si="23"/>
        <v>70</v>
      </c>
      <c r="D251" s="3">
        <f t="shared" si="24"/>
        <v>100</v>
      </c>
      <c r="E251" s="1" t="str">
        <f t="shared" ca="1" si="21"/>
        <v>Fold</v>
      </c>
      <c r="F251" s="4">
        <f t="shared" ca="1" si="22"/>
        <v>100</v>
      </c>
      <c r="G251" s="4">
        <f ca="1">SUM(F$15:F251)</f>
        <v>3470</v>
      </c>
      <c r="H251" s="6">
        <f t="shared" ca="1" si="25"/>
        <v>0.26457906468792491</v>
      </c>
    </row>
    <row r="252" spans="2:8" x14ac:dyDescent="0.25">
      <c r="B252" s="1">
        <f t="shared" si="20"/>
        <v>238</v>
      </c>
      <c r="C252" s="3">
        <f t="shared" si="23"/>
        <v>70</v>
      </c>
      <c r="D252" s="3">
        <f t="shared" si="24"/>
        <v>100</v>
      </c>
      <c r="E252" s="1" t="str">
        <f t="shared" ca="1" si="21"/>
        <v>Call</v>
      </c>
      <c r="F252" s="4">
        <f t="shared" ca="1" si="22"/>
        <v>-70</v>
      </c>
      <c r="G252" s="4">
        <f ca="1">SUM(F$15:F252)</f>
        <v>3400</v>
      </c>
      <c r="H252" s="6">
        <f t="shared" ca="1" si="25"/>
        <v>0.87049366803385053</v>
      </c>
    </row>
    <row r="253" spans="2:8" x14ac:dyDescent="0.25">
      <c r="B253" s="1">
        <f t="shared" si="20"/>
        <v>239</v>
      </c>
      <c r="C253" s="3">
        <f t="shared" si="23"/>
        <v>70</v>
      </c>
      <c r="D253" s="3">
        <f t="shared" si="24"/>
        <v>100</v>
      </c>
      <c r="E253" s="1" t="str">
        <f t="shared" ca="1" si="21"/>
        <v>Fold</v>
      </c>
      <c r="F253" s="4">
        <f t="shared" ca="1" si="22"/>
        <v>100</v>
      </c>
      <c r="G253" s="4">
        <f ca="1">SUM(F$15:F253)</f>
        <v>3500</v>
      </c>
      <c r="H253" s="6">
        <f t="shared" ca="1" si="25"/>
        <v>0.34024197208676721</v>
      </c>
    </row>
    <row r="254" spans="2:8" x14ac:dyDescent="0.25">
      <c r="B254" s="1">
        <f t="shared" si="20"/>
        <v>240</v>
      </c>
      <c r="C254" s="3">
        <f t="shared" si="23"/>
        <v>70</v>
      </c>
      <c r="D254" s="3">
        <f t="shared" si="24"/>
        <v>100</v>
      </c>
      <c r="E254" s="1" t="str">
        <f t="shared" ca="1" si="21"/>
        <v>Fold</v>
      </c>
      <c r="F254" s="4">
        <f t="shared" ca="1" si="22"/>
        <v>100</v>
      </c>
      <c r="G254" s="4">
        <f ca="1">SUM(F$15:F254)</f>
        <v>3600</v>
      </c>
      <c r="H254" s="6">
        <f t="shared" ca="1" si="25"/>
        <v>0.10411963971597005</v>
      </c>
    </row>
    <row r="255" spans="2:8" x14ac:dyDescent="0.25">
      <c r="B255" s="1">
        <f t="shared" ref="B255:B318" si="26">B254+1</f>
        <v>241</v>
      </c>
      <c r="C255" s="3">
        <f t="shared" si="23"/>
        <v>70</v>
      </c>
      <c r="D255" s="3">
        <f t="shared" si="24"/>
        <v>100</v>
      </c>
      <c r="E255" s="1" t="str">
        <f t="shared" ca="1" si="21"/>
        <v>Fold</v>
      </c>
      <c r="F255" s="4">
        <f t="shared" ca="1" si="22"/>
        <v>100</v>
      </c>
      <c r="G255" s="4">
        <f ca="1">SUM(F$15:F255)</f>
        <v>3700</v>
      </c>
      <c r="H255" s="6">
        <f t="shared" ca="1" si="25"/>
        <v>7.110381352633377E-2</v>
      </c>
    </row>
    <row r="256" spans="2:8" x14ac:dyDescent="0.25">
      <c r="B256" s="1">
        <f t="shared" si="26"/>
        <v>242</v>
      </c>
      <c r="C256" s="3">
        <f t="shared" si="23"/>
        <v>70</v>
      </c>
      <c r="D256" s="3">
        <f t="shared" si="24"/>
        <v>100</v>
      </c>
      <c r="E256" s="1" t="str">
        <f t="shared" ca="1" si="21"/>
        <v>Call</v>
      </c>
      <c r="F256" s="4">
        <f t="shared" ca="1" si="22"/>
        <v>-70</v>
      </c>
      <c r="G256" s="4">
        <f ca="1">SUM(F$15:F256)</f>
        <v>3630</v>
      </c>
      <c r="H256" s="6">
        <f t="shared" ca="1" si="25"/>
        <v>0.69660441852735089</v>
      </c>
    </row>
    <row r="257" spans="2:8" x14ac:dyDescent="0.25">
      <c r="B257" s="1">
        <f t="shared" si="26"/>
        <v>243</v>
      </c>
      <c r="C257" s="3">
        <f t="shared" si="23"/>
        <v>70</v>
      </c>
      <c r="D257" s="3">
        <f t="shared" si="24"/>
        <v>100</v>
      </c>
      <c r="E257" s="1" t="str">
        <f t="shared" ca="1" si="21"/>
        <v>Call</v>
      </c>
      <c r="F257" s="4">
        <f t="shared" ca="1" si="22"/>
        <v>-70</v>
      </c>
      <c r="G257" s="4">
        <f ca="1">SUM(F$15:F257)</f>
        <v>3560</v>
      </c>
      <c r="H257" s="6">
        <f t="shared" ca="1" si="25"/>
        <v>0.94413934968333624</v>
      </c>
    </row>
    <row r="258" spans="2:8" x14ac:dyDescent="0.25">
      <c r="B258" s="1">
        <f t="shared" si="26"/>
        <v>244</v>
      </c>
      <c r="C258" s="3">
        <f t="shared" si="23"/>
        <v>70</v>
      </c>
      <c r="D258" s="3">
        <f t="shared" si="24"/>
        <v>100</v>
      </c>
      <c r="E258" s="1" t="str">
        <f t="shared" ca="1" si="21"/>
        <v>Fold</v>
      </c>
      <c r="F258" s="4">
        <f t="shared" ca="1" si="22"/>
        <v>100</v>
      </c>
      <c r="G258" s="4">
        <f ca="1">SUM(F$15:F258)</f>
        <v>3660</v>
      </c>
      <c r="H258" s="6">
        <f t="shared" ca="1" si="25"/>
        <v>0.39335764479331403</v>
      </c>
    </row>
    <row r="259" spans="2:8" x14ac:dyDescent="0.25">
      <c r="B259" s="1">
        <f t="shared" si="26"/>
        <v>245</v>
      </c>
      <c r="C259" s="3">
        <f t="shared" si="23"/>
        <v>70</v>
      </c>
      <c r="D259" s="3">
        <f t="shared" si="24"/>
        <v>100</v>
      </c>
      <c r="E259" s="1" t="str">
        <f t="shared" ca="1" si="21"/>
        <v>Fold</v>
      </c>
      <c r="F259" s="4">
        <f t="shared" ca="1" si="22"/>
        <v>100</v>
      </c>
      <c r="G259" s="4">
        <f ca="1">SUM(F$15:F259)</f>
        <v>3760</v>
      </c>
      <c r="H259" s="6">
        <f t="shared" ca="1" si="25"/>
        <v>8.9740747997969383E-2</v>
      </c>
    </row>
    <row r="260" spans="2:8" x14ac:dyDescent="0.25">
      <c r="B260" s="1">
        <f t="shared" si="26"/>
        <v>246</v>
      </c>
      <c r="C260" s="3">
        <f t="shared" si="23"/>
        <v>70</v>
      </c>
      <c r="D260" s="3">
        <f t="shared" si="24"/>
        <v>100</v>
      </c>
      <c r="E260" s="1" t="str">
        <f t="shared" ca="1" si="21"/>
        <v>Fold</v>
      </c>
      <c r="F260" s="4">
        <f t="shared" ca="1" si="22"/>
        <v>100</v>
      </c>
      <c r="G260" s="4">
        <f ca="1">SUM(F$15:F260)</f>
        <v>3860</v>
      </c>
      <c r="H260" s="6">
        <f t="shared" ca="1" si="25"/>
        <v>0.22312255533604775</v>
      </c>
    </row>
    <row r="261" spans="2:8" x14ac:dyDescent="0.25">
      <c r="B261" s="1">
        <f t="shared" si="26"/>
        <v>247</v>
      </c>
      <c r="C261" s="3">
        <f t="shared" si="23"/>
        <v>70</v>
      </c>
      <c r="D261" s="3">
        <f t="shared" si="24"/>
        <v>100</v>
      </c>
      <c r="E261" s="1" t="str">
        <f t="shared" ca="1" si="21"/>
        <v>Call</v>
      </c>
      <c r="F261" s="4">
        <f t="shared" ca="1" si="22"/>
        <v>-70</v>
      </c>
      <c r="G261" s="4">
        <f ca="1">SUM(F$15:F261)</f>
        <v>3790</v>
      </c>
      <c r="H261" s="6">
        <f t="shared" ca="1" si="25"/>
        <v>0.90427792195620982</v>
      </c>
    </row>
    <row r="262" spans="2:8" x14ac:dyDescent="0.25">
      <c r="B262" s="1">
        <f t="shared" si="26"/>
        <v>248</v>
      </c>
      <c r="C262" s="3">
        <f t="shared" si="23"/>
        <v>70</v>
      </c>
      <c r="D262" s="3">
        <f t="shared" si="24"/>
        <v>100</v>
      </c>
      <c r="E262" s="1" t="str">
        <f t="shared" ca="1" si="21"/>
        <v>Call</v>
      </c>
      <c r="F262" s="4">
        <f t="shared" ca="1" si="22"/>
        <v>-70</v>
      </c>
      <c r="G262" s="4">
        <f ca="1">SUM(F$15:F262)</f>
        <v>3720</v>
      </c>
      <c r="H262" s="6">
        <f t="shared" ca="1" si="25"/>
        <v>0.93670197053626647</v>
      </c>
    </row>
    <row r="263" spans="2:8" x14ac:dyDescent="0.25">
      <c r="B263" s="1">
        <f t="shared" si="26"/>
        <v>249</v>
      </c>
      <c r="C263" s="3">
        <f t="shared" si="23"/>
        <v>70</v>
      </c>
      <c r="D263" s="3">
        <f t="shared" si="24"/>
        <v>100</v>
      </c>
      <c r="E263" s="1" t="str">
        <f t="shared" ca="1" si="21"/>
        <v>Fold</v>
      </c>
      <c r="F263" s="4">
        <f t="shared" ca="1" si="22"/>
        <v>100</v>
      </c>
      <c r="G263" s="4">
        <f ca="1">SUM(F$15:F263)</f>
        <v>3820</v>
      </c>
      <c r="H263" s="6">
        <f t="shared" ca="1" si="25"/>
        <v>0.24686805261328504</v>
      </c>
    </row>
    <row r="264" spans="2:8" x14ac:dyDescent="0.25">
      <c r="B264" s="1">
        <f t="shared" si="26"/>
        <v>250</v>
      </c>
      <c r="C264" s="3">
        <f t="shared" si="23"/>
        <v>70</v>
      </c>
      <c r="D264" s="3">
        <f t="shared" si="24"/>
        <v>100</v>
      </c>
      <c r="E264" s="1" t="str">
        <f t="shared" ca="1" si="21"/>
        <v>Call</v>
      </c>
      <c r="F264" s="4">
        <f t="shared" ca="1" si="22"/>
        <v>-70</v>
      </c>
      <c r="G264" s="4">
        <f ca="1">SUM(F$15:F264)</f>
        <v>3750</v>
      </c>
      <c r="H264" s="6">
        <f t="shared" ca="1" si="25"/>
        <v>0.76029220897260796</v>
      </c>
    </row>
    <row r="265" spans="2:8" x14ac:dyDescent="0.25">
      <c r="B265" s="1">
        <f t="shared" si="26"/>
        <v>251</v>
      </c>
      <c r="C265" s="3">
        <f t="shared" si="23"/>
        <v>70</v>
      </c>
      <c r="D265" s="3">
        <f t="shared" si="24"/>
        <v>100</v>
      </c>
      <c r="E265" s="1" t="str">
        <f t="shared" ca="1" si="21"/>
        <v>Call</v>
      </c>
      <c r="F265" s="4">
        <f t="shared" ca="1" si="22"/>
        <v>-70</v>
      </c>
      <c r="G265" s="4">
        <f ca="1">SUM(F$15:F265)</f>
        <v>3680</v>
      </c>
      <c r="H265" s="6">
        <f t="shared" ca="1" si="25"/>
        <v>0.94463920769754672</v>
      </c>
    </row>
    <row r="266" spans="2:8" x14ac:dyDescent="0.25">
      <c r="B266" s="1">
        <f t="shared" si="26"/>
        <v>252</v>
      </c>
      <c r="C266" s="3">
        <f t="shared" si="23"/>
        <v>70</v>
      </c>
      <c r="D266" s="3">
        <f t="shared" si="24"/>
        <v>100</v>
      </c>
      <c r="E266" s="1" t="str">
        <f t="shared" ca="1" si="21"/>
        <v>Fold</v>
      </c>
      <c r="F266" s="4">
        <f t="shared" ca="1" si="22"/>
        <v>100</v>
      </c>
      <c r="G266" s="4">
        <f ca="1">SUM(F$15:F266)</f>
        <v>3780</v>
      </c>
      <c r="H266" s="6">
        <f t="shared" ca="1" si="25"/>
        <v>0.16732537766341538</v>
      </c>
    </row>
    <row r="267" spans="2:8" x14ac:dyDescent="0.25">
      <c r="B267" s="1">
        <f t="shared" si="26"/>
        <v>253</v>
      </c>
      <c r="C267" s="3">
        <f t="shared" si="23"/>
        <v>70</v>
      </c>
      <c r="D267" s="3">
        <f t="shared" si="24"/>
        <v>100</v>
      </c>
      <c r="E267" s="1" t="str">
        <f t="shared" ca="1" si="21"/>
        <v>Call</v>
      </c>
      <c r="F267" s="4">
        <f t="shared" ca="1" si="22"/>
        <v>-70</v>
      </c>
      <c r="G267" s="4">
        <f ca="1">SUM(F$15:F267)</f>
        <v>3710</v>
      </c>
      <c r="H267" s="6">
        <f t="shared" ca="1" si="25"/>
        <v>0.93461394730392122</v>
      </c>
    </row>
    <row r="268" spans="2:8" x14ac:dyDescent="0.25">
      <c r="B268" s="1">
        <f t="shared" si="26"/>
        <v>254</v>
      </c>
      <c r="C268" s="3">
        <f t="shared" si="23"/>
        <v>70</v>
      </c>
      <c r="D268" s="3">
        <f t="shared" si="24"/>
        <v>100</v>
      </c>
      <c r="E268" s="1" t="str">
        <f t="shared" ca="1" si="21"/>
        <v>Fold</v>
      </c>
      <c r="F268" s="4">
        <f t="shared" ca="1" si="22"/>
        <v>100</v>
      </c>
      <c r="G268" s="4">
        <f ca="1">SUM(F$15:F268)</f>
        <v>3810</v>
      </c>
      <c r="H268" s="6">
        <f t="shared" ca="1" si="25"/>
        <v>0.10399313997436743</v>
      </c>
    </row>
    <row r="269" spans="2:8" x14ac:dyDescent="0.25">
      <c r="B269" s="1">
        <f t="shared" si="26"/>
        <v>255</v>
      </c>
      <c r="C269" s="3">
        <f t="shared" si="23"/>
        <v>70</v>
      </c>
      <c r="D269" s="3">
        <f t="shared" si="24"/>
        <v>100</v>
      </c>
      <c r="E269" s="1" t="str">
        <f t="shared" ca="1" si="21"/>
        <v>Call</v>
      </c>
      <c r="F269" s="4">
        <f t="shared" ca="1" si="22"/>
        <v>-70</v>
      </c>
      <c r="G269" s="4">
        <f ca="1">SUM(F$15:F269)</f>
        <v>3740</v>
      </c>
      <c r="H269" s="6">
        <f t="shared" ca="1" si="25"/>
        <v>0.68981753310743221</v>
      </c>
    </row>
    <row r="270" spans="2:8" x14ac:dyDescent="0.25">
      <c r="B270" s="1">
        <f t="shared" si="26"/>
        <v>256</v>
      </c>
      <c r="C270" s="3">
        <f t="shared" si="23"/>
        <v>70</v>
      </c>
      <c r="D270" s="3">
        <f t="shared" si="24"/>
        <v>100</v>
      </c>
      <c r="E270" s="1" t="str">
        <f t="shared" ca="1" si="21"/>
        <v>Fold</v>
      </c>
      <c r="F270" s="4">
        <f t="shared" ca="1" si="22"/>
        <v>100</v>
      </c>
      <c r="G270" s="4">
        <f ca="1">SUM(F$15:F270)</f>
        <v>3840</v>
      </c>
      <c r="H270" s="6">
        <f t="shared" ca="1" si="25"/>
        <v>0.16132066471573658</v>
      </c>
    </row>
    <row r="271" spans="2:8" x14ac:dyDescent="0.25">
      <c r="B271" s="1">
        <f t="shared" si="26"/>
        <v>257</v>
      </c>
      <c r="C271" s="3">
        <f t="shared" si="23"/>
        <v>70</v>
      </c>
      <c r="D271" s="3">
        <f t="shared" si="24"/>
        <v>100</v>
      </c>
      <c r="E271" s="1" t="str">
        <f t="shared" ref="E271:E334" ca="1" si="27">IF(H271&lt;$D$3,"Fold","Call")</f>
        <v>Fold</v>
      </c>
      <c r="F271" s="4">
        <f t="shared" ca="1" si="22"/>
        <v>100</v>
      </c>
      <c r="G271" s="4">
        <f ca="1">SUM(F$15:F271)</f>
        <v>3940</v>
      </c>
      <c r="H271" s="6">
        <f t="shared" ca="1" si="25"/>
        <v>7.1990763110104883E-2</v>
      </c>
    </row>
    <row r="272" spans="2:8" x14ac:dyDescent="0.25">
      <c r="B272" s="1">
        <f t="shared" si="26"/>
        <v>258</v>
      </c>
      <c r="C272" s="3">
        <f t="shared" si="23"/>
        <v>70</v>
      </c>
      <c r="D272" s="3">
        <f t="shared" si="24"/>
        <v>100</v>
      </c>
      <c r="E272" s="1" t="str">
        <f t="shared" ca="1" si="27"/>
        <v>Call</v>
      </c>
      <c r="F272" s="4">
        <f t="shared" ref="F272:F335" ca="1" si="28">IF(E272="Fold",D272,-C272)</f>
        <v>-70</v>
      </c>
      <c r="G272" s="4">
        <f ca="1">SUM(F$15:F272)</f>
        <v>3870</v>
      </c>
      <c r="H272" s="6">
        <f t="shared" ca="1" si="25"/>
        <v>0.76535908715979795</v>
      </c>
    </row>
    <row r="273" spans="2:8" x14ac:dyDescent="0.25">
      <c r="B273" s="1">
        <f t="shared" si="26"/>
        <v>259</v>
      </c>
      <c r="C273" s="3">
        <f t="shared" ref="C273:C336" si="29">C272</f>
        <v>70</v>
      </c>
      <c r="D273" s="3">
        <f t="shared" ref="D273:D336" si="30">D272</f>
        <v>100</v>
      </c>
      <c r="E273" s="1" t="str">
        <f t="shared" ca="1" si="27"/>
        <v>Fold</v>
      </c>
      <c r="F273" s="4">
        <f t="shared" ca="1" si="28"/>
        <v>100</v>
      </c>
      <c r="G273" s="4">
        <f ca="1">SUM(F$15:F273)</f>
        <v>3970</v>
      </c>
      <c r="H273" s="6">
        <f t="shared" ca="1" si="25"/>
        <v>0.23726745051385423</v>
      </c>
    </row>
    <row r="274" spans="2:8" x14ac:dyDescent="0.25">
      <c r="B274" s="1">
        <f t="shared" si="26"/>
        <v>260</v>
      </c>
      <c r="C274" s="3">
        <f t="shared" si="29"/>
        <v>70</v>
      </c>
      <c r="D274" s="3">
        <f t="shared" si="30"/>
        <v>100</v>
      </c>
      <c r="E274" s="1" t="str">
        <f t="shared" ca="1" si="27"/>
        <v>Fold</v>
      </c>
      <c r="F274" s="4">
        <f t="shared" ca="1" si="28"/>
        <v>100</v>
      </c>
      <c r="G274" s="4">
        <f ca="1">SUM(F$15:F274)</f>
        <v>4070</v>
      </c>
      <c r="H274" s="6">
        <f t="shared" ca="1" si="25"/>
        <v>0.4588585979899551</v>
      </c>
    </row>
    <row r="275" spans="2:8" x14ac:dyDescent="0.25">
      <c r="B275" s="1">
        <f t="shared" si="26"/>
        <v>261</v>
      </c>
      <c r="C275" s="3">
        <f t="shared" si="29"/>
        <v>70</v>
      </c>
      <c r="D275" s="3">
        <f t="shared" si="30"/>
        <v>100</v>
      </c>
      <c r="E275" s="1" t="str">
        <f t="shared" ca="1" si="27"/>
        <v>Fold</v>
      </c>
      <c r="F275" s="4">
        <f t="shared" ca="1" si="28"/>
        <v>100</v>
      </c>
      <c r="G275" s="4">
        <f ca="1">SUM(F$15:F275)</f>
        <v>4170</v>
      </c>
      <c r="H275" s="6">
        <f t="shared" ca="1" si="25"/>
        <v>0.33429215797210332</v>
      </c>
    </row>
    <row r="276" spans="2:8" x14ac:dyDescent="0.25">
      <c r="B276" s="1">
        <f t="shared" si="26"/>
        <v>262</v>
      </c>
      <c r="C276" s="3">
        <f t="shared" si="29"/>
        <v>70</v>
      </c>
      <c r="D276" s="3">
        <f t="shared" si="30"/>
        <v>100</v>
      </c>
      <c r="E276" s="1" t="str">
        <f t="shared" ca="1" si="27"/>
        <v>Call</v>
      </c>
      <c r="F276" s="4">
        <f t="shared" ca="1" si="28"/>
        <v>-70</v>
      </c>
      <c r="G276" s="4">
        <f ca="1">SUM(F$15:F276)</f>
        <v>4100</v>
      </c>
      <c r="H276" s="6">
        <f t="shared" ca="1" si="25"/>
        <v>0.60948871396010595</v>
      </c>
    </row>
    <row r="277" spans="2:8" x14ac:dyDescent="0.25">
      <c r="B277" s="1">
        <f t="shared" si="26"/>
        <v>263</v>
      </c>
      <c r="C277" s="3">
        <f t="shared" si="29"/>
        <v>70</v>
      </c>
      <c r="D277" s="3">
        <f t="shared" si="30"/>
        <v>100</v>
      </c>
      <c r="E277" s="1" t="str">
        <f t="shared" ca="1" si="27"/>
        <v>Call</v>
      </c>
      <c r="F277" s="4">
        <f t="shared" ca="1" si="28"/>
        <v>-70</v>
      </c>
      <c r="G277" s="4">
        <f ca="1">SUM(F$15:F277)</f>
        <v>4030</v>
      </c>
      <c r="H277" s="6">
        <f t="shared" ca="1" si="25"/>
        <v>0.77808535939057299</v>
      </c>
    </row>
    <row r="278" spans="2:8" x14ac:dyDescent="0.25">
      <c r="B278" s="1">
        <f t="shared" si="26"/>
        <v>264</v>
      </c>
      <c r="C278" s="3">
        <f t="shared" si="29"/>
        <v>70</v>
      </c>
      <c r="D278" s="3">
        <f t="shared" si="30"/>
        <v>100</v>
      </c>
      <c r="E278" s="1" t="str">
        <f t="shared" ca="1" si="27"/>
        <v>Call</v>
      </c>
      <c r="F278" s="4">
        <f t="shared" ca="1" si="28"/>
        <v>-70</v>
      </c>
      <c r="G278" s="4">
        <f ca="1">SUM(F$15:F278)</f>
        <v>3960</v>
      </c>
      <c r="H278" s="6">
        <f t="shared" ca="1" si="25"/>
        <v>0.6707007623393938</v>
      </c>
    </row>
    <row r="279" spans="2:8" x14ac:dyDescent="0.25">
      <c r="B279" s="1">
        <f t="shared" si="26"/>
        <v>265</v>
      </c>
      <c r="C279" s="3">
        <f t="shared" si="29"/>
        <v>70</v>
      </c>
      <c r="D279" s="3">
        <f t="shared" si="30"/>
        <v>100</v>
      </c>
      <c r="E279" s="1" t="str">
        <f t="shared" ca="1" si="27"/>
        <v>Call</v>
      </c>
      <c r="F279" s="4">
        <f t="shared" ca="1" si="28"/>
        <v>-70</v>
      </c>
      <c r="G279" s="4">
        <f ca="1">SUM(F$15:F279)</f>
        <v>3890</v>
      </c>
      <c r="H279" s="6">
        <f t="shared" ca="1" si="25"/>
        <v>0.96847353638983991</v>
      </c>
    </row>
    <row r="280" spans="2:8" x14ac:dyDescent="0.25">
      <c r="B280" s="1">
        <f t="shared" si="26"/>
        <v>266</v>
      </c>
      <c r="C280" s="3">
        <f t="shared" si="29"/>
        <v>70</v>
      </c>
      <c r="D280" s="3">
        <f t="shared" si="30"/>
        <v>100</v>
      </c>
      <c r="E280" s="1" t="str">
        <f t="shared" ca="1" si="27"/>
        <v>Call</v>
      </c>
      <c r="F280" s="4">
        <f t="shared" ca="1" si="28"/>
        <v>-70</v>
      </c>
      <c r="G280" s="4">
        <f ca="1">SUM(F$15:F280)</f>
        <v>3820</v>
      </c>
      <c r="H280" s="6">
        <f t="shared" ca="1" si="25"/>
        <v>0.75339146475012875</v>
      </c>
    </row>
    <row r="281" spans="2:8" x14ac:dyDescent="0.25">
      <c r="B281" s="1">
        <f t="shared" si="26"/>
        <v>267</v>
      </c>
      <c r="C281" s="3">
        <f t="shared" si="29"/>
        <v>70</v>
      </c>
      <c r="D281" s="3">
        <f t="shared" si="30"/>
        <v>100</v>
      </c>
      <c r="E281" s="1" t="str">
        <f t="shared" ca="1" si="27"/>
        <v>Call</v>
      </c>
      <c r="F281" s="4">
        <f t="shared" ca="1" si="28"/>
        <v>-70</v>
      </c>
      <c r="G281" s="4">
        <f ca="1">SUM(F$15:F281)</f>
        <v>3750</v>
      </c>
      <c r="H281" s="6">
        <f t="shared" ca="1" si="25"/>
        <v>0.87389090372247091</v>
      </c>
    </row>
    <row r="282" spans="2:8" x14ac:dyDescent="0.25">
      <c r="B282" s="1">
        <f t="shared" si="26"/>
        <v>268</v>
      </c>
      <c r="C282" s="3">
        <f t="shared" si="29"/>
        <v>70</v>
      </c>
      <c r="D282" s="3">
        <f t="shared" si="30"/>
        <v>100</v>
      </c>
      <c r="E282" s="1" t="str">
        <f t="shared" ca="1" si="27"/>
        <v>Call</v>
      </c>
      <c r="F282" s="4">
        <f t="shared" ca="1" si="28"/>
        <v>-70</v>
      </c>
      <c r="G282" s="4">
        <f ca="1">SUM(F$15:F282)</f>
        <v>3680</v>
      </c>
      <c r="H282" s="6">
        <f t="shared" ca="1" si="25"/>
        <v>0.58705025083210138</v>
      </c>
    </row>
    <row r="283" spans="2:8" x14ac:dyDescent="0.25">
      <c r="B283" s="1">
        <f t="shared" si="26"/>
        <v>269</v>
      </c>
      <c r="C283" s="3">
        <f t="shared" si="29"/>
        <v>70</v>
      </c>
      <c r="D283" s="3">
        <f t="shared" si="30"/>
        <v>100</v>
      </c>
      <c r="E283" s="1" t="str">
        <f t="shared" ca="1" si="27"/>
        <v>Call</v>
      </c>
      <c r="F283" s="4">
        <f t="shared" ca="1" si="28"/>
        <v>-70</v>
      </c>
      <c r="G283" s="4">
        <f ca="1">SUM(F$15:F283)</f>
        <v>3610</v>
      </c>
      <c r="H283" s="6">
        <f t="shared" ca="1" si="25"/>
        <v>0.64335075936290198</v>
      </c>
    </row>
    <row r="284" spans="2:8" x14ac:dyDescent="0.25">
      <c r="B284" s="1">
        <f t="shared" si="26"/>
        <v>270</v>
      </c>
      <c r="C284" s="3">
        <f t="shared" si="29"/>
        <v>70</v>
      </c>
      <c r="D284" s="3">
        <f t="shared" si="30"/>
        <v>100</v>
      </c>
      <c r="E284" s="1" t="str">
        <f t="shared" ca="1" si="27"/>
        <v>Call</v>
      </c>
      <c r="F284" s="4">
        <f t="shared" ca="1" si="28"/>
        <v>-70</v>
      </c>
      <c r="G284" s="4">
        <f ca="1">SUM(F$15:F284)</f>
        <v>3540</v>
      </c>
      <c r="H284" s="6">
        <f t="shared" ca="1" si="25"/>
        <v>0.65214496124506804</v>
      </c>
    </row>
    <row r="285" spans="2:8" x14ac:dyDescent="0.25">
      <c r="B285" s="1">
        <f t="shared" si="26"/>
        <v>271</v>
      </c>
      <c r="C285" s="3">
        <f t="shared" si="29"/>
        <v>70</v>
      </c>
      <c r="D285" s="3">
        <f t="shared" si="30"/>
        <v>100</v>
      </c>
      <c r="E285" s="1" t="str">
        <f t="shared" ca="1" si="27"/>
        <v>Fold</v>
      </c>
      <c r="F285" s="4">
        <f t="shared" ca="1" si="28"/>
        <v>100</v>
      </c>
      <c r="G285" s="4">
        <f ca="1">SUM(F$15:F285)</f>
        <v>3640</v>
      </c>
      <c r="H285" s="6">
        <f t="shared" ca="1" si="25"/>
        <v>2.7501561018517973E-2</v>
      </c>
    </row>
    <row r="286" spans="2:8" x14ac:dyDescent="0.25">
      <c r="B286" s="1">
        <f t="shared" si="26"/>
        <v>272</v>
      </c>
      <c r="C286" s="3">
        <f t="shared" si="29"/>
        <v>70</v>
      </c>
      <c r="D286" s="3">
        <f t="shared" si="30"/>
        <v>100</v>
      </c>
      <c r="E286" s="1" t="str">
        <f t="shared" ca="1" si="27"/>
        <v>Fold</v>
      </c>
      <c r="F286" s="4">
        <f t="shared" ca="1" si="28"/>
        <v>100</v>
      </c>
      <c r="G286" s="4">
        <f ca="1">SUM(F$15:F286)</f>
        <v>3740</v>
      </c>
      <c r="H286" s="6">
        <f t="shared" ref="H286:H349" ca="1" si="31">RAND()</f>
        <v>4.3721078268445512E-2</v>
      </c>
    </row>
    <row r="287" spans="2:8" x14ac:dyDescent="0.25">
      <c r="B287" s="1">
        <f t="shared" si="26"/>
        <v>273</v>
      </c>
      <c r="C287" s="3">
        <f t="shared" si="29"/>
        <v>70</v>
      </c>
      <c r="D287" s="3">
        <f t="shared" si="30"/>
        <v>100</v>
      </c>
      <c r="E287" s="1" t="str">
        <f t="shared" ca="1" si="27"/>
        <v>Fold</v>
      </c>
      <c r="F287" s="4">
        <f t="shared" ca="1" si="28"/>
        <v>100</v>
      </c>
      <c r="G287" s="4">
        <f ca="1">SUM(F$15:F287)</f>
        <v>3840</v>
      </c>
      <c r="H287" s="6">
        <f t="shared" ca="1" si="31"/>
        <v>0.48001730518761487</v>
      </c>
    </row>
    <row r="288" spans="2:8" x14ac:dyDescent="0.25">
      <c r="B288" s="1">
        <f t="shared" si="26"/>
        <v>274</v>
      </c>
      <c r="C288" s="3">
        <f t="shared" si="29"/>
        <v>70</v>
      </c>
      <c r="D288" s="3">
        <f t="shared" si="30"/>
        <v>100</v>
      </c>
      <c r="E288" s="1" t="str">
        <f t="shared" ca="1" si="27"/>
        <v>Call</v>
      </c>
      <c r="F288" s="4">
        <f t="shared" ca="1" si="28"/>
        <v>-70</v>
      </c>
      <c r="G288" s="4">
        <f ca="1">SUM(F$15:F288)</f>
        <v>3770</v>
      </c>
      <c r="H288" s="6">
        <f t="shared" ca="1" si="31"/>
        <v>0.95402645111931961</v>
      </c>
    </row>
    <row r="289" spans="2:8" x14ac:dyDescent="0.25">
      <c r="B289" s="1">
        <f t="shared" si="26"/>
        <v>275</v>
      </c>
      <c r="C289" s="3">
        <f t="shared" si="29"/>
        <v>70</v>
      </c>
      <c r="D289" s="3">
        <f t="shared" si="30"/>
        <v>100</v>
      </c>
      <c r="E289" s="1" t="str">
        <f t="shared" ca="1" si="27"/>
        <v>Call</v>
      </c>
      <c r="F289" s="4">
        <f t="shared" ca="1" si="28"/>
        <v>-70</v>
      </c>
      <c r="G289" s="4">
        <f ca="1">SUM(F$15:F289)</f>
        <v>3700</v>
      </c>
      <c r="H289" s="6">
        <f t="shared" ca="1" si="31"/>
        <v>0.89338298480419065</v>
      </c>
    </row>
    <row r="290" spans="2:8" x14ac:dyDescent="0.25">
      <c r="B290" s="1">
        <f t="shared" si="26"/>
        <v>276</v>
      </c>
      <c r="C290" s="3">
        <f t="shared" si="29"/>
        <v>70</v>
      </c>
      <c r="D290" s="3">
        <f t="shared" si="30"/>
        <v>100</v>
      </c>
      <c r="E290" s="1" t="str">
        <f t="shared" ca="1" si="27"/>
        <v>Call</v>
      </c>
      <c r="F290" s="4">
        <f t="shared" ca="1" si="28"/>
        <v>-70</v>
      </c>
      <c r="G290" s="4">
        <f ca="1">SUM(F$15:F290)</f>
        <v>3630</v>
      </c>
      <c r="H290" s="6">
        <f t="shared" ca="1" si="31"/>
        <v>0.55656716845660192</v>
      </c>
    </row>
    <row r="291" spans="2:8" x14ac:dyDescent="0.25">
      <c r="B291" s="1">
        <f t="shared" si="26"/>
        <v>277</v>
      </c>
      <c r="C291" s="3">
        <f t="shared" si="29"/>
        <v>70</v>
      </c>
      <c r="D291" s="3">
        <f t="shared" si="30"/>
        <v>100</v>
      </c>
      <c r="E291" s="1" t="str">
        <f t="shared" ca="1" si="27"/>
        <v>Fold</v>
      </c>
      <c r="F291" s="4">
        <f t="shared" ca="1" si="28"/>
        <v>100</v>
      </c>
      <c r="G291" s="4">
        <f ca="1">SUM(F$15:F291)</f>
        <v>3730</v>
      </c>
      <c r="H291" s="6">
        <f t="shared" ca="1" si="31"/>
        <v>0.49053348168085698</v>
      </c>
    </row>
    <row r="292" spans="2:8" x14ac:dyDescent="0.25">
      <c r="B292" s="1">
        <f t="shared" si="26"/>
        <v>278</v>
      </c>
      <c r="C292" s="3">
        <f t="shared" si="29"/>
        <v>70</v>
      </c>
      <c r="D292" s="3">
        <f t="shared" si="30"/>
        <v>100</v>
      </c>
      <c r="E292" s="1" t="str">
        <f t="shared" ca="1" si="27"/>
        <v>Fold</v>
      </c>
      <c r="F292" s="4">
        <f t="shared" ca="1" si="28"/>
        <v>100</v>
      </c>
      <c r="G292" s="4">
        <f ca="1">SUM(F$15:F292)</f>
        <v>3830</v>
      </c>
      <c r="H292" s="6">
        <f t="shared" ca="1" si="31"/>
        <v>0.29149723512954984</v>
      </c>
    </row>
    <row r="293" spans="2:8" x14ac:dyDescent="0.25">
      <c r="B293" s="1">
        <f t="shared" si="26"/>
        <v>279</v>
      </c>
      <c r="C293" s="3">
        <f t="shared" si="29"/>
        <v>70</v>
      </c>
      <c r="D293" s="3">
        <f t="shared" si="30"/>
        <v>100</v>
      </c>
      <c r="E293" s="1" t="str">
        <f t="shared" ca="1" si="27"/>
        <v>Call</v>
      </c>
      <c r="F293" s="4">
        <f t="shared" ca="1" si="28"/>
        <v>-70</v>
      </c>
      <c r="G293" s="4">
        <f ca="1">SUM(F$15:F293)</f>
        <v>3760</v>
      </c>
      <c r="H293" s="6">
        <f t="shared" ca="1" si="31"/>
        <v>0.74420360511301287</v>
      </c>
    </row>
    <row r="294" spans="2:8" x14ac:dyDescent="0.25">
      <c r="B294" s="1">
        <f t="shared" si="26"/>
        <v>280</v>
      </c>
      <c r="C294" s="3">
        <f t="shared" si="29"/>
        <v>70</v>
      </c>
      <c r="D294" s="3">
        <f t="shared" si="30"/>
        <v>100</v>
      </c>
      <c r="E294" s="1" t="str">
        <f t="shared" ca="1" si="27"/>
        <v>Fold</v>
      </c>
      <c r="F294" s="4">
        <f t="shared" ca="1" si="28"/>
        <v>100</v>
      </c>
      <c r="G294" s="4">
        <f ca="1">SUM(F$15:F294)</f>
        <v>3860</v>
      </c>
      <c r="H294" s="6">
        <f t="shared" ca="1" si="31"/>
        <v>0.45627205914424596</v>
      </c>
    </row>
    <row r="295" spans="2:8" x14ac:dyDescent="0.25">
      <c r="B295" s="1">
        <f t="shared" si="26"/>
        <v>281</v>
      </c>
      <c r="C295" s="3">
        <f t="shared" si="29"/>
        <v>70</v>
      </c>
      <c r="D295" s="3">
        <f t="shared" si="30"/>
        <v>100</v>
      </c>
      <c r="E295" s="1" t="str">
        <f t="shared" ca="1" si="27"/>
        <v>Fold</v>
      </c>
      <c r="F295" s="4">
        <f t="shared" ca="1" si="28"/>
        <v>100</v>
      </c>
      <c r="G295" s="4">
        <f ca="1">SUM(F$15:F295)</f>
        <v>3960</v>
      </c>
      <c r="H295" s="6">
        <f t="shared" ca="1" si="31"/>
        <v>0.22030840043661482</v>
      </c>
    </row>
    <row r="296" spans="2:8" x14ac:dyDescent="0.25">
      <c r="B296" s="1">
        <f t="shared" si="26"/>
        <v>282</v>
      </c>
      <c r="C296" s="3">
        <f t="shared" si="29"/>
        <v>70</v>
      </c>
      <c r="D296" s="3">
        <f t="shared" si="30"/>
        <v>100</v>
      </c>
      <c r="E296" s="1" t="str">
        <f t="shared" ca="1" si="27"/>
        <v>Fold</v>
      </c>
      <c r="F296" s="4">
        <f t="shared" ca="1" si="28"/>
        <v>100</v>
      </c>
      <c r="G296" s="4">
        <f ca="1">SUM(F$15:F296)</f>
        <v>4060</v>
      </c>
      <c r="H296" s="6">
        <f t="shared" ca="1" si="31"/>
        <v>0.33364176961015868</v>
      </c>
    </row>
    <row r="297" spans="2:8" x14ac:dyDescent="0.25">
      <c r="B297" s="1">
        <f t="shared" si="26"/>
        <v>283</v>
      </c>
      <c r="C297" s="3">
        <f t="shared" si="29"/>
        <v>70</v>
      </c>
      <c r="D297" s="3">
        <f t="shared" si="30"/>
        <v>100</v>
      </c>
      <c r="E297" s="1" t="str">
        <f t="shared" ca="1" si="27"/>
        <v>Call</v>
      </c>
      <c r="F297" s="4">
        <f t="shared" ca="1" si="28"/>
        <v>-70</v>
      </c>
      <c r="G297" s="4">
        <f ca="1">SUM(F$15:F297)</f>
        <v>3990</v>
      </c>
      <c r="H297" s="6">
        <f t="shared" ca="1" si="31"/>
        <v>0.72090613479077925</v>
      </c>
    </row>
    <row r="298" spans="2:8" x14ac:dyDescent="0.25">
      <c r="B298" s="1">
        <f t="shared" si="26"/>
        <v>284</v>
      </c>
      <c r="C298" s="3">
        <f t="shared" si="29"/>
        <v>70</v>
      </c>
      <c r="D298" s="3">
        <f t="shared" si="30"/>
        <v>100</v>
      </c>
      <c r="E298" s="1" t="str">
        <f t="shared" ca="1" si="27"/>
        <v>Fold</v>
      </c>
      <c r="F298" s="4">
        <f t="shared" ca="1" si="28"/>
        <v>100</v>
      </c>
      <c r="G298" s="4">
        <f ca="1">SUM(F$15:F298)</f>
        <v>4090</v>
      </c>
      <c r="H298" s="6">
        <f t="shared" ca="1" si="31"/>
        <v>0.36631358243210321</v>
      </c>
    </row>
    <row r="299" spans="2:8" x14ac:dyDescent="0.25">
      <c r="B299" s="1">
        <f t="shared" si="26"/>
        <v>285</v>
      </c>
      <c r="C299" s="3">
        <f t="shared" si="29"/>
        <v>70</v>
      </c>
      <c r="D299" s="3">
        <f t="shared" si="30"/>
        <v>100</v>
      </c>
      <c r="E299" s="1" t="str">
        <f t="shared" ca="1" si="27"/>
        <v>Call</v>
      </c>
      <c r="F299" s="4">
        <f t="shared" ca="1" si="28"/>
        <v>-70</v>
      </c>
      <c r="G299" s="4">
        <f ca="1">SUM(F$15:F299)</f>
        <v>4020</v>
      </c>
      <c r="H299" s="6">
        <f t="shared" ca="1" si="31"/>
        <v>0.74546529192275046</v>
      </c>
    </row>
    <row r="300" spans="2:8" x14ac:dyDescent="0.25">
      <c r="B300" s="1">
        <f t="shared" si="26"/>
        <v>286</v>
      </c>
      <c r="C300" s="3">
        <f t="shared" si="29"/>
        <v>70</v>
      </c>
      <c r="D300" s="3">
        <f t="shared" si="30"/>
        <v>100</v>
      </c>
      <c r="E300" s="1" t="str">
        <f t="shared" ca="1" si="27"/>
        <v>Fold</v>
      </c>
      <c r="F300" s="4">
        <f t="shared" ca="1" si="28"/>
        <v>100</v>
      </c>
      <c r="G300" s="4">
        <f ca="1">SUM(F$15:F300)</f>
        <v>4120</v>
      </c>
      <c r="H300" s="6">
        <f t="shared" ca="1" si="31"/>
        <v>0.31240436428206808</v>
      </c>
    </row>
    <row r="301" spans="2:8" x14ac:dyDescent="0.25">
      <c r="B301" s="1">
        <f t="shared" si="26"/>
        <v>287</v>
      </c>
      <c r="C301" s="3">
        <f t="shared" si="29"/>
        <v>70</v>
      </c>
      <c r="D301" s="3">
        <f t="shared" si="30"/>
        <v>100</v>
      </c>
      <c r="E301" s="1" t="str">
        <f t="shared" ca="1" si="27"/>
        <v>Call</v>
      </c>
      <c r="F301" s="4">
        <f t="shared" ca="1" si="28"/>
        <v>-70</v>
      </c>
      <c r="G301" s="4">
        <f ca="1">SUM(F$15:F301)</f>
        <v>4050</v>
      </c>
      <c r="H301" s="6">
        <f t="shared" ca="1" si="31"/>
        <v>0.94446643381331608</v>
      </c>
    </row>
    <row r="302" spans="2:8" x14ac:dyDescent="0.25">
      <c r="B302" s="1">
        <f t="shared" si="26"/>
        <v>288</v>
      </c>
      <c r="C302" s="3">
        <f t="shared" si="29"/>
        <v>70</v>
      </c>
      <c r="D302" s="3">
        <f t="shared" si="30"/>
        <v>100</v>
      </c>
      <c r="E302" s="1" t="str">
        <f t="shared" ca="1" si="27"/>
        <v>Call</v>
      </c>
      <c r="F302" s="4">
        <f t="shared" ca="1" si="28"/>
        <v>-70</v>
      </c>
      <c r="G302" s="4">
        <f ca="1">SUM(F$15:F302)</f>
        <v>3980</v>
      </c>
      <c r="H302" s="6">
        <f t="shared" ca="1" si="31"/>
        <v>0.78571859911430209</v>
      </c>
    </row>
    <row r="303" spans="2:8" x14ac:dyDescent="0.25">
      <c r="B303" s="1">
        <f t="shared" si="26"/>
        <v>289</v>
      </c>
      <c r="C303" s="3">
        <f t="shared" si="29"/>
        <v>70</v>
      </c>
      <c r="D303" s="3">
        <f t="shared" si="30"/>
        <v>100</v>
      </c>
      <c r="E303" s="1" t="str">
        <f t="shared" ca="1" si="27"/>
        <v>Fold</v>
      </c>
      <c r="F303" s="4">
        <f t="shared" ca="1" si="28"/>
        <v>100</v>
      </c>
      <c r="G303" s="4">
        <f ca="1">SUM(F$15:F303)</f>
        <v>4080</v>
      </c>
      <c r="H303" s="6">
        <f t="shared" ca="1" si="31"/>
        <v>0.3649887556580893</v>
      </c>
    </row>
    <row r="304" spans="2:8" x14ac:dyDescent="0.25">
      <c r="B304" s="1">
        <f t="shared" si="26"/>
        <v>290</v>
      </c>
      <c r="C304" s="3">
        <f t="shared" si="29"/>
        <v>70</v>
      </c>
      <c r="D304" s="3">
        <f t="shared" si="30"/>
        <v>100</v>
      </c>
      <c r="E304" s="1" t="str">
        <f t="shared" ca="1" si="27"/>
        <v>Fold</v>
      </c>
      <c r="F304" s="4">
        <f t="shared" ca="1" si="28"/>
        <v>100</v>
      </c>
      <c r="G304" s="4">
        <f ca="1">SUM(F$15:F304)</f>
        <v>4180</v>
      </c>
      <c r="H304" s="6">
        <f t="shared" ca="1" si="31"/>
        <v>0.38783812114312355</v>
      </c>
    </row>
    <row r="305" spans="2:8" x14ac:dyDescent="0.25">
      <c r="B305" s="1">
        <f t="shared" si="26"/>
        <v>291</v>
      </c>
      <c r="C305" s="3">
        <f t="shared" si="29"/>
        <v>70</v>
      </c>
      <c r="D305" s="3">
        <f t="shared" si="30"/>
        <v>100</v>
      </c>
      <c r="E305" s="1" t="str">
        <f t="shared" ca="1" si="27"/>
        <v>Call</v>
      </c>
      <c r="F305" s="4">
        <f t="shared" ca="1" si="28"/>
        <v>-70</v>
      </c>
      <c r="G305" s="4">
        <f ca="1">SUM(F$15:F305)</f>
        <v>4110</v>
      </c>
      <c r="H305" s="6">
        <f t="shared" ca="1" si="31"/>
        <v>0.68137174741736073</v>
      </c>
    </row>
    <row r="306" spans="2:8" x14ac:dyDescent="0.25">
      <c r="B306" s="1">
        <f t="shared" si="26"/>
        <v>292</v>
      </c>
      <c r="C306" s="3">
        <f t="shared" si="29"/>
        <v>70</v>
      </c>
      <c r="D306" s="3">
        <f t="shared" si="30"/>
        <v>100</v>
      </c>
      <c r="E306" s="1" t="str">
        <f t="shared" ca="1" si="27"/>
        <v>Fold</v>
      </c>
      <c r="F306" s="4">
        <f t="shared" ca="1" si="28"/>
        <v>100</v>
      </c>
      <c r="G306" s="4">
        <f ca="1">SUM(F$15:F306)</f>
        <v>4210</v>
      </c>
      <c r="H306" s="6">
        <f t="shared" ca="1" si="31"/>
        <v>5.9486941858729492E-2</v>
      </c>
    </row>
    <row r="307" spans="2:8" x14ac:dyDescent="0.25">
      <c r="B307" s="1">
        <f t="shared" si="26"/>
        <v>293</v>
      </c>
      <c r="C307" s="3">
        <f t="shared" si="29"/>
        <v>70</v>
      </c>
      <c r="D307" s="3">
        <f t="shared" si="30"/>
        <v>100</v>
      </c>
      <c r="E307" s="1" t="str">
        <f t="shared" ca="1" si="27"/>
        <v>Call</v>
      </c>
      <c r="F307" s="4">
        <f t="shared" ca="1" si="28"/>
        <v>-70</v>
      </c>
      <c r="G307" s="4">
        <f ca="1">SUM(F$15:F307)</f>
        <v>4140</v>
      </c>
      <c r="H307" s="6">
        <f t="shared" ca="1" si="31"/>
        <v>0.7492019854021521</v>
      </c>
    </row>
    <row r="308" spans="2:8" x14ac:dyDescent="0.25">
      <c r="B308" s="1">
        <f t="shared" si="26"/>
        <v>294</v>
      </c>
      <c r="C308" s="3">
        <f t="shared" si="29"/>
        <v>70</v>
      </c>
      <c r="D308" s="3">
        <f t="shared" si="30"/>
        <v>100</v>
      </c>
      <c r="E308" s="1" t="str">
        <f t="shared" ca="1" si="27"/>
        <v>Fold</v>
      </c>
      <c r="F308" s="4">
        <f t="shared" ca="1" si="28"/>
        <v>100</v>
      </c>
      <c r="G308" s="4">
        <f ca="1">SUM(F$15:F308)</f>
        <v>4240</v>
      </c>
      <c r="H308" s="6">
        <f t="shared" ca="1" si="31"/>
        <v>0.11538108523239343</v>
      </c>
    </row>
    <row r="309" spans="2:8" x14ac:dyDescent="0.25">
      <c r="B309" s="1">
        <f t="shared" si="26"/>
        <v>295</v>
      </c>
      <c r="C309" s="3">
        <f t="shared" si="29"/>
        <v>70</v>
      </c>
      <c r="D309" s="3">
        <f t="shared" si="30"/>
        <v>100</v>
      </c>
      <c r="E309" s="1" t="str">
        <f t="shared" ca="1" si="27"/>
        <v>Fold</v>
      </c>
      <c r="F309" s="4">
        <f t="shared" ca="1" si="28"/>
        <v>100</v>
      </c>
      <c r="G309" s="4">
        <f ca="1">SUM(F$15:F309)</f>
        <v>4340</v>
      </c>
      <c r="H309" s="6">
        <f t="shared" ca="1" si="31"/>
        <v>5.7235349815813796E-2</v>
      </c>
    </row>
    <row r="310" spans="2:8" x14ac:dyDescent="0.25">
      <c r="B310" s="1">
        <f t="shared" si="26"/>
        <v>296</v>
      </c>
      <c r="C310" s="3">
        <f t="shared" si="29"/>
        <v>70</v>
      </c>
      <c r="D310" s="3">
        <f t="shared" si="30"/>
        <v>100</v>
      </c>
      <c r="E310" s="1" t="str">
        <f t="shared" ca="1" si="27"/>
        <v>Call</v>
      </c>
      <c r="F310" s="4">
        <f t="shared" ca="1" si="28"/>
        <v>-70</v>
      </c>
      <c r="G310" s="4">
        <f ca="1">SUM(F$15:F310)</f>
        <v>4270</v>
      </c>
      <c r="H310" s="6">
        <f t="shared" ca="1" si="31"/>
        <v>0.81494128150262868</v>
      </c>
    </row>
    <row r="311" spans="2:8" x14ac:dyDescent="0.25">
      <c r="B311" s="1">
        <f t="shared" si="26"/>
        <v>297</v>
      </c>
      <c r="C311" s="3">
        <f t="shared" si="29"/>
        <v>70</v>
      </c>
      <c r="D311" s="3">
        <f t="shared" si="30"/>
        <v>100</v>
      </c>
      <c r="E311" s="1" t="str">
        <f t="shared" ca="1" si="27"/>
        <v>Call</v>
      </c>
      <c r="F311" s="4">
        <f t="shared" ca="1" si="28"/>
        <v>-70</v>
      </c>
      <c r="G311" s="4">
        <f ca="1">SUM(F$15:F311)</f>
        <v>4200</v>
      </c>
      <c r="H311" s="6">
        <f t="shared" ca="1" si="31"/>
        <v>0.93999306295240381</v>
      </c>
    </row>
    <row r="312" spans="2:8" x14ac:dyDescent="0.25">
      <c r="B312" s="1">
        <f t="shared" si="26"/>
        <v>298</v>
      </c>
      <c r="C312" s="3">
        <f t="shared" si="29"/>
        <v>70</v>
      </c>
      <c r="D312" s="3">
        <f t="shared" si="30"/>
        <v>100</v>
      </c>
      <c r="E312" s="1" t="str">
        <f t="shared" ca="1" si="27"/>
        <v>Call</v>
      </c>
      <c r="F312" s="4">
        <f t="shared" ca="1" si="28"/>
        <v>-70</v>
      </c>
      <c r="G312" s="4">
        <f ca="1">SUM(F$15:F312)</f>
        <v>4130</v>
      </c>
      <c r="H312" s="6">
        <f t="shared" ca="1" si="31"/>
        <v>0.54711668689548609</v>
      </c>
    </row>
    <row r="313" spans="2:8" x14ac:dyDescent="0.25">
      <c r="B313" s="1">
        <f t="shared" si="26"/>
        <v>299</v>
      </c>
      <c r="C313" s="3">
        <f t="shared" si="29"/>
        <v>70</v>
      </c>
      <c r="D313" s="3">
        <f t="shared" si="30"/>
        <v>100</v>
      </c>
      <c r="E313" s="1" t="str">
        <f t="shared" ca="1" si="27"/>
        <v>Fold</v>
      </c>
      <c r="F313" s="4">
        <f t="shared" ca="1" si="28"/>
        <v>100</v>
      </c>
      <c r="G313" s="4">
        <f ca="1">SUM(F$15:F313)</f>
        <v>4230</v>
      </c>
      <c r="H313" s="6">
        <f t="shared" ca="1" si="31"/>
        <v>0.2974612693780897</v>
      </c>
    </row>
    <row r="314" spans="2:8" x14ac:dyDescent="0.25">
      <c r="B314" s="1">
        <f t="shared" si="26"/>
        <v>300</v>
      </c>
      <c r="C314" s="3">
        <f t="shared" si="29"/>
        <v>70</v>
      </c>
      <c r="D314" s="3">
        <f t="shared" si="30"/>
        <v>100</v>
      </c>
      <c r="E314" s="1" t="str">
        <f t="shared" ca="1" si="27"/>
        <v>Call</v>
      </c>
      <c r="F314" s="4">
        <f t="shared" ca="1" si="28"/>
        <v>-70</v>
      </c>
      <c r="G314" s="4">
        <f ca="1">SUM(F$15:F314)</f>
        <v>4160</v>
      </c>
      <c r="H314" s="6">
        <f t="shared" ca="1" si="31"/>
        <v>0.74379803694337432</v>
      </c>
    </row>
    <row r="315" spans="2:8" x14ac:dyDescent="0.25">
      <c r="B315" s="1">
        <f t="shared" si="26"/>
        <v>301</v>
      </c>
      <c r="C315" s="3">
        <f t="shared" si="29"/>
        <v>70</v>
      </c>
      <c r="D315" s="3">
        <f t="shared" si="30"/>
        <v>100</v>
      </c>
      <c r="E315" s="1" t="str">
        <f t="shared" ca="1" si="27"/>
        <v>Fold</v>
      </c>
      <c r="F315" s="4">
        <f t="shared" ca="1" si="28"/>
        <v>100</v>
      </c>
      <c r="G315" s="4">
        <f ca="1">SUM(F$15:F315)</f>
        <v>4260</v>
      </c>
      <c r="H315" s="6">
        <f t="shared" ca="1" si="31"/>
        <v>0.4274492333211598</v>
      </c>
    </row>
    <row r="316" spans="2:8" x14ac:dyDescent="0.25">
      <c r="B316" s="1">
        <f t="shared" si="26"/>
        <v>302</v>
      </c>
      <c r="C316" s="3">
        <f t="shared" si="29"/>
        <v>70</v>
      </c>
      <c r="D316" s="3">
        <f t="shared" si="30"/>
        <v>100</v>
      </c>
      <c r="E316" s="1" t="str">
        <f t="shared" ca="1" si="27"/>
        <v>Call</v>
      </c>
      <c r="F316" s="4">
        <f t="shared" ca="1" si="28"/>
        <v>-70</v>
      </c>
      <c r="G316" s="4">
        <f ca="1">SUM(F$15:F316)</f>
        <v>4190</v>
      </c>
      <c r="H316" s="6">
        <f t="shared" ca="1" si="31"/>
        <v>0.90077476771962228</v>
      </c>
    </row>
    <row r="317" spans="2:8" x14ac:dyDescent="0.25">
      <c r="B317" s="1">
        <f t="shared" si="26"/>
        <v>303</v>
      </c>
      <c r="C317" s="3">
        <f t="shared" si="29"/>
        <v>70</v>
      </c>
      <c r="D317" s="3">
        <f t="shared" si="30"/>
        <v>100</v>
      </c>
      <c r="E317" s="1" t="str">
        <f t="shared" ca="1" si="27"/>
        <v>Fold</v>
      </c>
      <c r="F317" s="4">
        <f t="shared" ca="1" si="28"/>
        <v>100</v>
      </c>
      <c r="G317" s="4">
        <f ca="1">SUM(F$15:F317)</f>
        <v>4290</v>
      </c>
      <c r="H317" s="6">
        <f t="shared" ca="1" si="31"/>
        <v>8.7254105084353717E-2</v>
      </c>
    </row>
    <row r="318" spans="2:8" x14ac:dyDescent="0.25">
      <c r="B318" s="1">
        <f t="shared" si="26"/>
        <v>304</v>
      </c>
      <c r="C318" s="3">
        <f t="shared" si="29"/>
        <v>70</v>
      </c>
      <c r="D318" s="3">
        <f t="shared" si="30"/>
        <v>100</v>
      </c>
      <c r="E318" s="1" t="str">
        <f t="shared" ca="1" si="27"/>
        <v>Fold</v>
      </c>
      <c r="F318" s="4">
        <f t="shared" ca="1" si="28"/>
        <v>100</v>
      </c>
      <c r="G318" s="4">
        <f ca="1">SUM(F$15:F318)</f>
        <v>4390</v>
      </c>
      <c r="H318" s="6">
        <f t="shared" ca="1" si="31"/>
        <v>0.44484211690074382</v>
      </c>
    </row>
    <row r="319" spans="2:8" x14ac:dyDescent="0.25">
      <c r="B319" s="1">
        <f t="shared" ref="B319:B382" si="32">B318+1</f>
        <v>305</v>
      </c>
      <c r="C319" s="3">
        <f t="shared" si="29"/>
        <v>70</v>
      </c>
      <c r="D319" s="3">
        <f t="shared" si="30"/>
        <v>100</v>
      </c>
      <c r="E319" s="1" t="str">
        <f t="shared" ca="1" si="27"/>
        <v>Call</v>
      </c>
      <c r="F319" s="4">
        <f t="shared" ca="1" si="28"/>
        <v>-70</v>
      </c>
      <c r="G319" s="4">
        <f ca="1">SUM(F$15:F319)</f>
        <v>4320</v>
      </c>
      <c r="H319" s="6">
        <f t="shared" ca="1" si="31"/>
        <v>0.94198847010412312</v>
      </c>
    </row>
    <row r="320" spans="2:8" x14ac:dyDescent="0.25">
      <c r="B320" s="1">
        <f t="shared" si="32"/>
        <v>306</v>
      </c>
      <c r="C320" s="3">
        <f t="shared" si="29"/>
        <v>70</v>
      </c>
      <c r="D320" s="3">
        <f t="shared" si="30"/>
        <v>100</v>
      </c>
      <c r="E320" s="1" t="str">
        <f t="shared" ca="1" si="27"/>
        <v>Fold</v>
      </c>
      <c r="F320" s="4">
        <f t="shared" ca="1" si="28"/>
        <v>100</v>
      </c>
      <c r="G320" s="4">
        <f ca="1">SUM(F$15:F320)</f>
        <v>4420</v>
      </c>
      <c r="H320" s="6">
        <f t="shared" ca="1" si="31"/>
        <v>6.4956308052146472E-2</v>
      </c>
    </row>
    <row r="321" spans="2:8" x14ac:dyDescent="0.25">
      <c r="B321" s="1">
        <f t="shared" si="32"/>
        <v>307</v>
      </c>
      <c r="C321" s="3">
        <f t="shared" si="29"/>
        <v>70</v>
      </c>
      <c r="D321" s="3">
        <f t="shared" si="30"/>
        <v>100</v>
      </c>
      <c r="E321" s="1" t="str">
        <f t="shared" ca="1" si="27"/>
        <v>Fold</v>
      </c>
      <c r="F321" s="4">
        <f t="shared" ca="1" si="28"/>
        <v>100</v>
      </c>
      <c r="G321" s="4">
        <f ca="1">SUM(F$15:F321)</f>
        <v>4520</v>
      </c>
      <c r="H321" s="6">
        <f t="shared" ca="1" si="31"/>
        <v>9.0149289474344085E-2</v>
      </c>
    </row>
    <row r="322" spans="2:8" x14ac:dyDescent="0.25">
      <c r="B322" s="1">
        <f t="shared" si="32"/>
        <v>308</v>
      </c>
      <c r="C322" s="3">
        <f t="shared" si="29"/>
        <v>70</v>
      </c>
      <c r="D322" s="3">
        <f t="shared" si="30"/>
        <v>100</v>
      </c>
      <c r="E322" s="1" t="str">
        <f t="shared" ca="1" si="27"/>
        <v>Fold</v>
      </c>
      <c r="F322" s="4">
        <f t="shared" ca="1" si="28"/>
        <v>100</v>
      </c>
      <c r="G322" s="4">
        <f ca="1">SUM(F$15:F322)</f>
        <v>4620</v>
      </c>
      <c r="H322" s="6">
        <f t="shared" ca="1" si="31"/>
        <v>0.20403283767655611</v>
      </c>
    </row>
    <row r="323" spans="2:8" x14ac:dyDescent="0.25">
      <c r="B323" s="1">
        <f t="shared" si="32"/>
        <v>309</v>
      </c>
      <c r="C323" s="3">
        <f t="shared" si="29"/>
        <v>70</v>
      </c>
      <c r="D323" s="3">
        <f t="shared" si="30"/>
        <v>100</v>
      </c>
      <c r="E323" s="1" t="str">
        <f t="shared" ca="1" si="27"/>
        <v>Call</v>
      </c>
      <c r="F323" s="4">
        <f t="shared" ca="1" si="28"/>
        <v>-70</v>
      </c>
      <c r="G323" s="4">
        <f ca="1">SUM(F$15:F323)</f>
        <v>4550</v>
      </c>
      <c r="H323" s="6">
        <f t="shared" ca="1" si="31"/>
        <v>0.64723975105254361</v>
      </c>
    </row>
    <row r="324" spans="2:8" x14ac:dyDescent="0.25">
      <c r="B324" s="1">
        <f t="shared" si="32"/>
        <v>310</v>
      </c>
      <c r="C324" s="3">
        <f t="shared" si="29"/>
        <v>70</v>
      </c>
      <c r="D324" s="3">
        <f t="shared" si="30"/>
        <v>100</v>
      </c>
      <c r="E324" s="1" t="str">
        <f t="shared" ca="1" si="27"/>
        <v>Call</v>
      </c>
      <c r="F324" s="4">
        <f t="shared" ca="1" si="28"/>
        <v>-70</v>
      </c>
      <c r="G324" s="4">
        <f ca="1">SUM(F$15:F324)</f>
        <v>4480</v>
      </c>
      <c r="H324" s="6">
        <f t="shared" ca="1" si="31"/>
        <v>0.68716624561526818</v>
      </c>
    </row>
    <row r="325" spans="2:8" x14ac:dyDescent="0.25">
      <c r="B325" s="1">
        <f t="shared" si="32"/>
        <v>311</v>
      </c>
      <c r="C325" s="3">
        <f t="shared" si="29"/>
        <v>70</v>
      </c>
      <c r="D325" s="3">
        <f t="shared" si="30"/>
        <v>100</v>
      </c>
      <c r="E325" s="1" t="str">
        <f t="shared" ca="1" si="27"/>
        <v>Call</v>
      </c>
      <c r="F325" s="4">
        <f t="shared" ca="1" si="28"/>
        <v>-70</v>
      </c>
      <c r="G325" s="4">
        <f ca="1">SUM(F$15:F325)</f>
        <v>4410</v>
      </c>
      <c r="H325" s="6">
        <f t="shared" ca="1" si="31"/>
        <v>0.99139042788608767</v>
      </c>
    </row>
    <row r="326" spans="2:8" x14ac:dyDescent="0.25">
      <c r="B326" s="1">
        <f t="shared" si="32"/>
        <v>312</v>
      </c>
      <c r="C326" s="3">
        <f t="shared" si="29"/>
        <v>70</v>
      </c>
      <c r="D326" s="3">
        <f t="shared" si="30"/>
        <v>100</v>
      </c>
      <c r="E326" s="1" t="str">
        <f t="shared" ca="1" si="27"/>
        <v>Fold</v>
      </c>
      <c r="F326" s="4">
        <f t="shared" ca="1" si="28"/>
        <v>100</v>
      </c>
      <c r="G326" s="4">
        <f ca="1">SUM(F$15:F326)</f>
        <v>4510</v>
      </c>
      <c r="H326" s="6">
        <f t="shared" ca="1" si="31"/>
        <v>0.32130983109490785</v>
      </c>
    </row>
    <row r="327" spans="2:8" x14ac:dyDescent="0.25">
      <c r="B327" s="1">
        <f t="shared" si="32"/>
        <v>313</v>
      </c>
      <c r="C327" s="3">
        <f t="shared" si="29"/>
        <v>70</v>
      </c>
      <c r="D327" s="3">
        <f t="shared" si="30"/>
        <v>100</v>
      </c>
      <c r="E327" s="1" t="str">
        <f t="shared" ca="1" si="27"/>
        <v>Call</v>
      </c>
      <c r="F327" s="4">
        <f t="shared" ca="1" si="28"/>
        <v>-70</v>
      </c>
      <c r="G327" s="4">
        <f ca="1">SUM(F$15:F327)</f>
        <v>4440</v>
      </c>
      <c r="H327" s="6">
        <f t="shared" ca="1" si="31"/>
        <v>0.87397286483126446</v>
      </c>
    </row>
    <row r="328" spans="2:8" x14ac:dyDescent="0.25">
      <c r="B328" s="1">
        <f t="shared" si="32"/>
        <v>314</v>
      </c>
      <c r="C328" s="3">
        <f t="shared" si="29"/>
        <v>70</v>
      </c>
      <c r="D328" s="3">
        <f t="shared" si="30"/>
        <v>100</v>
      </c>
      <c r="E328" s="1" t="str">
        <f t="shared" ca="1" si="27"/>
        <v>Fold</v>
      </c>
      <c r="F328" s="4">
        <f t="shared" ca="1" si="28"/>
        <v>100</v>
      </c>
      <c r="G328" s="4">
        <f ca="1">SUM(F$15:F328)</f>
        <v>4540</v>
      </c>
      <c r="H328" s="6">
        <f t="shared" ca="1" si="31"/>
        <v>0.37544999122907408</v>
      </c>
    </row>
    <row r="329" spans="2:8" x14ac:dyDescent="0.25">
      <c r="B329" s="1">
        <f t="shared" si="32"/>
        <v>315</v>
      </c>
      <c r="C329" s="3">
        <f t="shared" si="29"/>
        <v>70</v>
      </c>
      <c r="D329" s="3">
        <f t="shared" si="30"/>
        <v>100</v>
      </c>
      <c r="E329" s="1" t="str">
        <f t="shared" ca="1" si="27"/>
        <v>Call</v>
      </c>
      <c r="F329" s="4">
        <f t="shared" ca="1" si="28"/>
        <v>-70</v>
      </c>
      <c r="G329" s="4">
        <f ca="1">SUM(F$15:F329)</f>
        <v>4470</v>
      </c>
      <c r="H329" s="6">
        <f t="shared" ca="1" si="31"/>
        <v>0.595979276412819</v>
      </c>
    </row>
    <row r="330" spans="2:8" x14ac:dyDescent="0.25">
      <c r="B330" s="1">
        <f t="shared" si="32"/>
        <v>316</v>
      </c>
      <c r="C330" s="3">
        <f t="shared" si="29"/>
        <v>70</v>
      </c>
      <c r="D330" s="3">
        <f t="shared" si="30"/>
        <v>100</v>
      </c>
      <c r="E330" s="1" t="str">
        <f t="shared" ca="1" si="27"/>
        <v>Fold</v>
      </c>
      <c r="F330" s="4">
        <f t="shared" ca="1" si="28"/>
        <v>100</v>
      </c>
      <c r="G330" s="4">
        <f ca="1">SUM(F$15:F330)</f>
        <v>4570</v>
      </c>
      <c r="H330" s="6">
        <f t="shared" ca="1" si="31"/>
        <v>0.46273468838885279</v>
      </c>
    </row>
    <row r="331" spans="2:8" x14ac:dyDescent="0.25">
      <c r="B331" s="1">
        <f t="shared" si="32"/>
        <v>317</v>
      </c>
      <c r="C331" s="3">
        <f t="shared" si="29"/>
        <v>70</v>
      </c>
      <c r="D331" s="3">
        <f t="shared" si="30"/>
        <v>100</v>
      </c>
      <c r="E331" s="1" t="str">
        <f t="shared" ca="1" si="27"/>
        <v>Call</v>
      </c>
      <c r="F331" s="4">
        <f t="shared" ca="1" si="28"/>
        <v>-70</v>
      </c>
      <c r="G331" s="4">
        <f ca="1">SUM(F$15:F331)</f>
        <v>4500</v>
      </c>
      <c r="H331" s="6">
        <f t="shared" ca="1" si="31"/>
        <v>0.55145918829924134</v>
      </c>
    </row>
    <row r="332" spans="2:8" x14ac:dyDescent="0.25">
      <c r="B332" s="1">
        <f t="shared" si="32"/>
        <v>318</v>
      </c>
      <c r="C332" s="3">
        <f t="shared" si="29"/>
        <v>70</v>
      </c>
      <c r="D332" s="3">
        <f t="shared" si="30"/>
        <v>100</v>
      </c>
      <c r="E332" s="1" t="str">
        <f t="shared" ca="1" si="27"/>
        <v>Fold</v>
      </c>
      <c r="F332" s="4">
        <f t="shared" ca="1" si="28"/>
        <v>100</v>
      </c>
      <c r="G332" s="4">
        <f ca="1">SUM(F$15:F332)</f>
        <v>4600</v>
      </c>
      <c r="H332" s="6">
        <f t="shared" ca="1" si="31"/>
        <v>0.34876159152524489</v>
      </c>
    </row>
    <row r="333" spans="2:8" x14ac:dyDescent="0.25">
      <c r="B333" s="1">
        <f t="shared" si="32"/>
        <v>319</v>
      </c>
      <c r="C333" s="3">
        <f t="shared" si="29"/>
        <v>70</v>
      </c>
      <c r="D333" s="3">
        <f t="shared" si="30"/>
        <v>100</v>
      </c>
      <c r="E333" s="1" t="str">
        <f t="shared" ca="1" si="27"/>
        <v>Fold</v>
      </c>
      <c r="F333" s="4">
        <f t="shared" ca="1" si="28"/>
        <v>100</v>
      </c>
      <c r="G333" s="4">
        <f ca="1">SUM(F$15:F333)</f>
        <v>4700</v>
      </c>
      <c r="H333" s="6">
        <f t="shared" ca="1" si="31"/>
        <v>5.6689148288565305E-2</v>
      </c>
    </row>
    <row r="334" spans="2:8" x14ac:dyDescent="0.25">
      <c r="B334" s="1">
        <f t="shared" si="32"/>
        <v>320</v>
      </c>
      <c r="C334" s="3">
        <f t="shared" si="29"/>
        <v>70</v>
      </c>
      <c r="D334" s="3">
        <f t="shared" si="30"/>
        <v>100</v>
      </c>
      <c r="E334" s="1" t="str">
        <f t="shared" ca="1" si="27"/>
        <v>Call</v>
      </c>
      <c r="F334" s="4">
        <f t="shared" ca="1" si="28"/>
        <v>-70</v>
      </c>
      <c r="G334" s="4">
        <f ca="1">SUM(F$15:F334)</f>
        <v>4630</v>
      </c>
      <c r="H334" s="6">
        <f t="shared" ca="1" si="31"/>
        <v>0.50402253691608212</v>
      </c>
    </row>
    <row r="335" spans="2:8" x14ac:dyDescent="0.25">
      <c r="B335" s="1">
        <f t="shared" si="32"/>
        <v>321</v>
      </c>
      <c r="C335" s="3">
        <f t="shared" si="29"/>
        <v>70</v>
      </c>
      <c r="D335" s="3">
        <f t="shared" si="30"/>
        <v>100</v>
      </c>
      <c r="E335" s="1" t="str">
        <f t="shared" ref="E335:E398" ca="1" si="33">IF(H335&lt;$D$3,"Fold","Call")</f>
        <v>Call</v>
      </c>
      <c r="F335" s="4">
        <f t="shared" ca="1" si="28"/>
        <v>-70</v>
      </c>
      <c r="G335" s="4">
        <f ca="1">SUM(F$15:F335)</f>
        <v>4560</v>
      </c>
      <c r="H335" s="6">
        <f t="shared" ca="1" si="31"/>
        <v>0.99301340999325394</v>
      </c>
    </row>
    <row r="336" spans="2:8" x14ac:dyDescent="0.25">
      <c r="B336" s="1">
        <f t="shared" si="32"/>
        <v>322</v>
      </c>
      <c r="C336" s="3">
        <f t="shared" si="29"/>
        <v>70</v>
      </c>
      <c r="D336" s="3">
        <f t="shared" si="30"/>
        <v>100</v>
      </c>
      <c r="E336" s="1" t="str">
        <f t="shared" ca="1" si="33"/>
        <v>Fold</v>
      </c>
      <c r="F336" s="4">
        <f t="shared" ref="F336:F399" ca="1" si="34">IF(E336="Fold",D336,-C336)</f>
        <v>100</v>
      </c>
      <c r="G336" s="4">
        <f ca="1">SUM(F$15:F336)</f>
        <v>4660</v>
      </c>
      <c r="H336" s="6">
        <f t="shared" ca="1" si="31"/>
        <v>0.35885913733203556</v>
      </c>
    </row>
    <row r="337" spans="2:8" x14ac:dyDescent="0.25">
      <c r="B337" s="1">
        <f t="shared" si="32"/>
        <v>323</v>
      </c>
      <c r="C337" s="3">
        <f t="shared" ref="C337:C400" si="35">C336</f>
        <v>70</v>
      </c>
      <c r="D337" s="3">
        <f t="shared" ref="D337:D400" si="36">D336</f>
        <v>100</v>
      </c>
      <c r="E337" s="1" t="str">
        <f t="shared" ca="1" si="33"/>
        <v>Fold</v>
      </c>
      <c r="F337" s="4">
        <f t="shared" ca="1" si="34"/>
        <v>100</v>
      </c>
      <c r="G337" s="4">
        <f ca="1">SUM(F$15:F337)</f>
        <v>4760</v>
      </c>
      <c r="H337" s="6">
        <f t="shared" ca="1" si="31"/>
        <v>0.23213524917075268</v>
      </c>
    </row>
    <row r="338" spans="2:8" x14ac:dyDescent="0.25">
      <c r="B338" s="1">
        <f t="shared" si="32"/>
        <v>324</v>
      </c>
      <c r="C338" s="3">
        <f t="shared" si="35"/>
        <v>70</v>
      </c>
      <c r="D338" s="3">
        <f t="shared" si="36"/>
        <v>100</v>
      </c>
      <c r="E338" s="1" t="str">
        <f t="shared" ca="1" si="33"/>
        <v>Call</v>
      </c>
      <c r="F338" s="4">
        <f t="shared" ca="1" si="34"/>
        <v>-70</v>
      </c>
      <c r="G338" s="4">
        <f ca="1">SUM(F$15:F338)</f>
        <v>4690</v>
      </c>
      <c r="H338" s="6">
        <f t="shared" ca="1" si="31"/>
        <v>0.86870861085988726</v>
      </c>
    </row>
    <row r="339" spans="2:8" x14ac:dyDescent="0.25">
      <c r="B339" s="1">
        <f t="shared" si="32"/>
        <v>325</v>
      </c>
      <c r="C339" s="3">
        <f t="shared" si="35"/>
        <v>70</v>
      </c>
      <c r="D339" s="3">
        <f t="shared" si="36"/>
        <v>100</v>
      </c>
      <c r="E339" s="1" t="str">
        <f t="shared" ca="1" si="33"/>
        <v>Call</v>
      </c>
      <c r="F339" s="4">
        <f t="shared" ca="1" si="34"/>
        <v>-70</v>
      </c>
      <c r="G339" s="4">
        <f ca="1">SUM(F$15:F339)</f>
        <v>4620</v>
      </c>
      <c r="H339" s="6">
        <f t="shared" ca="1" si="31"/>
        <v>0.68007860791815811</v>
      </c>
    </row>
    <row r="340" spans="2:8" x14ac:dyDescent="0.25">
      <c r="B340" s="1">
        <f t="shared" si="32"/>
        <v>326</v>
      </c>
      <c r="C340" s="3">
        <f t="shared" si="35"/>
        <v>70</v>
      </c>
      <c r="D340" s="3">
        <f t="shared" si="36"/>
        <v>100</v>
      </c>
      <c r="E340" s="1" t="str">
        <f t="shared" ca="1" si="33"/>
        <v>Fold</v>
      </c>
      <c r="F340" s="4">
        <f t="shared" ca="1" si="34"/>
        <v>100</v>
      </c>
      <c r="G340" s="4">
        <f ca="1">SUM(F$15:F340)</f>
        <v>4720</v>
      </c>
      <c r="H340" s="6">
        <f t="shared" ca="1" si="31"/>
        <v>0.47131339182635512</v>
      </c>
    </row>
    <row r="341" spans="2:8" x14ac:dyDescent="0.25">
      <c r="B341" s="1">
        <f t="shared" si="32"/>
        <v>327</v>
      </c>
      <c r="C341" s="3">
        <f t="shared" si="35"/>
        <v>70</v>
      </c>
      <c r="D341" s="3">
        <f t="shared" si="36"/>
        <v>100</v>
      </c>
      <c r="E341" s="1" t="str">
        <f t="shared" ca="1" si="33"/>
        <v>Call</v>
      </c>
      <c r="F341" s="4">
        <f t="shared" ca="1" si="34"/>
        <v>-70</v>
      </c>
      <c r="G341" s="4">
        <f ca="1">SUM(F$15:F341)</f>
        <v>4650</v>
      </c>
      <c r="H341" s="6">
        <f t="shared" ca="1" si="31"/>
        <v>0.55745680270647335</v>
      </c>
    </row>
    <row r="342" spans="2:8" x14ac:dyDescent="0.25">
      <c r="B342" s="1">
        <f t="shared" si="32"/>
        <v>328</v>
      </c>
      <c r="C342" s="3">
        <f t="shared" si="35"/>
        <v>70</v>
      </c>
      <c r="D342" s="3">
        <f t="shared" si="36"/>
        <v>100</v>
      </c>
      <c r="E342" s="1" t="str">
        <f t="shared" ca="1" si="33"/>
        <v>Fold</v>
      </c>
      <c r="F342" s="4">
        <f t="shared" ca="1" si="34"/>
        <v>100</v>
      </c>
      <c r="G342" s="4">
        <f ca="1">SUM(F$15:F342)</f>
        <v>4750</v>
      </c>
      <c r="H342" s="6">
        <f t="shared" ca="1" si="31"/>
        <v>0.29631982041155291</v>
      </c>
    </row>
    <row r="343" spans="2:8" x14ac:dyDescent="0.25">
      <c r="B343" s="1">
        <f t="shared" si="32"/>
        <v>329</v>
      </c>
      <c r="C343" s="3">
        <f t="shared" si="35"/>
        <v>70</v>
      </c>
      <c r="D343" s="3">
        <f t="shared" si="36"/>
        <v>100</v>
      </c>
      <c r="E343" s="1" t="str">
        <f t="shared" ca="1" si="33"/>
        <v>Call</v>
      </c>
      <c r="F343" s="4">
        <f t="shared" ca="1" si="34"/>
        <v>-70</v>
      </c>
      <c r="G343" s="4">
        <f ca="1">SUM(F$15:F343)</f>
        <v>4680</v>
      </c>
      <c r="H343" s="6">
        <f t="shared" ca="1" si="31"/>
        <v>0.79124902201909797</v>
      </c>
    </row>
    <row r="344" spans="2:8" x14ac:dyDescent="0.25">
      <c r="B344" s="1">
        <f t="shared" si="32"/>
        <v>330</v>
      </c>
      <c r="C344" s="3">
        <f t="shared" si="35"/>
        <v>70</v>
      </c>
      <c r="D344" s="3">
        <f t="shared" si="36"/>
        <v>100</v>
      </c>
      <c r="E344" s="1" t="str">
        <f t="shared" ca="1" si="33"/>
        <v>Fold</v>
      </c>
      <c r="F344" s="4">
        <f t="shared" ca="1" si="34"/>
        <v>100</v>
      </c>
      <c r="G344" s="4">
        <f ca="1">SUM(F$15:F344)</f>
        <v>4780</v>
      </c>
      <c r="H344" s="6">
        <f t="shared" ca="1" si="31"/>
        <v>0.15267695761921662</v>
      </c>
    </row>
    <row r="345" spans="2:8" x14ac:dyDescent="0.25">
      <c r="B345" s="1">
        <f t="shared" si="32"/>
        <v>331</v>
      </c>
      <c r="C345" s="3">
        <f t="shared" si="35"/>
        <v>70</v>
      </c>
      <c r="D345" s="3">
        <f t="shared" si="36"/>
        <v>100</v>
      </c>
      <c r="E345" s="1" t="str">
        <f t="shared" ca="1" si="33"/>
        <v>Call</v>
      </c>
      <c r="F345" s="4">
        <f t="shared" ca="1" si="34"/>
        <v>-70</v>
      </c>
      <c r="G345" s="4">
        <f ca="1">SUM(F$15:F345)</f>
        <v>4710</v>
      </c>
      <c r="H345" s="6">
        <f t="shared" ca="1" si="31"/>
        <v>0.91190154619945707</v>
      </c>
    </row>
    <row r="346" spans="2:8" x14ac:dyDescent="0.25">
      <c r="B346" s="1">
        <f t="shared" si="32"/>
        <v>332</v>
      </c>
      <c r="C346" s="3">
        <f t="shared" si="35"/>
        <v>70</v>
      </c>
      <c r="D346" s="3">
        <f t="shared" si="36"/>
        <v>100</v>
      </c>
      <c r="E346" s="1" t="str">
        <f t="shared" ca="1" si="33"/>
        <v>Call</v>
      </c>
      <c r="F346" s="4">
        <f t="shared" ca="1" si="34"/>
        <v>-70</v>
      </c>
      <c r="G346" s="4">
        <f ca="1">SUM(F$15:F346)</f>
        <v>4640</v>
      </c>
      <c r="H346" s="6">
        <f t="shared" ca="1" si="31"/>
        <v>0.82501192908431853</v>
      </c>
    </row>
    <row r="347" spans="2:8" x14ac:dyDescent="0.25">
      <c r="B347" s="1">
        <f t="shared" si="32"/>
        <v>333</v>
      </c>
      <c r="C347" s="3">
        <f t="shared" si="35"/>
        <v>70</v>
      </c>
      <c r="D347" s="3">
        <f t="shared" si="36"/>
        <v>100</v>
      </c>
      <c r="E347" s="1" t="str">
        <f t="shared" ca="1" si="33"/>
        <v>Call</v>
      </c>
      <c r="F347" s="4">
        <f t="shared" ca="1" si="34"/>
        <v>-70</v>
      </c>
      <c r="G347" s="4">
        <f ca="1">SUM(F$15:F347)</f>
        <v>4570</v>
      </c>
      <c r="H347" s="6">
        <f t="shared" ca="1" si="31"/>
        <v>0.98298727345995973</v>
      </c>
    </row>
    <row r="348" spans="2:8" x14ac:dyDescent="0.25">
      <c r="B348" s="1">
        <f t="shared" si="32"/>
        <v>334</v>
      </c>
      <c r="C348" s="3">
        <f t="shared" si="35"/>
        <v>70</v>
      </c>
      <c r="D348" s="3">
        <f t="shared" si="36"/>
        <v>100</v>
      </c>
      <c r="E348" s="1" t="str">
        <f t="shared" ca="1" si="33"/>
        <v>Fold</v>
      </c>
      <c r="F348" s="4">
        <f t="shared" ca="1" si="34"/>
        <v>100</v>
      </c>
      <c r="G348" s="4">
        <f ca="1">SUM(F$15:F348)</f>
        <v>4670</v>
      </c>
      <c r="H348" s="6">
        <f t="shared" ca="1" si="31"/>
        <v>0.2615632360888327</v>
      </c>
    </row>
    <row r="349" spans="2:8" x14ac:dyDescent="0.25">
      <c r="B349" s="1">
        <f t="shared" si="32"/>
        <v>335</v>
      </c>
      <c r="C349" s="3">
        <f t="shared" si="35"/>
        <v>70</v>
      </c>
      <c r="D349" s="3">
        <f t="shared" si="36"/>
        <v>100</v>
      </c>
      <c r="E349" s="1" t="str">
        <f t="shared" ca="1" si="33"/>
        <v>Call</v>
      </c>
      <c r="F349" s="4">
        <f t="shared" ca="1" si="34"/>
        <v>-70</v>
      </c>
      <c r="G349" s="4">
        <f ca="1">SUM(F$15:F349)</f>
        <v>4600</v>
      </c>
      <c r="H349" s="6">
        <f t="shared" ca="1" si="31"/>
        <v>0.86402229633188876</v>
      </c>
    </row>
    <row r="350" spans="2:8" x14ac:dyDescent="0.25">
      <c r="B350" s="1">
        <f t="shared" si="32"/>
        <v>336</v>
      </c>
      <c r="C350" s="3">
        <f t="shared" si="35"/>
        <v>70</v>
      </c>
      <c r="D350" s="3">
        <f t="shared" si="36"/>
        <v>100</v>
      </c>
      <c r="E350" s="1" t="str">
        <f t="shared" ca="1" si="33"/>
        <v>Call</v>
      </c>
      <c r="F350" s="4">
        <f t="shared" ca="1" si="34"/>
        <v>-70</v>
      </c>
      <c r="G350" s="4">
        <f ca="1">SUM(F$15:F350)</f>
        <v>4530</v>
      </c>
      <c r="H350" s="6">
        <f t="shared" ref="H350:H413" ca="1" si="37">RAND()</f>
        <v>0.57561068896825929</v>
      </c>
    </row>
    <row r="351" spans="2:8" x14ac:dyDescent="0.25">
      <c r="B351" s="1">
        <f t="shared" si="32"/>
        <v>337</v>
      </c>
      <c r="C351" s="3">
        <f t="shared" si="35"/>
        <v>70</v>
      </c>
      <c r="D351" s="3">
        <f t="shared" si="36"/>
        <v>100</v>
      </c>
      <c r="E351" s="1" t="str">
        <f t="shared" ca="1" si="33"/>
        <v>Fold</v>
      </c>
      <c r="F351" s="4">
        <f t="shared" ca="1" si="34"/>
        <v>100</v>
      </c>
      <c r="G351" s="4">
        <f ca="1">SUM(F$15:F351)</f>
        <v>4630</v>
      </c>
      <c r="H351" s="6">
        <f t="shared" ca="1" si="37"/>
        <v>0.40593889041079156</v>
      </c>
    </row>
    <row r="352" spans="2:8" x14ac:dyDescent="0.25">
      <c r="B352" s="1">
        <f t="shared" si="32"/>
        <v>338</v>
      </c>
      <c r="C352" s="3">
        <f t="shared" si="35"/>
        <v>70</v>
      </c>
      <c r="D352" s="3">
        <f t="shared" si="36"/>
        <v>100</v>
      </c>
      <c r="E352" s="1" t="str">
        <f t="shared" ca="1" si="33"/>
        <v>Call</v>
      </c>
      <c r="F352" s="4">
        <f t="shared" ca="1" si="34"/>
        <v>-70</v>
      </c>
      <c r="G352" s="4">
        <f ca="1">SUM(F$15:F352)</f>
        <v>4560</v>
      </c>
      <c r="H352" s="6">
        <f t="shared" ca="1" si="37"/>
        <v>0.99844733979071465</v>
      </c>
    </row>
    <row r="353" spans="2:8" x14ac:dyDescent="0.25">
      <c r="B353" s="1">
        <f t="shared" si="32"/>
        <v>339</v>
      </c>
      <c r="C353" s="3">
        <f t="shared" si="35"/>
        <v>70</v>
      </c>
      <c r="D353" s="3">
        <f t="shared" si="36"/>
        <v>100</v>
      </c>
      <c r="E353" s="1" t="str">
        <f t="shared" ca="1" si="33"/>
        <v>Call</v>
      </c>
      <c r="F353" s="4">
        <f t="shared" ca="1" si="34"/>
        <v>-70</v>
      </c>
      <c r="G353" s="4">
        <f ca="1">SUM(F$15:F353)</f>
        <v>4490</v>
      </c>
      <c r="H353" s="6">
        <f t="shared" ca="1" si="37"/>
        <v>0.75662705617218784</v>
      </c>
    </row>
    <row r="354" spans="2:8" x14ac:dyDescent="0.25">
      <c r="B354" s="1">
        <f t="shared" si="32"/>
        <v>340</v>
      </c>
      <c r="C354" s="3">
        <f t="shared" si="35"/>
        <v>70</v>
      </c>
      <c r="D354" s="3">
        <f t="shared" si="36"/>
        <v>100</v>
      </c>
      <c r="E354" s="1" t="str">
        <f t="shared" ca="1" si="33"/>
        <v>Fold</v>
      </c>
      <c r="F354" s="4">
        <f t="shared" ca="1" si="34"/>
        <v>100</v>
      </c>
      <c r="G354" s="4">
        <f ca="1">SUM(F$15:F354)</f>
        <v>4590</v>
      </c>
      <c r="H354" s="6">
        <f t="shared" ca="1" si="37"/>
        <v>0.17726264998381569</v>
      </c>
    </row>
    <row r="355" spans="2:8" x14ac:dyDescent="0.25">
      <c r="B355" s="1">
        <f t="shared" si="32"/>
        <v>341</v>
      </c>
      <c r="C355" s="3">
        <f t="shared" si="35"/>
        <v>70</v>
      </c>
      <c r="D355" s="3">
        <f t="shared" si="36"/>
        <v>100</v>
      </c>
      <c r="E355" s="1" t="str">
        <f t="shared" ca="1" si="33"/>
        <v>Fold</v>
      </c>
      <c r="F355" s="4">
        <f t="shared" ca="1" si="34"/>
        <v>100</v>
      </c>
      <c r="G355" s="4">
        <f ca="1">SUM(F$15:F355)</f>
        <v>4690</v>
      </c>
      <c r="H355" s="6">
        <f t="shared" ca="1" si="37"/>
        <v>8.3019669787636308E-2</v>
      </c>
    </row>
    <row r="356" spans="2:8" x14ac:dyDescent="0.25">
      <c r="B356" s="1">
        <f t="shared" si="32"/>
        <v>342</v>
      </c>
      <c r="C356" s="3">
        <f t="shared" si="35"/>
        <v>70</v>
      </c>
      <c r="D356" s="3">
        <f t="shared" si="36"/>
        <v>100</v>
      </c>
      <c r="E356" s="1" t="str">
        <f t="shared" ca="1" si="33"/>
        <v>Fold</v>
      </c>
      <c r="F356" s="4">
        <f t="shared" ca="1" si="34"/>
        <v>100</v>
      </c>
      <c r="G356" s="4">
        <f ca="1">SUM(F$15:F356)</f>
        <v>4790</v>
      </c>
      <c r="H356" s="6">
        <f t="shared" ca="1" si="37"/>
        <v>0.39251475158939775</v>
      </c>
    </row>
    <row r="357" spans="2:8" x14ac:dyDescent="0.25">
      <c r="B357" s="1">
        <f t="shared" si="32"/>
        <v>343</v>
      </c>
      <c r="C357" s="3">
        <f t="shared" si="35"/>
        <v>70</v>
      </c>
      <c r="D357" s="3">
        <f t="shared" si="36"/>
        <v>100</v>
      </c>
      <c r="E357" s="1" t="str">
        <f t="shared" ca="1" si="33"/>
        <v>Fold</v>
      </c>
      <c r="F357" s="4">
        <f t="shared" ca="1" si="34"/>
        <v>100</v>
      </c>
      <c r="G357" s="4">
        <f ca="1">SUM(F$15:F357)</f>
        <v>4890</v>
      </c>
      <c r="H357" s="6">
        <f t="shared" ca="1" si="37"/>
        <v>0.31731554819343133</v>
      </c>
    </row>
    <row r="358" spans="2:8" x14ac:dyDescent="0.25">
      <c r="B358" s="1">
        <f t="shared" si="32"/>
        <v>344</v>
      </c>
      <c r="C358" s="3">
        <f t="shared" si="35"/>
        <v>70</v>
      </c>
      <c r="D358" s="3">
        <f t="shared" si="36"/>
        <v>100</v>
      </c>
      <c r="E358" s="1" t="str">
        <f t="shared" ca="1" si="33"/>
        <v>Call</v>
      </c>
      <c r="F358" s="4">
        <f t="shared" ca="1" si="34"/>
        <v>-70</v>
      </c>
      <c r="G358" s="4">
        <f ca="1">SUM(F$15:F358)</f>
        <v>4820</v>
      </c>
      <c r="H358" s="6">
        <f t="shared" ca="1" si="37"/>
        <v>0.79829236583573671</v>
      </c>
    </row>
    <row r="359" spans="2:8" x14ac:dyDescent="0.25">
      <c r="B359" s="1">
        <f t="shared" si="32"/>
        <v>345</v>
      </c>
      <c r="C359" s="3">
        <f t="shared" si="35"/>
        <v>70</v>
      </c>
      <c r="D359" s="3">
        <f t="shared" si="36"/>
        <v>100</v>
      </c>
      <c r="E359" s="1" t="str">
        <f t="shared" ca="1" si="33"/>
        <v>Call</v>
      </c>
      <c r="F359" s="4">
        <f t="shared" ca="1" si="34"/>
        <v>-70</v>
      </c>
      <c r="G359" s="4">
        <f ca="1">SUM(F$15:F359)</f>
        <v>4750</v>
      </c>
      <c r="H359" s="6">
        <f t="shared" ca="1" si="37"/>
        <v>0.93272469710196315</v>
      </c>
    </row>
    <row r="360" spans="2:8" x14ac:dyDescent="0.25">
      <c r="B360" s="1">
        <f t="shared" si="32"/>
        <v>346</v>
      </c>
      <c r="C360" s="3">
        <f t="shared" si="35"/>
        <v>70</v>
      </c>
      <c r="D360" s="3">
        <f t="shared" si="36"/>
        <v>100</v>
      </c>
      <c r="E360" s="1" t="str">
        <f t="shared" ca="1" si="33"/>
        <v>Call</v>
      </c>
      <c r="F360" s="4">
        <f t="shared" ca="1" si="34"/>
        <v>-70</v>
      </c>
      <c r="G360" s="4">
        <f ca="1">SUM(F$15:F360)</f>
        <v>4680</v>
      </c>
      <c r="H360" s="6">
        <f t="shared" ca="1" si="37"/>
        <v>0.73968293726322731</v>
      </c>
    </row>
    <row r="361" spans="2:8" x14ac:dyDescent="0.25">
      <c r="B361" s="1">
        <f t="shared" si="32"/>
        <v>347</v>
      </c>
      <c r="C361" s="3">
        <f t="shared" si="35"/>
        <v>70</v>
      </c>
      <c r="D361" s="3">
        <f t="shared" si="36"/>
        <v>100</v>
      </c>
      <c r="E361" s="1" t="str">
        <f t="shared" ca="1" si="33"/>
        <v>Fold</v>
      </c>
      <c r="F361" s="4">
        <f t="shared" ca="1" si="34"/>
        <v>100</v>
      </c>
      <c r="G361" s="4">
        <f ca="1">SUM(F$15:F361)</f>
        <v>4780</v>
      </c>
      <c r="H361" s="6">
        <f t="shared" ca="1" si="37"/>
        <v>0.49566252511307762</v>
      </c>
    </row>
    <row r="362" spans="2:8" x14ac:dyDescent="0.25">
      <c r="B362" s="1">
        <f t="shared" si="32"/>
        <v>348</v>
      </c>
      <c r="C362" s="3">
        <f t="shared" si="35"/>
        <v>70</v>
      </c>
      <c r="D362" s="3">
        <f t="shared" si="36"/>
        <v>100</v>
      </c>
      <c r="E362" s="1" t="str">
        <f t="shared" ca="1" si="33"/>
        <v>Call</v>
      </c>
      <c r="F362" s="4">
        <f t="shared" ca="1" si="34"/>
        <v>-70</v>
      </c>
      <c r="G362" s="4">
        <f ca="1">SUM(F$15:F362)</f>
        <v>4710</v>
      </c>
      <c r="H362" s="6">
        <f t="shared" ca="1" si="37"/>
        <v>0.63462969981320649</v>
      </c>
    </row>
    <row r="363" spans="2:8" x14ac:dyDescent="0.25">
      <c r="B363" s="1">
        <f t="shared" si="32"/>
        <v>349</v>
      </c>
      <c r="C363" s="3">
        <f t="shared" si="35"/>
        <v>70</v>
      </c>
      <c r="D363" s="3">
        <f t="shared" si="36"/>
        <v>100</v>
      </c>
      <c r="E363" s="1" t="str">
        <f t="shared" ca="1" si="33"/>
        <v>Fold</v>
      </c>
      <c r="F363" s="4">
        <f t="shared" ca="1" si="34"/>
        <v>100</v>
      </c>
      <c r="G363" s="4">
        <f ca="1">SUM(F$15:F363)</f>
        <v>4810</v>
      </c>
      <c r="H363" s="6">
        <f t="shared" ca="1" si="37"/>
        <v>0.42574204322949971</v>
      </c>
    </row>
    <row r="364" spans="2:8" x14ac:dyDescent="0.25">
      <c r="B364" s="1">
        <f t="shared" si="32"/>
        <v>350</v>
      </c>
      <c r="C364" s="3">
        <f t="shared" si="35"/>
        <v>70</v>
      </c>
      <c r="D364" s="3">
        <f t="shared" si="36"/>
        <v>100</v>
      </c>
      <c r="E364" s="1" t="str">
        <f t="shared" ca="1" si="33"/>
        <v>Call</v>
      </c>
      <c r="F364" s="4">
        <f t="shared" ca="1" si="34"/>
        <v>-70</v>
      </c>
      <c r="G364" s="4">
        <f ca="1">SUM(F$15:F364)</f>
        <v>4740</v>
      </c>
      <c r="H364" s="6">
        <f t="shared" ca="1" si="37"/>
        <v>0.85005032225208488</v>
      </c>
    </row>
    <row r="365" spans="2:8" x14ac:dyDescent="0.25">
      <c r="B365" s="1">
        <f t="shared" si="32"/>
        <v>351</v>
      </c>
      <c r="C365" s="3">
        <f t="shared" si="35"/>
        <v>70</v>
      </c>
      <c r="D365" s="3">
        <f t="shared" si="36"/>
        <v>100</v>
      </c>
      <c r="E365" s="1" t="str">
        <f t="shared" ca="1" si="33"/>
        <v>Call</v>
      </c>
      <c r="F365" s="4">
        <f t="shared" ca="1" si="34"/>
        <v>-70</v>
      </c>
      <c r="G365" s="4">
        <f ca="1">SUM(F$15:F365)</f>
        <v>4670</v>
      </c>
      <c r="H365" s="6">
        <f t="shared" ca="1" si="37"/>
        <v>0.61311377627454955</v>
      </c>
    </row>
    <row r="366" spans="2:8" x14ac:dyDescent="0.25">
      <c r="B366" s="1">
        <f t="shared" si="32"/>
        <v>352</v>
      </c>
      <c r="C366" s="3">
        <f t="shared" si="35"/>
        <v>70</v>
      </c>
      <c r="D366" s="3">
        <f t="shared" si="36"/>
        <v>100</v>
      </c>
      <c r="E366" s="1" t="str">
        <f t="shared" ca="1" si="33"/>
        <v>Call</v>
      </c>
      <c r="F366" s="4">
        <f t="shared" ca="1" si="34"/>
        <v>-70</v>
      </c>
      <c r="G366" s="4">
        <f ca="1">SUM(F$15:F366)</f>
        <v>4600</v>
      </c>
      <c r="H366" s="6">
        <f t="shared" ca="1" si="37"/>
        <v>0.87259756948952993</v>
      </c>
    </row>
    <row r="367" spans="2:8" x14ac:dyDescent="0.25">
      <c r="B367" s="1">
        <f t="shared" si="32"/>
        <v>353</v>
      </c>
      <c r="C367" s="3">
        <f t="shared" si="35"/>
        <v>70</v>
      </c>
      <c r="D367" s="3">
        <f t="shared" si="36"/>
        <v>100</v>
      </c>
      <c r="E367" s="1" t="str">
        <f t="shared" ca="1" si="33"/>
        <v>Fold</v>
      </c>
      <c r="F367" s="4">
        <f t="shared" ca="1" si="34"/>
        <v>100</v>
      </c>
      <c r="G367" s="4">
        <f ca="1">SUM(F$15:F367)</f>
        <v>4700</v>
      </c>
      <c r="H367" s="6">
        <f t="shared" ca="1" si="37"/>
        <v>0.32225263000837223</v>
      </c>
    </row>
    <row r="368" spans="2:8" x14ac:dyDescent="0.25">
      <c r="B368" s="1">
        <f t="shared" si="32"/>
        <v>354</v>
      </c>
      <c r="C368" s="3">
        <f t="shared" si="35"/>
        <v>70</v>
      </c>
      <c r="D368" s="3">
        <f t="shared" si="36"/>
        <v>100</v>
      </c>
      <c r="E368" s="1" t="str">
        <f t="shared" ca="1" si="33"/>
        <v>Call</v>
      </c>
      <c r="F368" s="4">
        <f t="shared" ca="1" si="34"/>
        <v>-70</v>
      </c>
      <c r="G368" s="4">
        <f ca="1">SUM(F$15:F368)</f>
        <v>4630</v>
      </c>
      <c r="H368" s="6">
        <f t="shared" ca="1" si="37"/>
        <v>0.74938821630407981</v>
      </c>
    </row>
    <row r="369" spans="2:8" x14ac:dyDescent="0.25">
      <c r="B369" s="1">
        <f t="shared" si="32"/>
        <v>355</v>
      </c>
      <c r="C369" s="3">
        <f t="shared" si="35"/>
        <v>70</v>
      </c>
      <c r="D369" s="3">
        <f t="shared" si="36"/>
        <v>100</v>
      </c>
      <c r="E369" s="1" t="str">
        <f t="shared" ca="1" si="33"/>
        <v>Call</v>
      </c>
      <c r="F369" s="4">
        <f t="shared" ca="1" si="34"/>
        <v>-70</v>
      </c>
      <c r="G369" s="4">
        <f ca="1">SUM(F$15:F369)</f>
        <v>4560</v>
      </c>
      <c r="H369" s="6">
        <f t="shared" ca="1" si="37"/>
        <v>0.97565708312861377</v>
      </c>
    </row>
    <row r="370" spans="2:8" x14ac:dyDescent="0.25">
      <c r="B370" s="1">
        <f t="shared" si="32"/>
        <v>356</v>
      </c>
      <c r="C370" s="3">
        <f t="shared" si="35"/>
        <v>70</v>
      </c>
      <c r="D370" s="3">
        <f t="shared" si="36"/>
        <v>100</v>
      </c>
      <c r="E370" s="1" t="str">
        <f t="shared" ca="1" si="33"/>
        <v>Call</v>
      </c>
      <c r="F370" s="4">
        <f t="shared" ca="1" si="34"/>
        <v>-70</v>
      </c>
      <c r="G370" s="4">
        <f ca="1">SUM(F$15:F370)</f>
        <v>4490</v>
      </c>
      <c r="H370" s="6">
        <f t="shared" ca="1" si="37"/>
        <v>0.84914302447056822</v>
      </c>
    </row>
    <row r="371" spans="2:8" x14ac:dyDescent="0.25">
      <c r="B371" s="1">
        <f t="shared" si="32"/>
        <v>357</v>
      </c>
      <c r="C371" s="3">
        <f t="shared" si="35"/>
        <v>70</v>
      </c>
      <c r="D371" s="3">
        <f t="shared" si="36"/>
        <v>100</v>
      </c>
      <c r="E371" s="1" t="str">
        <f t="shared" ca="1" si="33"/>
        <v>Call</v>
      </c>
      <c r="F371" s="4">
        <f t="shared" ca="1" si="34"/>
        <v>-70</v>
      </c>
      <c r="G371" s="4">
        <f ca="1">SUM(F$15:F371)</f>
        <v>4420</v>
      </c>
      <c r="H371" s="6">
        <f t="shared" ca="1" si="37"/>
        <v>0.74841823848934841</v>
      </c>
    </row>
    <row r="372" spans="2:8" x14ac:dyDescent="0.25">
      <c r="B372" s="1">
        <f t="shared" si="32"/>
        <v>358</v>
      </c>
      <c r="C372" s="3">
        <f t="shared" si="35"/>
        <v>70</v>
      </c>
      <c r="D372" s="3">
        <f t="shared" si="36"/>
        <v>100</v>
      </c>
      <c r="E372" s="1" t="str">
        <f t="shared" ca="1" si="33"/>
        <v>Call</v>
      </c>
      <c r="F372" s="4">
        <f t="shared" ca="1" si="34"/>
        <v>-70</v>
      </c>
      <c r="G372" s="4">
        <f ca="1">SUM(F$15:F372)</f>
        <v>4350</v>
      </c>
      <c r="H372" s="6">
        <f t="shared" ca="1" si="37"/>
        <v>0.69739138114645793</v>
      </c>
    </row>
    <row r="373" spans="2:8" x14ac:dyDescent="0.25">
      <c r="B373" s="1">
        <f t="shared" si="32"/>
        <v>359</v>
      </c>
      <c r="C373" s="3">
        <f t="shared" si="35"/>
        <v>70</v>
      </c>
      <c r="D373" s="3">
        <f t="shared" si="36"/>
        <v>100</v>
      </c>
      <c r="E373" s="1" t="str">
        <f t="shared" ca="1" si="33"/>
        <v>Call</v>
      </c>
      <c r="F373" s="4">
        <f t="shared" ca="1" si="34"/>
        <v>-70</v>
      </c>
      <c r="G373" s="4">
        <f ca="1">SUM(F$15:F373)</f>
        <v>4280</v>
      </c>
      <c r="H373" s="6">
        <f t="shared" ca="1" si="37"/>
        <v>0.8698502790490088</v>
      </c>
    </row>
    <row r="374" spans="2:8" x14ac:dyDescent="0.25">
      <c r="B374" s="1">
        <f t="shared" si="32"/>
        <v>360</v>
      </c>
      <c r="C374" s="3">
        <f t="shared" si="35"/>
        <v>70</v>
      </c>
      <c r="D374" s="3">
        <f t="shared" si="36"/>
        <v>100</v>
      </c>
      <c r="E374" s="1" t="str">
        <f t="shared" ca="1" si="33"/>
        <v>Fold</v>
      </c>
      <c r="F374" s="4">
        <f t="shared" ca="1" si="34"/>
        <v>100</v>
      </c>
      <c r="G374" s="4">
        <f ca="1">SUM(F$15:F374)</f>
        <v>4380</v>
      </c>
      <c r="H374" s="6">
        <f t="shared" ca="1" si="37"/>
        <v>0.27749028610190685</v>
      </c>
    </row>
    <row r="375" spans="2:8" x14ac:dyDescent="0.25">
      <c r="B375" s="1">
        <f t="shared" si="32"/>
        <v>361</v>
      </c>
      <c r="C375" s="3">
        <f t="shared" si="35"/>
        <v>70</v>
      </c>
      <c r="D375" s="3">
        <f t="shared" si="36"/>
        <v>100</v>
      </c>
      <c r="E375" s="1" t="str">
        <f t="shared" ca="1" si="33"/>
        <v>Fold</v>
      </c>
      <c r="F375" s="4">
        <f t="shared" ca="1" si="34"/>
        <v>100</v>
      </c>
      <c r="G375" s="4">
        <f ca="1">SUM(F$15:F375)</f>
        <v>4480</v>
      </c>
      <c r="H375" s="6">
        <f t="shared" ca="1" si="37"/>
        <v>3.3763737507283231E-2</v>
      </c>
    </row>
    <row r="376" spans="2:8" x14ac:dyDescent="0.25">
      <c r="B376" s="1">
        <f t="shared" si="32"/>
        <v>362</v>
      </c>
      <c r="C376" s="3">
        <f t="shared" si="35"/>
        <v>70</v>
      </c>
      <c r="D376" s="3">
        <f t="shared" si="36"/>
        <v>100</v>
      </c>
      <c r="E376" s="1" t="str">
        <f t="shared" ca="1" si="33"/>
        <v>Fold</v>
      </c>
      <c r="F376" s="4">
        <f t="shared" ca="1" si="34"/>
        <v>100</v>
      </c>
      <c r="G376" s="4">
        <f ca="1">SUM(F$15:F376)</f>
        <v>4580</v>
      </c>
      <c r="H376" s="6">
        <f t="shared" ca="1" si="37"/>
        <v>2.5675732806976104E-2</v>
      </c>
    </row>
    <row r="377" spans="2:8" x14ac:dyDescent="0.25">
      <c r="B377" s="1">
        <f t="shared" si="32"/>
        <v>363</v>
      </c>
      <c r="C377" s="3">
        <f t="shared" si="35"/>
        <v>70</v>
      </c>
      <c r="D377" s="3">
        <f t="shared" si="36"/>
        <v>100</v>
      </c>
      <c r="E377" s="1" t="str">
        <f t="shared" ca="1" si="33"/>
        <v>Fold</v>
      </c>
      <c r="F377" s="4">
        <f t="shared" ca="1" si="34"/>
        <v>100</v>
      </c>
      <c r="G377" s="4">
        <f ca="1">SUM(F$15:F377)</f>
        <v>4680</v>
      </c>
      <c r="H377" s="6">
        <f t="shared" ca="1" si="37"/>
        <v>0.1037291880399408</v>
      </c>
    </row>
    <row r="378" spans="2:8" x14ac:dyDescent="0.25">
      <c r="B378" s="1">
        <f t="shared" si="32"/>
        <v>364</v>
      </c>
      <c r="C378" s="3">
        <f t="shared" si="35"/>
        <v>70</v>
      </c>
      <c r="D378" s="3">
        <f t="shared" si="36"/>
        <v>100</v>
      </c>
      <c r="E378" s="1" t="str">
        <f t="shared" ca="1" si="33"/>
        <v>Fold</v>
      </c>
      <c r="F378" s="4">
        <f t="shared" ca="1" si="34"/>
        <v>100</v>
      </c>
      <c r="G378" s="4">
        <f ca="1">SUM(F$15:F378)</f>
        <v>4780</v>
      </c>
      <c r="H378" s="6">
        <f t="shared" ca="1" si="37"/>
        <v>0.4446370499957355</v>
      </c>
    </row>
    <row r="379" spans="2:8" x14ac:dyDescent="0.25">
      <c r="B379" s="1">
        <f t="shared" si="32"/>
        <v>365</v>
      </c>
      <c r="C379" s="3">
        <f t="shared" si="35"/>
        <v>70</v>
      </c>
      <c r="D379" s="3">
        <f t="shared" si="36"/>
        <v>100</v>
      </c>
      <c r="E379" s="1" t="str">
        <f t="shared" ca="1" si="33"/>
        <v>Call</v>
      </c>
      <c r="F379" s="4">
        <f t="shared" ca="1" si="34"/>
        <v>-70</v>
      </c>
      <c r="G379" s="4">
        <f ca="1">SUM(F$15:F379)</f>
        <v>4710</v>
      </c>
      <c r="H379" s="6">
        <f t="shared" ca="1" si="37"/>
        <v>0.78840522596182927</v>
      </c>
    </row>
    <row r="380" spans="2:8" x14ac:dyDescent="0.25">
      <c r="B380" s="1">
        <f t="shared" si="32"/>
        <v>366</v>
      </c>
      <c r="C380" s="3">
        <f t="shared" si="35"/>
        <v>70</v>
      </c>
      <c r="D380" s="3">
        <f t="shared" si="36"/>
        <v>100</v>
      </c>
      <c r="E380" s="1" t="str">
        <f t="shared" ca="1" si="33"/>
        <v>Fold</v>
      </c>
      <c r="F380" s="4">
        <f t="shared" ca="1" si="34"/>
        <v>100</v>
      </c>
      <c r="G380" s="4">
        <f ca="1">SUM(F$15:F380)</f>
        <v>4810</v>
      </c>
      <c r="H380" s="6">
        <f t="shared" ca="1" si="37"/>
        <v>0.40753934301639527</v>
      </c>
    </row>
    <row r="381" spans="2:8" x14ac:dyDescent="0.25">
      <c r="B381" s="1">
        <f t="shared" si="32"/>
        <v>367</v>
      </c>
      <c r="C381" s="3">
        <f t="shared" si="35"/>
        <v>70</v>
      </c>
      <c r="D381" s="3">
        <f t="shared" si="36"/>
        <v>100</v>
      </c>
      <c r="E381" s="1" t="str">
        <f t="shared" ca="1" si="33"/>
        <v>Call</v>
      </c>
      <c r="F381" s="4">
        <f t="shared" ca="1" si="34"/>
        <v>-70</v>
      </c>
      <c r="G381" s="4">
        <f ca="1">SUM(F$15:F381)</f>
        <v>4740</v>
      </c>
      <c r="H381" s="6">
        <f t="shared" ca="1" si="37"/>
        <v>0.64925646308156382</v>
      </c>
    </row>
    <row r="382" spans="2:8" x14ac:dyDescent="0.25">
      <c r="B382" s="1">
        <f t="shared" si="32"/>
        <v>368</v>
      </c>
      <c r="C382" s="3">
        <f t="shared" si="35"/>
        <v>70</v>
      </c>
      <c r="D382" s="3">
        <f t="shared" si="36"/>
        <v>100</v>
      </c>
      <c r="E382" s="1" t="str">
        <f t="shared" ca="1" si="33"/>
        <v>Fold</v>
      </c>
      <c r="F382" s="4">
        <f t="shared" ca="1" si="34"/>
        <v>100</v>
      </c>
      <c r="G382" s="4">
        <f ca="1">SUM(F$15:F382)</f>
        <v>4840</v>
      </c>
      <c r="H382" s="6">
        <f t="shared" ca="1" si="37"/>
        <v>0.21950668760211456</v>
      </c>
    </row>
    <row r="383" spans="2:8" x14ac:dyDescent="0.25">
      <c r="B383" s="1">
        <f t="shared" ref="B383:B446" si="38">B382+1</f>
        <v>369</v>
      </c>
      <c r="C383" s="3">
        <f t="shared" si="35"/>
        <v>70</v>
      </c>
      <c r="D383" s="3">
        <f t="shared" si="36"/>
        <v>100</v>
      </c>
      <c r="E383" s="1" t="str">
        <f t="shared" ca="1" si="33"/>
        <v>Fold</v>
      </c>
      <c r="F383" s="4">
        <f t="shared" ca="1" si="34"/>
        <v>100</v>
      </c>
      <c r="G383" s="4">
        <f ca="1">SUM(F$15:F383)</f>
        <v>4940</v>
      </c>
      <c r="H383" s="6">
        <f t="shared" ca="1" si="37"/>
        <v>0.36485991668324869</v>
      </c>
    </row>
    <row r="384" spans="2:8" x14ac:dyDescent="0.25">
      <c r="B384" s="1">
        <f t="shared" si="38"/>
        <v>370</v>
      </c>
      <c r="C384" s="3">
        <f t="shared" si="35"/>
        <v>70</v>
      </c>
      <c r="D384" s="3">
        <f t="shared" si="36"/>
        <v>100</v>
      </c>
      <c r="E384" s="1" t="str">
        <f t="shared" ca="1" si="33"/>
        <v>Call</v>
      </c>
      <c r="F384" s="4">
        <f t="shared" ca="1" si="34"/>
        <v>-70</v>
      </c>
      <c r="G384" s="4">
        <f ca="1">SUM(F$15:F384)</f>
        <v>4870</v>
      </c>
      <c r="H384" s="6">
        <f t="shared" ca="1" si="37"/>
        <v>0.71070548869576899</v>
      </c>
    </row>
    <row r="385" spans="2:8" x14ac:dyDescent="0.25">
      <c r="B385" s="1">
        <f t="shared" si="38"/>
        <v>371</v>
      </c>
      <c r="C385" s="3">
        <f t="shared" si="35"/>
        <v>70</v>
      </c>
      <c r="D385" s="3">
        <f t="shared" si="36"/>
        <v>100</v>
      </c>
      <c r="E385" s="1" t="str">
        <f t="shared" ca="1" si="33"/>
        <v>Fold</v>
      </c>
      <c r="F385" s="4">
        <f t="shared" ca="1" si="34"/>
        <v>100</v>
      </c>
      <c r="G385" s="4">
        <f ca="1">SUM(F$15:F385)</f>
        <v>4970</v>
      </c>
      <c r="H385" s="6">
        <f t="shared" ca="1" si="37"/>
        <v>0.12631381881292136</v>
      </c>
    </row>
    <row r="386" spans="2:8" x14ac:dyDescent="0.25">
      <c r="B386" s="1">
        <f t="shared" si="38"/>
        <v>372</v>
      </c>
      <c r="C386" s="3">
        <f t="shared" si="35"/>
        <v>70</v>
      </c>
      <c r="D386" s="3">
        <f t="shared" si="36"/>
        <v>100</v>
      </c>
      <c r="E386" s="1" t="str">
        <f t="shared" ca="1" si="33"/>
        <v>Call</v>
      </c>
      <c r="F386" s="4">
        <f t="shared" ca="1" si="34"/>
        <v>-70</v>
      </c>
      <c r="G386" s="4">
        <f ca="1">SUM(F$15:F386)</f>
        <v>4900</v>
      </c>
      <c r="H386" s="6">
        <f t="shared" ca="1" si="37"/>
        <v>0.58113720083153586</v>
      </c>
    </row>
    <row r="387" spans="2:8" x14ac:dyDescent="0.25">
      <c r="B387" s="1">
        <f t="shared" si="38"/>
        <v>373</v>
      </c>
      <c r="C387" s="3">
        <f t="shared" si="35"/>
        <v>70</v>
      </c>
      <c r="D387" s="3">
        <f t="shared" si="36"/>
        <v>100</v>
      </c>
      <c r="E387" s="1" t="str">
        <f t="shared" ca="1" si="33"/>
        <v>Fold</v>
      </c>
      <c r="F387" s="4">
        <f t="shared" ca="1" si="34"/>
        <v>100</v>
      </c>
      <c r="G387" s="4">
        <f ca="1">SUM(F$15:F387)</f>
        <v>5000</v>
      </c>
      <c r="H387" s="6">
        <f t="shared" ca="1" si="37"/>
        <v>0.39048018196011225</v>
      </c>
    </row>
    <row r="388" spans="2:8" x14ac:dyDescent="0.25">
      <c r="B388" s="1">
        <f t="shared" si="38"/>
        <v>374</v>
      </c>
      <c r="C388" s="3">
        <f t="shared" si="35"/>
        <v>70</v>
      </c>
      <c r="D388" s="3">
        <f t="shared" si="36"/>
        <v>100</v>
      </c>
      <c r="E388" s="1" t="str">
        <f t="shared" ca="1" si="33"/>
        <v>Fold</v>
      </c>
      <c r="F388" s="4">
        <f t="shared" ca="1" si="34"/>
        <v>100</v>
      </c>
      <c r="G388" s="4">
        <f ca="1">SUM(F$15:F388)</f>
        <v>5100</v>
      </c>
      <c r="H388" s="6">
        <f t="shared" ca="1" si="37"/>
        <v>0.3560827601078087</v>
      </c>
    </row>
    <row r="389" spans="2:8" x14ac:dyDescent="0.25">
      <c r="B389" s="1">
        <f t="shared" si="38"/>
        <v>375</v>
      </c>
      <c r="C389" s="3">
        <f t="shared" si="35"/>
        <v>70</v>
      </c>
      <c r="D389" s="3">
        <f t="shared" si="36"/>
        <v>100</v>
      </c>
      <c r="E389" s="1" t="str">
        <f t="shared" ca="1" si="33"/>
        <v>Call</v>
      </c>
      <c r="F389" s="4">
        <f t="shared" ca="1" si="34"/>
        <v>-70</v>
      </c>
      <c r="G389" s="4">
        <f ca="1">SUM(F$15:F389)</f>
        <v>5030</v>
      </c>
      <c r="H389" s="6">
        <f t="shared" ca="1" si="37"/>
        <v>0.72056520782321476</v>
      </c>
    </row>
    <row r="390" spans="2:8" x14ac:dyDescent="0.25">
      <c r="B390" s="1">
        <f t="shared" si="38"/>
        <v>376</v>
      </c>
      <c r="C390" s="3">
        <f t="shared" si="35"/>
        <v>70</v>
      </c>
      <c r="D390" s="3">
        <f t="shared" si="36"/>
        <v>100</v>
      </c>
      <c r="E390" s="1" t="str">
        <f t="shared" ca="1" si="33"/>
        <v>Call</v>
      </c>
      <c r="F390" s="4">
        <f t="shared" ca="1" si="34"/>
        <v>-70</v>
      </c>
      <c r="G390" s="4">
        <f ca="1">SUM(F$15:F390)</f>
        <v>4960</v>
      </c>
      <c r="H390" s="6">
        <f t="shared" ca="1" si="37"/>
        <v>0.98953534523249043</v>
      </c>
    </row>
    <row r="391" spans="2:8" x14ac:dyDescent="0.25">
      <c r="B391" s="1">
        <f t="shared" si="38"/>
        <v>377</v>
      </c>
      <c r="C391" s="3">
        <f t="shared" si="35"/>
        <v>70</v>
      </c>
      <c r="D391" s="3">
        <f t="shared" si="36"/>
        <v>100</v>
      </c>
      <c r="E391" s="1" t="str">
        <f t="shared" ca="1" si="33"/>
        <v>Call</v>
      </c>
      <c r="F391" s="4">
        <f t="shared" ca="1" si="34"/>
        <v>-70</v>
      </c>
      <c r="G391" s="4">
        <f ca="1">SUM(F$15:F391)</f>
        <v>4890</v>
      </c>
      <c r="H391" s="6">
        <f t="shared" ca="1" si="37"/>
        <v>0.86177654699432327</v>
      </c>
    </row>
    <row r="392" spans="2:8" x14ac:dyDescent="0.25">
      <c r="B392" s="1">
        <f t="shared" si="38"/>
        <v>378</v>
      </c>
      <c r="C392" s="3">
        <f t="shared" si="35"/>
        <v>70</v>
      </c>
      <c r="D392" s="3">
        <f t="shared" si="36"/>
        <v>100</v>
      </c>
      <c r="E392" s="1" t="str">
        <f t="shared" ca="1" si="33"/>
        <v>Fold</v>
      </c>
      <c r="F392" s="4">
        <f t="shared" ca="1" si="34"/>
        <v>100</v>
      </c>
      <c r="G392" s="4">
        <f ca="1">SUM(F$15:F392)</f>
        <v>4990</v>
      </c>
      <c r="H392" s="6">
        <f t="shared" ca="1" si="37"/>
        <v>0.33537446338334298</v>
      </c>
    </row>
    <row r="393" spans="2:8" x14ac:dyDescent="0.25">
      <c r="B393" s="1">
        <f t="shared" si="38"/>
        <v>379</v>
      </c>
      <c r="C393" s="3">
        <f t="shared" si="35"/>
        <v>70</v>
      </c>
      <c r="D393" s="3">
        <f t="shared" si="36"/>
        <v>100</v>
      </c>
      <c r="E393" s="1" t="str">
        <f t="shared" ca="1" si="33"/>
        <v>Call</v>
      </c>
      <c r="F393" s="4">
        <f t="shared" ca="1" si="34"/>
        <v>-70</v>
      </c>
      <c r="G393" s="4">
        <f ca="1">SUM(F$15:F393)</f>
        <v>4920</v>
      </c>
      <c r="H393" s="6">
        <f t="shared" ca="1" si="37"/>
        <v>0.91882957336730253</v>
      </c>
    </row>
    <row r="394" spans="2:8" x14ac:dyDescent="0.25">
      <c r="B394" s="1">
        <f t="shared" si="38"/>
        <v>380</v>
      </c>
      <c r="C394" s="3">
        <f t="shared" si="35"/>
        <v>70</v>
      </c>
      <c r="D394" s="3">
        <f t="shared" si="36"/>
        <v>100</v>
      </c>
      <c r="E394" s="1" t="str">
        <f t="shared" ca="1" si="33"/>
        <v>Fold</v>
      </c>
      <c r="F394" s="4">
        <f t="shared" ca="1" si="34"/>
        <v>100</v>
      </c>
      <c r="G394" s="4">
        <f ca="1">SUM(F$15:F394)</f>
        <v>5020</v>
      </c>
      <c r="H394" s="6">
        <f t="shared" ca="1" si="37"/>
        <v>5.099685810352772E-2</v>
      </c>
    </row>
    <row r="395" spans="2:8" x14ac:dyDescent="0.25">
      <c r="B395" s="1">
        <f t="shared" si="38"/>
        <v>381</v>
      </c>
      <c r="C395" s="3">
        <f t="shared" si="35"/>
        <v>70</v>
      </c>
      <c r="D395" s="3">
        <f t="shared" si="36"/>
        <v>100</v>
      </c>
      <c r="E395" s="1" t="str">
        <f t="shared" ca="1" si="33"/>
        <v>Call</v>
      </c>
      <c r="F395" s="4">
        <f t="shared" ca="1" si="34"/>
        <v>-70</v>
      </c>
      <c r="G395" s="4">
        <f ca="1">SUM(F$15:F395)</f>
        <v>4950</v>
      </c>
      <c r="H395" s="6">
        <f t="shared" ca="1" si="37"/>
        <v>0.51621848021878491</v>
      </c>
    </row>
    <row r="396" spans="2:8" x14ac:dyDescent="0.25">
      <c r="B396" s="1">
        <f t="shared" si="38"/>
        <v>382</v>
      </c>
      <c r="C396" s="3">
        <f t="shared" si="35"/>
        <v>70</v>
      </c>
      <c r="D396" s="3">
        <f t="shared" si="36"/>
        <v>100</v>
      </c>
      <c r="E396" s="1" t="str">
        <f t="shared" ca="1" si="33"/>
        <v>Call</v>
      </c>
      <c r="F396" s="4">
        <f t="shared" ca="1" si="34"/>
        <v>-70</v>
      </c>
      <c r="G396" s="4">
        <f ca="1">SUM(F$15:F396)</f>
        <v>4880</v>
      </c>
      <c r="H396" s="6">
        <f t="shared" ca="1" si="37"/>
        <v>0.5767059823136047</v>
      </c>
    </row>
    <row r="397" spans="2:8" x14ac:dyDescent="0.25">
      <c r="B397" s="1">
        <f t="shared" si="38"/>
        <v>383</v>
      </c>
      <c r="C397" s="3">
        <f t="shared" si="35"/>
        <v>70</v>
      </c>
      <c r="D397" s="3">
        <f t="shared" si="36"/>
        <v>100</v>
      </c>
      <c r="E397" s="1" t="str">
        <f t="shared" ca="1" si="33"/>
        <v>Call</v>
      </c>
      <c r="F397" s="4">
        <f t="shared" ca="1" si="34"/>
        <v>-70</v>
      </c>
      <c r="G397" s="4">
        <f ca="1">SUM(F$15:F397)</f>
        <v>4810</v>
      </c>
      <c r="H397" s="6">
        <f t="shared" ca="1" si="37"/>
        <v>0.53853464969764042</v>
      </c>
    </row>
    <row r="398" spans="2:8" x14ac:dyDescent="0.25">
      <c r="B398" s="1">
        <f t="shared" si="38"/>
        <v>384</v>
      </c>
      <c r="C398" s="3">
        <f t="shared" si="35"/>
        <v>70</v>
      </c>
      <c r="D398" s="3">
        <f t="shared" si="36"/>
        <v>100</v>
      </c>
      <c r="E398" s="1" t="str">
        <f t="shared" ca="1" si="33"/>
        <v>Fold</v>
      </c>
      <c r="F398" s="4">
        <f t="shared" ca="1" si="34"/>
        <v>100</v>
      </c>
      <c r="G398" s="4">
        <f ca="1">SUM(F$15:F398)</f>
        <v>4910</v>
      </c>
      <c r="H398" s="6">
        <f t="shared" ca="1" si="37"/>
        <v>6.4001265634900162E-2</v>
      </c>
    </row>
    <row r="399" spans="2:8" x14ac:dyDescent="0.25">
      <c r="B399" s="1">
        <f t="shared" si="38"/>
        <v>385</v>
      </c>
      <c r="C399" s="3">
        <f t="shared" si="35"/>
        <v>70</v>
      </c>
      <c r="D399" s="3">
        <f t="shared" si="36"/>
        <v>100</v>
      </c>
      <c r="E399" s="1" t="str">
        <f t="shared" ref="E399:E462" ca="1" si="39">IF(H399&lt;$D$3,"Fold","Call")</f>
        <v>Fold</v>
      </c>
      <c r="F399" s="4">
        <f t="shared" ca="1" si="34"/>
        <v>100</v>
      </c>
      <c r="G399" s="4">
        <f ca="1">SUM(F$15:F399)</f>
        <v>5010</v>
      </c>
      <c r="H399" s="6">
        <f t="shared" ca="1" si="37"/>
        <v>0.45742356168216547</v>
      </c>
    </row>
    <row r="400" spans="2:8" x14ac:dyDescent="0.25">
      <c r="B400" s="1">
        <f t="shared" si="38"/>
        <v>386</v>
      </c>
      <c r="C400" s="3">
        <f t="shared" si="35"/>
        <v>70</v>
      </c>
      <c r="D400" s="3">
        <f t="shared" si="36"/>
        <v>100</v>
      </c>
      <c r="E400" s="1" t="str">
        <f t="shared" ca="1" si="39"/>
        <v>Fold</v>
      </c>
      <c r="F400" s="4">
        <f t="shared" ref="F400:F463" ca="1" si="40">IF(E400="Fold",D400,-C400)</f>
        <v>100</v>
      </c>
      <c r="G400" s="4">
        <f ca="1">SUM(F$15:F400)</f>
        <v>5110</v>
      </c>
      <c r="H400" s="6">
        <f t="shared" ca="1" si="37"/>
        <v>5.8043710496413659E-2</v>
      </c>
    </row>
    <row r="401" spans="2:8" x14ac:dyDescent="0.25">
      <c r="B401" s="1">
        <f t="shared" si="38"/>
        <v>387</v>
      </c>
      <c r="C401" s="3">
        <f t="shared" ref="C401:C464" si="41">C400</f>
        <v>70</v>
      </c>
      <c r="D401" s="3">
        <f t="shared" ref="D401:D464" si="42">D400</f>
        <v>100</v>
      </c>
      <c r="E401" s="1" t="str">
        <f t="shared" ca="1" si="39"/>
        <v>Call</v>
      </c>
      <c r="F401" s="4">
        <f t="shared" ca="1" si="40"/>
        <v>-70</v>
      </c>
      <c r="G401" s="4">
        <f ca="1">SUM(F$15:F401)</f>
        <v>5040</v>
      </c>
      <c r="H401" s="6">
        <f t="shared" ca="1" si="37"/>
        <v>0.91173750795569453</v>
      </c>
    </row>
    <row r="402" spans="2:8" x14ac:dyDescent="0.25">
      <c r="B402" s="1">
        <f t="shared" si="38"/>
        <v>388</v>
      </c>
      <c r="C402" s="3">
        <f t="shared" si="41"/>
        <v>70</v>
      </c>
      <c r="D402" s="3">
        <f t="shared" si="42"/>
        <v>100</v>
      </c>
      <c r="E402" s="1" t="str">
        <f t="shared" ca="1" si="39"/>
        <v>Call</v>
      </c>
      <c r="F402" s="4">
        <f t="shared" ca="1" si="40"/>
        <v>-70</v>
      </c>
      <c r="G402" s="4">
        <f ca="1">SUM(F$15:F402)</f>
        <v>4970</v>
      </c>
      <c r="H402" s="6">
        <f t="shared" ca="1" si="37"/>
        <v>0.88261238583759105</v>
      </c>
    </row>
    <row r="403" spans="2:8" x14ac:dyDescent="0.25">
      <c r="B403" s="1">
        <f t="shared" si="38"/>
        <v>389</v>
      </c>
      <c r="C403" s="3">
        <f t="shared" si="41"/>
        <v>70</v>
      </c>
      <c r="D403" s="3">
        <f t="shared" si="42"/>
        <v>100</v>
      </c>
      <c r="E403" s="1" t="str">
        <f t="shared" ca="1" si="39"/>
        <v>Fold</v>
      </c>
      <c r="F403" s="4">
        <f t="shared" ca="1" si="40"/>
        <v>100</v>
      </c>
      <c r="G403" s="4">
        <f ca="1">SUM(F$15:F403)</f>
        <v>5070</v>
      </c>
      <c r="H403" s="6">
        <f t="shared" ca="1" si="37"/>
        <v>0.2237560522076385</v>
      </c>
    </row>
    <row r="404" spans="2:8" x14ac:dyDescent="0.25">
      <c r="B404" s="1">
        <f t="shared" si="38"/>
        <v>390</v>
      </c>
      <c r="C404" s="3">
        <f t="shared" si="41"/>
        <v>70</v>
      </c>
      <c r="D404" s="3">
        <f t="shared" si="42"/>
        <v>100</v>
      </c>
      <c r="E404" s="1" t="str">
        <f t="shared" ca="1" si="39"/>
        <v>Call</v>
      </c>
      <c r="F404" s="4">
        <f t="shared" ca="1" si="40"/>
        <v>-70</v>
      </c>
      <c r="G404" s="4">
        <f ca="1">SUM(F$15:F404)</f>
        <v>5000</v>
      </c>
      <c r="H404" s="6">
        <f t="shared" ca="1" si="37"/>
        <v>0.60615831627200356</v>
      </c>
    </row>
    <row r="405" spans="2:8" x14ac:dyDescent="0.25">
      <c r="B405" s="1">
        <f t="shared" si="38"/>
        <v>391</v>
      </c>
      <c r="C405" s="3">
        <f t="shared" si="41"/>
        <v>70</v>
      </c>
      <c r="D405" s="3">
        <f t="shared" si="42"/>
        <v>100</v>
      </c>
      <c r="E405" s="1" t="str">
        <f t="shared" ca="1" si="39"/>
        <v>Call</v>
      </c>
      <c r="F405" s="4">
        <f t="shared" ca="1" si="40"/>
        <v>-70</v>
      </c>
      <c r="G405" s="4">
        <f ca="1">SUM(F$15:F405)</f>
        <v>4930</v>
      </c>
      <c r="H405" s="6">
        <f t="shared" ca="1" si="37"/>
        <v>0.59028312212481371</v>
      </c>
    </row>
    <row r="406" spans="2:8" x14ac:dyDescent="0.25">
      <c r="B406" s="1">
        <f t="shared" si="38"/>
        <v>392</v>
      </c>
      <c r="C406" s="3">
        <f t="shared" si="41"/>
        <v>70</v>
      </c>
      <c r="D406" s="3">
        <f t="shared" si="42"/>
        <v>100</v>
      </c>
      <c r="E406" s="1" t="str">
        <f t="shared" ca="1" si="39"/>
        <v>Fold</v>
      </c>
      <c r="F406" s="4">
        <f t="shared" ca="1" si="40"/>
        <v>100</v>
      </c>
      <c r="G406" s="4">
        <f ca="1">SUM(F$15:F406)</f>
        <v>5030</v>
      </c>
      <c r="H406" s="6">
        <f t="shared" ca="1" si="37"/>
        <v>0.10069279446735224</v>
      </c>
    </row>
    <row r="407" spans="2:8" x14ac:dyDescent="0.25">
      <c r="B407" s="1">
        <f t="shared" si="38"/>
        <v>393</v>
      </c>
      <c r="C407" s="3">
        <f t="shared" si="41"/>
        <v>70</v>
      </c>
      <c r="D407" s="3">
        <f t="shared" si="42"/>
        <v>100</v>
      </c>
      <c r="E407" s="1" t="str">
        <f t="shared" ca="1" si="39"/>
        <v>Call</v>
      </c>
      <c r="F407" s="4">
        <f t="shared" ca="1" si="40"/>
        <v>-70</v>
      </c>
      <c r="G407" s="4">
        <f ca="1">SUM(F$15:F407)</f>
        <v>4960</v>
      </c>
      <c r="H407" s="6">
        <f t="shared" ca="1" si="37"/>
        <v>0.59426159517360544</v>
      </c>
    </row>
    <row r="408" spans="2:8" x14ac:dyDescent="0.25">
      <c r="B408" s="1">
        <f t="shared" si="38"/>
        <v>394</v>
      </c>
      <c r="C408" s="3">
        <f t="shared" si="41"/>
        <v>70</v>
      </c>
      <c r="D408" s="3">
        <f t="shared" si="42"/>
        <v>100</v>
      </c>
      <c r="E408" s="1" t="str">
        <f t="shared" ca="1" si="39"/>
        <v>Fold</v>
      </c>
      <c r="F408" s="4">
        <f t="shared" ca="1" si="40"/>
        <v>100</v>
      </c>
      <c r="G408" s="4">
        <f ca="1">SUM(F$15:F408)</f>
        <v>5060</v>
      </c>
      <c r="H408" s="6">
        <f t="shared" ca="1" si="37"/>
        <v>0.16983593152688725</v>
      </c>
    </row>
    <row r="409" spans="2:8" x14ac:dyDescent="0.25">
      <c r="B409" s="1">
        <f t="shared" si="38"/>
        <v>395</v>
      </c>
      <c r="C409" s="3">
        <f t="shared" si="41"/>
        <v>70</v>
      </c>
      <c r="D409" s="3">
        <f t="shared" si="42"/>
        <v>100</v>
      </c>
      <c r="E409" s="1" t="str">
        <f t="shared" ca="1" si="39"/>
        <v>Fold</v>
      </c>
      <c r="F409" s="4">
        <f t="shared" ca="1" si="40"/>
        <v>100</v>
      </c>
      <c r="G409" s="4">
        <f ca="1">SUM(F$15:F409)</f>
        <v>5160</v>
      </c>
      <c r="H409" s="6">
        <f t="shared" ca="1" si="37"/>
        <v>0.45762035674301471</v>
      </c>
    </row>
    <row r="410" spans="2:8" x14ac:dyDescent="0.25">
      <c r="B410" s="1">
        <f t="shared" si="38"/>
        <v>396</v>
      </c>
      <c r="C410" s="3">
        <f t="shared" si="41"/>
        <v>70</v>
      </c>
      <c r="D410" s="3">
        <f t="shared" si="42"/>
        <v>100</v>
      </c>
      <c r="E410" s="1" t="str">
        <f t="shared" ca="1" si="39"/>
        <v>Call</v>
      </c>
      <c r="F410" s="4">
        <f t="shared" ca="1" si="40"/>
        <v>-70</v>
      </c>
      <c r="G410" s="4">
        <f ca="1">SUM(F$15:F410)</f>
        <v>5090</v>
      </c>
      <c r="H410" s="6">
        <f t="shared" ca="1" si="37"/>
        <v>0.92230873892827281</v>
      </c>
    </row>
    <row r="411" spans="2:8" x14ac:dyDescent="0.25">
      <c r="B411" s="1">
        <f t="shared" si="38"/>
        <v>397</v>
      </c>
      <c r="C411" s="3">
        <f t="shared" si="41"/>
        <v>70</v>
      </c>
      <c r="D411" s="3">
        <f t="shared" si="42"/>
        <v>100</v>
      </c>
      <c r="E411" s="1" t="str">
        <f t="shared" ca="1" si="39"/>
        <v>Call</v>
      </c>
      <c r="F411" s="4">
        <f t="shared" ca="1" si="40"/>
        <v>-70</v>
      </c>
      <c r="G411" s="4">
        <f ca="1">SUM(F$15:F411)</f>
        <v>5020</v>
      </c>
      <c r="H411" s="6">
        <f t="shared" ca="1" si="37"/>
        <v>0.84579365516445493</v>
      </c>
    </row>
    <row r="412" spans="2:8" x14ac:dyDescent="0.25">
      <c r="B412" s="1">
        <f t="shared" si="38"/>
        <v>398</v>
      </c>
      <c r="C412" s="3">
        <f t="shared" si="41"/>
        <v>70</v>
      </c>
      <c r="D412" s="3">
        <f t="shared" si="42"/>
        <v>100</v>
      </c>
      <c r="E412" s="1" t="str">
        <f t="shared" ca="1" si="39"/>
        <v>Call</v>
      </c>
      <c r="F412" s="4">
        <f t="shared" ca="1" si="40"/>
        <v>-70</v>
      </c>
      <c r="G412" s="4">
        <f ca="1">SUM(F$15:F412)</f>
        <v>4950</v>
      </c>
      <c r="H412" s="6">
        <f t="shared" ca="1" si="37"/>
        <v>0.77274393074501002</v>
      </c>
    </row>
    <row r="413" spans="2:8" x14ac:dyDescent="0.25">
      <c r="B413" s="1">
        <f t="shared" si="38"/>
        <v>399</v>
      </c>
      <c r="C413" s="3">
        <f t="shared" si="41"/>
        <v>70</v>
      </c>
      <c r="D413" s="3">
        <f t="shared" si="42"/>
        <v>100</v>
      </c>
      <c r="E413" s="1" t="str">
        <f t="shared" ca="1" si="39"/>
        <v>Fold</v>
      </c>
      <c r="F413" s="4">
        <f t="shared" ca="1" si="40"/>
        <v>100</v>
      </c>
      <c r="G413" s="4">
        <f ca="1">SUM(F$15:F413)</f>
        <v>5050</v>
      </c>
      <c r="H413" s="6">
        <f t="shared" ca="1" si="37"/>
        <v>0.33600805318049254</v>
      </c>
    </row>
    <row r="414" spans="2:8" x14ac:dyDescent="0.25">
      <c r="B414" s="1">
        <f t="shared" si="38"/>
        <v>400</v>
      </c>
      <c r="C414" s="3">
        <f t="shared" si="41"/>
        <v>70</v>
      </c>
      <c r="D414" s="3">
        <f t="shared" si="42"/>
        <v>100</v>
      </c>
      <c r="E414" s="1" t="str">
        <f t="shared" ca="1" si="39"/>
        <v>Fold</v>
      </c>
      <c r="F414" s="4">
        <f t="shared" ca="1" si="40"/>
        <v>100</v>
      </c>
      <c r="G414" s="4">
        <f ca="1">SUM(F$15:F414)</f>
        <v>5150</v>
      </c>
      <c r="H414" s="6">
        <f t="shared" ref="H414:H477" ca="1" si="43">RAND()</f>
        <v>0.38795063603750635</v>
      </c>
    </row>
    <row r="415" spans="2:8" x14ac:dyDescent="0.25">
      <c r="B415" s="1">
        <f t="shared" si="38"/>
        <v>401</v>
      </c>
      <c r="C415" s="3">
        <f t="shared" si="41"/>
        <v>70</v>
      </c>
      <c r="D415" s="3">
        <f t="shared" si="42"/>
        <v>100</v>
      </c>
      <c r="E415" s="1" t="str">
        <f t="shared" ca="1" si="39"/>
        <v>Call</v>
      </c>
      <c r="F415" s="4">
        <f t="shared" ca="1" si="40"/>
        <v>-70</v>
      </c>
      <c r="G415" s="4">
        <f ca="1">SUM(F$15:F415)</f>
        <v>5080</v>
      </c>
      <c r="H415" s="6">
        <f t="shared" ca="1" si="43"/>
        <v>0.69234813792895966</v>
      </c>
    </row>
    <row r="416" spans="2:8" x14ac:dyDescent="0.25">
      <c r="B416" s="1">
        <f t="shared" si="38"/>
        <v>402</v>
      </c>
      <c r="C416" s="3">
        <f t="shared" si="41"/>
        <v>70</v>
      </c>
      <c r="D416" s="3">
        <f t="shared" si="42"/>
        <v>100</v>
      </c>
      <c r="E416" s="1" t="str">
        <f t="shared" ca="1" si="39"/>
        <v>Fold</v>
      </c>
      <c r="F416" s="4">
        <f t="shared" ca="1" si="40"/>
        <v>100</v>
      </c>
      <c r="G416" s="4">
        <f ca="1">SUM(F$15:F416)</f>
        <v>5180</v>
      </c>
      <c r="H416" s="6">
        <f t="shared" ca="1" si="43"/>
        <v>0.41431642931673185</v>
      </c>
    </row>
    <row r="417" spans="2:8" x14ac:dyDescent="0.25">
      <c r="B417" s="1">
        <f t="shared" si="38"/>
        <v>403</v>
      </c>
      <c r="C417" s="3">
        <f t="shared" si="41"/>
        <v>70</v>
      </c>
      <c r="D417" s="3">
        <f t="shared" si="42"/>
        <v>100</v>
      </c>
      <c r="E417" s="1" t="str">
        <f t="shared" ca="1" si="39"/>
        <v>Fold</v>
      </c>
      <c r="F417" s="4">
        <f t="shared" ca="1" si="40"/>
        <v>100</v>
      </c>
      <c r="G417" s="4">
        <f ca="1">SUM(F$15:F417)</f>
        <v>5280</v>
      </c>
      <c r="H417" s="6">
        <f t="shared" ca="1" si="43"/>
        <v>0.12780467214225821</v>
      </c>
    </row>
    <row r="418" spans="2:8" x14ac:dyDescent="0.25">
      <c r="B418" s="1">
        <f t="shared" si="38"/>
        <v>404</v>
      </c>
      <c r="C418" s="3">
        <f t="shared" si="41"/>
        <v>70</v>
      </c>
      <c r="D418" s="3">
        <f t="shared" si="42"/>
        <v>100</v>
      </c>
      <c r="E418" s="1" t="str">
        <f t="shared" ca="1" si="39"/>
        <v>Call</v>
      </c>
      <c r="F418" s="4">
        <f t="shared" ca="1" si="40"/>
        <v>-70</v>
      </c>
      <c r="G418" s="4">
        <f ca="1">SUM(F$15:F418)</f>
        <v>5210</v>
      </c>
      <c r="H418" s="6">
        <f t="shared" ca="1" si="43"/>
        <v>0.8673421386414687</v>
      </c>
    </row>
    <row r="419" spans="2:8" x14ac:dyDescent="0.25">
      <c r="B419" s="1">
        <f t="shared" si="38"/>
        <v>405</v>
      </c>
      <c r="C419" s="3">
        <f t="shared" si="41"/>
        <v>70</v>
      </c>
      <c r="D419" s="3">
        <f t="shared" si="42"/>
        <v>100</v>
      </c>
      <c r="E419" s="1" t="str">
        <f t="shared" ca="1" si="39"/>
        <v>Call</v>
      </c>
      <c r="F419" s="4">
        <f t="shared" ca="1" si="40"/>
        <v>-70</v>
      </c>
      <c r="G419" s="4">
        <f ca="1">SUM(F$15:F419)</f>
        <v>5140</v>
      </c>
      <c r="H419" s="6">
        <f t="shared" ca="1" si="43"/>
        <v>0.95661979791179474</v>
      </c>
    </row>
    <row r="420" spans="2:8" x14ac:dyDescent="0.25">
      <c r="B420" s="1">
        <f t="shared" si="38"/>
        <v>406</v>
      </c>
      <c r="C420" s="3">
        <f t="shared" si="41"/>
        <v>70</v>
      </c>
      <c r="D420" s="3">
        <f t="shared" si="42"/>
        <v>100</v>
      </c>
      <c r="E420" s="1" t="str">
        <f t="shared" ca="1" si="39"/>
        <v>Call</v>
      </c>
      <c r="F420" s="4">
        <f t="shared" ca="1" si="40"/>
        <v>-70</v>
      </c>
      <c r="G420" s="4">
        <f ca="1">SUM(F$15:F420)</f>
        <v>5070</v>
      </c>
      <c r="H420" s="6">
        <f t="shared" ca="1" si="43"/>
        <v>0.54986347222646825</v>
      </c>
    </row>
    <row r="421" spans="2:8" x14ac:dyDescent="0.25">
      <c r="B421" s="1">
        <f t="shared" si="38"/>
        <v>407</v>
      </c>
      <c r="C421" s="3">
        <f t="shared" si="41"/>
        <v>70</v>
      </c>
      <c r="D421" s="3">
        <f t="shared" si="42"/>
        <v>100</v>
      </c>
      <c r="E421" s="1" t="str">
        <f t="shared" ca="1" si="39"/>
        <v>Call</v>
      </c>
      <c r="F421" s="4">
        <f t="shared" ca="1" si="40"/>
        <v>-70</v>
      </c>
      <c r="G421" s="4">
        <f ca="1">SUM(F$15:F421)</f>
        <v>5000</v>
      </c>
      <c r="H421" s="6">
        <f t="shared" ca="1" si="43"/>
        <v>0.91694866408252718</v>
      </c>
    </row>
    <row r="422" spans="2:8" x14ac:dyDescent="0.25">
      <c r="B422" s="1">
        <f t="shared" si="38"/>
        <v>408</v>
      </c>
      <c r="C422" s="3">
        <f t="shared" si="41"/>
        <v>70</v>
      </c>
      <c r="D422" s="3">
        <f t="shared" si="42"/>
        <v>100</v>
      </c>
      <c r="E422" s="1" t="str">
        <f t="shared" ca="1" si="39"/>
        <v>Fold</v>
      </c>
      <c r="F422" s="4">
        <f t="shared" ca="1" si="40"/>
        <v>100</v>
      </c>
      <c r="G422" s="4">
        <f ca="1">SUM(F$15:F422)</f>
        <v>5100</v>
      </c>
      <c r="H422" s="6">
        <f t="shared" ca="1" si="43"/>
        <v>0.31860017239243477</v>
      </c>
    </row>
    <row r="423" spans="2:8" x14ac:dyDescent="0.25">
      <c r="B423" s="1">
        <f t="shared" si="38"/>
        <v>409</v>
      </c>
      <c r="C423" s="3">
        <f t="shared" si="41"/>
        <v>70</v>
      </c>
      <c r="D423" s="3">
        <f t="shared" si="42"/>
        <v>100</v>
      </c>
      <c r="E423" s="1" t="str">
        <f t="shared" ca="1" si="39"/>
        <v>Call</v>
      </c>
      <c r="F423" s="4">
        <f t="shared" ca="1" si="40"/>
        <v>-70</v>
      </c>
      <c r="G423" s="4">
        <f ca="1">SUM(F$15:F423)</f>
        <v>5030</v>
      </c>
      <c r="H423" s="6">
        <f t="shared" ca="1" si="43"/>
        <v>0.73816283224229351</v>
      </c>
    </row>
    <row r="424" spans="2:8" x14ac:dyDescent="0.25">
      <c r="B424" s="1">
        <f t="shared" si="38"/>
        <v>410</v>
      </c>
      <c r="C424" s="3">
        <f t="shared" si="41"/>
        <v>70</v>
      </c>
      <c r="D424" s="3">
        <f t="shared" si="42"/>
        <v>100</v>
      </c>
      <c r="E424" s="1" t="str">
        <f t="shared" ca="1" si="39"/>
        <v>Call</v>
      </c>
      <c r="F424" s="4">
        <f t="shared" ca="1" si="40"/>
        <v>-70</v>
      </c>
      <c r="G424" s="4">
        <f ca="1">SUM(F$15:F424)</f>
        <v>4960</v>
      </c>
      <c r="H424" s="6">
        <f t="shared" ca="1" si="43"/>
        <v>0.57426549916742742</v>
      </c>
    </row>
    <row r="425" spans="2:8" x14ac:dyDescent="0.25">
      <c r="B425" s="1">
        <f t="shared" si="38"/>
        <v>411</v>
      </c>
      <c r="C425" s="3">
        <f t="shared" si="41"/>
        <v>70</v>
      </c>
      <c r="D425" s="3">
        <f t="shared" si="42"/>
        <v>100</v>
      </c>
      <c r="E425" s="1" t="str">
        <f t="shared" ca="1" si="39"/>
        <v>Fold</v>
      </c>
      <c r="F425" s="4">
        <f t="shared" ca="1" si="40"/>
        <v>100</v>
      </c>
      <c r="G425" s="4">
        <f ca="1">SUM(F$15:F425)</f>
        <v>5060</v>
      </c>
      <c r="H425" s="6">
        <f t="shared" ca="1" si="43"/>
        <v>0.477169740481166</v>
      </c>
    </row>
    <row r="426" spans="2:8" x14ac:dyDescent="0.25">
      <c r="B426" s="1">
        <f t="shared" si="38"/>
        <v>412</v>
      </c>
      <c r="C426" s="3">
        <f t="shared" si="41"/>
        <v>70</v>
      </c>
      <c r="D426" s="3">
        <f t="shared" si="42"/>
        <v>100</v>
      </c>
      <c r="E426" s="1" t="str">
        <f t="shared" ca="1" si="39"/>
        <v>Fold</v>
      </c>
      <c r="F426" s="4">
        <f t="shared" ca="1" si="40"/>
        <v>100</v>
      </c>
      <c r="G426" s="4">
        <f ca="1">SUM(F$15:F426)</f>
        <v>5160</v>
      </c>
      <c r="H426" s="6">
        <f t="shared" ca="1" si="43"/>
        <v>0.33187313507309857</v>
      </c>
    </row>
    <row r="427" spans="2:8" x14ac:dyDescent="0.25">
      <c r="B427" s="1">
        <f t="shared" si="38"/>
        <v>413</v>
      </c>
      <c r="C427" s="3">
        <f t="shared" si="41"/>
        <v>70</v>
      </c>
      <c r="D427" s="3">
        <f t="shared" si="42"/>
        <v>100</v>
      </c>
      <c r="E427" s="1" t="str">
        <f t="shared" ca="1" si="39"/>
        <v>Call</v>
      </c>
      <c r="F427" s="4">
        <f t="shared" ca="1" si="40"/>
        <v>-70</v>
      </c>
      <c r="G427" s="4">
        <f ca="1">SUM(F$15:F427)</f>
        <v>5090</v>
      </c>
      <c r="H427" s="6">
        <f t="shared" ca="1" si="43"/>
        <v>0.90021655629329012</v>
      </c>
    </row>
    <row r="428" spans="2:8" x14ac:dyDescent="0.25">
      <c r="B428" s="1">
        <f t="shared" si="38"/>
        <v>414</v>
      </c>
      <c r="C428" s="3">
        <f t="shared" si="41"/>
        <v>70</v>
      </c>
      <c r="D428" s="3">
        <f t="shared" si="42"/>
        <v>100</v>
      </c>
      <c r="E428" s="1" t="str">
        <f t="shared" ca="1" si="39"/>
        <v>Fold</v>
      </c>
      <c r="F428" s="4">
        <f t="shared" ca="1" si="40"/>
        <v>100</v>
      </c>
      <c r="G428" s="4">
        <f ca="1">SUM(F$15:F428)</f>
        <v>5190</v>
      </c>
      <c r="H428" s="6">
        <f t="shared" ca="1" si="43"/>
        <v>0.45465683766862808</v>
      </c>
    </row>
    <row r="429" spans="2:8" x14ac:dyDescent="0.25">
      <c r="B429" s="1">
        <f t="shared" si="38"/>
        <v>415</v>
      </c>
      <c r="C429" s="3">
        <f t="shared" si="41"/>
        <v>70</v>
      </c>
      <c r="D429" s="3">
        <f t="shared" si="42"/>
        <v>100</v>
      </c>
      <c r="E429" s="1" t="str">
        <f t="shared" ca="1" si="39"/>
        <v>Fold</v>
      </c>
      <c r="F429" s="4">
        <f t="shared" ca="1" si="40"/>
        <v>100</v>
      </c>
      <c r="G429" s="4">
        <f ca="1">SUM(F$15:F429)</f>
        <v>5290</v>
      </c>
      <c r="H429" s="6">
        <f t="shared" ca="1" si="43"/>
        <v>0.44416922692774363</v>
      </c>
    </row>
    <row r="430" spans="2:8" x14ac:dyDescent="0.25">
      <c r="B430" s="1">
        <f t="shared" si="38"/>
        <v>416</v>
      </c>
      <c r="C430" s="3">
        <f t="shared" si="41"/>
        <v>70</v>
      </c>
      <c r="D430" s="3">
        <f t="shared" si="42"/>
        <v>100</v>
      </c>
      <c r="E430" s="1" t="str">
        <f t="shared" ca="1" si="39"/>
        <v>Fold</v>
      </c>
      <c r="F430" s="4">
        <f t="shared" ca="1" si="40"/>
        <v>100</v>
      </c>
      <c r="G430" s="4">
        <f ca="1">SUM(F$15:F430)</f>
        <v>5390</v>
      </c>
      <c r="H430" s="6">
        <f t="shared" ca="1" si="43"/>
        <v>0.34213575843227417</v>
      </c>
    </row>
    <row r="431" spans="2:8" x14ac:dyDescent="0.25">
      <c r="B431" s="1">
        <f t="shared" si="38"/>
        <v>417</v>
      </c>
      <c r="C431" s="3">
        <f t="shared" si="41"/>
        <v>70</v>
      </c>
      <c r="D431" s="3">
        <f t="shared" si="42"/>
        <v>100</v>
      </c>
      <c r="E431" s="1" t="str">
        <f t="shared" ca="1" si="39"/>
        <v>Fold</v>
      </c>
      <c r="F431" s="4">
        <f t="shared" ca="1" si="40"/>
        <v>100</v>
      </c>
      <c r="G431" s="4">
        <f ca="1">SUM(F$15:F431)</f>
        <v>5490</v>
      </c>
      <c r="H431" s="6">
        <f t="shared" ca="1" si="43"/>
        <v>0.33118574370647091</v>
      </c>
    </row>
    <row r="432" spans="2:8" x14ac:dyDescent="0.25">
      <c r="B432" s="1">
        <f t="shared" si="38"/>
        <v>418</v>
      </c>
      <c r="C432" s="3">
        <f t="shared" si="41"/>
        <v>70</v>
      </c>
      <c r="D432" s="3">
        <f t="shared" si="42"/>
        <v>100</v>
      </c>
      <c r="E432" s="1" t="str">
        <f t="shared" ca="1" si="39"/>
        <v>Call</v>
      </c>
      <c r="F432" s="4">
        <f t="shared" ca="1" si="40"/>
        <v>-70</v>
      </c>
      <c r="G432" s="4">
        <f ca="1">SUM(F$15:F432)</f>
        <v>5420</v>
      </c>
      <c r="H432" s="6">
        <f t="shared" ca="1" si="43"/>
        <v>0.94333238868601366</v>
      </c>
    </row>
    <row r="433" spans="2:8" x14ac:dyDescent="0.25">
      <c r="B433" s="1">
        <f t="shared" si="38"/>
        <v>419</v>
      </c>
      <c r="C433" s="3">
        <f t="shared" si="41"/>
        <v>70</v>
      </c>
      <c r="D433" s="3">
        <f t="shared" si="42"/>
        <v>100</v>
      </c>
      <c r="E433" s="1" t="str">
        <f t="shared" ca="1" si="39"/>
        <v>Fold</v>
      </c>
      <c r="F433" s="4">
        <f t="shared" ca="1" si="40"/>
        <v>100</v>
      </c>
      <c r="G433" s="4">
        <f ca="1">SUM(F$15:F433)</f>
        <v>5520</v>
      </c>
      <c r="H433" s="6">
        <f t="shared" ca="1" si="43"/>
        <v>3.4540180617812166E-2</v>
      </c>
    </row>
    <row r="434" spans="2:8" x14ac:dyDescent="0.25">
      <c r="B434" s="1">
        <f t="shared" si="38"/>
        <v>420</v>
      </c>
      <c r="C434" s="3">
        <f t="shared" si="41"/>
        <v>70</v>
      </c>
      <c r="D434" s="3">
        <f t="shared" si="42"/>
        <v>100</v>
      </c>
      <c r="E434" s="1" t="str">
        <f t="shared" ca="1" si="39"/>
        <v>Fold</v>
      </c>
      <c r="F434" s="4">
        <f t="shared" ca="1" si="40"/>
        <v>100</v>
      </c>
      <c r="G434" s="4">
        <f ca="1">SUM(F$15:F434)</f>
        <v>5620</v>
      </c>
      <c r="H434" s="6">
        <f t="shared" ca="1" si="43"/>
        <v>0.22385214582727708</v>
      </c>
    </row>
    <row r="435" spans="2:8" x14ac:dyDescent="0.25">
      <c r="B435" s="1">
        <f t="shared" si="38"/>
        <v>421</v>
      </c>
      <c r="C435" s="3">
        <f t="shared" si="41"/>
        <v>70</v>
      </c>
      <c r="D435" s="3">
        <f t="shared" si="42"/>
        <v>100</v>
      </c>
      <c r="E435" s="1" t="str">
        <f t="shared" ca="1" si="39"/>
        <v>Call</v>
      </c>
      <c r="F435" s="4">
        <f t="shared" ca="1" si="40"/>
        <v>-70</v>
      </c>
      <c r="G435" s="4">
        <f ca="1">SUM(F$15:F435)</f>
        <v>5550</v>
      </c>
      <c r="H435" s="6">
        <f t="shared" ca="1" si="43"/>
        <v>0.66829037767580057</v>
      </c>
    </row>
    <row r="436" spans="2:8" x14ac:dyDescent="0.25">
      <c r="B436" s="1">
        <f t="shared" si="38"/>
        <v>422</v>
      </c>
      <c r="C436" s="3">
        <f t="shared" si="41"/>
        <v>70</v>
      </c>
      <c r="D436" s="3">
        <f t="shared" si="42"/>
        <v>100</v>
      </c>
      <c r="E436" s="1" t="str">
        <f t="shared" ca="1" si="39"/>
        <v>Call</v>
      </c>
      <c r="F436" s="4">
        <f t="shared" ca="1" si="40"/>
        <v>-70</v>
      </c>
      <c r="G436" s="4">
        <f ca="1">SUM(F$15:F436)</f>
        <v>5480</v>
      </c>
      <c r="H436" s="6">
        <f t="shared" ca="1" si="43"/>
        <v>0.8453080548516676</v>
      </c>
    </row>
    <row r="437" spans="2:8" x14ac:dyDescent="0.25">
      <c r="B437" s="1">
        <f t="shared" si="38"/>
        <v>423</v>
      </c>
      <c r="C437" s="3">
        <f t="shared" si="41"/>
        <v>70</v>
      </c>
      <c r="D437" s="3">
        <f t="shared" si="42"/>
        <v>100</v>
      </c>
      <c r="E437" s="1" t="str">
        <f t="shared" ca="1" si="39"/>
        <v>Call</v>
      </c>
      <c r="F437" s="4">
        <f t="shared" ca="1" si="40"/>
        <v>-70</v>
      </c>
      <c r="G437" s="4">
        <f ca="1">SUM(F$15:F437)</f>
        <v>5410</v>
      </c>
      <c r="H437" s="6">
        <f t="shared" ca="1" si="43"/>
        <v>0.94045432008603436</v>
      </c>
    </row>
    <row r="438" spans="2:8" x14ac:dyDescent="0.25">
      <c r="B438" s="1">
        <f t="shared" si="38"/>
        <v>424</v>
      </c>
      <c r="C438" s="3">
        <f t="shared" si="41"/>
        <v>70</v>
      </c>
      <c r="D438" s="3">
        <f t="shared" si="42"/>
        <v>100</v>
      </c>
      <c r="E438" s="1" t="str">
        <f t="shared" ca="1" si="39"/>
        <v>Fold</v>
      </c>
      <c r="F438" s="4">
        <f t="shared" ca="1" si="40"/>
        <v>100</v>
      </c>
      <c r="G438" s="4">
        <f ca="1">SUM(F$15:F438)</f>
        <v>5510</v>
      </c>
      <c r="H438" s="6">
        <f t="shared" ca="1" si="43"/>
        <v>0.39171513357528576</v>
      </c>
    </row>
    <row r="439" spans="2:8" x14ac:dyDescent="0.25">
      <c r="B439" s="1">
        <f t="shared" si="38"/>
        <v>425</v>
      </c>
      <c r="C439" s="3">
        <f t="shared" si="41"/>
        <v>70</v>
      </c>
      <c r="D439" s="3">
        <f t="shared" si="42"/>
        <v>100</v>
      </c>
      <c r="E439" s="1" t="str">
        <f t="shared" ca="1" si="39"/>
        <v>Call</v>
      </c>
      <c r="F439" s="4">
        <f t="shared" ca="1" si="40"/>
        <v>-70</v>
      </c>
      <c r="G439" s="4">
        <f ca="1">SUM(F$15:F439)</f>
        <v>5440</v>
      </c>
      <c r="H439" s="6">
        <f t="shared" ca="1" si="43"/>
        <v>0.79673073954098561</v>
      </c>
    </row>
    <row r="440" spans="2:8" x14ac:dyDescent="0.25">
      <c r="B440" s="1">
        <f t="shared" si="38"/>
        <v>426</v>
      </c>
      <c r="C440" s="3">
        <f t="shared" si="41"/>
        <v>70</v>
      </c>
      <c r="D440" s="3">
        <f t="shared" si="42"/>
        <v>100</v>
      </c>
      <c r="E440" s="1" t="str">
        <f t="shared" ca="1" si="39"/>
        <v>Call</v>
      </c>
      <c r="F440" s="4">
        <f t="shared" ca="1" si="40"/>
        <v>-70</v>
      </c>
      <c r="G440" s="4">
        <f ca="1">SUM(F$15:F440)</f>
        <v>5370</v>
      </c>
      <c r="H440" s="6">
        <f t="shared" ca="1" si="43"/>
        <v>0.57459554347706177</v>
      </c>
    </row>
    <row r="441" spans="2:8" x14ac:dyDescent="0.25">
      <c r="B441" s="1">
        <f t="shared" si="38"/>
        <v>427</v>
      </c>
      <c r="C441" s="3">
        <f t="shared" si="41"/>
        <v>70</v>
      </c>
      <c r="D441" s="3">
        <f t="shared" si="42"/>
        <v>100</v>
      </c>
      <c r="E441" s="1" t="str">
        <f t="shared" ca="1" si="39"/>
        <v>Fold</v>
      </c>
      <c r="F441" s="4">
        <f t="shared" ca="1" si="40"/>
        <v>100</v>
      </c>
      <c r="G441" s="4">
        <f ca="1">SUM(F$15:F441)</f>
        <v>5470</v>
      </c>
      <c r="H441" s="6">
        <f t="shared" ca="1" si="43"/>
        <v>0.25421966438793553</v>
      </c>
    </row>
    <row r="442" spans="2:8" x14ac:dyDescent="0.25">
      <c r="B442" s="1">
        <f t="shared" si="38"/>
        <v>428</v>
      </c>
      <c r="C442" s="3">
        <f t="shared" si="41"/>
        <v>70</v>
      </c>
      <c r="D442" s="3">
        <f t="shared" si="42"/>
        <v>100</v>
      </c>
      <c r="E442" s="1" t="str">
        <f t="shared" ca="1" si="39"/>
        <v>Call</v>
      </c>
      <c r="F442" s="4">
        <f t="shared" ca="1" si="40"/>
        <v>-70</v>
      </c>
      <c r="G442" s="4">
        <f ca="1">SUM(F$15:F442)</f>
        <v>5400</v>
      </c>
      <c r="H442" s="6">
        <f t="shared" ca="1" si="43"/>
        <v>0.81423847140436889</v>
      </c>
    </row>
    <row r="443" spans="2:8" x14ac:dyDescent="0.25">
      <c r="B443" s="1">
        <f t="shared" si="38"/>
        <v>429</v>
      </c>
      <c r="C443" s="3">
        <f t="shared" si="41"/>
        <v>70</v>
      </c>
      <c r="D443" s="3">
        <f t="shared" si="42"/>
        <v>100</v>
      </c>
      <c r="E443" s="1" t="str">
        <f t="shared" ca="1" si="39"/>
        <v>Call</v>
      </c>
      <c r="F443" s="4">
        <f t="shared" ca="1" si="40"/>
        <v>-70</v>
      </c>
      <c r="G443" s="4">
        <f ca="1">SUM(F$15:F443)</f>
        <v>5330</v>
      </c>
      <c r="H443" s="6">
        <f t="shared" ca="1" si="43"/>
        <v>0.7335850818649674</v>
      </c>
    </row>
    <row r="444" spans="2:8" x14ac:dyDescent="0.25">
      <c r="B444" s="1">
        <f t="shared" si="38"/>
        <v>430</v>
      </c>
      <c r="C444" s="3">
        <f t="shared" si="41"/>
        <v>70</v>
      </c>
      <c r="D444" s="3">
        <f t="shared" si="42"/>
        <v>100</v>
      </c>
      <c r="E444" s="1" t="str">
        <f t="shared" ca="1" si="39"/>
        <v>Call</v>
      </c>
      <c r="F444" s="4">
        <f t="shared" ca="1" si="40"/>
        <v>-70</v>
      </c>
      <c r="G444" s="4">
        <f ca="1">SUM(F$15:F444)</f>
        <v>5260</v>
      </c>
      <c r="H444" s="6">
        <f t="shared" ca="1" si="43"/>
        <v>0.89590553926303895</v>
      </c>
    </row>
    <row r="445" spans="2:8" x14ac:dyDescent="0.25">
      <c r="B445" s="1">
        <f t="shared" si="38"/>
        <v>431</v>
      </c>
      <c r="C445" s="3">
        <f t="shared" si="41"/>
        <v>70</v>
      </c>
      <c r="D445" s="3">
        <f t="shared" si="42"/>
        <v>100</v>
      </c>
      <c r="E445" s="1" t="str">
        <f t="shared" ca="1" si="39"/>
        <v>Call</v>
      </c>
      <c r="F445" s="4">
        <f t="shared" ca="1" si="40"/>
        <v>-70</v>
      </c>
      <c r="G445" s="4">
        <f ca="1">SUM(F$15:F445)</f>
        <v>5190</v>
      </c>
      <c r="H445" s="6">
        <f t="shared" ca="1" si="43"/>
        <v>0.82601947310817925</v>
      </c>
    </row>
    <row r="446" spans="2:8" x14ac:dyDescent="0.25">
      <c r="B446" s="1">
        <f t="shared" si="38"/>
        <v>432</v>
      </c>
      <c r="C446" s="3">
        <f t="shared" si="41"/>
        <v>70</v>
      </c>
      <c r="D446" s="3">
        <f t="shared" si="42"/>
        <v>100</v>
      </c>
      <c r="E446" s="1" t="str">
        <f t="shared" ca="1" si="39"/>
        <v>Call</v>
      </c>
      <c r="F446" s="4">
        <f t="shared" ca="1" si="40"/>
        <v>-70</v>
      </c>
      <c r="G446" s="4">
        <f ca="1">SUM(F$15:F446)</f>
        <v>5120</v>
      </c>
      <c r="H446" s="6">
        <f t="shared" ca="1" si="43"/>
        <v>0.72658081707100131</v>
      </c>
    </row>
    <row r="447" spans="2:8" x14ac:dyDescent="0.25">
      <c r="B447" s="1">
        <f t="shared" ref="B447:B476" si="44">B446+1</f>
        <v>433</v>
      </c>
      <c r="C447" s="3">
        <f t="shared" si="41"/>
        <v>70</v>
      </c>
      <c r="D447" s="3">
        <f t="shared" si="42"/>
        <v>100</v>
      </c>
      <c r="E447" s="1" t="str">
        <f t="shared" ca="1" si="39"/>
        <v>Call</v>
      </c>
      <c r="F447" s="4">
        <f t="shared" ca="1" si="40"/>
        <v>-70</v>
      </c>
      <c r="G447" s="4">
        <f ca="1">SUM(F$15:F447)</f>
        <v>5050</v>
      </c>
      <c r="H447" s="6">
        <f t="shared" ca="1" si="43"/>
        <v>0.92429957777833527</v>
      </c>
    </row>
    <row r="448" spans="2:8" x14ac:dyDescent="0.25">
      <c r="B448" s="1">
        <f t="shared" si="44"/>
        <v>434</v>
      </c>
      <c r="C448" s="3">
        <f t="shared" si="41"/>
        <v>70</v>
      </c>
      <c r="D448" s="3">
        <f t="shared" si="42"/>
        <v>100</v>
      </c>
      <c r="E448" s="1" t="str">
        <f t="shared" ca="1" si="39"/>
        <v>Call</v>
      </c>
      <c r="F448" s="4">
        <f t="shared" ca="1" si="40"/>
        <v>-70</v>
      </c>
      <c r="G448" s="4">
        <f ca="1">SUM(F$15:F448)</f>
        <v>4980</v>
      </c>
      <c r="H448" s="6">
        <f t="shared" ca="1" si="43"/>
        <v>0.66591673390683848</v>
      </c>
    </row>
    <row r="449" spans="2:8" x14ac:dyDescent="0.25">
      <c r="B449" s="1">
        <f t="shared" si="44"/>
        <v>435</v>
      </c>
      <c r="C449" s="3">
        <f t="shared" si="41"/>
        <v>70</v>
      </c>
      <c r="D449" s="3">
        <f t="shared" si="42"/>
        <v>100</v>
      </c>
      <c r="E449" s="1" t="str">
        <f t="shared" ca="1" si="39"/>
        <v>Fold</v>
      </c>
      <c r="F449" s="4">
        <f t="shared" ca="1" si="40"/>
        <v>100</v>
      </c>
      <c r="G449" s="4">
        <f ca="1">SUM(F$15:F449)</f>
        <v>5080</v>
      </c>
      <c r="H449" s="6">
        <f t="shared" ca="1" si="43"/>
        <v>0.32870076220635902</v>
      </c>
    </row>
    <row r="450" spans="2:8" x14ac:dyDescent="0.25">
      <c r="B450" s="1">
        <f t="shared" si="44"/>
        <v>436</v>
      </c>
      <c r="C450" s="3">
        <f t="shared" si="41"/>
        <v>70</v>
      </c>
      <c r="D450" s="3">
        <f t="shared" si="42"/>
        <v>100</v>
      </c>
      <c r="E450" s="1" t="str">
        <f t="shared" ca="1" si="39"/>
        <v>Call</v>
      </c>
      <c r="F450" s="4">
        <f t="shared" ca="1" si="40"/>
        <v>-70</v>
      </c>
      <c r="G450" s="4">
        <f ca="1">SUM(F$15:F450)</f>
        <v>5010</v>
      </c>
      <c r="H450" s="6">
        <f t="shared" ca="1" si="43"/>
        <v>0.81608566802718063</v>
      </c>
    </row>
    <row r="451" spans="2:8" x14ac:dyDescent="0.25">
      <c r="B451" s="1">
        <f t="shared" si="44"/>
        <v>437</v>
      </c>
      <c r="C451" s="3">
        <f t="shared" si="41"/>
        <v>70</v>
      </c>
      <c r="D451" s="3">
        <f t="shared" si="42"/>
        <v>100</v>
      </c>
      <c r="E451" s="1" t="str">
        <f t="shared" ca="1" si="39"/>
        <v>Call</v>
      </c>
      <c r="F451" s="4">
        <f t="shared" ca="1" si="40"/>
        <v>-70</v>
      </c>
      <c r="G451" s="4">
        <f ca="1">SUM(F$15:F451)</f>
        <v>4940</v>
      </c>
      <c r="H451" s="6">
        <f t="shared" ca="1" si="43"/>
        <v>0.55550284443480069</v>
      </c>
    </row>
    <row r="452" spans="2:8" x14ac:dyDescent="0.25">
      <c r="B452" s="1">
        <f t="shared" si="44"/>
        <v>438</v>
      </c>
      <c r="C452" s="3">
        <f t="shared" si="41"/>
        <v>70</v>
      </c>
      <c r="D452" s="3">
        <f t="shared" si="42"/>
        <v>100</v>
      </c>
      <c r="E452" s="1" t="str">
        <f t="shared" ca="1" si="39"/>
        <v>Call</v>
      </c>
      <c r="F452" s="4">
        <f t="shared" ca="1" si="40"/>
        <v>-70</v>
      </c>
      <c r="G452" s="4">
        <f ca="1">SUM(F$15:F452)</f>
        <v>4870</v>
      </c>
      <c r="H452" s="6">
        <f t="shared" ca="1" si="43"/>
        <v>0.72784321467870672</v>
      </c>
    </row>
    <row r="453" spans="2:8" x14ac:dyDescent="0.25">
      <c r="B453" s="1">
        <f t="shared" si="44"/>
        <v>439</v>
      </c>
      <c r="C453" s="3">
        <f t="shared" si="41"/>
        <v>70</v>
      </c>
      <c r="D453" s="3">
        <f t="shared" si="42"/>
        <v>100</v>
      </c>
      <c r="E453" s="1" t="str">
        <f t="shared" ca="1" si="39"/>
        <v>Call</v>
      </c>
      <c r="F453" s="4">
        <f t="shared" ca="1" si="40"/>
        <v>-70</v>
      </c>
      <c r="G453" s="4">
        <f ca="1">SUM(F$15:F453)</f>
        <v>4800</v>
      </c>
      <c r="H453" s="6">
        <f t="shared" ca="1" si="43"/>
        <v>0.83920653520115285</v>
      </c>
    </row>
    <row r="454" spans="2:8" x14ac:dyDescent="0.25">
      <c r="B454" s="1">
        <f t="shared" si="44"/>
        <v>440</v>
      </c>
      <c r="C454" s="3">
        <f t="shared" si="41"/>
        <v>70</v>
      </c>
      <c r="D454" s="3">
        <f t="shared" si="42"/>
        <v>100</v>
      </c>
      <c r="E454" s="1" t="str">
        <f t="shared" ca="1" si="39"/>
        <v>Call</v>
      </c>
      <c r="F454" s="4">
        <f t="shared" ca="1" si="40"/>
        <v>-70</v>
      </c>
      <c r="G454" s="4">
        <f ca="1">SUM(F$15:F454)</f>
        <v>4730</v>
      </c>
      <c r="H454" s="6">
        <f t="shared" ca="1" si="43"/>
        <v>0.66474584188098396</v>
      </c>
    </row>
    <row r="455" spans="2:8" x14ac:dyDescent="0.25">
      <c r="B455" s="1">
        <f t="shared" si="44"/>
        <v>441</v>
      </c>
      <c r="C455" s="3">
        <f t="shared" si="41"/>
        <v>70</v>
      </c>
      <c r="D455" s="3">
        <f t="shared" si="42"/>
        <v>100</v>
      </c>
      <c r="E455" s="1" t="str">
        <f t="shared" ca="1" si="39"/>
        <v>Fold</v>
      </c>
      <c r="F455" s="4">
        <f t="shared" ca="1" si="40"/>
        <v>100</v>
      </c>
      <c r="G455" s="4">
        <f ca="1">SUM(F$15:F455)</f>
        <v>4830</v>
      </c>
      <c r="H455" s="6">
        <f t="shared" ca="1" si="43"/>
        <v>0.16279242074839428</v>
      </c>
    </row>
    <row r="456" spans="2:8" x14ac:dyDescent="0.25">
      <c r="B456" s="1">
        <f t="shared" si="44"/>
        <v>442</v>
      </c>
      <c r="C456" s="3">
        <f t="shared" si="41"/>
        <v>70</v>
      </c>
      <c r="D456" s="3">
        <f t="shared" si="42"/>
        <v>100</v>
      </c>
      <c r="E456" s="1" t="str">
        <f t="shared" ca="1" si="39"/>
        <v>Fold</v>
      </c>
      <c r="F456" s="4">
        <f t="shared" ca="1" si="40"/>
        <v>100</v>
      </c>
      <c r="G456" s="4">
        <f ca="1">SUM(F$15:F456)</f>
        <v>4930</v>
      </c>
      <c r="H456" s="6">
        <f t="shared" ca="1" si="43"/>
        <v>0.41931633282762115</v>
      </c>
    </row>
    <row r="457" spans="2:8" x14ac:dyDescent="0.25">
      <c r="B457" s="1">
        <f t="shared" si="44"/>
        <v>443</v>
      </c>
      <c r="C457" s="3">
        <f t="shared" si="41"/>
        <v>70</v>
      </c>
      <c r="D457" s="3">
        <f t="shared" si="42"/>
        <v>100</v>
      </c>
      <c r="E457" s="1" t="str">
        <f t="shared" ca="1" si="39"/>
        <v>Fold</v>
      </c>
      <c r="F457" s="4">
        <f t="shared" ca="1" si="40"/>
        <v>100</v>
      </c>
      <c r="G457" s="4">
        <f ca="1">SUM(F$15:F457)</f>
        <v>5030</v>
      </c>
      <c r="H457" s="6">
        <f t="shared" ca="1" si="43"/>
        <v>9.2048677090317055E-2</v>
      </c>
    </row>
    <row r="458" spans="2:8" x14ac:dyDescent="0.25">
      <c r="B458" s="1">
        <f t="shared" si="44"/>
        <v>444</v>
      </c>
      <c r="C458" s="3">
        <f t="shared" si="41"/>
        <v>70</v>
      </c>
      <c r="D458" s="3">
        <f t="shared" si="42"/>
        <v>100</v>
      </c>
      <c r="E458" s="1" t="str">
        <f t="shared" ca="1" si="39"/>
        <v>Call</v>
      </c>
      <c r="F458" s="4">
        <f t="shared" ca="1" si="40"/>
        <v>-70</v>
      </c>
      <c r="G458" s="4">
        <f ca="1">SUM(F$15:F458)</f>
        <v>4960</v>
      </c>
      <c r="H458" s="6">
        <f t="shared" ca="1" si="43"/>
        <v>0.57883696987399991</v>
      </c>
    </row>
    <row r="459" spans="2:8" x14ac:dyDescent="0.25">
      <c r="B459" s="1">
        <f t="shared" si="44"/>
        <v>445</v>
      </c>
      <c r="C459" s="3">
        <f t="shared" si="41"/>
        <v>70</v>
      </c>
      <c r="D459" s="3">
        <f t="shared" si="42"/>
        <v>100</v>
      </c>
      <c r="E459" s="1" t="str">
        <f t="shared" ca="1" si="39"/>
        <v>Fold</v>
      </c>
      <c r="F459" s="4">
        <f t="shared" ca="1" si="40"/>
        <v>100</v>
      </c>
      <c r="G459" s="4">
        <f ca="1">SUM(F$15:F459)</f>
        <v>5060</v>
      </c>
      <c r="H459" s="6">
        <f t="shared" ca="1" si="43"/>
        <v>0.24071160776603462</v>
      </c>
    </row>
    <row r="460" spans="2:8" x14ac:dyDescent="0.25">
      <c r="B460" s="1">
        <f t="shared" si="44"/>
        <v>446</v>
      </c>
      <c r="C460" s="3">
        <f t="shared" si="41"/>
        <v>70</v>
      </c>
      <c r="D460" s="3">
        <f t="shared" si="42"/>
        <v>100</v>
      </c>
      <c r="E460" s="1" t="str">
        <f t="shared" ca="1" si="39"/>
        <v>Fold</v>
      </c>
      <c r="F460" s="4">
        <f t="shared" ca="1" si="40"/>
        <v>100</v>
      </c>
      <c r="G460" s="4">
        <f ca="1">SUM(F$15:F460)</f>
        <v>5160</v>
      </c>
      <c r="H460" s="6">
        <f t="shared" ca="1" si="43"/>
        <v>0.39580465594446146</v>
      </c>
    </row>
    <row r="461" spans="2:8" x14ac:dyDescent="0.25">
      <c r="B461" s="1">
        <f t="shared" si="44"/>
        <v>447</v>
      </c>
      <c r="C461" s="3">
        <f t="shared" si="41"/>
        <v>70</v>
      </c>
      <c r="D461" s="3">
        <f t="shared" si="42"/>
        <v>100</v>
      </c>
      <c r="E461" s="1" t="str">
        <f t="shared" ca="1" si="39"/>
        <v>Call</v>
      </c>
      <c r="F461" s="4">
        <f t="shared" ca="1" si="40"/>
        <v>-70</v>
      </c>
      <c r="G461" s="4">
        <f ca="1">SUM(F$15:F461)</f>
        <v>5090</v>
      </c>
      <c r="H461" s="6">
        <f t="shared" ca="1" si="43"/>
        <v>0.53596069190340656</v>
      </c>
    </row>
    <row r="462" spans="2:8" x14ac:dyDescent="0.25">
      <c r="B462" s="1">
        <f t="shared" si="44"/>
        <v>448</v>
      </c>
      <c r="C462" s="3">
        <f t="shared" si="41"/>
        <v>70</v>
      </c>
      <c r="D462" s="3">
        <f t="shared" si="42"/>
        <v>100</v>
      </c>
      <c r="E462" s="1" t="str">
        <f t="shared" ca="1" si="39"/>
        <v>Fold</v>
      </c>
      <c r="F462" s="4">
        <f t="shared" ca="1" si="40"/>
        <v>100</v>
      </c>
      <c r="G462" s="4">
        <f ca="1">SUM(F$15:F462)</f>
        <v>5190</v>
      </c>
      <c r="H462" s="6">
        <f t="shared" ca="1" si="43"/>
        <v>0.49870082481405176</v>
      </c>
    </row>
    <row r="463" spans="2:8" x14ac:dyDescent="0.25">
      <c r="B463" s="1">
        <f t="shared" si="44"/>
        <v>449</v>
      </c>
      <c r="C463" s="3">
        <f t="shared" si="41"/>
        <v>70</v>
      </c>
      <c r="D463" s="3">
        <f t="shared" si="42"/>
        <v>100</v>
      </c>
      <c r="E463" s="1" t="str">
        <f t="shared" ref="E463:E514" ca="1" si="45">IF(H463&lt;$D$3,"Fold","Call")</f>
        <v>Fold</v>
      </c>
      <c r="F463" s="4">
        <f t="shared" ca="1" si="40"/>
        <v>100</v>
      </c>
      <c r="G463" s="4">
        <f ca="1">SUM(F$15:F463)</f>
        <v>5290</v>
      </c>
      <c r="H463" s="6">
        <f t="shared" ca="1" si="43"/>
        <v>9.4548429808346213E-2</v>
      </c>
    </row>
    <row r="464" spans="2:8" x14ac:dyDescent="0.25">
      <c r="B464" s="1">
        <f t="shared" si="44"/>
        <v>450</v>
      </c>
      <c r="C464" s="3">
        <f t="shared" si="41"/>
        <v>70</v>
      </c>
      <c r="D464" s="3">
        <f t="shared" si="42"/>
        <v>100</v>
      </c>
      <c r="E464" s="1" t="str">
        <f t="shared" ca="1" si="45"/>
        <v>Call</v>
      </c>
      <c r="F464" s="4">
        <f t="shared" ref="F464:F514" ca="1" si="46">IF(E464="Fold",D464,-C464)</f>
        <v>-70</v>
      </c>
      <c r="G464" s="4">
        <f ca="1">SUM(F$15:F464)</f>
        <v>5220</v>
      </c>
      <c r="H464" s="6">
        <f t="shared" ca="1" si="43"/>
        <v>0.80823747039876925</v>
      </c>
    </row>
    <row r="465" spans="2:8" x14ac:dyDescent="0.25">
      <c r="B465" s="1">
        <f t="shared" si="44"/>
        <v>451</v>
      </c>
      <c r="C465" s="3">
        <f t="shared" ref="C465:C514" si="47">C464</f>
        <v>70</v>
      </c>
      <c r="D465" s="3">
        <f t="shared" ref="D465:D514" si="48">D464</f>
        <v>100</v>
      </c>
      <c r="E465" s="1" t="str">
        <f t="shared" ca="1" si="45"/>
        <v>Call</v>
      </c>
      <c r="F465" s="4">
        <f t="shared" ca="1" si="46"/>
        <v>-70</v>
      </c>
      <c r="G465" s="4">
        <f ca="1">SUM(F$15:F465)</f>
        <v>5150</v>
      </c>
      <c r="H465" s="6">
        <f t="shared" ca="1" si="43"/>
        <v>0.59562286571625334</v>
      </c>
    </row>
    <row r="466" spans="2:8" x14ac:dyDescent="0.25">
      <c r="B466" s="1">
        <f t="shared" si="44"/>
        <v>452</v>
      </c>
      <c r="C466" s="3">
        <f t="shared" si="47"/>
        <v>70</v>
      </c>
      <c r="D466" s="3">
        <f t="shared" si="48"/>
        <v>100</v>
      </c>
      <c r="E466" s="1" t="str">
        <f t="shared" ca="1" si="45"/>
        <v>Fold</v>
      </c>
      <c r="F466" s="4">
        <f t="shared" ca="1" si="46"/>
        <v>100</v>
      </c>
      <c r="G466" s="4">
        <f ca="1">SUM(F$15:F466)</f>
        <v>5250</v>
      </c>
      <c r="H466" s="6">
        <f t="shared" ca="1" si="43"/>
        <v>0.42458726769997512</v>
      </c>
    </row>
    <row r="467" spans="2:8" x14ac:dyDescent="0.25">
      <c r="B467" s="1">
        <f t="shared" si="44"/>
        <v>453</v>
      </c>
      <c r="C467" s="3">
        <f t="shared" si="47"/>
        <v>70</v>
      </c>
      <c r="D467" s="3">
        <f t="shared" si="48"/>
        <v>100</v>
      </c>
      <c r="E467" s="1" t="str">
        <f t="shared" ca="1" si="45"/>
        <v>Fold</v>
      </c>
      <c r="F467" s="4">
        <f t="shared" ca="1" si="46"/>
        <v>100</v>
      </c>
      <c r="G467" s="4">
        <f ca="1">SUM(F$15:F467)</f>
        <v>5350</v>
      </c>
      <c r="H467" s="6">
        <f t="shared" ca="1" si="43"/>
        <v>3.9434952375644539E-2</v>
      </c>
    </row>
    <row r="468" spans="2:8" x14ac:dyDescent="0.25">
      <c r="B468" s="1">
        <f t="shared" si="44"/>
        <v>454</v>
      </c>
      <c r="C468" s="3">
        <f t="shared" si="47"/>
        <v>70</v>
      </c>
      <c r="D468" s="3">
        <f t="shared" si="48"/>
        <v>100</v>
      </c>
      <c r="E468" s="1" t="str">
        <f t="shared" ca="1" si="45"/>
        <v>Call</v>
      </c>
      <c r="F468" s="4">
        <f t="shared" ca="1" si="46"/>
        <v>-70</v>
      </c>
      <c r="G468" s="4">
        <f ca="1">SUM(F$15:F468)</f>
        <v>5280</v>
      </c>
      <c r="H468" s="6">
        <f t="shared" ca="1" si="43"/>
        <v>0.7477925784459053</v>
      </c>
    </row>
    <row r="469" spans="2:8" x14ac:dyDescent="0.25">
      <c r="B469" s="1">
        <f t="shared" si="44"/>
        <v>455</v>
      </c>
      <c r="C469" s="3">
        <f t="shared" si="47"/>
        <v>70</v>
      </c>
      <c r="D469" s="3">
        <f t="shared" si="48"/>
        <v>100</v>
      </c>
      <c r="E469" s="1" t="str">
        <f t="shared" ca="1" si="45"/>
        <v>Fold</v>
      </c>
      <c r="F469" s="4">
        <f t="shared" ca="1" si="46"/>
        <v>100</v>
      </c>
      <c r="G469" s="4">
        <f ca="1">SUM(F$15:F469)</f>
        <v>5380</v>
      </c>
      <c r="H469" s="6">
        <f t="shared" ca="1" si="43"/>
        <v>0.26223460224184825</v>
      </c>
    </row>
    <row r="470" spans="2:8" x14ac:dyDescent="0.25">
      <c r="B470" s="1">
        <f t="shared" si="44"/>
        <v>456</v>
      </c>
      <c r="C470" s="3">
        <f t="shared" si="47"/>
        <v>70</v>
      </c>
      <c r="D470" s="3">
        <f t="shared" si="48"/>
        <v>100</v>
      </c>
      <c r="E470" s="1" t="str">
        <f t="shared" ca="1" si="45"/>
        <v>Call</v>
      </c>
      <c r="F470" s="4">
        <f t="shared" ca="1" si="46"/>
        <v>-70</v>
      </c>
      <c r="G470" s="4">
        <f ca="1">SUM(F$15:F470)</f>
        <v>5310</v>
      </c>
      <c r="H470" s="6">
        <f t="shared" ca="1" si="43"/>
        <v>0.72065438034319562</v>
      </c>
    </row>
    <row r="471" spans="2:8" x14ac:dyDescent="0.25">
      <c r="B471" s="1">
        <f t="shared" si="44"/>
        <v>457</v>
      </c>
      <c r="C471" s="3">
        <f t="shared" si="47"/>
        <v>70</v>
      </c>
      <c r="D471" s="3">
        <f t="shared" si="48"/>
        <v>100</v>
      </c>
      <c r="E471" s="1" t="str">
        <f t="shared" ca="1" si="45"/>
        <v>Fold</v>
      </c>
      <c r="F471" s="4">
        <f t="shared" ca="1" si="46"/>
        <v>100</v>
      </c>
      <c r="G471" s="4">
        <f ca="1">SUM(F$15:F471)</f>
        <v>5410</v>
      </c>
      <c r="H471" s="6">
        <f t="shared" ca="1" si="43"/>
        <v>0.28521279495796992</v>
      </c>
    </row>
    <row r="472" spans="2:8" x14ac:dyDescent="0.25">
      <c r="B472" s="1">
        <f t="shared" si="44"/>
        <v>458</v>
      </c>
      <c r="C472" s="3">
        <f t="shared" si="47"/>
        <v>70</v>
      </c>
      <c r="D472" s="3">
        <f t="shared" si="48"/>
        <v>100</v>
      </c>
      <c r="E472" s="1" t="str">
        <f t="shared" ca="1" si="45"/>
        <v>Call</v>
      </c>
      <c r="F472" s="4">
        <f t="shared" ca="1" si="46"/>
        <v>-70</v>
      </c>
      <c r="G472" s="4">
        <f ca="1">SUM(F$15:F472)</f>
        <v>5340</v>
      </c>
      <c r="H472" s="6">
        <f t="shared" ca="1" si="43"/>
        <v>0.82523385001878269</v>
      </c>
    </row>
    <row r="473" spans="2:8" x14ac:dyDescent="0.25">
      <c r="B473" s="1">
        <f t="shared" si="44"/>
        <v>459</v>
      </c>
      <c r="C473" s="3">
        <f t="shared" si="47"/>
        <v>70</v>
      </c>
      <c r="D473" s="3">
        <f t="shared" si="48"/>
        <v>100</v>
      </c>
      <c r="E473" s="1" t="str">
        <f t="shared" ca="1" si="45"/>
        <v>Fold</v>
      </c>
      <c r="F473" s="4">
        <f t="shared" ca="1" si="46"/>
        <v>100</v>
      </c>
      <c r="G473" s="4">
        <f ca="1">SUM(F$15:F473)</f>
        <v>5440</v>
      </c>
      <c r="H473" s="6">
        <f t="shared" ca="1" si="43"/>
        <v>7.9502057952455796E-2</v>
      </c>
    </row>
    <row r="474" spans="2:8" x14ac:dyDescent="0.25">
      <c r="B474" s="1">
        <f t="shared" si="44"/>
        <v>460</v>
      </c>
      <c r="C474" s="3">
        <f t="shared" si="47"/>
        <v>70</v>
      </c>
      <c r="D474" s="3">
        <f t="shared" si="48"/>
        <v>100</v>
      </c>
      <c r="E474" s="1" t="str">
        <f t="shared" ca="1" si="45"/>
        <v>Call</v>
      </c>
      <c r="F474" s="4">
        <f t="shared" ca="1" si="46"/>
        <v>-70</v>
      </c>
      <c r="G474" s="4">
        <f ca="1">SUM(F$15:F474)</f>
        <v>5370</v>
      </c>
      <c r="H474" s="6">
        <f t="shared" ca="1" si="43"/>
        <v>0.77737373708609203</v>
      </c>
    </row>
    <row r="475" spans="2:8" x14ac:dyDescent="0.25">
      <c r="B475" s="1">
        <f t="shared" si="44"/>
        <v>461</v>
      </c>
      <c r="C475" s="3">
        <f t="shared" si="47"/>
        <v>70</v>
      </c>
      <c r="D475" s="3">
        <f t="shared" si="48"/>
        <v>100</v>
      </c>
      <c r="E475" s="1" t="str">
        <f t="shared" ca="1" si="45"/>
        <v>Fold</v>
      </c>
      <c r="F475" s="4">
        <f t="shared" ca="1" si="46"/>
        <v>100</v>
      </c>
      <c r="G475" s="4">
        <f ca="1">SUM(F$15:F475)</f>
        <v>5470</v>
      </c>
      <c r="H475" s="6">
        <f t="shared" ca="1" si="43"/>
        <v>0.28294974879649504</v>
      </c>
    </row>
    <row r="476" spans="2:8" x14ac:dyDescent="0.25">
      <c r="B476" s="1">
        <f t="shared" si="44"/>
        <v>462</v>
      </c>
      <c r="C476" s="3">
        <f t="shared" si="47"/>
        <v>70</v>
      </c>
      <c r="D476" s="3">
        <f t="shared" si="48"/>
        <v>100</v>
      </c>
      <c r="E476" s="1" t="str">
        <f t="shared" ca="1" si="45"/>
        <v>Call</v>
      </c>
      <c r="F476" s="4">
        <f t="shared" ca="1" si="46"/>
        <v>-70</v>
      </c>
      <c r="G476" s="4">
        <f ca="1">SUM(F$15:F476)</f>
        <v>5400</v>
      </c>
      <c r="H476" s="6">
        <f t="shared" ca="1" si="43"/>
        <v>0.70980631696219709</v>
      </c>
    </row>
    <row r="477" spans="2:8" x14ac:dyDescent="0.25">
      <c r="B477" s="1">
        <f t="shared" ref="B477:B514" si="49">B476+1</f>
        <v>463</v>
      </c>
      <c r="C477" s="3">
        <f t="shared" si="47"/>
        <v>70</v>
      </c>
      <c r="D477" s="3">
        <f t="shared" si="48"/>
        <v>100</v>
      </c>
      <c r="E477" s="1" t="str">
        <f t="shared" ca="1" si="45"/>
        <v>Fold</v>
      </c>
      <c r="F477" s="4">
        <f t="shared" ca="1" si="46"/>
        <v>100</v>
      </c>
      <c r="G477" s="4">
        <f ca="1">SUM(F$15:F477)</f>
        <v>5500</v>
      </c>
      <c r="H477" s="6">
        <f t="shared" ca="1" si="43"/>
        <v>0.42943290276406565</v>
      </c>
    </row>
    <row r="478" spans="2:8" x14ac:dyDescent="0.25">
      <c r="B478" s="1">
        <f t="shared" si="49"/>
        <v>464</v>
      </c>
      <c r="C478" s="3">
        <f t="shared" si="47"/>
        <v>70</v>
      </c>
      <c r="D478" s="3">
        <f t="shared" si="48"/>
        <v>100</v>
      </c>
      <c r="E478" s="1" t="str">
        <f t="shared" ca="1" si="45"/>
        <v>Fold</v>
      </c>
      <c r="F478" s="4">
        <f t="shared" ca="1" si="46"/>
        <v>100</v>
      </c>
      <c r="G478" s="4">
        <f ca="1">SUM(F$15:F478)</f>
        <v>5600</v>
      </c>
      <c r="H478" s="6">
        <f t="shared" ref="H478:H514" ca="1" si="50">RAND()</f>
        <v>0.40151939218067734</v>
      </c>
    </row>
    <row r="479" spans="2:8" x14ac:dyDescent="0.25">
      <c r="B479" s="1">
        <f t="shared" si="49"/>
        <v>465</v>
      </c>
      <c r="C479" s="3">
        <f t="shared" si="47"/>
        <v>70</v>
      </c>
      <c r="D479" s="3">
        <f t="shared" si="48"/>
        <v>100</v>
      </c>
      <c r="E479" s="1" t="str">
        <f t="shared" ca="1" si="45"/>
        <v>Fold</v>
      </c>
      <c r="F479" s="4">
        <f t="shared" ca="1" si="46"/>
        <v>100</v>
      </c>
      <c r="G479" s="4">
        <f ca="1">SUM(F$15:F479)</f>
        <v>5700</v>
      </c>
      <c r="H479" s="6">
        <f t="shared" ca="1" si="50"/>
        <v>0.2515830234670996</v>
      </c>
    </row>
    <row r="480" spans="2:8" x14ac:dyDescent="0.25">
      <c r="B480" s="1">
        <f t="shared" si="49"/>
        <v>466</v>
      </c>
      <c r="C480" s="3">
        <f t="shared" si="47"/>
        <v>70</v>
      </c>
      <c r="D480" s="3">
        <f t="shared" si="48"/>
        <v>100</v>
      </c>
      <c r="E480" s="1" t="str">
        <f t="shared" ca="1" si="45"/>
        <v>Call</v>
      </c>
      <c r="F480" s="4">
        <f t="shared" ca="1" si="46"/>
        <v>-70</v>
      </c>
      <c r="G480" s="4">
        <f ca="1">SUM(F$15:F480)</f>
        <v>5630</v>
      </c>
      <c r="H480" s="6">
        <f t="shared" ca="1" si="50"/>
        <v>0.5561077242657525</v>
      </c>
    </row>
    <row r="481" spans="2:8" x14ac:dyDescent="0.25">
      <c r="B481" s="1">
        <f t="shared" si="49"/>
        <v>467</v>
      </c>
      <c r="C481" s="3">
        <f t="shared" si="47"/>
        <v>70</v>
      </c>
      <c r="D481" s="3">
        <f t="shared" si="48"/>
        <v>100</v>
      </c>
      <c r="E481" s="1" t="str">
        <f t="shared" ca="1" si="45"/>
        <v>Fold</v>
      </c>
      <c r="F481" s="4">
        <f t="shared" ca="1" si="46"/>
        <v>100</v>
      </c>
      <c r="G481" s="4">
        <f ca="1">SUM(F$15:F481)</f>
        <v>5730</v>
      </c>
      <c r="H481" s="6">
        <f t="shared" ca="1" si="50"/>
        <v>0.1513982220353326</v>
      </c>
    </row>
    <row r="482" spans="2:8" x14ac:dyDescent="0.25">
      <c r="B482" s="1">
        <f t="shared" si="49"/>
        <v>468</v>
      </c>
      <c r="C482" s="3">
        <f t="shared" si="47"/>
        <v>70</v>
      </c>
      <c r="D482" s="3">
        <f t="shared" si="48"/>
        <v>100</v>
      </c>
      <c r="E482" s="1" t="str">
        <f t="shared" ca="1" si="45"/>
        <v>Fold</v>
      </c>
      <c r="F482" s="4">
        <f t="shared" ca="1" si="46"/>
        <v>100</v>
      </c>
      <c r="G482" s="4">
        <f ca="1">SUM(F$15:F482)</f>
        <v>5830</v>
      </c>
      <c r="H482" s="6">
        <f t="shared" ca="1" si="50"/>
        <v>0.41308623636251185</v>
      </c>
    </row>
    <row r="483" spans="2:8" x14ac:dyDescent="0.25">
      <c r="B483" s="1">
        <f t="shared" si="49"/>
        <v>469</v>
      </c>
      <c r="C483" s="3">
        <f t="shared" si="47"/>
        <v>70</v>
      </c>
      <c r="D483" s="3">
        <f t="shared" si="48"/>
        <v>100</v>
      </c>
      <c r="E483" s="1" t="str">
        <f t="shared" ca="1" si="45"/>
        <v>Fold</v>
      </c>
      <c r="F483" s="4">
        <f t="shared" ca="1" si="46"/>
        <v>100</v>
      </c>
      <c r="G483" s="4">
        <f ca="1">SUM(F$15:F483)</f>
        <v>5930</v>
      </c>
      <c r="H483" s="6">
        <f t="shared" ca="1" si="50"/>
        <v>5.7041868897797499E-2</v>
      </c>
    </row>
    <row r="484" spans="2:8" x14ac:dyDescent="0.25">
      <c r="B484" s="1">
        <f t="shared" si="49"/>
        <v>470</v>
      </c>
      <c r="C484" s="3">
        <f t="shared" si="47"/>
        <v>70</v>
      </c>
      <c r="D484" s="3">
        <f t="shared" si="48"/>
        <v>100</v>
      </c>
      <c r="E484" s="1" t="str">
        <f t="shared" ca="1" si="45"/>
        <v>Call</v>
      </c>
      <c r="F484" s="4">
        <f t="shared" ca="1" si="46"/>
        <v>-70</v>
      </c>
      <c r="G484" s="4">
        <f ca="1">SUM(F$15:F484)</f>
        <v>5860</v>
      </c>
      <c r="H484" s="6">
        <f t="shared" ca="1" si="50"/>
        <v>0.64975042529705751</v>
      </c>
    </row>
    <row r="485" spans="2:8" x14ac:dyDescent="0.25">
      <c r="B485" s="1">
        <f t="shared" si="49"/>
        <v>471</v>
      </c>
      <c r="C485" s="3">
        <f t="shared" si="47"/>
        <v>70</v>
      </c>
      <c r="D485" s="3">
        <f t="shared" si="48"/>
        <v>100</v>
      </c>
      <c r="E485" s="1" t="str">
        <f t="shared" ca="1" si="45"/>
        <v>Call</v>
      </c>
      <c r="F485" s="4">
        <f t="shared" ca="1" si="46"/>
        <v>-70</v>
      </c>
      <c r="G485" s="4">
        <f ca="1">SUM(F$15:F485)</f>
        <v>5790</v>
      </c>
      <c r="H485" s="6">
        <f t="shared" ca="1" si="50"/>
        <v>0.71982247536058608</v>
      </c>
    </row>
    <row r="486" spans="2:8" x14ac:dyDescent="0.25">
      <c r="B486" s="1">
        <f t="shared" si="49"/>
        <v>472</v>
      </c>
      <c r="C486" s="3">
        <f t="shared" si="47"/>
        <v>70</v>
      </c>
      <c r="D486" s="3">
        <f t="shared" si="48"/>
        <v>100</v>
      </c>
      <c r="E486" s="1" t="str">
        <f t="shared" ca="1" si="45"/>
        <v>Call</v>
      </c>
      <c r="F486" s="4">
        <f t="shared" ca="1" si="46"/>
        <v>-70</v>
      </c>
      <c r="G486" s="4">
        <f ca="1">SUM(F$15:F486)</f>
        <v>5720</v>
      </c>
      <c r="H486" s="6">
        <f t="shared" ca="1" si="50"/>
        <v>0.56723953973992602</v>
      </c>
    </row>
    <row r="487" spans="2:8" x14ac:dyDescent="0.25">
      <c r="B487" s="1">
        <f t="shared" si="49"/>
        <v>473</v>
      </c>
      <c r="C487" s="3">
        <f t="shared" si="47"/>
        <v>70</v>
      </c>
      <c r="D487" s="3">
        <f t="shared" si="48"/>
        <v>100</v>
      </c>
      <c r="E487" s="1" t="str">
        <f t="shared" ca="1" si="45"/>
        <v>Fold</v>
      </c>
      <c r="F487" s="4">
        <f t="shared" ca="1" si="46"/>
        <v>100</v>
      </c>
      <c r="G487" s="4">
        <f ca="1">SUM(F$15:F487)</f>
        <v>5820</v>
      </c>
      <c r="H487" s="6">
        <f t="shared" ca="1" si="50"/>
        <v>3.1675412359543187E-2</v>
      </c>
    </row>
    <row r="488" spans="2:8" x14ac:dyDescent="0.25">
      <c r="B488" s="1">
        <f t="shared" si="49"/>
        <v>474</v>
      </c>
      <c r="C488" s="3">
        <f t="shared" si="47"/>
        <v>70</v>
      </c>
      <c r="D488" s="3">
        <f t="shared" si="48"/>
        <v>100</v>
      </c>
      <c r="E488" s="1" t="str">
        <f t="shared" ca="1" si="45"/>
        <v>Call</v>
      </c>
      <c r="F488" s="4">
        <f t="shared" ca="1" si="46"/>
        <v>-70</v>
      </c>
      <c r="G488" s="4">
        <f ca="1">SUM(F$15:F488)</f>
        <v>5750</v>
      </c>
      <c r="H488" s="6">
        <f t="shared" ca="1" si="50"/>
        <v>0.64880501859158546</v>
      </c>
    </row>
    <row r="489" spans="2:8" x14ac:dyDescent="0.25">
      <c r="B489" s="1">
        <f t="shared" si="49"/>
        <v>475</v>
      </c>
      <c r="C489" s="3">
        <f t="shared" si="47"/>
        <v>70</v>
      </c>
      <c r="D489" s="3">
        <f t="shared" si="48"/>
        <v>100</v>
      </c>
      <c r="E489" s="1" t="str">
        <f t="shared" ca="1" si="45"/>
        <v>Call</v>
      </c>
      <c r="F489" s="4">
        <f t="shared" ca="1" si="46"/>
        <v>-70</v>
      </c>
      <c r="G489" s="4">
        <f ca="1">SUM(F$15:F489)</f>
        <v>5680</v>
      </c>
      <c r="H489" s="6">
        <f t="shared" ca="1" si="50"/>
        <v>0.7234657002343855</v>
      </c>
    </row>
    <row r="490" spans="2:8" x14ac:dyDescent="0.25">
      <c r="B490" s="1">
        <f t="shared" si="49"/>
        <v>476</v>
      </c>
      <c r="C490" s="3">
        <f t="shared" si="47"/>
        <v>70</v>
      </c>
      <c r="D490" s="3">
        <f t="shared" si="48"/>
        <v>100</v>
      </c>
      <c r="E490" s="1" t="str">
        <f t="shared" ca="1" si="45"/>
        <v>Fold</v>
      </c>
      <c r="F490" s="4">
        <f t="shared" ca="1" si="46"/>
        <v>100</v>
      </c>
      <c r="G490" s="4">
        <f ca="1">SUM(F$15:F490)</f>
        <v>5780</v>
      </c>
      <c r="H490" s="6">
        <f t="shared" ca="1" si="50"/>
        <v>1.5306589099477352E-2</v>
      </c>
    </row>
    <row r="491" spans="2:8" x14ac:dyDescent="0.25">
      <c r="B491" s="1">
        <f t="shared" si="49"/>
        <v>477</v>
      </c>
      <c r="C491" s="3">
        <f t="shared" si="47"/>
        <v>70</v>
      </c>
      <c r="D491" s="3">
        <f t="shared" si="48"/>
        <v>100</v>
      </c>
      <c r="E491" s="1" t="str">
        <f t="shared" ca="1" si="45"/>
        <v>Call</v>
      </c>
      <c r="F491" s="4">
        <f t="shared" ca="1" si="46"/>
        <v>-70</v>
      </c>
      <c r="G491" s="4">
        <f ca="1">SUM(F$15:F491)</f>
        <v>5710</v>
      </c>
      <c r="H491" s="6">
        <f t="shared" ca="1" si="50"/>
        <v>0.68773084739587609</v>
      </c>
    </row>
    <row r="492" spans="2:8" x14ac:dyDescent="0.25">
      <c r="B492" s="1">
        <f t="shared" si="49"/>
        <v>478</v>
      </c>
      <c r="C492" s="3">
        <f t="shared" si="47"/>
        <v>70</v>
      </c>
      <c r="D492" s="3">
        <f t="shared" si="48"/>
        <v>100</v>
      </c>
      <c r="E492" s="1" t="str">
        <f t="shared" ca="1" si="45"/>
        <v>Call</v>
      </c>
      <c r="F492" s="4">
        <f t="shared" ca="1" si="46"/>
        <v>-70</v>
      </c>
      <c r="G492" s="4">
        <f ca="1">SUM(F$15:F492)</f>
        <v>5640</v>
      </c>
      <c r="H492" s="6">
        <f t="shared" ca="1" si="50"/>
        <v>0.64320572932607301</v>
      </c>
    </row>
    <row r="493" spans="2:8" x14ac:dyDescent="0.25">
      <c r="B493" s="1">
        <f t="shared" si="49"/>
        <v>479</v>
      </c>
      <c r="C493" s="3">
        <f t="shared" si="47"/>
        <v>70</v>
      </c>
      <c r="D493" s="3">
        <f t="shared" si="48"/>
        <v>100</v>
      </c>
      <c r="E493" s="1" t="str">
        <f t="shared" ca="1" si="45"/>
        <v>Call</v>
      </c>
      <c r="F493" s="4">
        <f t="shared" ca="1" si="46"/>
        <v>-70</v>
      </c>
      <c r="G493" s="4">
        <f ca="1">SUM(F$15:F493)</f>
        <v>5570</v>
      </c>
      <c r="H493" s="6">
        <f t="shared" ca="1" si="50"/>
        <v>0.75904515596245448</v>
      </c>
    </row>
    <row r="494" spans="2:8" x14ac:dyDescent="0.25">
      <c r="B494" s="1">
        <f t="shared" si="49"/>
        <v>480</v>
      </c>
      <c r="C494" s="3">
        <f t="shared" si="47"/>
        <v>70</v>
      </c>
      <c r="D494" s="3">
        <f t="shared" si="48"/>
        <v>100</v>
      </c>
      <c r="E494" s="1" t="str">
        <f t="shared" ca="1" si="45"/>
        <v>Fold</v>
      </c>
      <c r="F494" s="4">
        <f t="shared" ca="1" si="46"/>
        <v>100</v>
      </c>
      <c r="G494" s="4">
        <f ca="1">SUM(F$15:F494)</f>
        <v>5670</v>
      </c>
      <c r="H494" s="6">
        <f t="shared" ca="1" si="50"/>
        <v>0.2245206089931453</v>
      </c>
    </row>
    <row r="495" spans="2:8" x14ac:dyDescent="0.25">
      <c r="B495" s="1">
        <f t="shared" si="49"/>
        <v>481</v>
      </c>
      <c r="C495" s="3">
        <f t="shared" si="47"/>
        <v>70</v>
      </c>
      <c r="D495" s="3">
        <f t="shared" si="48"/>
        <v>100</v>
      </c>
      <c r="E495" s="1" t="str">
        <f t="shared" ca="1" si="45"/>
        <v>Fold</v>
      </c>
      <c r="F495" s="4">
        <f t="shared" ca="1" si="46"/>
        <v>100</v>
      </c>
      <c r="G495" s="4">
        <f ca="1">SUM(F$15:F495)</f>
        <v>5770</v>
      </c>
      <c r="H495" s="6">
        <f t="shared" ca="1" si="50"/>
        <v>0.14148057250406143</v>
      </c>
    </row>
    <row r="496" spans="2:8" x14ac:dyDescent="0.25">
      <c r="B496" s="1">
        <f t="shared" si="49"/>
        <v>482</v>
      </c>
      <c r="C496" s="3">
        <f t="shared" si="47"/>
        <v>70</v>
      </c>
      <c r="D496" s="3">
        <f t="shared" si="48"/>
        <v>100</v>
      </c>
      <c r="E496" s="1" t="str">
        <f t="shared" ca="1" si="45"/>
        <v>Call</v>
      </c>
      <c r="F496" s="4">
        <f t="shared" ca="1" si="46"/>
        <v>-70</v>
      </c>
      <c r="G496" s="4">
        <f ca="1">SUM(F$15:F496)</f>
        <v>5700</v>
      </c>
      <c r="H496" s="6">
        <f t="shared" ca="1" si="50"/>
        <v>0.75489959755950831</v>
      </c>
    </row>
    <row r="497" spans="2:8" x14ac:dyDescent="0.25">
      <c r="B497" s="1">
        <f t="shared" si="49"/>
        <v>483</v>
      </c>
      <c r="C497" s="3">
        <f t="shared" si="47"/>
        <v>70</v>
      </c>
      <c r="D497" s="3">
        <f t="shared" si="48"/>
        <v>100</v>
      </c>
      <c r="E497" s="1" t="str">
        <f t="shared" ca="1" si="45"/>
        <v>Call</v>
      </c>
      <c r="F497" s="4">
        <f t="shared" ca="1" si="46"/>
        <v>-70</v>
      </c>
      <c r="G497" s="4">
        <f ca="1">SUM(F$15:F497)</f>
        <v>5630</v>
      </c>
      <c r="H497" s="6">
        <f t="shared" ca="1" si="50"/>
        <v>0.87489031724529498</v>
      </c>
    </row>
    <row r="498" spans="2:8" x14ac:dyDescent="0.25">
      <c r="B498" s="1">
        <f t="shared" si="49"/>
        <v>484</v>
      </c>
      <c r="C498" s="3">
        <f t="shared" si="47"/>
        <v>70</v>
      </c>
      <c r="D498" s="3">
        <f t="shared" si="48"/>
        <v>100</v>
      </c>
      <c r="E498" s="1" t="str">
        <f t="shared" ca="1" si="45"/>
        <v>Call</v>
      </c>
      <c r="F498" s="4">
        <f t="shared" ca="1" si="46"/>
        <v>-70</v>
      </c>
      <c r="G498" s="4">
        <f ca="1">SUM(F$15:F498)</f>
        <v>5560</v>
      </c>
      <c r="H498" s="6">
        <f t="shared" ca="1" si="50"/>
        <v>0.65560848113570214</v>
      </c>
    </row>
    <row r="499" spans="2:8" x14ac:dyDescent="0.25">
      <c r="B499" s="1">
        <f t="shared" si="49"/>
        <v>485</v>
      </c>
      <c r="C499" s="3">
        <f t="shared" si="47"/>
        <v>70</v>
      </c>
      <c r="D499" s="3">
        <f t="shared" si="48"/>
        <v>100</v>
      </c>
      <c r="E499" s="1" t="str">
        <f t="shared" ca="1" si="45"/>
        <v>Fold</v>
      </c>
      <c r="F499" s="4">
        <f t="shared" ca="1" si="46"/>
        <v>100</v>
      </c>
      <c r="G499" s="4">
        <f ca="1">SUM(F$15:F499)</f>
        <v>5660</v>
      </c>
      <c r="H499" s="6">
        <f t="shared" ca="1" si="50"/>
        <v>0.3395202175069969</v>
      </c>
    </row>
    <row r="500" spans="2:8" x14ac:dyDescent="0.25">
      <c r="B500" s="1">
        <f t="shared" si="49"/>
        <v>486</v>
      </c>
      <c r="C500" s="3">
        <f t="shared" si="47"/>
        <v>70</v>
      </c>
      <c r="D500" s="3">
        <f t="shared" si="48"/>
        <v>100</v>
      </c>
      <c r="E500" s="1" t="str">
        <f t="shared" ca="1" si="45"/>
        <v>Fold</v>
      </c>
      <c r="F500" s="4">
        <f t="shared" ca="1" si="46"/>
        <v>100</v>
      </c>
      <c r="G500" s="4">
        <f ca="1">SUM(F$15:F500)</f>
        <v>5760</v>
      </c>
      <c r="H500" s="6">
        <f t="shared" ca="1" si="50"/>
        <v>0.31034837101025925</v>
      </c>
    </row>
    <row r="501" spans="2:8" x14ac:dyDescent="0.25">
      <c r="B501" s="1">
        <f t="shared" si="49"/>
        <v>487</v>
      </c>
      <c r="C501" s="3">
        <f t="shared" si="47"/>
        <v>70</v>
      </c>
      <c r="D501" s="3">
        <f t="shared" si="48"/>
        <v>100</v>
      </c>
      <c r="E501" s="1" t="str">
        <f t="shared" ca="1" si="45"/>
        <v>Call</v>
      </c>
      <c r="F501" s="4">
        <f t="shared" ca="1" si="46"/>
        <v>-70</v>
      </c>
      <c r="G501" s="4">
        <f ca="1">SUM(F$15:F501)</f>
        <v>5690</v>
      </c>
      <c r="H501" s="6">
        <f t="shared" ca="1" si="50"/>
        <v>0.55506320361451233</v>
      </c>
    </row>
    <row r="502" spans="2:8" x14ac:dyDescent="0.25">
      <c r="B502" s="1">
        <f t="shared" si="49"/>
        <v>488</v>
      </c>
      <c r="C502" s="3">
        <f t="shared" si="47"/>
        <v>70</v>
      </c>
      <c r="D502" s="3">
        <f t="shared" si="48"/>
        <v>100</v>
      </c>
      <c r="E502" s="1" t="str">
        <f t="shared" ca="1" si="45"/>
        <v>Fold</v>
      </c>
      <c r="F502" s="4">
        <f t="shared" ca="1" si="46"/>
        <v>100</v>
      </c>
      <c r="G502" s="4">
        <f ca="1">SUM(F$15:F502)</f>
        <v>5790</v>
      </c>
      <c r="H502" s="6">
        <f t="shared" ca="1" si="50"/>
        <v>0.37212798448290607</v>
      </c>
    </row>
    <row r="503" spans="2:8" x14ac:dyDescent="0.25">
      <c r="B503" s="1">
        <f t="shared" si="49"/>
        <v>489</v>
      </c>
      <c r="C503" s="3">
        <f t="shared" si="47"/>
        <v>70</v>
      </c>
      <c r="D503" s="3">
        <f t="shared" si="48"/>
        <v>100</v>
      </c>
      <c r="E503" s="1" t="str">
        <f t="shared" ca="1" si="45"/>
        <v>Call</v>
      </c>
      <c r="F503" s="4">
        <f t="shared" ca="1" si="46"/>
        <v>-70</v>
      </c>
      <c r="G503" s="4">
        <f ca="1">SUM(F$15:F503)</f>
        <v>5720</v>
      </c>
      <c r="H503" s="6">
        <f t="shared" ca="1" si="50"/>
        <v>0.72440434468594439</v>
      </c>
    </row>
    <row r="504" spans="2:8" x14ac:dyDescent="0.25">
      <c r="B504" s="1">
        <f t="shared" si="49"/>
        <v>490</v>
      </c>
      <c r="C504" s="3">
        <f t="shared" si="47"/>
        <v>70</v>
      </c>
      <c r="D504" s="3">
        <f t="shared" si="48"/>
        <v>100</v>
      </c>
      <c r="E504" s="1" t="str">
        <f t="shared" ca="1" si="45"/>
        <v>Fold</v>
      </c>
      <c r="F504" s="4">
        <f t="shared" ca="1" si="46"/>
        <v>100</v>
      </c>
      <c r="G504" s="4">
        <f ca="1">SUM(F$15:F504)</f>
        <v>5820</v>
      </c>
      <c r="H504" s="6">
        <f t="shared" ca="1" si="50"/>
        <v>1.5559163693846578E-2</v>
      </c>
    </row>
    <row r="505" spans="2:8" x14ac:dyDescent="0.25">
      <c r="B505" s="1">
        <f t="shared" si="49"/>
        <v>491</v>
      </c>
      <c r="C505" s="3">
        <f t="shared" si="47"/>
        <v>70</v>
      </c>
      <c r="D505" s="3">
        <f t="shared" si="48"/>
        <v>100</v>
      </c>
      <c r="E505" s="1" t="str">
        <f t="shared" ca="1" si="45"/>
        <v>Call</v>
      </c>
      <c r="F505" s="4">
        <f t="shared" ca="1" si="46"/>
        <v>-70</v>
      </c>
      <c r="G505" s="4">
        <f ca="1">SUM(F$15:F505)</f>
        <v>5750</v>
      </c>
      <c r="H505" s="6">
        <f t="shared" ca="1" si="50"/>
        <v>0.653137929367957</v>
      </c>
    </row>
    <row r="506" spans="2:8" x14ac:dyDescent="0.25">
      <c r="B506" s="1">
        <f t="shared" si="49"/>
        <v>492</v>
      </c>
      <c r="C506" s="3">
        <f t="shared" si="47"/>
        <v>70</v>
      </c>
      <c r="D506" s="3">
        <f t="shared" si="48"/>
        <v>100</v>
      </c>
      <c r="E506" s="1" t="str">
        <f t="shared" ca="1" si="45"/>
        <v>Fold</v>
      </c>
      <c r="F506" s="4">
        <f t="shared" ca="1" si="46"/>
        <v>100</v>
      </c>
      <c r="G506" s="4">
        <f ca="1">SUM(F$15:F506)</f>
        <v>5850</v>
      </c>
      <c r="H506" s="6">
        <f t="shared" ca="1" si="50"/>
        <v>5.2896463287056772E-2</v>
      </c>
    </row>
    <row r="507" spans="2:8" x14ac:dyDescent="0.25">
      <c r="B507" s="1">
        <f t="shared" si="49"/>
        <v>493</v>
      </c>
      <c r="C507" s="3">
        <f t="shared" si="47"/>
        <v>70</v>
      </c>
      <c r="D507" s="3">
        <f t="shared" si="48"/>
        <v>100</v>
      </c>
      <c r="E507" s="1" t="str">
        <f t="shared" ca="1" si="45"/>
        <v>Fold</v>
      </c>
      <c r="F507" s="4">
        <f t="shared" ca="1" si="46"/>
        <v>100</v>
      </c>
      <c r="G507" s="4">
        <f ca="1">SUM(F$15:F507)</f>
        <v>5950</v>
      </c>
      <c r="H507" s="6">
        <f t="shared" ca="1" si="50"/>
        <v>0.43543585732713053</v>
      </c>
    </row>
    <row r="508" spans="2:8" x14ac:dyDescent="0.25">
      <c r="B508" s="1">
        <f t="shared" si="49"/>
        <v>494</v>
      </c>
      <c r="C508" s="3">
        <f t="shared" si="47"/>
        <v>70</v>
      </c>
      <c r="D508" s="3">
        <f t="shared" si="48"/>
        <v>100</v>
      </c>
      <c r="E508" s="1" t="str">
        <f t="shared" ca="1" si="45"/>
        <v>Call</v>
      </c>
      <c r="F508" s="4">
        <f t="shared" ca="1" si="46"/>
        <v>-70</v>
      </c>
      <c r="G508" s="4">
        <f ca="1">SUM(F$15:F508)</f>
        <v>5880</v>
      </c>
      <c r="H508" s="6">
        <f t="shared" ca="1" si="50"/>
        <v>0.71602844285908884</v>
      </c>
    </row>
    <row r="509" spans="2:8" x14ac:dyDescent="0.25">
      <c r="B509" s="1">
        <f t="shared" si="49"/>
        <v>495</v>
      </c>
      <c r="C509" s="3">
        <f t="shared" si="47"/>
        <v>70</v>
      </c>
      <c r="D509" s="3">
        <f t="shared" si="48"/>
        <v>100</v>
      </c>
      <c r="E509" s="1" t="str">
        <f t="shared" ca="1" si="45"/>
        <v>Call</v>
      </c>
      <c r="F509" s="4">
        <f t="shared" ca="1" si="46"/>
        <v>-70</v>
      </c>
      <c r="G509" s="4">
        <f ca="1">SUM(F$15:F509)</f>
        <v>5810</v>
      </c>
      <c r="H509" s="6">
        <f t="shared" ca="1" si="50"/>
        <v>0.9223762530579811</v>
      </c>
    </row>
    <row r="510" spans="2:8" x14ac:dyDescent="0.25">
      <c r="B510" s="1">
        <f t="shared" si="49"/>
        <v>496</v>
      </c>
      <c r="C510" s="3">
        <f t="shared" si="47"/>
        <v>70</v>
      </c>
      <c r="D510" s="3">
        <f t="shared" si="48"/>
        <v>100</v>
      </c>
      <c r="E510" s="1" t="str">
        <f t="shared" ca="1" si="45"/>
        <v>Fold</v>
      </c>
      <c r="F510" s="4">
        <f t="shared" ca="1" si="46"/>
        <v>100</v>
      </c>
      <c r="G510" s="4">
        <f ca="1">SUM(F$15:F510)</f>
        <v>5910</v>
      </c>
      <c r="H510" s="6">
        <f t="shared" ca="1" si="50"/>
        <v>3.808948385449018E-2</v>
      </c>
    </row>
    <row r="511" spans="2:8" x14ac:dyDescent="0.25">
      <c r="B511" s="1">
        <f t="shared" si="49"/>
        <v>497</v>
      </c>
      <c r="C511" s="3">
        <f t="shared" si="47"/>
        <v>70</v>
      </c>
      <c r="D511" s="3">
        <f t="shared" si="48"/>
        <v>100</v>
      </c>
      <c r="E511" s="1" t="str">
        <f t="shared" ca="1" si="45"/>
        <v>Fold</v>
      </c>
      <c r="F511" s="4">
        <f t="shared" ca="1" si="46"/>
        <v>100</v>
      </c>
      <c r="G511" s="4">
        <f ca="1">SUM(F$15:F511)</f>
        <v>6010</v>
      </c>
      <c r="H511" s="6">
        <f t="shared" ca="1" si="50"/>
        <v>0.46961863106291812</v>
      </c>
    </row>
    <row r="512" spans="2:8" x14ac:dyDescent="0.25">
      <c r="B512" s="1">
        <f t="shared" si="49"/>
        <v>498</v>
      </c>
      <c r="C512" s="3">
        <f t="shared" si="47"/>
        <v>70</v>
      </c>
      <c r="D512" s="3">
        <f t="shared" si="48"/>
        <v>100</v>
      </c>
      <c r="E512" s="1" t="str">
        <f t="shared" ca="1" si="45"/>
        <v>Fold</v>
      </c>
      <c r="F512" s="4">
        <f t="shared" ca="1" si="46"/>
        <v>100</v>
      </c>
      <c r="G512" s="4">
        <f ca="1">SUM(F$15:F512)</f>
        <v>6110</v>
      </c>
      <c r="H512" s="6">
        <f t="shared" ca="1" si="50"/>
        <v>0.26399701843176016</v>
      </c>
    </row>
    <row r="513" spans="2:8" x14ac:dyDescent="0.25">
      <c r="B513" s="1">
        <f t="shared" si="49"/>
        <v>499</v>
      </c>
      <c r="C513" s="3">
        <f t="shared" si="47"/>
        <v>70</v>
      </c>
      <c r="D513" s="3">
        <f t="shared" si="48"/>
        <v>100</v>
      </c>
      <c r="E513" s="1" t="str">
        <f t="shared" ca="1" si="45"/>
        <v>Fold</v>
      </c>
      <c r="F513" s="4">
        <f t="shared" ca="1" si="46"/>
        <v>100</v>
      </c>
      <c r="G513" s="4">
        <f ca="1">SUM(F$15:F513)</f>
        <v>6210</v>
      </c>
      <c r="H513" s="6">
        <f t="shared" ca="1" si="50"/>
        <v>0.36711000021045315</v>
      </c>
    </row>
    <row r="514" spans="2:8" x14ac:dyDescent="0.25">
      <c r="B514" s="1">
        <f t="shared" si="49"/>
        <v>500</v>
      </c>
      <c r="C514" s="3">
        <f t="shared" si="47"/>
        <v>70</v>
      </c>
      <c r="D514" s="3">
        <f t="shared" si="48"/>
        <v>100</v>
      </c>
      <c r="E514" s="1" t="str">
        <f t="shared" ca="1" si="45"/>
        <v>Fold</v>
      </c>
      <c r="F514" s="4">
        <f t="shared" ca="1" si="46"/>
        <v>100</v>
      </c>
      <c r="G514" s="4">
        <f ca="1">SUM(F$15:F514)</f>
        <v>6310</v>
      </c>
      <c r="H514" s="6">
        <f t="shared" ca="1" si="50"/>
        <v>0.38642272702814895</v>
      </c>
    </row>
    <row r="515" spans="2:8" x14ac:dyDescent="0.25">
      <c r="C515" s="3"/>
      <c r="D515" s="3"/>
      <c r="F515" s="4"/>
      <c r="G515" s="4"/>
    </row>
    <row r="516" spans="2:8" x14ac:dyDescent="0.25">
      <c r="C516" s="3"/>
      <c r="D516" s="3"/>
      <c r="F516" s="4"/>
      <c r="G516" s="4"/>
    </row>
    <row r="517" spans="2:8" x14ac:dyDescent="0.25">
      <c r="C517" s="3"/>
      <c r="D517" s="3"/>
      <c r="F517" s="4"/>
      <c r="G517" s="4"/>
    </row>
    <row r="518" spans="2:8" x14ac:dyDescent="0.25">
      <c r="C518" s="3"/>
      <c r="D518" s="3"/>
      <c r="F518" s="4"/>
      <c r="G518" s="4"/>
    </row>
    <row r="519" spans="2:8" x14ac:dyDescent="0.25">
      <c r="C519" s="3"/>
      <c r="D519" s="3"/>
      <c r="F519" s="4"/>
      <c r="G519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256"/>
  <sheetViews>
    <sheetView showGridLines="0" tabSelected="1" workbookViewId="0">
      <pane ySplit="10" topLeftCell="A11" activePane="bottomLeft" state="frozenSplit"/>
      <selection pane="bottomLeft" activeCell="B5" sqref="B5"/>
    </sheetView>
  </sheetViews>
  <sheetFormatPr defaultRowHeight="15" x14ac:dyDescent="0.25"/>
  <cols>
    <col min="1" max="1" width="23.42578125" bestFit="1" customWidth="1"/>
    <col min="2" max="2" width="13.140625" customWidth="1"/>
    <col min="3" max="3" width="7.7109375" style="1" customWidth="1"/>
    <col min="4" max="4" width="31" style="1" bestFit="1" customWidth="1"/>
    <col min="5" max="5" width="10.85546875" customWidth="1"/>
    <col min="6" max="7" width="11.7109375" customWidth="1"/>
    <col min="9" max="9" width="13.85546875" style="1" customWidth="1"/>
    <col min="10" max="12" width="14" customWidth="1"/>
    <col min="13" max="13" width="13.5703125" customWidth="1"/>
    <col min="14" max="15" width="13.5703125" style="1" customWidth="1"/>
    <col min="18" max="18" width="11.5703125" bestFit="1" customWidth="1"/>
  </cols>
  <sheetData>
    <row r="1" spans="1:28" x14ac:dyDescent="0.25">
      <c r="A1" t="s">
        <v>38</v>
      </c>
      <c r="B1" s="25">
        <v>0.51</v>
      </c>
      <c r="D1" s="37" t="s">
        <v>35</v>
      </c>
      <c r="E1" s="38">
        <f ca="1">COUNTIF(E12:E1011,"&gt;0")</f>
        <v>505</v>
      </c>
      <c r="F1" s="38"/>
      <c r="G1" s="38"/>
      <c r="I1" s="32" t="s">
        <v>24</v>
      </c>
      <c r="J1" s="33"/>
      <c r="K1" s="33"/>
      <c r="AA1" s="29">
        <v>0</v>
      </c>
      <c r="AB1">
        <v>0</v>
      </c>
    </row>
    <row r="2" spans="1:28" x14ac:dyDescent="0.25">
      <c r="A2" t="s">
        <v>39</v>
      </c>
      <c r="B2" s="25">
        <f>1-B1</f>
        <v>0.49</v>
      </c>
      <c r="D2" s="37" t="s">
        <v>36</v>
      </c>
      <c r="E2" s="38">
        <f ca="1">COUNTIF(E12:E1011,"&lt;0")</f>
        <v>495</v>
      </c>
      <c r="F2" s="38"/>
      <c r="G2" s="38"/>
      <c r="I2" s="31" t="s">
        <v>26</v>
      </c>
      <c r="K2" s="5">
        <f>AVERAGE(M10:M509)</f>
        <v>1.9626452905811635</v>
      </c>
      <c r="O2" s="37" t="s">
        <v>53</v>
      </c>
      <c r="R2" s="3">
        <f>($E$5+$E$6)*$B$4-(1000-($E$5+$E$6))*$B$4-$B$3</f>
        <v>-74191.774293109338</v>
      </c>
      <c r="U2" t="s">
        <v>59</v>
      </c>
    </row>
    <row r="3" spans="1:28" x14ac:dyDescent="0.25">
      <c r="A3" t="s">
        <v>40</v>
      </c>
      <c r="B3" s="3">
        <v>100000</v>
      </c>
      <c r="D3" s="37" t="s">
        <v>48</v>
      </c>
      <c r="E3" s="38">
        <f>B3/B4</f>
        <v>200</v>
      </c>
      <c r="F3" s="38"/>
      <c r="G3" s="38"/>
      <c r="I3" s="31" t="s">
        <v>25</v>
      </c>
      <c r="K3" s="5">
        <f>MIN(M11:M510)</f>
        <v>0.12000000000000011</v>
      </c>
      <c r="O3" s="37" t="s">
        <v>54</v>
      </c>
      <c r="R3" s="3">
        <f>($E$5-$E$6)*$B$4-(1000-($E$5-$E$6))*$B$4-$B$3</f>
        <v>-105808.22570689069</v>
      </c>
    </row>
    <row r="4" spans="1:28" x14ac:dyDescent="0.25">
      <c r="A4" t="s">
        <v>41</v>
      </c>
      <c r="B4" s="3">
        <v>500</v>
      </c>
      <c r="D4" s="37" t="s">
        <v>47</v>
      </c>
      <c r="E4" s="38">
        <f>MAX(A1011/2-E3/2,0)</f>
        <v>400</v>
      </c>
      <c r="F4" s="43">
        <f>(E4-E5)/E6</f>
        <v>-6.9584026721007488</v>
      </c>
      <c r="G4" s="38"/>
      <c r="I4" s="31" t="s">
        <v>27</v>
      </c>
      <c r="K4" s="5">
        <f>MAX(M11:M510)</f>
        <v>3.7199999999999998</v>
      </c>
      <c r="O4" s="37" t="s">
        <v>55</v>
      </c>
      <c r="R4" s="3">
        <f>($E$5+2*$E$6)*$B$4-(1000-($E$5+2*$E$6))*$B$4-$B$3</f>
        <v>-58383.548586218589</v>
      </c>
    </row>
    <row r="5" spans="1:28" x14ac:dyDescent="0.25">
      <c r="A5" t="s">
        <v>18</v>
      </c>
      <c r="B5" s="3">
        <f ca="1">B1011</f>
        <v>105000</v>
      </c>
      <c r="D5" s="37" t="s">
        <v>51</v>
      </c>
      <c r="E5" s="38">
        <f>$A$1011*$B$1</f>
        <v>510</v>
      </c>
      <c r="I5" s="31" t="s">
        <v>28</v>
      </c>
      <c r="K5" s="5">
        <f>STDEV(M11:M510)</f>
        <v>0.64278282266580655</v>
      </c>
      <c r="O5" s="37" t="s">
        <v>56</v>
      </c>
      <c r="R5" s="3">
        <f>($E$5-2*$E$6)*$B$4-(1000-($E$5-2*$E$6))*$B$4-$B$3</f>
        <v>-121616.45141378144</v>
      </c>
    </row>
    <row r="6" spans="1:28" x14ac:dyDescent="0.25">
      <c r="A6" t="s">
        <v>42</v>
      </c>
      <c r="B6" s="3">
        <f ca="1">MIN(B11:B1011)</f>
        <v>91500</v>
      </c>
      <c r="D6" s="37" t="s">
        <v>52</v>
      </c>
      <c r="E6" s="43">
        <f>SQRT($A$1011*$B$1*$B$2)</f>
        <v>15.808225706890701</v>
      </c>
      <c r="K6" s="2"/>
      <c r="O6" s="37" t="s">
        <v>55</v>
      </c>
      <c r="R6" s="3">
        <f>($E$5+2*$E$6)*$B$4-(1000-($E$5+2*$E$6))*$B$4-$B$3</f>
        <v>-58383.548586218589</v>
      </c>
    </row>
    <row r="7" spans="1:28" x14ac:dyDescent="0.25">
      <c r="A7" t="s">
        <v>43</v>
      </c>
      <c r="B7" s="3">
        <f ca="1">MAX(B11:B1011)</f>
        <v>111500</v>
      </c>
      <c r="D7" s="37" t="s">
        <v>57</v>
      </c>
      <c r="E7" s="3">
        <f>E5*B4-($A$1011-E5)*B4-B3</f>
        <v>-90000</v>
      </c>
      <c r="I7" s="31" t="s">
        <v>20</v>
      </c>
      <c r="K7" s="7">
        <f>SUM(N10:N509)/500</f>
        <v>0</v>
      </c>
      <c r="O7" s="37" t="s">
        <v>56</v>
      </c>
      <c r="R7" s="3">
        <f>($E$5-2*$E$6)*$B$4-(1000-($E$5-2*$E$6))*$B$4-$B$3</f>
        <v>-121616.45141378144</v>
      </c>
    </row>
    <row r="8" spans="1:28" x14ac:dyDescent="0.25">
      <c r="A8" t="s">
        <v>37</v>
      </c>
      <c r="B8" s="3">
        <f ca="1">B5-B3</f>
        <v>5000</v>
      </c>
      <c r="D8" s="37" t="s">
        <v>58</v>
      </c>
      <c r="E8" s="3">
        <f>E6*2*B4</f>
        <v>15808.2257068907</v>
      </c>
      <c r="I8" s="31" t="s">
        <v>21</v>
      </c>
      <c r="K8" s="7">
        <f>SUM(O11:O510)/500</f>
        <v>0</v>
      </c>
    </row>
    <row r="9" spans="1:28" x14ac:dyDescent="0.25">
      <c r="D9" s="43"/>
      <c r="I9" s="31"/>
      <c r="K9" s="7"/>
    </row>
    <row r="10" spans="1:28" ht="30" x14ac:dyDescent="0.25">
      <c r="A10" s="8" t="s">
        <v>3</v>
      </c>
      <c r="B10" s="11" t="s">
        <v>44</v>
      </c>
      <c r="C10" s="8" t="s">
        <v>8</v>
      </c>
      <c r="D10" s="10" t="s">
        <v>45</v>
      </c>
      <c r="E10" s="9" t="s">
        <v>17</v>
      </c>
      <c r="F10" s="39" t="s">
        <v>49</v>
      </c>
      <c r="G10" s="40" t="s">
        <v>50</v>
      </c>
      <c r="I10" s="8" t="s">
        <v>19</v>
      </c>
      <c r="J10" s="11" t="s">
        <v>18</v>
      </c>
      <c r="K10" s="11" t="s">
        <v>42</v>
      </c>
      <c r="L10" s="11" t="s">
        <v>46</v>
      </c>
      <c r="M10" s="11" t="s">
        <v>24</v>
      </c>
      <c r="N10" s="10" t="s">
        <v>22</v>
      </c>
      <c r="O10" s="10" t="s">
        <v>23</v>
      </c>
    </row>
    <row r="11" spans="1:28" x14ac:dyDescent="0.25">
      <c r="A11" s="1">
        <v>0</v>
      </c>
      <c r="B11" s="3">
        <f>B3</f>
        <v>100000</v>
      </c>
      <c r="C11" s="28"/>
      <c r="D11" s="28"/>
      <c r="E11" s="27"/>
      <c r="F11" s="42">
        <f>_xlfn.BINOM.DIST(A11,$A$1011,$B$1,FALSE)</f>
        <v>0</v>
      </c>
      <c r="G11" s="41">
        <f>SUM(F$11:F11)</f>
        <v>0</v>
      </c>
      <c r="I11" s="1">
        <v>1</v>
      </c>
      <c r="J11" s="3">
        <v>264000</v>
      </c>
      <c r="K11" s="3">
        <v>90000</v>
      </c>
      <c r="L11" s="3">
        <v>298000</v>
      </c>
      <c r="M11" s="30">
        <f>J11/$B$3-1</f>
        <v>1.6400000000000001</v>
      </c>
      <c r="N11" s="1" t="str">
        <f>IF(K11&lt;=0,1,"")</f>
        <v/>
      </c>
      <c r="O11" s="1" t="str">
        <f>IF(J11&lt;=0,1,"")</f>
        <v/>
      </c>
    </row>
    <row r="12" spans="1:28" x14ac:dyDescent="0.25">
      <c r="A12" s="1">
        <f>A11+1</f>
        <v>1</v>
      </c>
      <c r="B12" s="3">
        <f ca="1">B11+E12</f>
        <v>99500</v>
      </c>
      <c r="C12" s="26">
        <f ca="1">RAND()</f>
        <v>0.17028469995807027</v>
      </c>
      <c r="D12" s="26" t="str">
        <f ca="1">IF(C12&gt;$B$2,"Win","Lose")</f>
        <v>Lose</v>
      </c>
      <c r="E12" s="3">
        <f ca="1">IF(D12="Win",$B$4,-$B$4)</f>
        <v>-500</v>
      </c>
      <c r="F12" s="42">
        <f t="shared" ref="F12:F75" si="0">_xlfn.BINOM.DIST(A12,$A$1011,$B$1,FALSE)</f>
        <v>1.6347604589088504E-307</v>
      </c>
      <c r="G12" s="41">
        <f>SUM(F$11:F12)</f>
        <v>1.6363311111144684E-307</v>
      </c>
      <c r="I12" s="1">
        <f>I11+1</f>
        <v>2</v>
      </c>
      <c r="J12" s="3">
        <v>360000</v>
      </c>
      <c r="K12" s="3">
        <v>100000</v>
      </c>
      <c r="L12" s="3">
        <v>360000</v>
      </c>
      <c r="M12" s="30">
        <f t="shared" ref="M12:M75" si="1">J12/$B$3-1</f>
        <v>2.6</v>
      </c>
      <c r="N12" s="1" t="str">
        <f t="shared" ref="N12:N75" si="2">IF(K12&lt;=0,1,"")</f>
        <v/>
      </c>
      <c r="O12" s="1" t="str">
        <f t="shared" ref="O12:O75" si="3">IF(J12&lt;=0,1,"")</f>
        <v/>
      </c>
    </row>
    <row r="13" spans="1:28" x14ac:dyDescent="0.25">
      <c r="A13" s="1">
        <f>A12+1</f>
        <v>2</v>
      </c>
      <c r="B13" s="3">
        <f ca="1">B12+E13</f>
        <v>99000</v>
      </c>
      <c r="C13" s="26">
        <f ca="1">RAND()</f>
        <v>0.20508593844309386</v>
      </c>
      <c r="D13" s="26" t="str">
        <f t="shared" ref="D13:D76" ca="1" si="4">IF(C13&gt;$B$2,"Win","Lose")</f>
        <v>Lose</v>
      </c>
      <c r="E13" s="3">
        <f ca="1">IF(D13="Win",$B$4,-$B$4)</f>
        <v>-500</v>
      </c>
      <c r="F13" s="42">
        <f t="shared" si="0"/>
        <v>8.4989194511168354E-305</v>
      </c>
      <c r="G13" s="41">
        <f>SUM(F$11:F13)</f>
        <v>8.5152827622279803E-305</v>
      </c>
      <c r="I13" s="1">
        <f>I12+1</f>
        <v>3</v>
      </c>
      <c r="J13" s="3">
        <v>244000</v>
      </c>
      <c r="K13" s="3">
        <v>100000</v>
      </c>
      <c r="L13" s="3">
        <v>254000</v>
      </c>
      <c r="M13" s="30">
        <f t="shared" si="1"/>
        <v>1.44</v>
      </c>
      <c r="N13" s="1" t="str">
        <f t="shared" si="2"/>
        <v/>
      </c>
      <c r="O13" s="1" t="str">
        <f t="shared" si="3"/>
        <v/>
      </c>
    </row>
    <row r="14" spans="1:28" x14ac:dyDescent="0.25">
      <c r="A14" s="1">
        <f t="shared" ref="A14:A77" si="5">A13+1</f>
        <v>3</v>
      </c>
      <c r="B14" s="3">
        <f t="shared" ref="B14:B77" ca="1" si="6">B13+E14</f>
        <v>99500</v>
      </c>
      <c r="C14" s="26">
        <f t="shared" ref="C14:C77" ca="1" si="7">RAND()</f>
        <v>0.57908074245942254</v>
      </c>
      <c r="D14" s="26" t="str">
        <f t="shared" ca="1" si="4"/>
        <v>Win</v>
      </c>
      <c r="E14" s="3">
        <f t="shared" ref="E14:E77" ca="1" si="8">IF(D14="Win",$B$4,-$B$4)</f>
        <v>500</v>
      </c>
      <c r="F14" s="42">
        <f t="shared" si="0"/>
        <v>2.942707498115061E-302</v>
      </c>
      <c r="G14" s="41">
        <f>SUM(F$11:F14)</f>
        <v>2.9512227808772891E-302</v>
      </c>
      <c r="I14" s="1">
        <f t="shared" ref="I14:I77" si="9">I13+1</f>
        <v>4</v>
      </c>
      <c r="J14" s="3">
        <v>296000</v>
      </c>
      <c r="K14" s="3">
        <v>98000</v>
      </c>
      <c r="L14" s="3">
        <v>304000</v>
      </c>
      <c r="M14" s="30">
        <f t="shared" si="1"/>
        <v>1.96</v>
      </c>
      <c r="N14" s="1" t="str">
        <f t="shared" si="2"/>
        <v/>
      </c>
      <c r="O14" s="1" t="str">
        <f t="shared" si="3"/>
        <v/>
      </c>
    </row>
    <row r="15" spans="1:28" x14ac:dyDescent="0.25">
      <c r="A15" s="1">
        <f t="shared" si="5"/>
        <v>4</v>
      </c>
      <c r="B15" s="3">
        <f t="shared" ca="1" si="6"/>
        <v>100000</v>
      </c>
      <c r="C15" s="26">
        <f t="shared" ca="1" si="7"/>
        <v>0.63931432494226037</v>
      </c>
      <c r="D15" s="26" t="str">
        <f t="shared" ca="1" si="4"/>
        <v>Win</v>
      </c>
      <c r="E15" s="3">
        <f t="shared" ca="1" si="8"/>
        <v>500</v>
      </c>
      <c r="F15" s="42">
        <f t="shared" si="0"/>
        <v>7.6340738855432798E-300</v>
      </c>
      <c r="G15" s="41">
        <f>SUM(F$11:F15)</f>
        <v>7.6635861133520531E-300</v>
      </c>
      <c r="I15" s="1">
        <f t="shared" si="9"/>
        <v>5</v>
      </c>
      <c r="J15" s="3">
        <v>260000</v>
      </c>
      <c r="K15" s="3">
        <v>92000</v>
      </c>
      <c r="L15" s="3">
        <v>270000</v>
      </c>
      <c r="M15" s="30">
        <f t="shared" si="1"/>
        <v>1.6</v>
      </c>
      <c r="N15" s="1" t="str">
        <f t="shared" si="2"/>
        <v/>
      </c>
      <c r="O15" s="1" t="str">
        <f t="shared" si="3"/>
        <v/>
      </c>
    </row>
    <row r="16" spans="1:28" x14ac:dyDescent="0.25">
      <c r="A16" s="1">
        <f t="shared" si="5"/>
        <v>5</v>
      </c>
      <c r="B16" s="3">
        <f t="shared" ca="1" si="6"/>
        <v>100500</v>
      </c>
      <c r="C16" s="26">
        <f t="shared" ca="1" si="7"/>
        <v>0.91957932270065967</v>
      </c>
      <c r="D16" s="26" t="str">
        <f t="shared" ca="1" si="4"/>
        <v>Win</v>
      </c>
      <c r="E16" s="3">
        <f t="shared" ca="1" si="8"/>
        <v>500</v>
      </c>
      <c r="F16" s="42">
        <f t="shared" si="0"/>
        <v>1.5827772126125752E-297</v>
      </c>
      <c r="G16" s="41">
        <f>SUM(F$11:F16)</f>
        <v>1.5904407987259274E-297</v>
      </c>
      <c r="I16" s="1">
        <f t="shared" si="9"/>
        <v>6</v>
      </c>
      <c r="J16" s="3">
        <v>296000</v>
      </c>
      <c r="K16" s="3">
        <v>96000</v>
      </c>
      <c r="L16" s="3">
        <v>322000</v>
      </c>
      <c r="M16" s="30">
        <f t="shared" si="1"/>
        <v>1.96</v>
      </c>
      <c r="N16" s="1" t="str">
        <f t="shared" si="2"/>
        <v/>
      </c>
      <c r="O16" s="1" t="str">
        <f t="shared" si="3"/>
        <v/>
      </c>
    </row>
    <row r="17" spans="1:15" x14ac:dyDescent="0.25">
      <c r="A17" s="1">
        <f t="shared" si="5"/>
        <v>6</v>
      </c>
      <c r="B17" s="3">
        <f t="shared" ca="1" si="6"/>
        <v>100000</v>
      </c>
      <c r="C17" s="26">
        <f t="shared" ca="1" si="7"/>
        <v>5.4472010106168756E-2</v>
      </c>
      <c r="D17" s="26" t="str">
        <f t="shared" ca="1" si="4"/>
        <v>Lose</v>
      </c>
      <c r="E17" s="3">
        <f t="shared" ca="1" si="8"/>
        <v>-500</v>
      </c>
      <c r="F17" s="42">
        <f t="shared" si="0"/>
        <v>2.7319057705451367E-295</v>
      </c>
      <c r="G17" s="41">
        <f>SUM(F$11:F17)</f>
        <v>2.7478101785323959E-295</v>
      </c>
      <c r="I17" s="1">
        <f t="shared" si="9"/>
        <v>7</v>
      </c>
      <c r="J17" s="3">
        <v>340000</v>
      </c>
      <c r="K17" s="3">
        <v>100000</v>
      </c>
      <c r="L17" s="3">
        <v>366000</v>
      </c>
      <c r="M17" s="30">
        <f t="shared" si="1"/>
        <v>2.4</v>
      </c>
      <c r="N17" s="1" t="str">
        <f t="shared" si="2"/>
        <v/>
      </c>
      <c r="O17" s="1" t="str">
        <f t="shared" si="3"/>
        <v/>
      </c>
    </row>
    <row r="18" spans="1:15" x14ac:dyDescent="0.25">
      <c r="A18" s="1">
        <f t="shared" si="5"/>
        <v>7</v>
      </c>
      <c r="B18" s="3">
        <f t="shared" ca="1" si="6"/>
        <v>99500</v>
      </c>
      <c r="C18" s="26">
        <f t="shared" ca="1" si="7"/>
        <v>0.40405227347066841</v>
      </c>
      <c r="D18" s="26" t="str">
        <f t="shared" ca="1" si="4"/>
        <v>Lose</v>
      </c>
      <c r="E18" s="3">
        <f t="shared" ca="1" si="8"/>
        <v>-500</v>
      </c>
      <c r="F18" s="42">
        <f t="shared" si="0"/>
        <v>4.0376452225077588E-293</v>
      </c>
      <c r="G18" s="41">
        <f>SUM(F$11:F18)</f>
        <v>4.0651233242930829E-293</v>
      </c>
      <c r="I18" s="1">
        <f t="shared" si="9"/>
        <v>8</v>
      </c>
      <c r="J18" s="3">
        <v>324000</v>
      </c>
      <c r="K18" s="3">
        <v>78000</v>
      </c>
      <c r="L18" s="3">
        <v>328000</v>
      </c>
      <c r="M18" s="30">
        <f t="shared" si="1"/>
        <v>2.2400000000000002</v>
      </c>
      <c r="N18" s="1" t="str">
        <f t="shared" si="2"/>
        <v/>
      </c>
      <c r="O18" s="1" t="str">
        <f t="shared" si="3"/>
        <v/>
      </c>
    </row>
    <row r="19" spans="1:15" x14ac:dyDescent="0.25">
      <c r="A19" s="1">
        <f t="shared" si="5"/>
        <v>8</v>
      </c>
      <c r="B19" s="3">
        <f t="shared" ca="1" si="6"/>
        <v>99000</v>
      </c>
      <c r="C19" s="26">
        <f t="shared" ca="1" si="7"/>
        <v>0.27507393057082463</v>
      </c>
      <c r="D19" s="26" t="str">
        <f t="shared" ca="1" si="4"/>
        <v>Lose</v>
      </c>
      <c r="E19" s="3">
        <f t="shared" ca="1" si="8"/>
        <v>-500</v>
      </c>
      <c r="F19" s="42">
        <f t="shared" si="0"/>
        <v>5.216287423557375E-291</v>
      </c>
      <c r="G19" s="41">
        <f>SUM(F$11:F19)</f>
        <v>5.2569386568003056E-291</v>
      </c>
      <c r="I19" s="1">
        <f t="shared" si="9"/>
        <v>9</v>
      </c>
      <c r="J19" s="3">
        <v>392000</v>
      </c>
      <c r="K19" s="3">
        <v>98000</v>
      </c>
      <c r="L19" s="3">
        <v>396000</v>
      </c>
      <c r="M19" s="30">
        <f t="shared" si="1"/>
        <v>2.92</v>
      </c>
      <c r="N19" s="1" t="str">
        <f t="shared" si="2"/>
        <v/>
      </c>
      <c r="O19" s="1" t="str">
        <f t="shared" si="3"/>
        <v/>
      </c>
    </row>
    <row r="20" spans="1:15" x14ac:dyDescent="0.25">
      <c r="A20" s="1">
        <f t="shared" si="5"/>
        <v>9</v>
      </c>
      <c r="B20" s="3">
        <f t="shared" ca="1" si="6"/>
        <v>98500</v>
      </c>
      <c r="C20" s="26">
        <f t="shared" ca="1" si="7"/>
        <v>4.2120715567315781E-2</v>
      </c>
      <c r="D20" s="26" t="str">
        <f t="shared" ca="1" si="4"/>
        <v>Lose</v>
      </c>
      <c r="E20" s="3">
        <f t="shared" ca="1" si="8"/>
        <v>-500</v>
      </c>
      <c r="F20" s="42">
        <f t="shared" si="0"/>
        <v>5.9841817082227209E-289</v>
      </c>
      <c r="G20" s="41">
        <f>SUM(F$11:F20)</f>
        <v>6.0367510947907237E-289</v>
      </c>
      <c r="I20" s="1">
        <f t="shared" si="9"/>
        <v>10</v>
      </c>
      <c r="J20" s="3">
        <v>236000</v>
      </c>
      <c r="K20" s="3">
        <v>100000</v>
      </c>
      <c r="L20" s="3">
        <v>246000</v>
      </c>
      <c r="M20" s="30">
        <f t="shared" si="1"/>
        <v>1.3599999999999999</v>
      </c>
      <c r="N20" s="1" t="str">
        <f t="shared" si="2"/>
        <v/>
      </c>
      <c r="O20" s="1" t="str">
        <f t="shared" si="3"/>
        <v/>
      </c>
    </row>
    <row r="21" spans="1:15" x14ac:dyDescent="0.25">
      <c r="A21" s="1">
        <f t="shared" si="5"/>
        <v>10</v>
      </c>
      <c r="B21" s="3">
        <f t="shared" ca="1" si="6"/>
        <v>98000</v>
      </c>
      <c r="C21" s="26">
        <f t="shared" ca="1" si="7"/>
        <v>0.28125775455295321</v>
      </c>
      <c r="D21" s="26" t="str">
        <f t="shared" ca="1" si="4"/>
        <v>Lose</v>
      </c>
      <c r="E21" s="3">
        <f t="shared" ca="1" si="8"/>
        <v>-500</v>
      </c>
      <c r="F21" s="42">
        <f t="shared" si="0"/>
        <v>6.1723781166393294E-287</v>
      </c>
      <c r="G21" s="41">
        <f>SUM(F$11:F21)</f>
        <v>6.2327456275872366E-287</v>
      </c>
      <c r="I21" s="1">
        <f t="shared" si="9"/>
        <v>11</v>
      </c>
      <c r="J21" s="3">
        <v>332000</v>
      </c>
      <c r="K21" s="3">
        <v>96000</v>
      </c>
      <c r="L21" s="3">
        <v>346000</v>
      </c>
      <c r="M21" s="30">
        <f t="shared" si="1"/>
        <v>2.3199999999999998</v>
      </c>
      <c r="N21" s="1" t="str">
        <f t="shared" si="2"/>
        <v/>
      </c>
      <c r="O21" s="1" t="str">
        <f t="shared" si="3"/>
        <v/>
      </c>
    </row>
    <row r="22" spans="1:15" x14ac:dyDescent="0.25">
      <c r="A22" s="1">
        <f t="shared" si="5"/>
        <v>11</v>
      </c>
      <c r="B22" s="3">
        <f t="shared" ca="1" si="6"/>
        <v>97500</v>
      </c>
      <c r="C22" s="26">
        <f t="shared" ca="1" si="7"/>
        <v>3.1860740151916644E-3</v>
      </c>
      <c r="D22" s="26" t="str">
        <f t="shared" ca="1" si="4"/>
        <v>Lose</v>
      </c>
      <c r="E22" s="3">
        <f t="shared" ca="1" si="8"/>
        <v>-500</v>
      </c>
      <c r="F22" s="42">
        <f t="shared" si="0"/>
        <v>5.7818807255852045E-285</v>
      </c>
      <c r="G22" s="41">
        <f>SUM(F$11:F22)</f>
        <v>5.8442081818610771E-285</v>
      </c>
      <c r="I22" s="1">
        <f t="shared" si="9"/>
        <v>12</v>
      </c>
      <c r="J22" s="3">
        <v>304000</v>
      </c>
      <c r="K22" s="3">
        <v>88000</v>
      </c>
      <c r="L22" s="3">
        <v>318000</v>
      </c>
      <c r="M22" s="30">
        <f t="shared" si="1"/>
        <v>2.04</v>
      </c>
      <c r="N22" s="1" t="str">
        <f t="shared" si="2"/>
        <v/>
      </c>
      <c r="O22" s="1" t="str">
        <f t="shared" si="3"/>
        <v/>
      </c>
    </row>
    <row r="23" spans="1:15" x14ac:dyDescent="0.25">
      <c r="A23" s="1">
        <f t="shared" si="5"/>
        <v>12</v>
      </c>
      <c r="B23" s="3">
        <f t="shared" ca="1" si="6"/>
        <v>97000</v>
      </c>
      <c r="C23" s="26">
        <f t="shared" ca="1" si="7"/>
        <v>0.37075181849412775</v>
      </c>
      <c r="D23" s="26" t="str">
        <f t="shared" ca="1" si="4"/>
        <v>Lose</v>
      </c>
      <c r="E23" s="3">
        <f t="shared" ca="1" si="8"/>
        <v>-500</v>
      </c>
      <c r="F23" s="42">
        <f t="shared" si="0"/>
        <v>4.9597326856767392E-283</v>
      </c>
      <c r="G23" s="41">
        <f>SUM(F$11:F23)</f>
        <v>5.0181747674953502E-283</v>
      </c>
      <c r="I23" s="1">
        <f t="shared" si="9"/>
        <v>13</v>
      </c>
      <c r="J23" s="3">
        <v>256000</v>
      </c>
      <c r="K23" s="3">
        <v>86000</v>
      </c>
      <c r="L23" s="3">
        <v>278000</v>
      </c>
      <c r="M23" s="30">
        <f t="shared" si="1"/>
        <v>1.56</v>
      </c>
      <c r="N23" s="1" t="str">
        <f t="shared" si="2"/>
        <v/>
      </c>
      <c r="O23" s="1" t="str">
        <f t="shared" si="3"/>
        <v/>
      </c>
    </row>
    <row r="24" spans="1:15" x14ac:dyDescent="0.25">
      <c r="A24" s="1">
        <f t="shared" si="5"/>
        <v>13</v>
      </c>
      <c r="B24" s="3">
        <f t="shared" ca="1" si="6"/>
        <v>97500</v>
      </c>
      <c r="C24" s="26">
        <f t="shared" ca="1" si="7"/>
        <v>0.59327521817864592</v>
      </c>
      <c r="D24" s="26" t="str">
        <f t="shared" ca="1" si="4"/>
        <v>Win</v>
      </c>
      <c r="E24" s="3">
        <f t="shared" ca="1" si="8"/>
        <v>500</v>
      </c>
      <c r="F24" s="42">
        <f t="shared" si="0"/>
        <v>3.9232497734050667E-281</v>
      </c>
      <c r="G24" s="41">
        <f>SUM(F$11:F24)</f>
        <v>3.97343152108002E-281</v>
      </c>
      <c r="I24" s="1">
        <f t="shared" si="9"/>
        <v>14</v>
      </c>
      <c r="J24" s="3">
        <v>380000</v>
      </c>
      <c r="K24" s="3">
        <v>100000</v>
      </c>
      <c r="L24" s="3">
        <v>386000</v>
      </c>
      <c r="M24" s="30">
        <f t="shared" si="1"/>
        <v>2.8</v>
      </c>
      <c r="N24" s="1" t="str">
        <f t="shared" si="2"/>
        <v/>
      </c>
      <c r="O24" s="1" t="str">
        <f t="shared" si="3"/>
        <v/>
      </c>
    </row>
    <row r="25" spans="1:15" x14ac:dyDescent="0.25">
      <c r="A25" s="1">
        <f t="shared" si="5"/>
        <v>14</v>
      </c>
      <c r="B25" s="3">
        <f t="shared" ca="1" si="6"/>
        <v>98000</v>
      </c>
      <c r="C25" s="26">
        <f t="shared" ca="1" si="7"/>
        <v>0.54966686962693945</v>
      </c>
      <c r="D25" s="26" t="str">
        <f t="shared" ca="1" si="4"/>
        <v>Win</v>
      </c>
      <c r="E25" s="3">
        <f t="shared" ca="1" si="8"/>
        <v>500</v>
      </c>
      <c r="F25" s="42">
        <f t="shared" si="0"/>
        <v>2.8787846041382169E-279</v>
      </c>
      <c r="G25" s="41">
        <f>SUM(F$11:F25)</f>
        <v>2.918518919349017E-279</v>
      </c>
      <c r="I25" s="1">
        <f t="shared" si="9"/>
        <v>15</v>
      </c>
      <c r="J25" s="3">
        <v>336000</v>
      </c>
      <c r="K25" s="3">
        <v>66000</v>
      </c>
      <c r="L25" s="3">
        <v>346000</v>
      </c>
      <c r="M25" s="30">
        <f t="shared" si="1"/>
        <v>2.36</v>
      </c>
      <c r="N25" s="1" t="str">
        <f t="shared" si="2"/>
        <v/>
      </c>
      <c r="O25" s="1" t="str">
        <f t="shared" si="3"/>
        <v/>
      </c>
    </row>
    <row r="26" spans="1:15" x14ac:dyDescent="0.25">
      <c r="A26" s="1">
        <f t="shared" si="5"/>
        <v>15</v>
      </c>
      <c r="B26" s="3">
        <f t="shared" ca="1" si="6"/>
        <v>98500</v>
      </c>
      <c r="C26" s="26">
        <f t="shared" ca="1" si="7"/>
        <v>0.70750128396731093</v>
      </c>
      <c r="D26" s="26" t="str">
        <f t="shared" ca="1" si="4"/>
        <v>Win</v>
      </c>
      <c r="E26" s="3">
        <f t="shared" ca="1" si="8"/>
        <v>500</v>
      </c>
      <c r="F26" s="42">
        <f t="shared" si="0"/>
        <v>1.969558674880674E-277</v>
      </c>
      <c r="G26" s="41">
        <f>SUM(F$11:F26)</f>
        <v>1.9987438640741643E-277</v>
      </c>
      <c r="I26" s="1">
        <f t="shared" si="9"/>
        <v>16</v>
      </c>
      <c r="J26" s="3">
        <v>312000</v>
      </c>
      <c r="K26" s="3">
        <v>100000</v>
      </c>
      <c r="L26" s="3">
        <v>312000</v>
      </c>
      <c r="M26" s="30">
        <f t="shared" si="1"/>
        <v>2.12</v>
      </c>
      <c r="N26" s="1" t="str">
        <f t="shared" si="2"/>
        <v/>
      </c>
      <c r="O26" s="1" t="str">
        <f t="shared" si="3"/>
        <v/>
      </c>
    </row>
    <row r="27" spans="1:15" x14ac:dyDescent="0.25">
      <c r="A27" s="1">
        <f t="shared" si="5"/>
        <v>16</v>
      </c>
      <c r="B27" s="3">
        <f t="shared" ca="1" si="6"/>
        <v>98000</v>
      </c>
      <c r="C27" s="26">
        <f t="shared" ca="1" si="7"/>
        <v>0.47834239060334083</v>
      </c>
      <c r="D27" s="26" t="str">
        <f t="shared" ca="1" si="4"/>
        <v>Lose</v>
      </c>
      <c r="E27" s="3">
        <f t="shared" ca="1" si="8"/>
        <v>-500</v>
      </c>
      <c r="F27" s="42">
        <f t="shared" si="0"/>
        <v>1.2619997453138341E-275</v>
      </c>
      <c r="G27" s="41">
        <f>SUM(F$11:F27)</f>
        <v>1.2819871839545757E-275</v>
      </c>
      <c r="I27" s="1">
        <f t="shared" si="9"/>
        <v>17</v>
      </c>
      <c r="J27" s="3">
        <v>408000</v>
      </c>
      <c r="K27" s="3">
        <v>100000</v>
      </c>
      <c r="L27" s="3">
        <v>408000</v>
      </c>
      <c r="M27" s="30">
        <f t="shared" si="1"/>
        <v>3.08</v>
      </c>
      <c r="N27" s="1" t="str">
        <f t="shared" si="2"/>
        <v/>
      </c>
      <c r="O27" s="1" t="str">
        <f t="shared" si="3"/>
        <v/>
      </c>
    </row>
    <row r="28" spans="1:15" x14ac:dyDescent="0.25">
      <c r="A28" s="1">
        <f t="shared" si="5"/>
        <v>17</v>
      </c>
      <c r="B28" s="3">
        <f t="shared" ca="1" si="6"/>
        <v>98500</v>
      </c>
      <c r="C28" s="26">
        <f t="shared" ca="1" si="7"/>
        <v>0.62877276438265783</v>
      </c>
      <c r="D28" s="26" t="str">
        <f t="shared" ca="1" si="4"/>
        <v>Win</v>
      </c>
      <c r="E28" s="3">
        <f t="shared" ca="1" si="8"/>
        <v>500</v>
      </c>
      <c r="F28" s="42">
        <f t="shared" si="0"/>
        <v>7.6029045880962958E-274</v>
      </c>
      <c r="G28" s="41">
        <f>SUM(F$11:F28)</f>
        <v>7.7311033064917538E-274</v>
      </c>
      <c r="I28" s="1">
        <f t="shared" si="9"/>
        <v>18</v>
      </c>
      <c r="J28" s="3">
        <v>184000</v>
      </c>
      <c r="K28" s="3">
        <v>90000</v>
      </c>
      <c r="L28" s="3">
        <v>184000</v>
      </c>
      <c r="M28" s="30">
        <f t="shared" si="1"/>
        <v>0.84000000000000008</v>
      </c>
      <c r="N28" s="1" t="str">
        <f t="shared" si="2"/>
        <v/>
      </c>
      <c r="O28" s="1" t="str">
        <f t="shared" si="3"/>
        <v/>
      </c>
    </row>
    <row r="29" spans="1:15" x14ac:dyDescent="0.25">
      <c r="A29" s="1">
        <f t="shared" si="5"/>
        <v>18</v>
      </c>
      <c r="B29" s="3">
        <f t="shared" ca="1" si="6"/>
        <v>99000</v>
      </c>
      <c r="C29" s="26">
        <f t="shared" ca="1" si="7"/>
        <v>0.81491271742272076</v>
      </c>
      <c r="D29" s="26" t="str">
        <f t="shared" ca="1" si="4"/>
        <v>Win</v>
      </c>
      <c r="E29" s="3">
        <f t="shared" ca="1" si="8"/>
        <v>500</v>
      </c>
      <c r="F29" s="42">
        <f t="shared" si="0"/>
        <v>4.321501311961021E-272</v>
      </c>
      <c r="G29" s="41">
        <f>SUM(F$11:F29)</f>
        <v>4.3988123450259383E-272</v>
      </c>
      <c r="I29" s="1">
        <f t="shared" si="9"/>
        <v>19</v>
      </c>
      <c r="J29" s="3">
        <v>264000</v>
      </c>
      <c r="K29" s="3">
        <v>92000</v>
      </c>
      <c r="L29" s="3">
        <v>266000</v>
      </c>
      <c r="M29" s="30">
        <f t="shared" si="1"/>
        <v>1.6400000000000001</v>
      </c>
      <c r="N29" s="1" t="str">
        <f t="shared" si="2"/>
        <v/>
      </c>
      <c r="O29" s="1" t="str">
        <f t="shared" si="3"/>
        <v/>
      </c>
    </row>
    <row r="30" spans="1:15" x14ac:dyDescent="0.25">
      <c r="A30" s="1">
        <f t="shared" si="5"/>
        <v>19</v>
      </c>
      <c r="B30" s="3">
        <f t="shared" ca="1" si="6"/>
        <v>98500</v>
      </c>
      <c r="C30" s="26">
        <f t="shared" ca="1" si="7"/>
        <v>0.19718462700427886</v>
      </c>
      <c r="D30" s="26" t="str">
        <f t="shared" ca="1" si="4"/>
        <v>Lose</v>
      </c>
      <c r="E30" s="3">
        <f t="shared" ca="1" si="8"/>
        <v>-500</v>
      </c>
      <c r="F30" s="42">
        <f t="shared" si="0"/>
        <v>2.3246984823382337E-270</v>
      </c>
      <c r="G30" s="41">
        <f>SUM(F$11:F30)</f>
        <v>2.368686605788493E-270</v>
      </c>
      <c r="I30" s="1">
        <f t="shared" si="9"/>
        <v>20</v>
      </c>
      <c r="J30" s="3">
        <v>412000</v>
      </c>
      <c r="K30" s="3">
        <v>100000</v>
      </c>
      <c r="L30" s="3">
        <v>418000</v>
      </c>
      <c r="M30" s="30">
        <f t="shared" si="1"/>
        <v>3.12</v>
      </c>
      <c r="N30" s="1" t="str">
        <f t="shared" si="2"/>
        <v/>
      </c>
      <c r="O30" s="1" t="str">
        <f t="shared" si="3"/>
        <v/>
      </c>
    </row>
    <row r="31" spans="1:15" x14ac:dyDescent="0.25">
      <c r="A31" s="1">
        <f t="shared" si="5"/>
        <v>20</v>
      </c>
      <c r="B31" s="3">
        <f t="shared" ca="1" si="6"/>
        <v>99000</v>
      </c>
      <c r="C31" s="26">
        <f t="shared" ca="1" si="7"/>
        <v>0.59195028768747471</v>
      </c>
      <c r="D31" s="26" t="str">
        <f t="shared" ca="1" si="4"/>
        <v>Win</v>
      </c>
      <c r="E31" s="3">
        <f t="shared" ca="1" si="8"/>
        <v>500</v>
      </c>
      <c r="F31" s="42">
        <f t="shared" si="0"/>
        <v>1.1868060180594631E-268</v>
      </c>
      <c r="G31" s="41">
        <f>SUM(F$11:F31)</f>
        <v>1.210492884117348E-268</v>
      </c>
      <c r="I31" s="1">
        <f t="shared" si="9"/>
        <v>21</v>
      </c>
      <c r="J31" s="3">
        <v>336000</v>
      </c>
      <c r="K31" s="3">
        <v>90000</v>
      </c>
      <c r="L31" s="3">
        <v>348000</v>
      </c>
      <c r="M31" s="30">
        <f t="shared" si="1"/>
        <v>2.36</v>
      </c>
      <c r="N31" s="1" t="str">
        <f t="shared" si="2"/>
        <v/>
      </c>
      <c r="O31" s="1" t="str">
        <f t="shared" si="3"/>
        <v/>
      </c>
    </row>
    <row r="32" spans="1:15" x14ac:dyDescent="0.25">
      <c r="A32" s="1">
        <f t="shared" si="5"/>
        <v>21</v>
      </c>
      <c r="B32" s="3">
        <f t="shared" ca="1" si="6"/>
        <v>99500</v>
      </c>
      <c r="C32" s="26">
        <f t="shared" ca="1" si="7"/>
        <v>0.74020734163264468</v>
      </c>
      <c r="D32" s="26" t="str">
        <f t="shared" ca="1" si="4"/>
        <v>Win</v>
      </c>
      <c r="E32" s="3">
        <f t="shared" ca="1" si="8"/>
        <v>500</v>
      </c>
      <c r="F32" s="42">
        <f t="shared" si="0"/>
        <v>5.7644863734322731E-267</v>
      </c>
      <c r="G32" s="41">
        <f>SUM(F$11:F32)</f>
        <v>5.8855356618440079E-267</v>
      </c>
      <c r="I32" s="1">
        <f t="shared" si="9"/>
        <v>22</v>
      </c>
      <c r="J32" s="3">
        <v>324000</v>
      </c>
      <c r="K32" s="3">
        <v>82000</v>
      </c>
      <c r="L32" s="3">
        <v>326000</v>
      </c>
      <c r="M32" s="30">
        <f t="shared" si="1"/>
        <v>2.2400000000000002</v>
      </c>
      <c r="N32" s="1" t="str">
        <f t="shared" si="2"/>
        <v/>
      </c>
      <c r="O32" s="1" t="str">
        <f t="shared" si="3"/>
        <v/>
      </c>
    </row>
    <row r="33" spans="1:15" x14ac:dyDescent="0.25">
      <c r="A33" s="1">
        <f t="shared" si="5"/>
        <v>22</v>
      </c>
      <c r="B33" s="3">
        <f t="shared" ca="1" si="6"/>
        <v>100000</v>
      </c>
      <c r="C33" s="26">
        <f t="shared" ca="1" si="7"/>
        <v>0.6782906117039903</v>
      </c>
      <c r="D33" s="26" t="str">
        <f t="shared" ca="1" si="4"/>
        <v>Win</v>
      </c>
      <c r="E33" s="3">
        <f t="shared" ca="1" si="8"/>
        <v>500</v>
      </c>
      <c r="F33" s="42">
        <f t="shared" si="0"/>
        <v>2.6698983315316869E-265</v>
      </c>
      <c r="G33" s="41">
        <f>SUM(F$11:F33)</f>
        <v>2.728753688150127E-265</v>
      </c>
      <c r="I33" s="1">
        <f t="shared" si="9"/>
        <v>23</v>
      </c>
      <c r="J33" s="3">
        <v>236000</v>
      </c>
      <c r="K33" s="3">
        <v>96000</v>
      </c>
      <c r="L33" s="3">
        <v>244000</v>
      </c>
      <c r="M33" s="30">
        <f t="shared" si="1"/>
        <v>1.3599999999999999</v>
      </c>
      <c r="N33" s="1" t="str">
        <f t="shared" si="2"/>
        <v/>
      </c>
      <c r="O33" s="1" t="str">
        <f t="shared" si="3"/>
        <v/>
      </c>
    </row>
    <row r="34" spans="1:15" x14ac:dyDescent="0.25">
      <c r="A34" s="1">
        <f t="shared" si="5"/>
        <v>23</v>
      </c>
      <c r="B34" s="3">
        <f t="shared" ca="1" si="6"/>
        <v>100500</v>
      </c>
      <c r="C34" s="26">
        <f t="shared" ca="1" si="7"/>
        <v>0.68629977636917017</v>
      </c>
      <c r="D34" s="26" t="str">
        <f t="shared" ca="1" si="4"/>
        <v>Win</v>
      </c>
      <c r="E34" s="3">
        <f t="shared" ca="1" si="8"/>
        <v>500</v>
      </c>
      <c r="F34" s="42">
        <f t="shared" si="0"/>
        <v>1.1816254567892744E-263</v>
      </c>
      <c r="G34" s="41">
        <f>SUM(F$11:F34)</f>
        <v>1.2089129936707757E-263</v>
      </c>
      <c r="I34" s="1">
        <f t="shared" si="9"/>
        <v>24</v>
      </c>
      <c r="J34" s="3">
        <v>336000</v>
      </c>
      <c r="K34" s="3">
        <v>92000</v>
      </c>
      <c r="L34" s="3">
        <v>342000</v>
      </c>
      <c r="M34" s="30">
        <f t="shared" si="1"/>
        <v>2.36</v>
      </c>
      <c r="N34" s="1" t="str">
        <f t="shared" si="2"/>
        <v/>
      </c>
      <c r="O34" s="1" t="str">
        <f t="shared" si="3"/>
        <v/>
      </c>
    </row>
    <row r="35" spans="1:15" x14ac:dyDescent="0.25">
      <c r="A35" s="1">
        <f t="shared" si="5"/>
        <v>24</v>
      </c>
      <c r="B35" s="3">
        <f t="shared" ca="1" si="6"/>
        <v>101000</v>
      </c>
      <c r="C35" s="26">
        <f t="shared" ca="1" si="7"/>
        <v>0.73750421943831179</v>
      </c>
      <c r="D35" s="26" t="str">
        <f t="shared" ca="1" si="4"/>
        <v>Win</v>
      </c>
      <c r="E35" s="3">
        <f t="shared" ca="1" si="8"/>
        <v>500</v>
      </c>
      <c r="F35" s="42">
        <f t="shared" si="0"/>
        <v>5.0065350030123748E-262</v>
      </c>
      <c r="G35" s="41">
        <f>SUM(F$11:F35)</f>
        <v>5.1274263023794521E-262</v>
      </c>
      <c r="I35" s="1">
        <f t="shared" si="9"/>
        <v>25</v>
      </c>
      <c r="J35" s="3">
        <v>348000</v>
      </c>
      <c r="K35" s="3">
        <v>94000</v>
      </c>
      <c r="L35" s="3">
        <v>348000</v>
      </c>
      <c r="M35" s="30">
        <f t="shared" si="1"/>
        <v>2.48</v>
      </c>
      <c r="N35" s="1" t="str">
        <f t="shared" si="2"/>
        <v/>
      </c>
      <c r="O35" s="1" t="str">
        <f t="shared" si="3"/>
        <v/>
      </c>
    </row>
    <row r="36" spans="1:15" x14ac:dyDescent="0.25">
      <c r="A36" s="1">
        <f t="shared" si="5"/>
        <v>25</v>
      </c>
      <c r="B36" s="3">
        <f t="shared" ca="1" si="6"/>
        <v>100500</v>
      </c>
      <c r="C36" s="26">
        <f t="shared" ca="1" si="7"/>
        <v>0.36925712080723905</v>
      </c>
      <c r="D36" s="26" t="str">
        <f t="shared" ca="1" si="4"/>
        <v>Lose</v>
      </c>
      <c r="E36" s="3">
        <f t="shared" ca="1" si="8"/>
        <v>-500</v>
      </c>
      <c r="F36" s="42">
        <f t="shared" si="0"/>
        <v>2.0343288678362522E-260</v>
      </c>
      <c r="G36" s="41">
        <f>SUM(F$11:F36)</f>
        <v>2.0856031308600469E-260</v>
      </c>
      <c r="I36" s="1">
        <f t="shared" si="9"/>
        <v>26</v>
      </c>
      <c r="J36" s="3">
        <v>436000</v>
      </c>
      <c r="K36" s="3">
        <v>88000</v>
      </c>
      <c r="L36" s="3">
        <v>440000</v>
      </c>
      <c r="M36" s="30">
        <f t="shared" si="1"/>
        <v>3.3600000000000003</v>
      </c>
      <c r="N36" s="1" t="str">
        <f t="shared" si="2"/>
        <v/>
      </c>
      <c r="O36" s="1" t="str">
        <f t="shared" si="3"/>
        <v/>
      </c>
    </row>
    <row r="37" spans="1:15" x14ac:dyDescent="0.25">
      <c r="A37" s="1">
        <f t="shared" si="5"/>
        <v>26</v>
      </c>
      <c r="B37" s="3">
        <f t="shared" ca="1" si="6"/>
        <v>100000</v>
      </c>
      <c r="C37" s="26">
        <f t="shared" ca="1" si="7"/>
        <v>0.3783788272810974</v>
      </c>
      <c r="D37" s="26" t="str">
        <f t="shared" ca="1" si="4"/>
        <v>Lose</v>
      </c>
      <c r="E37" s="3">
        <f t="shared" ca="1" si="8"/>
        <v>-500</v>
      </c>
      <c r="F37" s="42">
        <f t="shared" si="0"/>
        <v>7.9401101219129392E-259</v>
      </c>
      <c r="G37" s="41">
        <f>SUM(F$11:F37)</f>
        <v>8.1486704349989437E-259</v>
      </c>
      <c r="I37" s="1">
        <f t="shared" si="9"/>
        <v>27</v>
      </c>
      <c r="J37" s="3">
        <v>332000</v>
      </c>
      <c r="K37" s="3">
        <v>94000</v>
      </c>
      <c r="L37" s="3">
        <v>334000</v>
      </c>
      <c r="M37" s="30">
        <f t="shared" si="1"/>
        <v>2.3199999999999998</v>
      </c>
      <c r="N37" s="1" t="str">
        <f t="shared" si="2"/>
        <v/>
      </c>
      <c r="O37" s="1" t="str">
        <f t="shared" si="3"/>
        <v/>
      </c>
    </row>
    <row r="38" spans="1:15" x14ac:dyDescent="0.25">
      <c r="A38" s="1">
        <f t="shared" si="5"/>
        <v>27</v>
      </c>
      <c r="B38" s="3">
        <f t="shared" ca="1" si="6"/>
        <v>100500</v>
      </c>
      <c r="C38" s="26">
        <f t="shared" ca="1" si="7"/>
        <v>0.89773809154754725</v>
      </c>
      <c r="D38" s="26" t="str">
        <f t="shared" ca="1" si="4"/>
        <v>Win</v>
      </c>
      <c r="E38" s="3">
        <f t="shared" ca="1" si="8"/>
        <v>500</v>
      </c>
      <c r="F38" s="42">
        <f t="shared" si="0"/>
        <v>2.9812322766125823E-257</v>
      </c>
      <c r="G38" s="41">
        <f>SUM(F$11:F38)</f>
        <v>3.0627189809625716E-257</v>
      </c>
      <c r="I38" s="1">
        <f t="shared" si="9"/>
        <v>28</v>
      </c>
      <c r="J38" s="3">
        <v>252000</v>
      </c>
      <c r="K38" s="3">
        <v>90000</v>
      </c>
      <c r="L38" s="3">
        <v>260000</v>
      </c>
      <c r="M38" s="30">
        <f t="shared" si="1"/>
        <v>1.52</v>
      </c>
      <c r="N38" s="1" t="str">
        <f t="shared" si="2"/>
        <v/>
      </c>
      <c r="O38" s="1" t="str">
        <f t="shared" si="3"/>
        <v/>
      </c>
    </row>
    <row r="39" spans="1:15" x14ac:dyDescent="0.25">
      <c r="A39" s="1">
        <f t="shared" si="5"/>
        <v>28</v>
      </c>
      <c r="B39" s="3">
        <f t="shared" ca="1" si="6"/>
        <v>100000</v>
      </c>
      <c r="C39" s="26">
        <f t="shared" ca="1" si="7"/>
        <v>0.46237437489708821</v>
      </c>
      <c r="D39" s="26" t="str">
        <f t="shared" ca="1" si="4"/>
        <v>Lose</v>
      </c>
      <c r="E39" s="3">
        <f t="shared" ca="1" si="8"/>
        <v>-500</v>
      </c>
      <c r="F39" s="42">
        <f t="shared" si="0"/>
        <v>1.0782630412708367E-255</v>
      </c>
      <c r="G39" s="41">
        <f>SUM(F$11:F39)</f>
        <v>1.1088902310804624E-255</v>
      </c>
      <c r="I39" s="1">
        <f t="shared" si="9"/>
        <v>29</v>
      </c>
      <c r="J39" s="3">
        <v>316000</v>
      </c>
      <c r="K39" s="3">
        <v>78000</v>
      </c>
      <c r="L39" s="3">
        <v>332000</v>
      </c>
      <c r="M39" s="30">
        <f t="shared" si="1"/>
        <v>2.16</v>
      </c>
      <c r="N39" s="1" t="str">
        <f t="shared" si="2"/>
        <v/>
      </c>
      <c r="O39" s="1" t="str">
        <f t="shared" si="3"/>
        <v/>
      </c>
    </row>
    <row r="40" spans="1:15" x14ac:dyDescent="0.25">
      <c r="A40" s="1">
        <f t="shared" si="5"/>
        <v>29</v>
      </c>
      <c r="B40" s="3">
        <f t="shared" ca="1" si="6"/>
        <v>99500</v>
      </c>
      <c r="C40" s="26">
        <f t="shared" ca="1" si="7"/>
        <v>0.4517086122802314</v>
      </c>
      <c r="D40" s="26" t="str">
        <f t="shared" ca="1" si="4"/>
        <v>Lose</v>
      </c>
      <c r="E40" s="3">
        <f t="shared" ca="1" si="8"/>
        <v>-500</v>
      </c>
      <c r="F40" s="42">
        <f t="shared" si="0"/>
        <v>3.7615521099140958E-254</v>
      </c>
      <c r="G40" s="41">
        <f>SUM(F$11:F40)</f>
        <v>3.872441133022142E-254</v>
      </c>
      <c r="I40" s="1">
        <f t="shared" si="9"/>
        <v>30</v>
      </c>
      <c r="J40" s="3">
        <v>184000</v>
      </c>
      <c r="K40" s="3">
        <v>98000</v>
      </c>
      <c r="L40" s="3">
        <v>198000</v>
      </c>
      <c r="M40" s="30">
        <f t="shared" si="1"/>
        <v>0.84000000000000008</v>
      </c>
      <c r="N40" s="1" t="str">
        <f t="shared" si="2"/>
        <v/>
      </c>
      <c r="O40" s="1" t="str">
        <f t="shared" si="3"/>
        <v/>
      </c>
    </row>
    <row r="41" spans="1:15" x14ac:dyDescent="0.25">
      <c r="A41" s="1">
        <f t="shared" si="5"/>
        <v>30</v>
      </c>
      <c r="B41" s="3">
        <f t="shared" ca="1" si="6"/>
        <v>100000</v>
      </c>
      <c r="C41" s="26">
        <f t="shared" ca="1" si="7"/>
        <v>0.8333040376670886</v>
      </c>
      <c r="D41" s="26" t="str">
        <f t="shared" ca="1" si="4"/>
        <v>Win</v>
      </c>
      <c r="E41" s="3">
        <f t="shared" ca="1" si="8"/>
        <v>500</v>
      </c>
      <c r="F41" s="42">
        <f t="shared" si="0"/>
        <v>1.2671824628233995E-252</v>
      </c>
      <c r="G41" s="41">
        <f>SUM(F$11:F41)</f>
        <v>1.3059068741536209E-252</v>
      </c>
      <c r="I41" s="1">
        <f t="shared" si="9"/>
        <v>31</v>
      </c>
      <c r="J41" s="3">
        <v>280000</v>
      </c>
      <c r="K41" s="3">
        <v>100000</v>
      </c>
      <c r="L41" s="3">
        <v>286000</v>
      </c>
      <c r="M41" s="30">
        <f t="shared" si="1"/>
        <v>1.7999999999999998</v>
      </c>
      <c r="N41" s="1" t="str">
        <f t="shared" si="2"/>
        <v/>
      </c>
      <c r="O41" s="1" t="str">
        <f t="shared" si="3"/>
        <v/>
      </c>
    </row>
    <row r="42" spans="1:15" x14ac:dyDescent="0.25">
      <c r="A42" s="1">
        <f t="shared" si="5"/>
        <v>31</v>
      </c>
      <c r="B42" s="3">
        <f t="shared" ca="1" si="6"/>
        <v>100500</v>
      </c>
      <c r="C42" s="26">
        <f t="shared" ca="1" si="7"/>
        <v>0.97171679120301147</v>
      </c>
      <c r="D42" s="26" t="str">
        <f t="shared" ca="1" si="4"/>
        <v>Win</v>
      </c>
      <c r="E42" s="3">
        <f t="shared" ca="1" si="8"/>
        <v>500</v>
      </c>
      <c r="F42" s="42">
        <f t="shared" si="0"/>
        <v>4.1268937745805638E-251</v>
      </c>
      <c r="G42" s="41">
        <f>SUM(F$11:F42)</f>
        <v>4.2574844619959258E-251</v>
      </c>
      <c r="I42" s="1">
        <f t="shared" si="9"/>
        <v>32</v>
      </c>
      <c r="J42" s="3">
        <v>248000</v>
      </c>
      <c r="K42" s="3">
        <v>98000</v>
      </c>
      <c r="L42" s="3">
        <v>258000</v>
      </c>
      <c r="M42" s="30">
        <f t="shared" si="1"/>
        <v>1.48</v>
      </c>
      <c r="N42" s="1" t="str">
        <f t="shared" si="2"/>
        <v/>
      </c>
      <c r="O42" s="1" t="str">
        <f t="shared" si="3"/>
        <v/>
      </c>
    </row>
    <row r="43" spans="1:15" x14ac:dyDescent="0.25">
      <c r="A43" s="1">
        <f t="shared" si="5"/>
        <v>32</v>
      </c>
      <c r="B43" s="3">
        <f t="shared" ca="1" si="6"/>
        <v>101000</v>
      </c>
      <c r="C43" s="26">
        <f t="shared" ca="1" si="7"/>
        <v>0.73750416135706409</v>
      </c>
      <c r="D43" s="26" t="str">
        <f t="shared" ca="1" si="4"/>
        <v>Win</v>
      </c>
      <c r="E43" s="3">
        <f t="shared" ca="1" si="8"/>
        <v>500</v>
      </c>
      <c r="F43" s="42">
        <f t="shared" si="0"/>
        <v>1.3006821648341826E-249</v>
      </c>
      <c r="G43" s="41">
        <f>SUM(F$11:F43)</f>
        <v>1.3432570094541419E-249</v>
      </c>
      <c r="I43" s="1">
        <f t="shared" si="9"/>
        <v>33</v>
      </c>
      <c r="J43" s="3">
        <v>376000</v>
      </c>
      <c r="K43" s="3">
        <v>100000</v>
      </c>
      <c r="L43" s="3">
        <v>376000</v>
      </c>
      <c r="M43" s="30">
        <f t="shared" si="1"/>
        <v>2.76</v>
      </c>
      <c r="N43" s="1" t="str">
        <f t="shared" si="2"/>
        <v/>
      </c>
      <c r="O43" s="1" t="str">
        <f t="shared" si="3"/>
        <v/>
      </c>
    </row>
    <row r="44" spans="1:15" x14ac:dyDescent="0.25">
      <c r="A44" s="1">
        <f t="shared" si="5"/>
        <v>33</v>
      </c>
      <c r="B44" s="3">
        <f t="shared" ca="1" si="6"/>
        <v>101500</v>
      </c>
      <c r="C44" s="26">
        <f t="shared" ca="1" si="7"/>
        <v>0.63330821156555805</v>
      </c>
      <c r="D44" s="26" t="str">
        <f t="shared" ca="1" si="4"/>
        <v>Win</v>
      </c>
      <c r="E44" s="3">
        <f t="shared" ca="1" si="8"/>
        <v>500</v>
      </c>
      <c r="F44" s="42">
        <f t="shared" si="0"/>
        <v>3.9710622828407838E-248</v>
      </c>
      <c r="G44" s="41">
        <f>SUM(F$11:F44)</f>
        <v>4.105387983786198E-248</v>
      </c>
      <c r="I44" s="1">
        <f t="shared" si="9"/>
        <v>34</v>
      </c>
      <c r="J44" s="3">
        <v>400000</v>
      </c>
      <c r="K44" s="3">
        <v>92000</v>
      </c>
      <c r="L44" s="3">
        <v>414000</v>
      </c>
      <c r="M44" s="30">
        <f t="shared" si="1"/>
        <v>3</v>
      </c>
      <c r="N44" s="1" t="str">
        <f t="shared" si="2"/>
        <v/>
      </c>
      <c r="O44" s="1" t="str">
        <f t="shared" si="3"/>
        <v/>
      </c>
    </row>
    <row r="45" spans="1:15" x14ac:dyDescent="0.25">
      <c r="A45" s="1">
        <f t="shared" si="5"/>
        <v>34</v>
      </c>
      <c r="B45" s="3">
        <f t="shared" ca="1" si="6"/>
        <v>102000</v>
      </c>
      <c r="C45" s="26">
        <f t="shared" ca="1" si="7"/>
        <v>0.9883595186809927</v>
      </c>
      <c r="D45" s="26" t="str">
        <f t="shared" ca="1" si="4"/>
        <v>Win</v>
      </c>
      <c r="E45" s="3">
        <f t="shared" ca="1" si="8"/>
        <v>500</v>
      </c>
      <c r="F45" s="42">
        <f t="shared" si="0"/>
        <v>1.1755154778082034E-246</v>
      </c>
      <c r="G45" s="41">
        <f>SUM(F$11:F45)</f>
        <v>1.2165693576460655E-246</v>
      </c>
      <c r="I45" s="1">
        <f t="shared" si="9"/>
        <v>35</v>
      </c>
      <c r="J45" s="3">
        <v>396000</v>
      </c>
      <c r="K45" s="3">
        <v>74000</v>
      </c>
      <c r="L45" s="3">
        <v>396000</v>
      </c>
      <c r="M45" s="30">
        <f t="shared" si="1"/>
        <v>2.96</v>
      </c>
      <c r="N45" s="1" t="str">
        <f t="shared" si="2"/>
        <v/>
      </c>
      <c r="O45" s="1" t="str">
        <f t="shared" si="3"/>
        <v/>
      </c>
    </row>
    <row r="46" spans="1:15" x14ac:dyDescent="0.25">
      <c r="A46" s="1">
        <f t="shared" si="5"/>
        <v>35</v>
      </c>
      <c r="B46" s="3">
        <f t="shared" ca="1" si="6"/>
        <v>102500</v>
      </c>
      <c r="C46" s="26">
        <f t="shared" ca="1" si="7"/>
        <v>0.608407391982415</v>
      </c>
      <c r="D46" s="26" t="str">
        <f t="shared" ca="1" si="4"/>
        <v>Win</v>
      </c>
      <c r="E46" s="3">
        <f t="shared" ca="1" si="8"/>
        <v>500</v>
      </c>
      <c r="F46" s="42">
        <f t="shared" si="0"/>
        <v>3.3768481358424919E-245</v>
      </c>
      <c r="G46" s="41">
        <f>SUM(F$11:F46)</f>
        <v>3.4985050716070987E-245</v>
      </c>
      <c r="I46" s="1">
        <f t="shared" si="9"/>
        <v>36</v>
      </c>
      <c r="J46" s="3">
        <v>200000</v>
      </c>
      <c r="K46" s="3">
        <v>98000</v>
      </c>
      <c r="L46" s="3">
        <v>222000</v>
      </c>
      <c r="M46" s="30">
        <f t="shared" si="1"/>
        <v>1</v>
      </c>
      <c r="N46" s="1" t="str">
        <f t="shared" si="2"/>
        <v/>
      </c>
      <c r="O46" s="1" t="str">
        <f t="shared" si="3"/>
        <v/>
      </c>
    </row>
    <row r="47" spans="1:15" x14ac:dyDescent="0.25">
      <c r="A47" s="1">
        <f t="shared" si="5"/>
        <v>36</v>
      </c>
      <c r="B47" s="3">
        <f t="shared" ca="1" si="6"/>
        <v>103000</v>
      </c>
      <c r="C47" s="26">
        <f t="shared" ca="1" si="7"/>
        <v>0.59120186045563716</v>
      </c>
      <c r="D47" s="26" t="str">
        <f t="shared" ca="1" si="4"/>
        <v>Win</v>
      </c>
      <c r="E47" s="3">
        <f t="shared" ca="1" si="8"/>
        <v>500</v>
      </c>
      <c r="F47" s="42">
        <f t="shared" si="0"/>
        <v>9.4212914402210394E-244</v>
      </c>
      <c r="G47" s="41">
        <f>SUM(F$11:F47)</f>
        <v>9.7711419473817498E-244</v>
      </c>
      <c r="I47" s="1">
        <f t="shared" si="9"/>
        <v>37</v>
      </c>
      <c r="J47" s="3">
        <v>348000</v>
      </c>
      <c r="K47" s="3">
        <v>92000</v>
      </c>
      <c r="L47" s="3">
        <v>362000</v>
      </c>
      <c r="M47" s="30">
        <f t="shared" si="1"/>
        <v>2.48</v>
      </c>
      <c r="N47" s="1" t="str">
        <f t="shared" si="2"/>
        <v/>
      </c>
      <c r="O47" s="1" t="str">
        <f t="shared" si="3"/>
        <v/>
      </c>
    </row>
    <row r="48" spans="1:15" x14ac:dyDescent="0.25">
      <c r="A48" s="1">
        <f t="shared" si="5"/>
        <v>37</v>
      </c>
      <c r="B48" s="3">
        <f t="shared" ca="1" si="6"/>
        <v>102500</v>
      </c>
      <c r="C48" s="26">
        <f t="shared" ca="1" si="7"/>
        <v>0.10412762535519859</v>
      </c>
      <c r="D48" s="26" t="str">
        <f t="shared" ca="1" si="4"/>
        <v>Lose</v>
      </c>
      <c r="E48" s="3">
        <f t="shared" ca="1" si="8"/>
        <v>-500</v>
      </c>
      <c r="F48" s="42">
        <f t="shared" si="0"/>
        <v>2.5548172772586517E-242</v>
      </c>
      <c r="G48" s="41">
        <f>SUM(F$11:F48)</f>
        <v>2.6525286967324693E-242</v>
      </c>
      <c r="I48" s="1">
        <f t="shared" si="9"/>
        <v>38</v>
      </c>
      <c r="J48" s="3">
        <v>364000</v>
      </c>
      <c r="K48" s="3">
        <v>96000</v>
      </c>
      <c r="L48" s="3">
        <v>364000</v>
      </c>
      <c r="M48" s="30">
        <f t="shared" si="1"/>
        <v>2.64</v>
      </c>
      <c r="N48" s="1" t="str">
        <f t="shared" si="2"/>
        <v/>
      </c>
      <c r="O48" s="1" t="str">
        <f t="shared" si="3"/>
        <v/>
      </c>
    </row>
    <row r="49" spans="1:15" x14ac:dyDescent="0.25">
      <c r="A49" s="1">
        <f t="shared" si="5"/>
        <v>38</v>
      </c>
      <c r="B49" s="3">
        <f t="shared" ca="1" si="6"/>
        <v>103000</v>
      </c>
      <c r="C49" s="26">
        <f t="shared" ca="1" si="7"/>
        <v>0.68468837751689393</v>
      </c>
      <c r="D49" s="26" t="str">
        <f t="shared" ca="1" si="4"/>
        <v>Win</v>
      </c>
      <c r="E49" s="3">
        <f t="shared" ca="1" si="8"/>
        <v>500</v>
      </c>
      <c r="F49" s="42">
        <f t="shared" si="0"/>
        <v>6.7387078914072346E-241</v>
      </c>
      <c r="G49" s="41">
        <f>SUM(F$11:F49)</f>
        <v>7.0039607610804813E-241</v>
      </c>
      <c r="I49" s="1">
        <f t="shared" si="9"/>
        <v>39</v>
      </c>
      <c r="J49" s="3">
        <v>352000</v>
      </c>
      <c r="K49" s="3">
        <v>86000</v>
      </c>
      <c r="L49" s="3">
        <v>356000</v>
      </c>
      <c r="M49" s="30">
        <f t="shared" si="1"/>
        <v>2.52</v>
      </c>
      <c r="N49" s="1" t="str">
        <f t="shared" si="2"/>
        <v/>
      </c>
      <c r="O49" s="1" t="str">
        <f t="shared" si="3"/>
        <v/>
      </c>
    </row>
    <row r="50" spans="1:15" x14ac:dyDescent="0.25">
      <c r="A50" s="1">
        <f t="shared" si="5"/>
        <v>39</v>
      </c>
      <c r="B50" s="3">
        <f t="shared" ca="1" si="6"/>
        <v>103500</v>
      </c>
      <c r="C50" s="26">
        <f t="shared" ca="1" si="7"/>
        <v>0.9832959349676903</v>
      </c>
      <c r="D50" s="26" t="str">
        <f t="shared" ca="1" si="4"/>
        <v>Win</v>
      </c>
      <c r="E50" s="3">
        <f t="shared" ca="1" si="8"/>
        <v>500</v>
      </c>
      <c r="F50" s="42">
        <f t="shared" si="0"/>
        <v>1.7300601076307662E-239</v>
      </c>
      <c r="G50" s="41">
        <f>SUM(F$11:F50)</f>
        <v>1.800099715241571E-239</v>
      </c>
      <c r="I50" s="1">
        <f t="shared" si="9"/>
        <v>40</v>
      </c>
      <c r="J50" s="3">
        <v>256000</v>
      </c>
      <c r="K50" s="3">
        <v>94000</v>
      </c>
      <c r="L50" s="3">
        <v>258000</v>
      </c>
      <c r="M50" s="30">
        <f t="shared" si="1"/>
        <v>1.56</v>
      </c>
      <c r="N50" s="1" t="str">
        <f t="shared" si="2"/>
        <v/>
      </c>
      <c r="O50" s="1" t="str">
        <f t="shared" si="3"/>
        <v/>
      </c>
    </row>
    <row r="51" spans="1:15" x14ac:dyDescent="0.25">
      <c r="A51" s="1">
        <f t="shared" si="5"/>
        <v>40</v>
      </c>
      <c r="B51" s="3">
        <f t="shared" ca="1" si="6"/>
        <v>104000</v>
      </c>
      <c r="C51" s="26">
        <f t="shared" ca="1" si="7"/>
        <v>0.5501233448349222</v>
      </c>
      <c r="D51" s="26" t="str">
        <f t="shared" ca="1" si="4"/>
        <v>Win</v>
      </c>
      <c r="E51" s="3">
        <f t="shared" ca="1" si="8"/>
        <v>500</v>
      </c>
      <c r="F51" s="42">
        <f t="shared" si="0"/>
        <v>4.3261212211778539E-238</v>
      </c>
      <c r="G51" s="41">
        <f>SUM(F$11:F51)</f>
        <v>4.5061311927020112E-238</v>
      </c>
      <c r="I51" s="1">
        <f t="shared" si="9"/>
        <v>41</v>
      </c>
      <c r="J51" s="3">
        <v>308000</v>
      </c>
      <c r="K51" s="3">
        <v>96000</v>
      </c>
      <c r="L51" s="3">
        <v>322000</v>
      </c>
      <c r="M51" s="30">
        <f t="shared" si="1"/>
        <v>2.08</v>
      </c>
      <c r="N51" s="1" t="str">
        <f t="shared" si="2"/>
        <v/>
      </c>
      <c r="O51" s="1" t="str">
        <f t="shared" si="3"/>
        <v/>
      </c>
    </row>
    <row r="52" spans="1:15" x14ac:dyDescent="0.25">
      <c r="A52" s="1">
        <f t="shared" si="5"/>
        <v>41</v>
      </c>
      <c r="B52" s="3">
        <f t="shared" ca="1" si="6"/>
        <v>104500</v>
      </c>
      <c r="C52" s="26">
        <f t="shared" ca="1" si="7"/>
        <v>0.70652980790959241</v>
      </c>
      <c r="D52" s="26" t="str">
        <f t="shared" ca="1" si="4"/>
        <v>Win</v>
      </c>
      <c r="E52" s="3">
        <f t="shared" ca="1" si="8"/>
        <v>500</v>
      </c>
      <c r="F52" s="42">
        <f t="shared" si="0"/>
        <v>1.0542901691831122E-236</v>
      </c>
      <c r="G52" s="41">
        <f>SUM(F$11:F52)</f>
        <v>1.0993514811101322E-236</v>
      </c>
      <c r="I52" s="1">
        <f t="shared" si="9"/>
        <v>42</v>
      </c>
      <c r="J52" s="3">
        <v>232000</v>
      </c>
      <c r="K52" s="3">
        <v>100000</v>
      </c>
      <c r="L52" s="3">
        <v>240000</v>
      </c>
      <c r="M52" s="30">
        <f t="shared" si="1"/>
        <v>1.3199999999999998</v>
      </c>
      <c r="N52" s="1" t="str">
        <f t="shared" si="2"/>
        <v/>
      </c>
      <c r="O52" s="1" t="str">
        <f t="shared" si="3"/>
        <v/>
      </c>
    </row>
    <row r="53" spans="1:15" x14ac:dyDescent="0.25">
      <c r="A53" s="1">
        <f t="shared" si="5"/>
        <v>42</v>
      </c>
      <c r="B53" s="3">
        <f t="shared" ca="1" si="6"/>
        <v>105000</v>
      </c>
      <c r="C53" s="26">
        <f t="shared" ca="1" si="7"/>
        <v>0.95663136033591001</v>
      </c>
      <c r="D53" s="26" t="str">
        <f t="shared" ca="1" si="4"/>
        <v>Win</v>
      </c>
      <c r="E53" s="3">
        <f t="shared" ca="1" si="8"/>
        <v>500</v>
      </c>
      <c r="F53" s="42">
        <f t="shared" si="0"/>
        <v>2.5055528612525467E-235</v>
      </c>
      <c r="G53" s="41">
        <f>SUM(F$11:F53)</f>
        <v>2.6154880093635598E-235</v>
      </c>
      <c r="I53" s="1">
        <f t="shared" si="9"/>
        <v>43</v>
      </c>
      <c r="J53" s="3">
        <v>396000</v>
      </c>
      <c r="K53" s="3">
        <v>100000</v>
      </c>
      <c r="L53" s="3">
        <v>398000</v>
      </c>
      <c r="M53" s="30">
        <f t="shared" si="1"/>
        <v>2.96</v>
      </c>
      <c r="N53" s="1" t="str">
        <f t="shared" si="2"/>
        <v/>
      </c>
      <c r="O53" s="1" t="str">
        <f t="shared" si="3"/>
        <v/>
      </c>
    </row>
    <row r="54" spans="1:15" x14ac:dyDescent="0.25">
      <c r="A54" s="1">
        <f t="shared" si="5"/>
        <v>43</v>
      </c>
      <c r="B54" s="3">
        <f t="shared" ca="1" si="6"/>
        <v>104500</v>
      </c>
      <c r="C54" s="26">
        <f t="shared" ca="1" si="7"/>
        <v>0.36317828152671949</v>
      </c>
      <c r="D54" s="26" t="str">
        <f t="shared" ca="1" si="4"/>
        <v>Lose</v>
      </c>
      <c r="E54" s="3">
        <f t="shared" ca="1" si="8"/>
        <v>-500</v>
      </c>
      <c r="F54" s="42">
        <f t="shared" si="0"/>
        <v>5.8099810961110084E-234</v>
      </c>
      <c r="G54" s="41">
        <f>SUM(F$11:F54)</f>
        <v>6.0715298970473646E-234</v>
      </c>
      <c r="I54" s="1">
        <f t="shared" si="9"/>
        <v>44</v>
      </c>
      <c r="J54" s="3">
        <v>220000</v>
      </c>
      <c r="K54" s="3">
        <v>100000</v>
      </c>
      <c r="L54" s="3">
        <v>230000</v>
      </c>
      <c r="M54" s="30">
        <f t="shared" si="1"/>
        <v>1.2000000000000002</v>
      </c>
      <c r="N54" s="1" t="str">
        <f t="shared" si="2"/>
        <v/>
      </c>
      <c r="O54" s="1" t="str">
        <f t="shared" si="3"/>
        <v/>
      </c>
    </row>
    <row r="55" spans="1:15" x14ac:dyDescent="0.25">
      <c r="A55" s="1">
        <f t="shared" si="5"/>
        <v>44</v>
      </c>
      <c r="B55" s="3">
        <f t="shared" ca="1" si="6"/>
        <v>104000</v>
      </c>
      <c r="C55" s="26">
        <f t="shared" ca="1" si="7"/>
        <v>0.46738173814024186</v>
      </c>
      <c r="D55" s="26" t="str">
        <f t="shared" ca="1" si="4"/>
        <v>Lose</v>
      </c>
      <c r="E55" s="3">
        <f t="shared" ca="1" si="8"/>
        <v>-500</v>
      </c>
      <c r="F55" s="42">
        <f t="shared" si="0"/>
        <v>1.3152492920124708E-232</v>
      </c>
      <c r="G55" s="41">
        <f>SUM(F$11:F55)</f>
        <v>1.3759645909829445E-232</v>
      </c>
      <c r="I55" s="1">
        <f t="shared" si="9"/>
        <v>45</v>
      </c>
      <c r="J55" s="3">
        <v>256000</v>
      </c>
      <c r="K55" s="3">
        <v>82000</v>
      </c>
      <c r="L55" s="3">
        <v>276000</v>
      </c>
      <c r="M55" s="30">
        <f t="shared" si="1"/>
        <v>1.56</v>
      </c>
      <c r="N55" s="1" t="str">
        <f t="shared" si="2"/>
        <v/>
      </c>
      <c r="O55" s="1" t="str">
        <f t="shared" si="3"/>
        <v/>
      </c>
    </row>
    <row r="56" spans="1:15" x14ac:dyDescent="0.25">
      <c r="A56" s="1">
        <f t="shared" si="5"/>
        <v>45</v>
      </c>
      <c r="B56" s="3">
        <f t="shared" ca="1" si="6"/>
        <v>103500</v>
      </c>
      <c r="C56" s="26">
        <f t="shared" ca="1" si="7"/>
        <v>0.32768161903419524</v>
      </c>
      <c r="D56" s="26" t="str">
        <f t="shared" ca="1" si="4"/>
        <v>Lose</v>
      </c>
      <c r="E56" s="3">
        <f t="shared" ca="1" si="8"/>
        <v>-500</v>
      </c>
      <c r="F56" s="42">
        <f t="shared" si="0"/>
        <v>2.9082219719438267E-231</v>
      </c>
      <c r="G56" s="41">
        <f>SUM(F$11:F56)</f>
        <v>3.0458184310421214E-231</v>
      </c>
      <c r="I56" s="1">
        <f t="shared" si="9"/>
        <v>46</v>
      </c>
      <c r="J56" s="3">
        <v>280000</v>
      </c>
      <c r="K56" s="3">
        <v>86000</v>
      </c>
      <c r="L56" s="3">
        <v>282000</v>
      </c>
      <c r="M56" s="30">
        <f t="shared" si="1"/>
        <v>1.7999999999999998</v>
      </c>
      <c r="N56" s="1" t="str">
        <f t="shared" si="2"/>
        <v/>
      </c>
      <c r="O56" s="1" t="str">
        <f t="shared" si="3"/>
        <v/>
      </c>
    </row>
    <row r="57" spans="1:15" x14ac:dyDescent="0.25">
      <c r="A57" s="1">
        <f t="shared" si="5"/>
        <v>46</v>
      </c>
      <c r="B57" s="3">
        <f t="shared" ca="1" si="6"/>
        <v>103000</v>
      </c>
      <c r="C57" s="26">
        <f t="shared" ca="1" si="7"/>
        <v>2.2508914526443213E-2</v>
      </c>
      <c r="D57" s="26" t="str">
        <f t="shared" ca="1" si="4"/>
        <v>Lose</v>
      </c>
      <c r="E57" s="3">
        <f t="shared" ca="1" si="8"/>
        <v>-500</v>
      </c>
      <c r="F57" s="42">
        <f t="shared" si="0"/>
        <v>6.2841593231386074E-230</v>
      </c>
      <c r="G57" s="41">
        <f>SUM(F$11:F57)</f>
        <v>6.5887411662428199E-230</v>
      </c>
      <c r="I57" s="1">
        <f t="shared" si="9"/>
        <v>47</v>
      </c>
      <c r="J57" s="3">
        <v>304000</v>
      </c>
      <c r="K57" s="3">
        <v>90000</v>
      </c>
      <c r="L57" s="3">
        <v>306000</v>
      </c>
      <c r="M57" s="30">
        <f t="shared" si="1"/>
        <v>2.04</v>
      </c>
      <c r="N57" s="1" t="str">
        <f t="shared" si="2"/>
        <v/>
      </c>
      <c r="O57" s="1" t="str">
        <f t="shared" si="3"/>
        <v/>
      </c>
    </row>
    <row r="58" spans="1:15" x14ac:dyDescent="0.25">
      <c r="A58" s="1">
        <f t="shared" si="5"/>
        <v>47</v>
      </c>
      <c r="B58" s="3">
        <f t="shared" ca="1" si="6"/>
        <v>102500</v>
      </c>
      <c r="C58" s="26">
        <f t="shared" ca="1" si="7"/>
        <v>0.13028743429346934</v>
      </c>
      <c r="D58" s="26" t="str">
        <f t="shared" ca="1" si="4"/>
        <v>Lose</v>
      </c>
      <c r="E58" s="3">
        <f t="shared" ca="1" si="8"/>
        <v>-500</v>
      </c>
      <c r="F58" s="42">
        <f t="shared" si="0"/>
        <v>1.3276139283887628E-228</v>
      </c>
      <c r="G58" s="41">
        <f>SUM(F$11:F58)</f>
        <v>1.3935013400511911E-228</v>
      </c>
      <c r="I58" s="1">
        <f t="shared" si="9"/>
        <v>48</v>
      </c>
      <c r="J58" s="3">
        <v>284000</v>
      </c>
      <c r="K58" s="3">
        <v>100000</v>
      </c>
      <c r="L58" s="3">
        <v>286000</v>
      </c>
      <c r="M58" s="30">
        <f t="shared" si="1"/>
        <v>1.8399999999999999</v>
      </c>
      <c r="N58" s="1" t="str">
        <f t="shared" si="2"/>
        <v/>
      </c>
      <c r="O58" s="1" t="str">
        <f t="shared" si="3"/>
        <v/>
      </c>
    </row>
    <row r="59" spans="1:15" x14ac:dyDescent="0.25">
      <c r="A59" s="1">
        <f t="shared" si="5"/>
        <v>48</v>
      </c>
      <c r="B59" s="3">
        <f t="shared" ca="1" si="6"/>
        <v>102000</v>
      </c>
      <c r="C59" s="26">
        <f t="shared" ca="1" si="7"/>
        <v>1.8531299649053534E-2</v>
      </c>
      <c r="D59" s="26" t="str">
        <f t="shared" ca="1" si="4"/>
        <v>Lose</v>
      </c>
      <c r="E59" s="3">
        <f t="shared" ca="1" si="8"/>
        <v>-500</v>
      </c>
      <c r="F59" s="42">
        <f t="shared" si="0"/>
        <v>2.7434532211516354E-227</v>
      </c>
      <c r="G59" s="41">
        <f>SUM(F$11:F59)</f>
        <v>2.8828033551567543E-227</v>
      </c>
      <c r="I59" s="1">
        <f t="shared" si="9"/>
        <v>49</v>
      </c>
      <c r="J59" s="3">
        <v>376000</v>
      </c>
      <c r="K59" s="3">
        <v>96000</v>
      </c>
      <c r="L59" s="3">
        <v>378000</v>
      </c>
      <c r="M59" s="30">
        <f t="shared" si="1"/>
        <v>2.76</v>
      </c>
      <c r="N59" s="1" t="str">
        <f t="shared" si="2"/>
        <v/>
      </c>
      <c r="O59" s="1" t="str">
        <f t="shared" si="3"/>
        <v/>
      </c>
    </row>
    <row r="60" spans="1:15" x14ac:dyDescent="0.25">
      <c r="A60" s="1">
        <f t="shared" si="5"/>
        <v>49</v>
      </c>
      <c r="B60" s="3">
        <f t="shared" ca="1" si="6"/>
        <v>102500</v>
      </c>
      <c r="C60" s="26">
        <f t="shared" ca="1" si="7"/>
        <v>0.71861848576065812</v>
      </c>
      <c r="D60" s="26" t="str">
        <f t="shared" ca="1" si="4"/>
        <v>Win</v>
      </c>
      <c r="E60" s="3">
        <f t="shared" ca="1" si="8"/>
        <v>500</v>
      </c>
      <c r="F60" s="42">
        <f t="shared" si="0"/>
        <v>5.5476943270873259E-226</v>
      </c>
      <c r="G60" s="41">
        <f>SUM(F$11:F60)</f>
        <v>5.8359746626030012E-226</v>
      </c>
      <c r="I60" s="1">
        <f t="shared" si="9"/>
        <v>50</v>
      </c>
      <c r="J60" s="3">
        <v>360000</v>
      </c>
      <c r="K60" s="3">
        <v>100000</v>
      </c>
      <c r="L60" s="3">
        <v>368000</v>
      </c>
      <c r="M60" s="30">
        <f t="shared" si="1"/>
        <v>2.6</v>
      </c>
      <c r="N60" s="1" t="str">
        <f t="shared" si="2"/>
        <v/>
      </c>
      <c r="O60" s="1" t="str">
        <f t="shared" si="3"/>
        <v/>
      </c>
    </row>
    <row r="61" spans="1:15" x14ac:dyDescent="0.25">
      <c r="A61" s="1">
        <f t="shared" si="5"/>
        <v>50</v>
      </c>
      <c r="B61" s="3">
        <f t="shared" ca="1" si="6"/>
        <v>102000</v>
      </c>
      <c r="C61" s="26">
        <f t="shared" ca="1" si="7"/>
        <v>0.13337562962762606</v>
      </c>
      <c r="D61" s="26" t="str">
        <f t="shared" ca="1" si="4"/>
        <v>Lose</v>
      </c>
      <c r="E61" s="3">
        <f t="shared" ca="1" si="8"/>
        <v>-500</v>
      </c>
      <c r="F61" s="42">
        <f t="shared" si="0"/>
        <v>1.0982396839105282E-224</v>
      </c>
      <c r="G61" s="41">
        <f>SUM(F$11:F61)</f>
        <v>1.1565994305365582E-224</v>
      </c>
      <c r="I61" s="1">
        <f t="shared" si="9"/>
        <v>51</v>
      </c>
      <c r="J61" s="3">
        <v>276000</v>
      </c>
      <c r="K61" s="3">
        <v>96000</v>
      </c>
      <c r="L61" s="3">
        <v>326000</v>
      </c>
      <c r="M61" s="30">
        <f t="shared" si="1"/>
        <v>1.7599999999999998</v>
      </c>
      <c r="N61" s="1" t="str">
        <f t="shared" si="2"/>
        <v/>
      </c>
      <c r="O61" s="1" t="str">
        <f t="shared" si="3"/>
        <v/>
      </c>
    </row>
    <row r="62" spans="1:15" x14ac:dyDescent="0.25">
      <c r="A62" s="1">
        <f t="shared" si="5"/>
        <v>51</v>
      </c>
      <c r="B62" s="3">
        <f t="shared" ca="1" si="6"/>
        <v>101500</v>
      </c>
      <c r="C62" s="26">
        <f t="shared" ca="1" si="7"/>
        <v>0.14001539938473573</v>
      </c>
      <c r="D62" s="26" t="str">
        <f t="shared" ca="1" si="4"/>
        <v>Lose</v>
      </c>
      <c r="E62" s="3">
        <f t="shared" ca="1" si="8"/>
        <v>-500</v>
      </c>
      <c r="F62" s="42">
        <f t="shared" si="0"/>
        <v>2.1292402034996888E-223</v>
      </c>
      <c r="G62" s="41">
        <f>SUM(F$11:F62)</f>
        <v>2.2449001465533448E-223</v>
      </c>
      <c r="I62" s="1">
        <f t="shared" si="9"/>
        <v>52</v>
      </c>
      <c r="J62" s="3">
        <v>196000</v>
      </c>
      <c r="K62" s="3">
        <v>76000</v>
      </c>
      <c r="L62" s="3">
        <v>196000</v>
      </c>
      <c r="M62" s="30">
        <f t="shared" si="1"/>
        <v>0.96</v>
      </c>
      <c r="N62" s="1" t="str">
        <f t="shared" si="2"/>
        <v/>
      </c>
      <c r="O62" s="1" t="str">
        <f t="shared" si="3"/>
        <v/>
      </c>
    </row>
    <row r="63" spans="1:15" x14ac:dyDescent="0.25">
      <c r="A63" s="1">
        <f t="shared" si="5"/>
        <v>52</v>
      </c>
      <c r="B63" s="3">
        <f t="shared" ca="1" si="6"/>
        <v>102000</v>
      </c>
      <c r="C63" s="26">
        <f t="shared" ca="1" si="7"/>
        <v>0.56572366610270775</v>
      </c>
      <c r="D63" s="26" t="str">
        <f t="shared" ca="1" si="4"/>
        <v>Win</v>
      </c>
      <c r="E63" s="3">
        <f t="shared" ca="1" si="8"/>
        <v>500</v>
      </c>
      <c r="F63" s="42">
        <f t="shared" si="0"/>
        <v>4.0444700396064548E-222</v>
      </c>
      <c r="G63" s="41">
        <f>SUM(F$11:F63)</f>
        <v>4.2689600542617891E-222</v>
      </c>
      <c r="I63" s="1">
        <f t="shared" si="9"/>
        <v>53</v>
      </c>
      <c r="J63" s="3">
        <v>244000</v>
      </c>
      <c r="K63" s="3">
        <v>98000</v>
      </c>
      <c r="L63" s="3">
        <v>260000</v>
      </c>
      <c r="M63" s="30">
        <f t="shared" si="1"/>
        <v>1.44</v>
      </c>
      <c r="N63" s="1" t="str">
        <f t="shared" si="2"/>
        <v/>
      </c>
      <c r="O63" s="1" t="str">
        <f t="shared" si="3"/>
        <v/>
      </c>
    </row>
    <row r="64" spans="1:15" x14ac:dyDescent="0.25">
      <c r="A64" s="1">
        <f t="shared" si="5"/>
        <v>53</v>
      </c>
      <c r="B64" s="3">
        <f t="shared" ca="1" si="6"/>
        <v>101500</v>
      </c>
      <c r="C64" s="26">
        <f t="shared" ca="1" si="7"/>
        <v>0.32390976785472336</v>
      </c>
      <c r="D64" s="26" t="str">
        <f t="shared" ca="1" si="4"/>
        <v>Lose</v>
      </c>
      <c r="E64" s="3">
        <f t="shared" ca="1" si="8"/>
        <v>-500</v>
      </c>
      <c r="F64" s="42">
        <f t="shared" si="0"/>
        <v>7.5295355207898576E-221</v>
      </c>
      <c r="G64" s="41">
        <f>SUM(F$11:F64)</f>
        <v>7.9564315262160367E-221</v>
      </c>
      <c r="I64" s="1">
        <f t="shared" si="9"/>
        <v>54</v>
      </c>
      <c r="J64" s="3">
        <v>280000</v>
      </c>
      <c r="K64" s="3">
        <v>94000</v>
      </c>
      <c r="L64" s="3">
        <v>290000</v>
      </c>
      <c r="M64" s="30">
        <f t="shared" si="1"/>
        <v>1.7999999999999998</v>
      </c>
      <c r="N64" s="1" t="str">
        <f t="shared" si="2"/>
        <v/>
      </c>
      <c r="O64" s="1" t="str">
        <f t="shared" si="3"/>
        <v/>
      </c>
    </row>
    <row r="65" spans="1:15" x14ac:dyDescent="0.25">
      <c r="A65" s="1">
        <f t="shared" si="5"/>
        <v>54</v>
      </c>
      <c r="B65" s="3">
        <f t="shared" ca="1" si="6"/>
        <v>102000</v>
      </c>
      <c r="C65" s="26">
        <f t="shared" ca="1" si="7"/>
        <v>0.89628126858061952</v>
      </c>
      <c r="D65" s="26" t="str">
        <f t="shared" ca="1" si="4"/>
        <v>Win</v>
      </c>
      <c r="E65" s="3">
        <f t="shared" ca="1" si="8"/>
        <v>500</v>
      </c>
      <c r="F65" s="42">
        <f t="shared" si="0"/>
        <v>1.3743536547527947E-219</v>
      </c>
      <c r="G65" s="41">
        <f>SUM(F$11:F65)</f>
        <v>1.4539179700149551E-219</v>
      </c>
      <c r="I65" s="1">
        <f t="shared" si="9"/>
        <v>55</v>
      </c>
      <c r="J65" s="3">
        <v>240000</v>
      </c>
      <c r="K65" s="3">
        <v>100000</v>
      </c>
      <c r="L65" s="3">
        <v>262000</v>
      </c>
      <c r="M65" s="30">
        <f t="shared" si="1"/>
        <v>1.4</v>
      </c>
      <c r="N65" s="1" t="str">
        <f t="shared" si="2"/>
        <v/>
      </c>
      <c r="O65" s="1" t="str">
        <f t="shared" si="3"/>
        <v/>
      </c>
    </row>
    <row r="66" spans="1:15" x14ac:dyDescent="0.25">
      <c r="A66" s="1">
        <f t="shared" si="5"/>
        <v>55</v>
      </c>
      <c r="B66" s="3">
        <f t="shared" ca="1" si="6"/>
        <v>101500</v>
      </c>
      <c r="C66" s="26">
        <f t="shared" ca="1" si="7"/>
        <v>0.22557526130190331</v>
      </c>
      <c r="D66" s="26" t="str">
        <f t="shared" ca="1" si="4"/>
        <v>Lose</v>
      </c>
      <c r="E66" s="3">
        <f t="shared" ca="1" si="8"/>
        <v>-500</v>
      </c>
      <c r="F66" s="42">
        <f t="shared" si="0"/>
        <v>2.4603735223451294E-218</v>
      </c>
      <c r="G66" s="41">
        <f>SUM(F$11:F66)</f>
        <v>2.6057653193466248E-218</v>
      </c>
      <c r="I66" s="1">
        <f t="shared" si="9"/>
        <v>56</v>
      </c>
      <c r="J66" s="3">
        <v>324000</v>
      </c>
      <c r="K66" s="3">
        <v>96000</v>
      </c>
      <c r="L66" s="3">
        <v>334000</v>
      </c>
      <c r="M66" s="30">
        <f t="shared" si="1"/>
        <v>2.2400000000000002</v>
      </c>
      <c r="N66" s="1" t="str">
        <f t="shared" si="2"/>
        <v/>
      </c>
      <c r="O66" s="1" t="str">
        <f t="shared" si="3"/>
        <v/>
      </c>
    </row>
    <row r="67" spans="1:15" x14ac:dyDescent="0.25">
      <c r="A67" s="1">
        <f t="shared" si="5"/>
        <v>56</v>
      </c>
      <c r="B67" s="3">
        <f t="shared" ca="1" si="6"/>
        <v>101000</v>
      </c>
      <c r="C67" s="26">
        <f t="shared" ca="1" si="7"/>
        <v>0.13218869641400022</v>
      </c>
      <c r="D67" s="26" t="str">
        <f t="shared" ca="1" si="4"/>
        <v>Lose</v>
      </c>
      <c r="E67" s="3">
        <f t="shared" ca="1" si="8"/>
        <v>-500</v>
      </c>
      <c r="F67" s="42">
        <f t="shared" si="0"/>
        <v>4.3213448217722399E-217</v>
      </c>
      <c r="G67" s="41">
        <f>SUM(F$11:F67)</f>
        <v>4.5819213537069028E-217</v>
      </c>
      <c r="I67" s="1">
        <f t="shared" si="9"/>
        <v>57</v>
      </c>
      <c r="J67" s="3">
        <v>280000</v>
      </c>
      <c r="K67" s="3">
        <v>94000</v>
      </c>
      <c r="L67" s="3">
        <v>280000</v>
      </c>
      <c r="M67" s="30">
        <f t="shared" si="1"/>
        <v>1.7999999999999998</v>
      </c>
      <c r="N67" s="1" t="str">
        <f t="shared" si="2"/>
        <v/>
      </c>
      <c r="O67" s="1" t="str">
        <f t="shared" si="3"/>
        <v/>
      </c>
    </row>
    <row r="68" spans="1:15" x14ac:dyDescent="0.25">
      <c r="A68" s="1">
        <f t="shared" si="5"/>
        <v>57</v>
      </c>
      <c r="B68" s="3">
        <f t="shared" ca="1" si="6"/>
        <v>101500</v>
      </c>
      <c r="C68" s="26">
        <f t="shared" ca="1" si="7"/>
        <v>0.97334902958285507</v>
      </c>
      <c r="D68" s="26" t="str">
        <f t="shared" ca="1" si="4"/>
        <v>Win</v>
      </c>
      <c r="E68" s="3">
        <f t="shared" ca="1" si="8"/>
        <v>500</v>
      </c>
      <c r="F68" s="42">
        <f t="shared" si="0"/>
        <v>7.4488659183459135E-216</v>
      </c>
      <c r="G68" s="41">
        <f>SUM(F$11:F68)</f>
        <v>7.9070580537166036E-216</v>
      </c>
      <c r="I68" s="1">
        <f t="shared" si="9"/>
        <v>58</v>
      </c>
      <c r="J68" s="3">
        <v>340000</v>
      </c>
      <c r="K68" s="3">
        <v>96000</v>
      </c>
      <c r="L68" s="3">
        <v>340000</v>
      </c>
      <c r="M68" s="30">
        <f t="shared" si="1"/>
        <v>2.4</v>
      </c>
      <c r="N68" s="1" t="str">
        <f t="shared" si="2"/>
        <v/>
      </c>
      <c r="O68" s="1" t="str">
        <f t="shared" si="3"/>
        <v/>
      </c>
    </row>
    <row r="69" spans="1:15" x14ac:dyDescent="0.25">
      <c r="A69" s="1">
        <f t="shared" si="5"/>
        <v>58</v>
      </c>
      <c r="B69" s="3">
        <f t="shared" ca="1" si="6"/>
        <v>102000</v>
      </c>
      <c r="C69" s="26">
        <f t="shared" ca="1" si="7"/>
        <v>0.56060689442753497</v>
      </c>
      <c r="D69" s="26" t="str">
        <f t="shared" ca="1" si="4"/>
        <v>Win</v>
      </c>
      <c r="E69" s="3">
        <f t="shared" ca="1" si="8"/>
        <v>500</v>
      </c>
      <c r="F69" s="42">
        <f t="shared" si="0"/>
        <v>1.2605148086242451E-214</v>
      </c>
      <c r="G69" s="41">
        <f>SUM(F$11:F69)</f>
        <v>1.3395853891614112E-214</v>
      </c>
      <c r="I69" s="1">
        <f t="shared" si="9"/>
        <v>59</v>
      </c>
      <c r="J69" s="3">
        <v>264000</v>
      </c>
      <c r="K69" s="3">
        <v>86000</v>
      </c>
      <c r="L69" s="3">
        <v>270000</v>
      </c>
      <c r="M69" s="30">
        <f t="shared" si="1"/>
        <v>1.6400000000000001</v>
      </c>
      <c r="N69" s="1" t="str">
        <f t="shared" si="2"/>
        <v/>
      </c>
      <c r="O69" s="1" t="str">
        <f t="shared" si="3"/>
        <v/>
      </c>
    </row>
    <row r="70" spans="1:15" x14ac:dyDescent="0.25">
      <c r="A70" s="1">
        <f t="shared" si="5"/>
        <v>59</v>
      </c>
      <c r="B70" s="3">
        <f t="shared" ca="1" si="6"/>
        <v>102500</v>
      </c>
      <c r="C70" s="26">
        <f t="shared" ca="1" si="7"/>
        <v>0.90563386616291697</v>
      </c>
      <c r="D70" s="26" t="str">
        <f t="shared" ca="1" si="4"/>
        <v>Win</v>
      </c>
      <c r="E70" s="3">
        <f t="shared" ca="1" si="8"/>
        <v>500</v>
      </c>
      <c r="F70" s="42">
        <f t="shared" si="0"/>
        <v>2.0946956913151585E-213</v>
      </c>
      <c r="G70" s="41">
        <f>SUM(F$11:F70)</f>
        <v>2.2286542302312997E-213</v>
      </c>
      <c r="I70" s="1">
        <f t="shared" si="9"/>
        <v>60</v>
      </c>
      <c r="J70" s="3">
        <v>280000</v>
      </c>
      <c r="K70" s="3">
        <v>96000</v>
      </c>
      <c r="L70" s="3">
        <v>284000</v>
      </c>
      <c r="M70" s="30">
        <f t="shared" si="1"/>
        <v>1.7999999999999998</v>
      </c>
      <c r="N70" s="1" t="str">
        <f t="shared" si="2"/>
        <v/>
      </c>
      <c r="O70" s="1" t="str">
        <f t="shared" si="3"/>
        <v/>
      </c>
    </row>
    <row r="71" spans="1:15" x14ac:dyDescent="0.25">
      <c r="A71" s="1">
        <f t="shared" si="5"/>
        <v>60</v>
      </c>
      <c r="B71" s="3">
        <f t="shared" ca="1" si="6"/>
        <v>102000</v>
      </c>
      <c r="C71" s="26">
        <f t="shared" ca="1" si="7"/>
        <v>0.3709678000991331</v>
      </c>
      <c r="D71" s="26" t="str">
        <f t="shared" ca="1" si="4"/>
        <v>Lose</v>
      </c>
      <c r="E71" s="3">
        <f t="shared" ca="1" si="8"/>
        <v>-500</v>
      </c>
      <c r="F71" s="42">
        <f t="shared" si="0"/>
        <v>3.4192700993846558E-212</v>
      </c>
      <c r="G71" s="41">
        <f>SUM(F$11:F71)</f>
        <v>3.6421355224077858E-212</v>
      </c>
      <c r="I71" s="1">
        <f t="shared" si="9"/>
        <v>61</v>
      </c>
      <c r="J71" s="3">
        <v>240000</v>
      </c>
      <c r="K71" s="3">
        <v>88000</v>
      </c>
      <c r="L71" s="3">
        <v>258000</v>
      </c>
      <c r="M71" s="30">
        <f t="shared" si="1"/>
        <v>1.4</v>
      </c>
      <c r="N71" s="1" t="str">
        <f t="shared" si="2"/>
        <v/>
      </c>
      <c r="O71" s="1" t="str">
        <f t="shared" si="3"/>
        <v/>
      </c>
    </row>
    <row r="72" spans="1:15" x14ac:dyDescent="0.25">
      <c r="A72" s="1">
        <f t="shared" si="5"/>
        <v>61</v>
      </c>
      <c r="B72" s="3">
        <f t="shared" ca="1" si="6"/>
        <v>102500</v>
      </c>
      <c r="C72" s="26">
        <f t="shared" ca="1" si="7"/>
        <v>0.78999907312164774</v>
      </c>
      <c r="D72" s="26" t="str">
        <f t="shared" ca="1" si="4"/>
        <v>Win</v>
      </c>
      <c r="E72" s="3">
        <f t="shared" ca="1" si="8"/>
        <v>500</v>
      </c>
      <c r="F72" s="42">
        <f t="shared" si="0"/>
        <v>5.484101992789772E-211</v>
      </c>
      <c r="G72" s="41">
        <f>SUM(F$11:F72)</f>
        <v>5.8483155450305506E-211</v>
      </c>
      <c r="I72" s="1">
        <f t="shared" si="9"/>
        <v>62</v>
      </c>
      <c r="J72" s="3">
        <v>372000</v>
      </c>
      <c r="K72" s="3">
        <v>98000</v>
      </c>
      <c r="L72" s="3">
        <v>382000</v>
      </c>
      <c r="M72" s="30">
        <f t="shared" si="1"/>
        <v>2.72</v>
      </c>
      <c r="N72" s="1" t="str">
        <f t="shared" si="2"/>
        <v/>
      </c>
      <c r="O72" s="1" t="str">
        <f t="shared" si="3"/>
        <v/>
      </c>
    </row>
    <row r="73" spans="1:15" x14ac:dyDescent="0.25">
      <c r="A73" s="1">
        <f t="shared" si="5"/>
        <v>62</v>
      </c>
      <c r="B73" s="3">
        <f t="shared" ca="1" si="6"/>
        <v>102000</v>
      </c>
      <c r="C73" s="26">
        <f t="shared" ca="1" si="7"/>
        <v>0.1895464975782426</v>
      </c>
      <c r="D73" s="26" t="str">
        <f t="shared" ca="1" si="4"/>
        <v>Lose</v>
      </c>
      <c r="E73" s="3">
        <f t="shared" ca="1" si="8"/>
        <v>-500</v>
      </c>
      <c r="F73" s="42">
        <f t="shared" si="0"/>
        <v>8.6447715711883507E-210</v>
      </c>
      <c r="G73" s="41">
        <f>SUM(F$11:F73)</f>
        <v>9.2296031256914055E-210</v>
      </c>
      <c r="I73" s="1">
        <f t="shared" si="9"/>
        <v>63</v>
      </c>
      <c r="J73" s="3">
        <v>172000</v>
      </c>
      <c r="K73" s="3">
        <v>94000</v>
      </c>
      <c r="L73" s="3">
        <v>196000</v>
      </c>
      <c r="M73" s="30">
        <f t="shared" si="1"/>
        <v>0.72</v>
      </c>
      <c r="N73" s="1" t="str">
        <f t="shared" si="2"/>
        <v/>
      </c>
      <c r="O73" s="1" t="str">
        <f t="shared" si="3"/>
        <v/>
      </c>
    </row>
    <row r="74" spans="1:15" x14ac:dyDescent="0.25">
      <c r="A74" s="1">
        <f t="shared" si="5"/>
        <v>63</v>
      </c>
      <c r="B74" s="3">
        <f t="shared" ca="1" si="6"/>
        <v>101500</v>
      </c>
      <c r="C74" s="26">
        <f t="shared" ca="1" si="7"/>
        <v>0.40465394587823489</v>
      </c>
      <c r="D74" s="26" t="str">
        <f t="shared" ca="1" si="4"/>
        <v>Lose</v>
      </c>
      <c r="E74" s="3">
        <f t="shared" ca="1" si="8"/>
        <v>-500</v>
      </c>
      <c r="F74" s="42">
        <f t="shared" si="0"/>
        <v>1.3396455536850631E-208</v>
      </c>
      <c r="G74" s="41">
        <f>SUM(F$11:F74)</f>
        <v>1.4319415849419773E-208</v>
      </c>
      <c r="I74" s="1">
        <f t="shared" si="9"/>
        <v>64</v>
      </c>
      <c r="J74" s="3">
        <v>252000</v>
      </c>
      <c r="K74" s="3">
        <v>96000</v>
      </c>
      <c r="L74" s="3">
        <v>254000</v>
      </c>
      <c r="M74" s="30">
        <f t="shared" si="1"/>
        <v>1.52</v>
      </c>
      <c r="N74" s="1" t="str">
        <f t="shared" si="2"/>
        <v/>
      </c>
      <c r="O74" s="1" t="str">
        <f t="shared" si="3"/>
        <v/>
      </c>
    </row>
    <row r="75" spans="1:15" x14ac:dyDescent="0.25">
      <c r="A75" s="1">
        <f t="shared" si="5"/>
        <v>64</v>
      </c>
      <c r="B75" s="3">
        <f t="shared" ca="1" si="6"/>
        <v>101000</v>
      </c>
      <c r="C75" s="26">
        <f t="shared" ca="1" si="7"/>
        <v>0.10859866924432471</v>
      </c>
      <c r="D75" s="26" t="str">
        <f t="shared" ca="1" si="4"/>
        <v>Lose</v>
      </c>
      <c r="E75" s="3">
        <f t="shared" ca="1" si="8"/>
        <v>-500</v>
      </c>
      <c r="F75" s="42">
        <f t="shared" si="0"/>
        <v>2.0413788926640785E-207</v>
      </c>
      <c r="G75" s="41">
        <f>SUM(F$11:F75)</f>
        <v>2.184573051158276E-207</v>
      </c>
      <c r="I75" s="1">
        <f t="shared" si="9"/>
        <v>65</v>
      </c>
      <c r="J75" s="3">
        <v>164000</v>
      </c>
      <c r="K75" s="3">
        <v>58000</v>
      </c>
      <c r="L75" s="3">
        <v>170000</v>
      </c>
      <c r="M75" s="30">
        <f t="shared" si="1"/>
        <v>0.6399999999999999</v>
      </c>
      <c r="N75" s="1" t="str">
        <f t="shared" si="2"/>
        <v/>
      </c>
      <c r="O75" s="1" t="str">
        <f t="shared" si="3"/>
        <v/>
      </c>
    </row>
    <row r="76" spans="1:15" x14ac:dyDescent="0.25">
      <c r="A76" s="1">
        <f t="shared" si="5"/>
        <v>65</v>
      </c>
      <c r="B76" s="3">
        <f t="shared" ca="1" si="6"/>
        <v>100500</v>
      </c>
      <c r="C76" s="26">
        <f t="shared" ca="1" si="7"/>
        <v>0.1896445984195998</v>
      </c>
      <c r="D76" s="26" t="str">
        <f t="shared" ca="1" si="4"/>
        <v>Lose</v>
      </c>
      <c r="E76" s="3">
        <f t="shared" ca="1" si="8"/>
        <v>-500</v>
      </c>
      <c r="F76" s="42">
        <f t="shared" ref="F76:F139" si="10">_xlfn.BINOM.DIST(A76,$A$1011,$B$1,FALSE)</f>
        <v>3.0595686913723287E-206</v>
      </c>
      <c r="G76" s="41">
        <f>SUM(F$11:F76)</f>
        <v>3.2780259964881561E-206</v>
      </c>
      <c r="I76" s="1">
        <f t="shared" si="9"/>
        <v>66</v>
      </c>
      <c r="J76" s="3">
        <v>224000</v>
      </c>
      <c r="K76" s="3">
        <v>94000</v>
      </c>
      <c r="L76" s="3">
        <v>226000</v>
      </c>
      <c r="M76" s="30">
        <f t="shared" ref="M76:M139" si="11">J76/$B$3-1</f>
        <v>1.2400000000000002</v>
      </c>
      <c r="N76" s="1" t="str">
        <f t="shared" ref="N76:N139" si="12">IF(K76&lt;=0,1,"")</f>
        <v/>
      </c>
      <c r="O76" s="1" t="str">
        <f t="shared" ref="O76:O139" si="13">IF(J76&lt;=0,1,"")</f>
        <v/>
      </c>
    </row>
    <row r="77" spans="1:15" x14ac:dyDescent="0.25">
      <c r="A77" s="1">
        <f t="shared" si="5"/>
        <v>66</v>
      </c>
      <c r="B77" s="3">
        <f t="shared" ca="1" si="6"/>
        <v>100000</v>
      </c>
      <c r="C77" s="26">
        <f t="shared" ca="1" si="7"/>
        <v>0.35857135186423006</v>
      </c>
      <c r="D77" s="26" t="str">
        <f t="shared" ref="D77:D140" ca="1" si="14">IF(C77&gt;$B$2,"Win","Lose")</f>
        <v>Lose</v>
      </c>
      <c r="E77" s="3">
        <f t="shared" ca="1" si="8"/>
        <v>-500</v>
      </c>
      <c r="F77" s="42">
        <f t="shared" si="10"/>
        <v>4.5113028153400124E-205</v>
      </c>
      <c r="G77" s="41">
        <f>SUM(F$11:F77)</f>
        <v>4.8391054149888282E-205</v>
      </c>
      <c r="I77" s="1">
        <f t="shared" si="9"/>
        <v>67</v>
      </c>
      <c r="J77" s="3">
        <v>312000</v>
      </c>
      <c r="K77" s="3">
        <v>92000</v>
      </c>
      <c r="L77" s="3">
        <v>334000</v>
      </c>
      <c r="M77" s="30">
        <f t="shared" si="11"/>
        <v>2.12</v>
      </c>
      <c r="N77" s="1" t="str">
        <f t="shared" si="12"/>
        <v/>
      </c>
      <c r="O77" s="1" t="str">
        <f t="shared" si="13"/>
        <v/>
      </c>
    </row>
    <row r="78" spans="1:15" x14ac:dyDescent="0.25">
      <c r="A78" s="1">
        <f t="shared" ref="A78:A141" si="15">A77+1</f>
        <v>67</v>
      </c>
      <c r="B78" s="3">
        <f t="shared" ref="B78:B141" ca="1" si="16">B77+E78</f>
        <v>99500</v>
      </c>
      <c r="C78" s="26">
        <f t="shared" ref="C78:C141" ca="1" si="17">RAND()</f>
        <v>0.42200890788793366</v>
      </c>
      <c r="D78" s="26" t="str">
        <f t="shared" ca="1" si="14"/>
        <v>Lose</v>
      </c>
      <c r="E78" s="3">
        <f t="shared" ref="E78:E141" ca="1" si="18">IF(D78="Win",$B$4,-$B$4)</f>
        <v>-500</v>
      </c>
      <c r="F78" s="42">
        <f t="shared" si="10"/>
        <v>6.5455802103540373E-204</v>
      </c>
      <c r="G78" s="41">
        <f>SUM(F$11:F78)</f>
        <v>7.0294907518529197E-204</v>
      </c>
      <c r="I78" s="1">
        <f t="shared" ref="I78:I141" si="19">I77+1</f>
        <v>68</v>
      </c>
      <c r="J78" s="3">
        <v>180000</v>
      </c>
      <c r="K78" s="3">
        <v>92000</v>
      </c>
      <c r="L78" s="3">
        <v>190000</v>
      </c>
      <c r="M78" s="30">
        <f t="shared" si="11"/>
        <v>0.8</v>
      </c>
      <c r="N78" s="1" t="str">
        <f t="shared" si="12"/>
        <v/>
      </c>
      <c r="O78" s="1" t="str">
        <f t="shared" si="13"/>
        <v/>
      </c>
    </row>
    <row r="79" spans="1:15" x14ac:dyDescent="0.25">
      <c r="A79" s="1">
        <f t="shared" si="15"/>
        <v>68</v>
      </c>
      <c r="B79" s="3">
        <f t="shared" ca="1" si="16"/>
        <v>99000</v>
      </c>
      <c r="C79" s="26">
        <f t="shared" ca="1" si="17"/>
        <v>0.21187369138630441</v>
      </c>
      <c r="D79" s="26" t="str">
        <f t="shared" ca="1" si="14"/>
        <v>Lose</v>
      </c>
      <c r="E79" s="3">
        <f t="shared" ca="1" si="18"/>
        <v>-500</v>
      </c>
      <c r="F79" s="42">
        <f t="shared" si="10"/>
        <v>9.3474892901930618E-203</v>
      </c>
      <c r="G79" s="41">
        <f>SUM(F$11:F79)</f>
        <v>1.0050438365378354E-202</v>
      </c>
      <c r="I79" s="1">
        <f t="shared" si="19"/>
        <v>69</v>
      </c>
      <c r="J79" s="3">
        <v>248000</v>
      </c>
      <c r="K79" s="3">
        <v>74000</v>
      </c>
      <c r="L79" s="3">
        <v>252000</v>
      </c>
      <c r="M79" s="30">
        <f t="shared" si="11"/>
        <v>1.48</v>
      </c>
      <c r="N79" s="1" t="str">
        <f t="shared" si="12"/>
        <v/>
      </c>
      <c r="O79" s="1" t="str">
        <f t="shared" si="13"/>
        <v/>
      </c>
    </row>
    <row r="80" spans="1:15" x14ac:dyDescent="0.25">
      <c r="A80" s="1">
        <f t="shared" si="15"/>
        <v>69</v>
      </c>
      <c r="B80" s="3">
        <f t="shared" ca="1" si="16"/>
        <v>98500</v>
      </c>
      <c r="C80" s="26">
        <f t="shared" ca="1" si="17"/>
        <v>5.0740598689416716E-2</v>
      </c>
      <c r="D80" s="26" t="str">
        <f t="shared" ca="1" si="14"/>
        <v>Lose</v>
      </c>
      <c r="E80" s="3">
        <f t="shared" ca="1" si="18"/>
        <v>-500</v>
      </c>
      <c r="F80" s="42">
        <f t="shared" si="10"/>
        <v>1.3141226292265335E-201</v>
      </c>
      <c r="G80" s="41">
        <f>SUM(F$11:F80)</f>
        <v>1.4146270128803171E-201</v>
      </c>
      <c r="I80" s="1">
        <f t="shared" si="19"/>
        <v>70</v>
      </c>
      <c r="J80" s="3">
        <v>364000</v>
      </c>
      <c r="K80" s="3">
        <v>98000</v>
      </c>
      <c r="L80" s="3">
        <v>390000</v>
      </c>
      <c r="M80" s="30">
        <f t="shared" si="11"/>
        <v>2.64</v>
      </c>
      <c r="N80" s="1" t="str">
        <f t="shared" si="12"/>
        <v/>
      </c>
      <c r="O80" s="1" t="str">
        <f t="shared" si="13"/>
        <v/>
      </c>
    </row>
    <row r="81" spans="1:15" x14ac:dyDescent="0.25">
      <c r="A81" s="1">
        <f t="shared" si="15"/>
        <v>70</v>
      </c>
      <c r="B81" s="3">
        <f t="shared" ca="1" si="16"/>
        <v>98000</v>
      </c>
      <c r="C81" s="26">
        <f t="shared" ca="1" si="17"/>
        <v>0.40625904226490173</v>
      </c>
      <c r="D81" s="26" t="str">
        <f t="shared" ca="1" si="14"/>
        <v>Lose</v>
      </c>
      <c r="E81" s="3">
        <f t="shared" ca="1" si="18"/>
        <v>-500</v>
      </c>
      <c r="F81" s="42">
        <f t="shared" si="10"/>
        <v>1.8191211824577626E-200</v>
      </c>
      <c r="G81" s="41">
        <f>SUM(F$11:F81)</f>
        <v>1.9605838837457944E-200</v>
      </c>
      <c r="I81" s="1">
        <f t="shared" si="19"/>
        <v>71</v>
      </c>
      <c r="J81" s="3">
        <v>268000</v>
      </c>
      <c r="K81" s="3">
        <v>70000</v>
      </c>
      <c r="L81" s="3">
        <v>276000</v>
      </c>
      <c r="M81" s="30">
        <f t="shared" si="11"/>
        <v>1.6800000000000002</v>
      </c>
      <c r="N81" s="1" t="str">
        <f t="shared" si="12"/>
        <v/>
      </c>
      <c r="O81" s="1" t="str">
        <f t="shared" si="13"/>
        <v/>
      </c>
    </row>
    <row r="82" spans="1:15" x14ac:dyDescent="0.25">
      <c r="A82" s="1">
        <f t="shared" si="15"/>
        <v>71</v>
      </c>
      <c r="B82" s="3">
        <f t="shared" ca="1" si="16"/>
        <v>98500</v>
      </c>
      <c r="C82" s="26">
        <f t="shared" ca="1" si="17"/>
        <v>0.56500432052781857</v>
      </c>
      <c r="D82" s="26" t="str">
        <f t="shared" ca="1" si="14"/>
        <v>Win</v>
      </c>
      <c r="E82" s="3">
        <f t="shared" ca="1" si="18"/>
        <v>500</v>
      </c>
      <c r="F82" s="42">
        <f t="shared" si="10"/>
        <v>2.4800493729223612E-199</v>
      </c>
      <c r="G82" s="41">
        <f>SUM(F$11:F82)</f>
        <v>2.6761077612969408E-199</v>
      </c>
      <c r="I82" s="1">
        <f t="shared" si="19"/>
        <v>72</v>
      </c>
      <c r="J82" s="3">
        <v>232000</v>
      </c>
      <c r="K82" s="3">
        <v>98000</v>
      </c>
      <c r="L82" s="3">
        <v>258000</v>
      </c>
      <c r="M82" s="30">
        <f t="shared" si="11"/>
        <v>1.3199999999999998</v>
      </c>
      <c r="N82" s="1" t="str">
        <f t="shared" si="12"/>
        <v/>
      </c>
      <c r="O82" s="1" t="str">
        <f t="shared" si="13"/>
        <v/>
      </c>
    </row>
    <row r="83" spans="1:15" x14ac:dyDescent="0.25">
      <c r="A83" s="1">
        <f t="shared" si="15"/>
        <v>72</v>
      </c>
      <c r="B83" s="3">
        <f t="shared" ca="1" si="16"/>
        <v>99000</v>
      </c>
      <c r="C83" s="26">
        <f t="shared" ca="1" si="17"/>
        <v>0.81627742692980199</v>
      </c>
      <c r="D83" s="26" t="str">
        <f t="shared" ca="1" si="14"/>
        <v>Win</v>
      </c>
      <c r="E83" s="3">
        <f t="shared" ca="1" si="18"/>
        <v>500</v>
      </c>
      <c r="F83" s="42">
        <f t="shared" si="10"/>
        <v>3.3305629036191171E-198</v>
      </c>
      <c r="G83" s="41">
        <f>SUM(F$11:F83)</f>
        <v>3.598173679748811E-198</v>
      </c>
      <c r="I83" s="1">
        <f t="shared" si="19"/>
        <v>73</v>
      </c>
      <c r="J83" s="3">
        <v>340000</v>
      </c>
      <c r="K83" s="3">
        <v>100000</v>
      </c>
      <c r="L83" s="3">
        <v>346000</v>
      </c>
      <c r="M83" s="30">
        <f t="shared" si="11"/>
        <v>2.4</v>
      </c>
      <c r="N83" s="1" t="str">
        <f t="shared" si="12"/>
        <v/>
      </c>
      <c r="O83" s="1" t="str">
        <f t="shared" si="13"/>
        <v/>
      </c>
    </row>
    <row r="84" spans="1:15" x14ac:dyDescent="0.25">
      <c r="A84" s="1">
        <f t="shared" si="15"/>
        <v>73</v>
      </c>
      <c r="B84" s="3">
        <f t="shared" ca="1" si="16"/>
        <v>98500</v>
      </c>
      <c r="C84" s="26">
        <f t="shared" ca="1" si="17"/>
        <v>0.14716598553099114</v>
      </c>
      <c r="D84" s="26" t="str">
        <f t="shared" ca="1" si="14"/>
        <v>Lose</v>
      </c>
      <c r="E84" s="3">
        <f t="shared" ca="1" si="18"/>
        <v>-500</v>
      </c>
      <c r="F84" s="42">
        <f t="shared" si="10"/>
        <v>4.4067341655724477E-197</v>
      </c>
      <c r="G84" s="41">
        <f>SUM(F$11:F84)</f>
        <v>4.7665515335473291E-197</v>
      </c>
      <c r="I84" s="1">
        <f t="shared" si="19"/>
        <v>74</v>
      </c>
      <c r="J84" s="3">
        <v>292000</v>
      </c>
      <c r="K84" s="3">
        <v>92000</v>
      </c>
      <c r="L84" s="3">
        <v>294000</v>
      </c>
      <c r="M84" s="30">
        <f t="shared" si="11"/>
        <v>1.92</v>
      </c>
      <c r="N84" s="1" t="str">
        <f t="shared" si="12"/>
        <v/>
      </c>
      <c r="O84" s="1" t="str">
        <f t="shared" si="13"/>
        <v/>
      </c>
    </row>
    <row r="85" spans="1:15" x14ac:dyDescent="0.25">
      <c r="A85" s="1">
        <f t="shared" si="15"/>
        <v>74</v>
      </c>
      <c r="B85" s="3">
        <f t="shared" ca="1" si="16"/>
        <v>99000</v>
      </c>
      <c r="C85" s="26">
        <f t="shared" ca="1" si="17"/>
        <v>0.7592164988952641</v>
      </c>
      <c r="D85" s="26" t="str">
        <f t="shared" ca="1" si="14"/>
        <v>Win</v>
      </c>
      <c r="E85" s="3">
        <f t="shared" ca="1" si="18"/>
        <v>500</v>
      </c>
      <c r="F85" s="42">
        <f t="shared" si="10"/>
        <v>5.7456473013161327E-196</v>
      </c>
      <c r="G85" s="41">
        <f>SUM(F$11:F85)</f>
        <v>6.2223024546708654E-196</v>
      </c>
      <c r="I85" s="1">
        <f t="shared" si="19"/>
        <v>75</v>
      </c>
      <c r="J85" s="3">
        <v>340000</v>
      </c>
      <c r="K85" s="3">
        <v>94000</v>
      </c>
      <c r="L85" s="3">
        <v>350000</v>
      </c>
      <c r="M85" s="30">
        <f t="shared" si="11"/>
        <v>2.4</v>
      </c>
      <c r="N85" s="1" t="str">
        <f t="shared" si="12"/>
        <v/>
      </c>
      <c r="O85" s="1" t="str">
        <f t="shared" si="13"/>
        <v/>
      </c>
    </row>
    <row r="86" spans="1:15" x14ac:dyDescent="0.25">
      <c r="A86" s="1">
        <f t="shared" si="15"/>
        <v>75</v>
      </c>
      <c r="B86" s="3">
        <f t="shared" ca="1" si="16"/>
        <v>99500</v>
      </c>
      <c r="C86" s="26">
        <f t="shared" ca="1" si="17"/>
        <v>0.86091974973244834</v>
      </c>
      <c r="D86" s="26" t="str">
        <f t="shared" ca="1" si="14"/>
        <v>Win</v>
      </c>
      <c r="E86" s="3">
        <f t="shared" ca="1" si="18"/>
        <v>500</v>
      </c>
      <c r="F86" s="42">
        <f t="shared" si="10"/>
        <v>7.3835085565166548E-195</v>
      </c>
      <c r="G86" s="41">
        <f>SUM(F$11:F86)</f>
        <v>8.0057388019837415E-195</v>
      </c>
      <c r="I86" s="1">
        <f t="shared" si="19"/>
        <v>76</v>
      </c>
      <c r="J86" s="3">
        <v>328000</v>
      </c>
      <c r="K86" s="3">
        <v>80000</v>
      </c>
      <c r="L86" s="3">
        <v>332000</v>
      </c>
      <c r="M86" s="30">
        <f t="shared" si="11"/>
        <v>2.2799999999999998</v>
      </c>
      <c r="N86" s="1" t="str">
        <f t="shared" si="12"/>
        <v/>
      </c>
      <c r="O86" s="1" t="str">
        <f t="shared" si="13"/>
        <v/>
      </c>
    </row>
    <row r="87" spans="1:15" x14ac:dyDescent="0.25">
      <c r="A87" s="1">
        <f t="shared" si="15"/>
        <v>76</v>
      </c>
      <c r="B87" s="3">
        <f t="shared" ca="1" si="16"/>
        <v>99000</v>
      </c>
      <c r="C87" s="26">
        <f t="shared" ca="1" si="17"/>
        <v>0.39134507887292813</v>
      </c>
      <c r="D87" s="26" t="str">
        <f t="shared" ca="1" si="14"/>
        <v>Lose</v>
      </c>
      <c r="E87" s="3">
        <f t="shared" ca="1" si="18"/>
        <v>-500</v>
      </c>
      <c r="F87" s="42">
        <f t="shared" si="10"/>
        <v>9.3533033338787998E-194</v>
      </c>
      <c r="G87" s="41">
        <f>SUM(F$11:F87)</f>
        <v>1.0153877214077174E-193</v>
      </c>
      <c r="I87" s="1">
        <f t="shared" si="19"/>
        <v>77</v>
      </c>
      <c r="J87" s="3">
        <v>300000</v>
      </c>
      <c r="K87" s="3">
        <v>90000</v>
      </c>
      <c r="L87" s="3">
        <v>304000</v>
      </c>
      <c r="M87" s="30">
        <f t="shared" si="11"/>
        <v>2</v>
      </c>
      <c r="N87" s="1" t="str">
        <f t="shared" si="12"/>
        <v/>
      </c>
      <c r="O87" s="1" t="str">
        <f t="shared" si="13"/>
        <v/>
      </c>
    </row>
    <row r="88" spans="1:15" x14ac:dyDescent="0.25">
      <c r="A88" s="1">
        <f t="shared" si="15"/>
        <v>77</v>
      </c>
      <c r="B88" s="3">
        <f t="shared" ca="1" si="16"/>
        <v>98500</v>
      </c>
      <c r="C88" s="26">
        <f t="shared" ca="1" si="17"/>
        <v>0.15420211513964921</v>
      </c>
      <c r="D88" s="26" t="str">
        <f t="shared" ca="1" si="14"/>
        <v>Lose</v>
      </c>
      <c r="E88" s="3">
        <f t="shared" ca="1" si="18"/>
        <v>-500</v>
      </c>
      <c r="F88" s="42">
        <f t="shared" si="10"/>
        <v>1.1682084980274081E-192</v>
      </c>
      <c r="G88" s="41">
        <f>SUM(F$11:F88)</f>
        <v>1.2697472701681798E-192</v>
      </c>
      <c r="I88" s="1">
        <f t="shared" si="19"/>
        <v>78</v>
      </c>
      <c r="J88" s="3">
        <v>248000</v>
      </c>
      <c r="K88" s="3">
        <v>94000</v>
      </c>
      <c r="L88" s="3">
        <v>262000</v>
      </c>
      <c r="M88" s="30">
        <f t="shared" si="11"/>
        <v>1.48</v>
      </c>
      <c r="N88" s="1" t="str">
        <f t="shared" si="12"/>
        <v/>
      </c>
      <c r="O88" s="1" t="str">
        <f t="shared" si="13"/>
        <v/>
      </c>
    </row>
    <row r="89" spans="1:15" x14ac:dyDescent="0.25">
      <c r="A89" s="1">
        <f t="shared" si="15"/>
        <v>78</v>
      </c>
      <c r="B89" s="3">
        <f t="shared" ca="1" si="16"/>
        <v>98000</v>
      </c>
      <c r="C89" s="26">
        <f t="shared" ca="1" si="17"/>
        <v>0.44125218424130719</v>
      </c>
      <c r="D89" s="26" t="str">
        <f t="shared" ca="1" si="14"/>
        <v>Lose</v>
      </c>
      <c r="E89" s="3">
        <f t="shared" ca="1" si="18"/>
        <v>-500</v>
      </c>
      <c r="F89" s="42">
        <f t="shared" si="10"/>
        <v>1.4388037317540079E-191</v>
      </c>
      <c r="G89" s="41">
        <f>SUM(F$11:F89)</f>
        <v>1.565778458770826E-191</v>
      </c>
      <c r="I89" s="1">
        <f t="shared" si="19"/>
        <v>79</v>
      </c>
      <c r="J89" s="3">
        <v>340000</v>
      </c>
      <c r="K89" s="3">
        <v>90000</v>
      </c>
      <c r="L89" s="3">
        <v>348000</v>
      </c>
      <c r="M89" s="30">
        <f t="shared" si="11"/>
        <v>2.4</v>
      </c>
      <c r="N89" s="1" t="str">
        <f t="shared" si="12"/>
        <v/>
      </c>
      <c r="O89" s="1" t="str">
        <f t="shared" si="13"/>
        <v/>
      </c>
    </row>
    <row r="90" spans="1:15" x14ac:dyDescent="0.25">
      <c r="A90" s="1">
        <f t="shared" si="15"/>
        <v>79</v>
      </c>
      <c r="B90" s="3">
        <f t="shared" ca="1" si="16"/>
        <v>98500</v>
      </c>
      <c r="C90" s="26">
        <f t="shared" ca="1" si="17"/>
        <v>0.88183258465059433</v>
      </c>
      <c r="D90" s="26" t="str">
        <f t="shared" ca="1" si="14"/>
        <v>Win</v>
      </c>
      <c r="E90" s="3">
        <f t="shared" ca="1" si="18"/>
        <v>500</v>
      </c>
      <c r="F90" s="42">
        <f t="shared" si="10"/>
        <v>1.747750686503204E-190</v>
      </c>
      <c r="G90" s="41">
        <f>SUM(F$11:F90)</f>
        <v>1.9043285323802867E-190</v>
      </c>
      <c r="I90" s="1">
        <f t="shared" si="19"/>
        <v>80</v>
      </c>
      <c r="J90" s="3">
        <v>244000</v>
      </c>
      <c r="K90" s="3">
        <v>88000</v>
      </c>
      <c r="L90" s="3">
        <v>244000</v>
      </c>
      <c r="M90" s="30">
        <f t="shared" si="11"/>
        <v>1.44</v>
      </c>
      <c r="N90" s="1" t="str">
        <f t="shared" si="12"/>
        <v/>
      </c>
      <c r="O90" s="1" t="str">
        <f t="shared" si="13"/>
        <v/>
      </c>
    </row>
    <row r="91" spans="1:15" x14ac:dyDescent="0.25">
      <c r="A91" s="1">
        <f t="shared" si="15"/>
        <v>80</v>
      </c>
      <c r="B91" s="3">
        <f t="shared" ca="1" si="16"/>
        <v>99000</v>
      </c>
      <c r="C91" s="26">
        <f t="shared" ca="1" si="17"/>
        <v>0.89412139058956286</v>
      </c>
      <c r="D91" s="26" t="str">
        <f t="shared" ca="1" si="14"/>
        <v>Win</v>
      </c>
      <c r="E91" s="3">
        <f t="shared" ca="1" si="18"/>
        <v>500</v>
      </c>
      <c r="F91" s="42">
        <f t="shared" si="10"/>
        <v>2.094224425911698E-189</v>
      </c>
      <c r="G91" s="41">
        <f>SUM(F$11:F91)</f>
        <v>2.2846572791497269E-189</v>
      </c>
      <c r="I91" s="1">
        <f t="shared" si="19"/>
        <v>81</v>
      </c>
      <c r="J91" s="3">
        <v>184000</v>
      </c>
      <c r="K91" s="3">
        <v>92000</v>
      </c>
      <c r="L91" s="3">
        <v>186000</v>
      </c>
      <c r="M91" s="30">
        <f t="shared" si="11"/>
        <v>0.84000000000000008</v>
      </c>
      <c r="N91" s="1" t="str">
        <f t="shared" si="12"/>
        <v/>
      </c>
      <c r="O91" s="1" t="str">
        <f t="shared" si="13"/>
        <v/>
      </c>
    </row>
    <row r="92" spans="1:15" x14ac:dyDescent="0.25">
      <c r="A92" s="1">
        <f t="shared" si="15"/>
        <v>81</v>
      </c>
      <c r="B92" s="3">
        <f t="shared" ca="1" si="16"/>
        <v>98500</v>
      </c>
      <c r="C92" s="26">
        <f t="shared" ca="1" si="17"/>
        <v>0.45015657449627422</v>
      </c>
      <c r="D92" s="26" t="str">
        <f t="shared" ca="1" si="14"/>
        <v>Lose</v>
      </c>
      <c r="E92" s="3">
        <f t="shared" ca="1" si="18"/>
        <v>-500</v>
      </c>
      <c r="F92" s="42">
        <f t="shared" si="10"/>
        <v>2.4757120197477148E-188</v>
      </c>
      <c r="G92" s="41">
        <f>SUM(F$11:F92)</f>
        <v>2.7041777476626874E-188</v>
      </c>
      <c r="I92" s="1">
        <f t="shared" si="19"/>
        <v>82</v>
      </c>
      <c r="J92" s="3">
        <v>324000</v>
      </c>
      <c r="K92" s="3">
        <v>82000</v>
      </c>
      <c r="L92" s="3">
        <v>342000</v>
      </c>
      <c r="M92" s="30">
        <f t="shared" si="11"/>
        <v>2.2400000000000002</v>
      </c>
      <c r="N92" s="1" t="str">
        <f t="shared" si="12"/>
        <v/>
      </c>
      <c r="O92" s="1" t="str">
        <f t="shared" si="13"/>
        <v/>
      </c>
    </row>
    <row r="93" spans="1:15" x14ac:dyDescent="0.25">
      <c r="A93" s="1">
        <f t="shared" si="15"/>
        <v>82</v>
      </c>
      <c r="B93" s="3">
        <f t="shared" ca="1" si="16"/>
        <v>98000</v>
      </c>
      <c r="C93" s="26">
        <f t="shared" ca="1" si="17"/>
        <v>0.47320829559263244</v>
      </c>
      <c r="D93" s="26" t="str">
        <f t="shared" ca="1" si="14"/>
        <v>Lose</v>
      </c>
      <c r="E93" s="3">
        <f t="shared" ca="1" si="18"/>
        <v>-500</v>
      </c>
      <c r="F93" s="42">
        <f t="shared" si="10"/>
        <v>2.8878583039707738E-187</v>
      </c>
      <c r="G93" s="41">
        <f>SUM(F$11:F93)</f>
        <v>3.1582760787370425E-187</v>
      </c>
      <c r="I93" s="1">
        <f t="shared" si="19"/>
        <v>83</v>
      </c>
      <c r="J93" s="3">
        <v>336000</v>
      </c>
      <c r="K93" s="3">
        <v>100000</v>
      </c>
      <c r="L93" s="3">
        <v>352000</v>
      </c>
      <c r="M93" s="30">
        <f t="shared" si="11"/>
        <v>2.36</v>
      </c>
      <c r="N93" s="1" t="str">
        <f t="shared" si="12"/>
        <v/>
      </c>
      <c r="O93" s="1" t="str">
        <f t="shared" si="13"/>
        <v/>
      </c>
    </row>
    <row r="94" spans="1:15" x14ac:dyDescent="0.25">
      <c r="A94" s="1">
        <f t="shared" si="15"/>
        <v>83</v>
      </c>
      <c r="B94" s="3">
        <f t="shared" ca="1" si="16"/>
        <v>97500</v>
      </c>
      <c r="C94" s="26">
        <f t="shared" ca="1" si="17"/>
        <v>0.17532309572428895</v>
      </c>
      <c r="D94" s="26" t="str">
        <f t="shared" ca="1" si="14"/>
        <v>Lose</v>
      </c>
      <c r="E94" s="3">
        <f t="shared" ca="1" si="18"/>
        <v>-500</v>
      </c>
      <c r="F94" s="42">
        <f t="shared" si="10"/>
        <v>3.3244098862872862E-186</v>
      </c>
      <c r="G94" s="41">
        <f>SUM(F$11:F94)</f>
        <v>3.6402374941609906E-186</v>
      </c>
      <c r="I94" s="1">
        <f t="shared" si="19"/>
        <v>84</v>
      </c>
      <c r="J94" s="3">
        <v>256000</v>
      </c>
      <c r="K94" s="3">
        <v>94000</v>
      </c>
      <c r="L94" s="3">
        <v>262000</v>
      </c>
      <c r="M94" s="30">
        <f t="shared" si="11"/>
        <v>1.56</v>
      </c>
      <c r="N94" s="1" t="str">
        <f t="shared" si="12"/>
        <v/>
      </c>
      <c r="O94" s="1" t="str">
        <f t="shared" si="13"/>
        <v/>
      </c>
    </row>
    <row r="95" spans="1:15" x14ac:dyDescent="0.25">
      <c r="A95" s="1">
        <f t="shared" si="15"/>
        <v>84</v>
      </c>
      <c r="B95" s="3">
        <f t="shared" ca="1" si="16"/>
        <v>97000</v>
      </c>
      <c r="C95" s="26">
        <f t="shared" ca="1" si="17"/>
        <v>0.39815362373199548</v>
      </c>
      <c r="D95" s="26" t="str">
        <f t="shared" ca="1" si="14"/>
        <v>Lose</v>
      </c>
      <c r="E95" s="3">
        <f t="shared" ca="1" si="18"/>
        <v>-500</v>
      </c>
      <c r="F95" s="42">
        <f t="shared" si="10"/>
        <v>3.7772759269196955E-185</v>
      </c>
      <c r="G95" s="41">
        <f>SUM(F$11:F95)</f>
        <v>4.1412996763357943E-185</v>
      </c>
      <c r="I95" s="1">
        <f t="shared" si="19"/>
        <v>85</v>
      </c>
      <c r="J95" s="3">
        <v>376000</v>
      </c>
      <c r="K95" s="3">
        <v>98000</v>
      </c>
      <c r="L95" s="3">
        <v>384000</v>
      </c>
      <c r="M95" s="30">
        <f t="shared" si="11"/>
        <v>2.76</v>
      </c>
      <c r="N95" s="1" t="str">
        <f t="shared" si="12"/>
        <v/>
      </c>
      <c r="O95" s="1" t="str">
        <f t="shared" si="13"/>
        <v/>
      </c>
    </row>
    <row r="96" spans="1:15" x14ac:dyDescent="0.25">
      <c r="A96" s="1">
        <f t="shared" si="15"/>
        <v>85</v>
      </c>
      <c r="B96" s="3">
        <f t="shared" ca="1" si="16"/>
        <v>96500</v>
      </c>
      <c r="C96" s="26">
        <f t="shared" ca="1" si="17"/>
        <v>0.44558715819082595</v>
      </c>
      <c r="D96" s="26" t="str">
        <f t="shared" ca="1" si="14"/>
        <v>Lose</v>
      </c>
      <c r="E96" s="3">
        <f t="shared" ca="1" si="18"/>
        <v>-500</v>
      </c>
      <c r="F96" s="42">
        <f t="shared" si="10"/>
        <v>4.2367160192549226E-184</v>
      </c>
      <c r="G96" s="41">
        <f>SUM(F$11:F96)</f>
        <v>4.6508459868885021E-184</v>
      </c>
      <c r="I96" s="1">
        <f t="shared" si="19"/>
        <v>86</v>
      </c>
      <c r="J96" s="3">
        <v>320000</v>
      </c>
      <c r="K96" s="3">
        <v>92000</v>
      </c>
      <c r="L96" s="3">
        <v>326000</v>
      </c>
      <c r="M96" s="30">
        <f t="shared" si="11"/>
        <v>2.2000000000000002</v>
      </c>
      <c r="N96" s="1" t="str">
        <f t="shared" si="12"/>
        <v/>
      </c>
      <c r="O96" s="1" t="str">
        <f t="shared" si="13"/>
        <v/>
      </c>
    </row>
    <row r="97" spans="1:15" x14ac:dyDescent="0.25">
      <c r="A97" s="1">
        <f t="shared" si="15"/>
        <v>86</v>
      </c>
      <c r="B97" s="3">
        <f t="shared" ca="1" si="16"/>
        <v>96000</v>
      </c>
      <c r="C97" s="26">
        <f t="shared" ca="1" si="17"/>
        <v>0.31713049135076898</v>
      </c>
      <c r="D97" s="26" t="str">
        <f t="shared" ca="1" si="14"/>
        <v>Lose</v>
      </c>
      <c r="E97" s="3">
        <f t="shared" ca="1" si="18"/>
        <v>-500</v>
      </c>
      <c r="F97" s="42">
        <f t="shared" si="10"/>
        <v>4.6916552690686286E-183</v>
      </c>
      <c r="G97" s="41">
        <f>SUM(F$11:F97)</f>
        <v>5.1567398677574791E-183</v>
      </c>
      <c r="I97" s="1">
        <f t="shared" si="19"/>
        <v>87</v>
      </c>
      <c r="J97" s="3">
        <v>204000</v>
      </c>
      <c r="K97" s="3">
        <v>94000</v>
      </c>
      <c r="L97" s="3">
        <v>218000</v>
      </c>
      <c r="M97" s="30">
        <f t="shared" si="11"/>
        <v>1.04</v>
      </c>
      <c r="N97" s="1" t="str">
        <f t="shared" si="12"/>
        <v/>
      </c>
      <c r="O97" s="1" t="str">
        <f t="shared" si="13"/>
        <v/>
      </c>
    </row>
    <row r="98" spans="1:15" x14ac:dyDescent="0.25">
      <c r="A98" s="1">
        <f t="shared" si="15"/>
        <v>87</v>
      </c>
      <c r="B98" s="3">
        <f t="shared" ca="1" si="16"/>
        <v>95500</v>
      </c>
      <c r="C98" s="26">
        <f t="shared" ca="1" si="17"/>
        <v>0.23865016349521384</v>
      </c>
      <c r="D98" s="26" t="str">
        <f t="shared" ca="1" si="14"/>
        <v>Lose</v>
      </c>
      <c r="E98" s="3">
        <f t="shared" ca="1" si="18"/>
        <v>-500</v>
      </c>
      <c r="F98" s="42">
        <f t="shared" si="10"/>
        <v>5.1301153814765284E-182</v>
      </c>
      <c r="G98" s="41">
        <f>SUM(F$11:F98)</f>
        <v>5.6457893682522762E-182</v>
      </c>
      <c r="I98" s="1">
        <f t="shared" si="19"/>
        <v>88</v>
      </c>
      <c r="J98" s="3">
        <v>220000</v>
      </c>
      <c r="K98" s="3">
        <v>90000</v>
      </c>
      <c r="L98" s="3">
        <v>230000</v>
      </c>
      <c r="M98" s="30">
        <f t="shared" si="11"/>
        <v>1.2000000000000002</v>
      </c>
      <c r="N98" s="1" t="str">
        <f t="shared" si="12"/>
        <v/>
      </c>
      <c r="O98" s="1" t="str">
        <f t="shared" si="13"/>
        <v/>
      </c>
    </row>
    <row r="99" spans="1:15" x14ac:dyDescent="0.25">
      <c r="A99" s="1">
        <f t="shared" si="15"/>
        <v>88</v>
      </c>
      <c r="B99" s="3">
        <f t="shared" ca="1" si="16"/>
        <v>95000</v>
      </c>
      <c r="C99" s="26">
        <f t="shared" ca="1" si="17"/>
        <v>9.8581603129127782E-2</v>
      </c>
      <c r="D99" s="26" t="str">
        <f t="shared" ca="1" si="14"/>
        <v>Lose</v>
      </c>
      <c r="E99" s="3">
        <f t="shared" ca="1" si="18"/>
        <v>-500</v>
      </c>
      <c r="F99" s="42">
        <f t="shared" si="10"/>
        <v>5.5397393902529452E-181</v>
      </c>
      <c r="G99" s="41">
        <f>SUM(F$11:F99)</f>
        <v>6.1043183270781733E-181</v>
      </c>
      <c r="I99" s="1">
        <f t="shared" si="19"/>
        <v>89</v>
      </c>
      <c r="J99" s="3">
        <v>228000</v>
      </c>
      <c r="K99" s="3">
        <v>68000</v>
      </c>
      <c r="L99" s="3">
        <v>230000</v>
      </c>
      <c r="M99" s="30">
        <f t="shared" si="11"/>
        <v>1.2799999999999998</v>
      </c>
      <c r="N99" s="1" t="str">
        <f t="shared" si="12"/>
        <v/>
      </c>
      <c r="O99" s="1" t="str">
        <f t="shared" si="13"/>
        <v/>
      </c>
    </row>
    <row r="100" spans="1:15" x14ac:dyDescent="0.25">
      <c r="A100" s="1">
        <f t="shared" si="15"/>
        <v>89</v>
      </c>
      <c r="B100" s="3">
        <f t="shared" ca="1" si="16"/>
        <v>95500</v>
      </c>
      <c r="C100" s="26">
        <f t="shared" ca="1" si="17"/>
        <v>0.87771925613242441</v>
      </c>
      <c r="D100" s="26" t="str">
        <f t="shared" ca="1" si="14"/>
        <v>Win</v>
      </c>
      <c r="E100" s="3">
        <f t="shared" ca="1" si="18"/>
        <v>500</v>
      </c>
      <c r="F100" s="42">
        <f t="shared" si="10"/>
        <v>5.9083778610277572E-180</v>
      </c>
      <c r="G100" s="41">
        <f>SUM(F$11:F100)</f>
        <v>6.5188096937355746E-180</v>
      </c>
      <c r="I100" s="1">
        <f t="shared" si="19"/>
        <v>90</v>
      </c>
      <c r="J100" s="3">
        <v>320000</v>
      </c>
      <c r="K100" s="3">
        <v>100000</v>
      </c>
      <c r="L100" s="3">
        <v>332000</v>
      </c>
      <c r="M100" s="30">
        <f t="shared" si="11"/>
        <v>2.2000000000000002</v>
      </c>
      <c r="N100" s="1" t="str">
        <f t="shared" si="12"/>
        <v/>
      </c>
      <c r="O100" s="1" t="str">
        <f t="shared" si="13"/>
        <v/>
      </c>
    </row>
    <row r="101" spans="1:15" x14ac:dyDescent="0.25">
      <c r="A101" s="1">
        <f t="shared" si="15"/>
        <v>90</v>
      </c>
      <c r="B101" s="3">
        <f t="shared" ca="1" si="16"/>
        <v>96000</v>
      </c>
      <c r="C101" s="26">
        <f t="shared" ca="1" si="17"/>
        <v>0.90628562473067664</v>
      </c>
      <c r="D101" s="26" t="str">
        <f t="shared" ca="1" si="14"/>
        <v>Win</v>
      </c>
      <c r="E101" s="3">
        <f t="shared" ca="1" si="18"/>
        <v>500</v>
      </c>
      <c r="F101" s="42">
        <f t="shared" si="10"/>
        <v>6.2246971383493608E-179</v>
      </c>
      <c r="G101" s="41">
        <f>SUM(F$11:F101)</f>
        <v>6.8765781077229185E-179</v>
      </c>
      <c r="I101" s="1">
        <f t="shared" si="19"/>
        <v>91</v>
      </c>
      <c r="J101" s="3">
        <v>364000</v>
      </c>
      <c r="K101" s="3">
        <v>90000</v>
      </c>
      <c r="L101" s="3">
        <v>374000</v>
      </c>
      <c r="M101" s="30">
        <f t="shared" si="11"/>
        <v>2.64</v>
      </c>
      <c r="N101" s="1" t="str">
        <f t="shared" si="12"/>
        <v/>
      </c>
      <c r="O101" s="1" t="str">
        <f t="shared" si="13"/>
        <v/>
      </c>
    </row>
    <row r="102" spans="1:15" x14ac:dyDescent="0.25">
      <c r="A102" s="1">
        <f t="shared" si="15"/>
        <v>91</v>
      </c>
      <c r="B102" s="3">
        <f t="shared" ca="1" si="16"/>
        <v>96500</v>
      </c>
      <c r="C102" s="26">
        <f t="shared" ca="1" si="17"/>
        <v>0.87720557722405967</v>
      </c>
      <c r="D102" s="26" t="str">
        <f t="shared" ca="1" si="14"/>
        <v>Win</v>
      </c>
      <c r="E102" s="3">
        <f t="shared" ca="1" si="18"/>
        <v>500</v>
      </c>
      <c r="F102" s="42">
        <f t="shared" si="10"/>
        <v>6.4787664093028792E-178</v>
      </c>
      <c r="G102" s="41">
        <f>SUM(F$11:F102)</f>
        <v>7.1664242200751706E-178</v>
      </c>
      <c r="I102" s="1">
        <f t="shared" si="19"/>
        <v>92</v>
      </c>
      <c r="J102" s="3">
        <v>184000</v>
      </c>
      <c r="K102" s="3">
        <v>78000</v>
      </c>
      <c r="L102" s="3">
        <v>196000</v>
      </c>
      <c r="M102" s="30">
        <f t="shared" si="11"/>
        <v>0.84000000000000008</v>
      </c>
      <c r="N102" s="1" t="str">
        <f t="shared" si="12"/>
        <v/>
      </c>
      <c r="O102" s="1" t="str">
        <f t="shared" si="13"/>
        <v/>
      </c>
    </row>
    <row r="103" spans="1:15" x14ac:dyDescent="0.25">
      <c r="A103" s="1">
        <f t="shared" si="15"/>
        <v>92</v>
      </c>
      <c r="B103" s="3">
        <f t="shared" ca="1" si="16"/>
        <v>97000</v>
      </c>
      <c r="C103" s="26">
        <f t="shared" ca="1" si="17"/>
        <v>0.85188157148854615</v>
      </c>
      <c r="D103" s="26" t="str">
        <f t="shared" ca="1" si="14"/>
        <v>Win</v>
      </c>
      <c r="E103" s="3">
        <f t="shared" ca="1" si="18"/>
        <v>500</v>
      </c>
      <c r="F103" s="42">
        <f t="shared" si="10"/>
        <v>6.6625805671885772E-177</v>
      </c>
      <c r="G103" s="41">
        <f>SUM(F$11:F103)</f>
        <v>7.3792229891960938E-177</v>
      </c>
      <c r="I103" s="1">
        <f t="shared" si="19"/>
        <v>93</v>
      </c>
      <c r="J103" s="3">
        <v>368000</v>
      </c>
      <c r="K103" s="3">
        <v>94000</v>
      </c>
      <c r="L103" s="3">
        <v>368000</v>
      </c>
      <c r="M103" s="30">
        <f t="shared" si="11"/>
        <v>2.68</v>
      </c>
      <c r="N103" s="1" t="str">
        <f t="shared" si="12"/>
        <v/>
      </c>
      <c r="O103" s="1" t="str">
        <f t="shared" si="13"/>
        <v/>
      </c>
    </row>
    <row r="104" spans="1:15" x14ac:dyDescent="0.25">
      <c r="A104" s="1">
        <f t="shared" si="15"/>
        <v>93</v>
      </c>
      <c r="B104" s="3">
        <f t="shared" ca="1" si="16"/>
        <v>97500</v>
      </c>
      <c r="C104" s="26">
        <f t="shared" ca="1" si="17"/>
        <v>0.69780308530046797</v>
      </c>
      <c r="D104" s="26" t="str">
        <f t="shared" ca="1" si="14"/>
        <v>Win</v>
      </c>
      <c r="E104" s="3">
        <f t="shared" ca="1" si="18"/>
        <v>500</v>
      </c>
      <c r="F104" s="42">
        <f t="shared" si="10"/>
        <v>6.7704801603112755E-176</v>
      </c>
      <c r="G104" s="41">
        <f>SUM(F$11:F104)</f>
        <v>7.5084024592308853E-176</v>
      </c>
      <c r="I104" s="1">
        <f t="shared" si="19"/>
        <v>94</v>
      </c>
      <c r="J104" s="3">
        <v>292000</v>
      </c>
      <c r="K104" s="3">
        <v>78000</v>
      </c>
      <c r="L104" s="3">
        <v>292000</v>
      </c>
      <c r="M104" s="30">
        <f t="shared" si="11"/>
        <v>1.92</v>
      </c>
      <c r="N104" s="1" t="str">
        <f t="shared" si="12"/>
        <v/>
      </c>
      <c r="O104" s="1" t="str">
        <f t="shared" si="13"/>
        <v/>
      </c>
    </row>
    <row r="105" spans="1:15" x14ac:dyDescent="0.25">
      <c r="A105" s="1">
        <f t="shared" si="15"/>
        <v>94</v>
      </c>
      <c r="B105" s="3">
        <f t="shared" ca="1" si="16"/>
        <v>97000</v>
      </c>
      <c r="C105" s="26">
        <f t="shared" ca="1" si="17"/>
        <v>0.3007895701983383</v>
      </c>
      <c r="D105" s="26" t="str">
        <f t="shared" ca="1" si="14"/>
        <v>Lose</v>
      </c>
      <c r="E105" s="3">
        <f t="shared" ca="1" si="18"/>
        <v>-500</v>
      </c>
      <c r="F105" s="42">
        <f t="shared" si="10"/>
        <v>6.7994377068066908E-175</v>
      </c>
      <c r="G105" s="41">
        <f>SUM(F$11:F105)</f>
        <v>7.5502779527297793E-175</v>
      </c>
      <c r="I105" s="1">
        <f t="shared" si="19"/>
        <v>95</v>
      </c>
      <c r="J105" s="3">
        <v>364000</v>
      </c>
      <c r="K105" s="3">
        <v>100000</v>
      </c>
      <c r="L105" s="3">
        <v>364000</v>
      </c>
      <c r="M105" s="30">
        <f t="shared" si="11"/>
        <v>2.64</v>
      </c>
      <c r="N105" s="1" t="str">
        <f t="shared" si="12"/>
        <v/>
      </c>
      <c r="O105" s="1" t="str">
        <f t="shared" si="13"/>
        <v/>
      </c>
    </row>
    <row r="106" spans="1:15" x14ac:dyDescent="0.25">
      <c r="A106" s="1">
        <f t="shared" si="15"/>
        <v>95</v>
      </c>
      <c r="B106" s="3">
        <f t="shared" ca="1" si="16"/>
        <v>97500</v>
      </c>
      <c r="C106" s="26">
        <f t="shared" ca="1" si="17"/>
        <v>0.85740725280622665</v>
      </c>
      <c r="D106" s="26" t="str">
        <f t="shared" ca="1" si="14"/>
        <v>Win</v>
      </c>
      <c r="E106" s="3">
        <f t="shared" ca="1" si="18"/>
        <v>500</v>
      </c>
      <c r="F106" s="42">
        <f t="shared" si="10"/>
        <v>6.749190519456742E-174</v>
      </c>
      <c r="G106" s="41">
        <f>SUM(F$11:F106)</f>
        <v>7.5042183147297199E-174</v>
      </c>
      <c r="I106" s="1">
        <f t="shared" si="19"/>
        <v>96</v>
      </c>
      <c r="J106" s="3">
        <v>328000</v>
      </c>
      <c r="K106" s="3">
        <v>98000</v>
      </c>
      <c r="L106" s="3">
        <v>354000</v>
      </c>
      <c r="M106" s="30">
        <f t="shared" si="11"/>
        <v>2.2799999999999998</v>
      </c>
      <c r="N106" s="1" t="str">
        <f t="shared" si="12"/>
        <v/>
      </c>
      <c r="O106" s="1" t="str">
        <f t="shared" si="13"/>
        <v/>
      </c>
    </row>
    <row r="107" spans="1:15" x14ac:dyDescent="0.25">
      <c r="A107" s="1">
        <f t="shared" si="15"/>
        <v>96</v>
      </c>
      <c r="B107" s="3">
        <f t="shared" ca="1" si="16"/>
        <v>98000</v>
      </c>
      <c r="C107" s="26">
        <f t="shared" ca="1" si="17"/>
        <v>0.99021713570382075</v>
      </c>
      <c r="D107" s="26" t="str">
        <f t="shared" ca="1" si="14"/>
        <v>Win</v>
      </c>
      <c r="E107" s="3">
        <f t="shared" ca="1" si="18"/>
        <v>500</v>
      </c>
      <c r="F107" s="42">
        <f t="shared" si="10"/>
        <v>6.6222127641478217E-173</v>
      </c>
      <c r="G107" s="41">
        <f>SUM(F$11:F107)</f>
        <v>7.3726345956207941E-173</v>
      </c>
      <c r="I107" s="1">
        <f t="shared" si="19"/>
        <v>97</v>
      </c>
      <c r="J107" s="3">
        <v>348000</v>
      </c>
      <c r="K107" s="3">
        <v>98000</v>
      </c>
      <c r="L107" s="3">
        <v>358000</v>
      </c>
      <c r="M107" s="30">
        <f t="shared" si="11"/>
        <v>2.48</v>
      </c>
      <c r="N107" s="1" t="str">
        <f t="shared" si="12"/>
        <v/>
      </c>
      <c r="O107" s="1" t="str">
        <f t="shared" si="13"/>
        <v/>
      </c>
    </row>
    <row r="108" spans="1:15" x14ac:dyDescent="0.25">
      <c r="A108" s="1">
        <f t="shared" si="15"/>
        <v>97</v>
      </c>
      <c r="B108" s="3">
        <f t="shared" ca="1" si="16"/>
        <v>98500</v>
      </c>
      <c r="C108" s="26">
        <f t="shared" ca="1" si="17"/>
        <v>0.56654720109655243</v>
      </c>
      <c r="D108" s="26" t="str">
        <f t="shared" ca="1" si="14"/>
        <v>Win</v>
      </c>
      <c r="E108" s="3">
        <f t="shared" ca="1" si="18"/>
        <v>500</v>
      </c>
      <c r="F108" s="42">
        <f t="shared" si="10"/>
        <v>6.4235324485230305E-172</v>
      </c>
      <c r="G108" s="41">
        <f>SUM(F$11:F108)</f>
        <v>7.1607959080851095E-172</v>
      </c>
      <c r="I108" s="1">
        <f t="shared" si="19"/>
        <v>98</v>
      </c>
      <c r="J108" s="3">
        <v>248000</v>
      </c>
      <c r="K108" s="3">
        <v>94000</v>
      </c>
      <c r="L108" s="3">
        <v>248000</v>
      </c>
      <c r="M108" s="30">
        <f t="shared" si="11"/>
        <v>1.48</v>
      </c>
      <c r="N108" s="1" t="str">
        <f t="shared" si="12"/>
        <v/>
      </c>
      <c r="O108" s="1" t="str">
        <f t="shared" si="13"/>
        <v/>
      </c>
    </row>
    <row r="109" spans="1:15" x14ac:dyDescent="0.25">
      <c r="A109" s="1">
        <f t="shared" si="15"/>
        <v>98</v>
      </c>
      <c r="B109" s="3">
        <f t="shared" ca="1" si="16"/>
        <v>99000</v>
      </c>
      <c r="C109" s="26">
        <f t="shared" ca="1" si="17"/>
        <v>0.80901817890419359</v>
      </c>
      <c r="D109" s="26" t="str">
        <f t="shared" ca="1" si="14"/>
        <v>Win</v>
      </c>
      <c r="E109" s="3">
        <f t="shared" ca="1" si="18"/>
        <v>500</v>
      </c>
      <c r="F109" s="42">
        <f t="shared" si="10"/>
        <v>6.1604110756304448E-171</v>
      </c>
      <c r="G109" s="41">
        <f>SUM(F$11:F109)</f>
        <v>6.8764906664389558E-171</v>
      </c>
      <c r="I109" s="1">
        <f t="shared" si="19"/>
        <v>99</v>
      </c>
      <c r="J109" s="3">
        <v>316000</v>
      </c>
      <c r="K109" s="3">
        <v>100000</v>
      </c>
      <c r="L109" s="3">
        <v>330000</v>
      </c>
      <c r="M109" s="30">
        <f t="shared" si="11"/>
        <v>2.16</v>
      </c>
      <c r="N109" s="1" t="str">
        <f t="shared" si="12"/>
        <v/>
      </c>
      <c r="O109" s="1" t="str">
        <f t="shared" si="13"/>
        <v/>
      </c>
    </row>
    <row r="110" spans="1:15" x14ac:dyDescent="0.25">
      <c r="A110" s="1">
        <f t="shared" si="15"/>
        <v>99</v>
      </c>
      <c r="B110" s="3">
        <f t="shared" ca="1" si="16"/>
        <v>98500</v>
      </c>
      <c r="C110" s="26">
        <f t="shared" ca="1" si="17"/>
        <v>0.48765561320820638</v>
      </c>
      <c r="D110" s="26" t="str">
        <f t="shared" ca="1" si="14"/>
        <v>Lose</v>
      </c>
      <c r="E110" s="3">
        <f t="shared" ca="1" si="18"/>
        <v>-500</v>
      </c>
      <c r="F110" s="42">
        <f t="shared" si="10"/>
        <v>5.8419136322650597E-170</v>
      </c>
      <c r="G110" s="41">
        <f>SUM(F$11:F110)</f>
        <v>6.5295626989089554E-170</v>
      </c>
      <c r="I110" s="1">
        <f t="shared" si="19"/>
        <v>100</v>
      </c>
      <c r="J110" s="3">
        <v>324000</v>
      </c>
      <c r="K110" s="3">
        <v>100000</v>
      </c>
      <c r="L110" s="3">
        <v>330000</v>
      </c>
      <c r="M110" s="30">
        <f t="shared" si="11"/>
        <v>2.2400000000000002</v>
      </c>
      <c r="N110" s="1" t="str">
        <f t="shared" si="12"/>
        <v/>
      </c>
      <c r="O110" s="1" t="str">
        <f t="shared" si="13"/>
        <v/>
      </c>
    </row>
    <row r="111" spans="1:15" x14ac:dyDescent="0.25">
      <c r="A111" s="1">
        <f t="shared" si="15"/>
        <v>100</v>
      </c>
      <c r="B111" s="3">
        <f t="shared" ca="1" si="16"/>
        <v>99000</v>
      </c>
      <c r="C111" s="26">
        <f t="shared" ca="1" si="17"/>
        <v>0.70245992870962215</v>
      </c>
      <c r="D111" s="26" t="str">
        <f t="shared" ca="1" si="14"/>
        <v>Win</v>
      </c>
      <c r="E111" s="3">
        <f t="shared" ca="1" si="18"/>
        <v>500</v>
      </c>
      <c r="F111" s="42">
        <f t="shared" si="10"/>
        <v>5.4784035370654939E-169</v>
      </c>
      <c r="G111" s="41">
        <f>SUM(F$11:F111)</f>
        <v>6.1313598069563899E-169</v>
      </c>
      <c r="I111" s="1">
        <f t="shared" si="19"/>
        <v>101</v>
      </c>
      <c r="J111" s="3">
        <v>332000</v>
      </c>
      <c r="K111" s="3">
        <v>90000</v>
      </c>
      <c r="L111" s="3">
        <v>332000</v>
      </c>
      <c r="M111" s="30">
        <f t="shared" si="11"/>
        <v>2.3199999999999998</v>
      </c>
      <c r="N111" s="1" t="str">
        <f t="shared" si="12"/>
        <v/>
      </c>
      <c r="O111" s="1" t="str">
        <f t="shared" si="13"/>
        <v/>
      </c>
    </row>
    <row r="112" spans="1:15" x14ac:dyDescent="0.25">
      <c r="A112" s="1">
        <f t="shared" si="15"/>
        <v>101</v>
      </c>
      <c r="B112" s="3">
        <f t="shared" ca="1" si="16"/>
        <v>98500</v>
      </c>
      <c r="C112" s="26">
        <f t="shared" ca="1" si="17"/>
        <v>0.24336517892602594</v>
      </c>
      <c r="D112" s="26" t="str">
        <f t="shared" ca="1" si="14"/>
        <v>Lose</v>
      </c>
      <c r="E112" s="3">
        <f t="shared" ca="1" si="18"/>
        <v>-500</v>
      </c>
      <c r="F112" s="42">
        <f t="shared" si="10"/>
        <v>5.0810006536939638E-168</v>
      </c>
      <c r="G112" s="41">
        <f>SUM(F$11:F112)</f>
        <v>5.6941366343896024E-168</v>
      </c>
      <c r="I112" s="1">
        <f t="shared" si="19"/>
        <v>102</v>
      </c>
      <c r="J112" s="3">
        <v>340000</v>
      </c>
      <c r="K112" s="3">
        <v>82000</v>
      </c>
      <c r="L112" s="3">
        <v>344000</v>
      </c>
      <c r="M112" s="30">
        <f t="shared" si="11"/>
        <v>2.4</v>
      </c>
      <c r="N112" s="1" t="str">
        <f t="shared" si="12"/>
        <v/>
      </c>
      <c r="O112" s="1" t="str">
        <f t="shared" si="13"/>
        <v/>
      </c>
    </row>
    <row r="113" spans="1:15" x14ac:dyDescent="0.25">
      <c r="A113" s="1">
        <f t="shared" si="15"/>
        <v>102</v>
      </c>
      <c r="B113" s="3">
        <f t="shared" ca="1" si="16"/>
        <v>98000</v>
      </c>
      <c r="C113" s="26">
        <f t="shared" ca="1" si="17"/>
        <v>0.28988446438601256</v>
      </c>
      <c r="D113" s="26" t="str">
        <f t="shared" ca="1" si="14"/>
        <v>Lose</v>
      </c>
      <c r="E113" s="3">
        <f t="shared" ca="1" si="18"/>
        <v>-500</v>
      </c>
      <c r="F113" s="42">
        <f t="shared" si="10"/>
        <v>4.6610403955823653E-167</v>
      </c>
      <c r="G113" s="41">
        <f>SUM(F$11:F113)</f>
        <v>5.2304540590213257E-167</v>
      </c>
      <c r="I113" s="1">
        <f t="shared" si="19"/>
        <v>103</v>
      </c>
      <c r="J113" s="3">
        <v>336000</v>
      </c>
      <c r="K113" s="3">
        <v>100000</v>
      </c>
      <c r="L113" s="3">
        <v>338000</v>
      </c>
      <c r="M113" s="30">
        <f t="shared" si="11"/>
        <v>2.36</v>
      </c>
      <c r="N113" s="1" t="str">
        <f t="shared" si="12"/>
        <v/>
      </c>
      <c r="O113" s="1" t="str">
        <f t="shared" si="13"/>
        <v/>
      </c>
    </row>
    <row r="114" spans="1:15" x14ac:dyDescent="0.25">
      <c r="A114" s="1">
        <f t="shared" si="15"/>
        <v>103</v>
      </c>
      <c r="B114" s="3">
        <f t="shared" ca="1" si="16"/>
        <v>98500</v>
      </c>
      <c r="C114" s="26">
        <f t="shared" ca="1" si="17"/>
        <v>0.81755269078289972</v>
      </c>
      <c r="D114" s="26" t="str">
        <f t="shared" ca="1" si="14"/>
        <v>Win</v>
      </c>
      <c r="E114" s="3">
        <f t="shared" ca="1" si="18"/>
        <v>500</v>
      </c>
      <c r="F114" s="42">
        <f t="shared" si="10"/>
        <v>4.2295686157494722E-166</v>
      </c>
      <c r="G114" s="41">
        <f>SUM(F$11:F114)</f>
        <v>4.7526140216516048E-166</v>
      </c>
      <c r="I114" s="1">
        <f t="shared" si="19"/>
        <v>104</v>
      </c>
      <c r="J114" s="3">
        <v>472000</v>
      </c>
      <c r="K114" s="3">
        <v>92000</v>
      </c>
      <c r="L114" s="3">
        <v>472000</v>
      </c>
      <c r="M114" s="30">
        <f t="shared" si="11"/>
        <v>3.7199999999999998</v>
      </c>
      <c r="N114" s="1" t="str">
        <f t="shared" si="12"/>
        <v/>
      </c>
      <c r="O114" s="1" t="str">
        <f t="shared" si="13"/>
        <v/>
      </c>
    </row>
    <row r="115" spans="1:15" x14ac:dyDescent="0.25">
      <c r="A115" s="1">
        <f t="shared" si="15"/>
        <v>104</v>
      </c>
      <c r="B115" s="3">
        <f t="shared" ca="1" si="16"/>
        <v>99000</v>
      </c>
      <c r="C115" s="26">
        <f t="shared" ca="1" si="17"/>
        <v>0.49208820739250259</v>
      </c>
      <c r="D115" s="26" t="str">
        <f t="shared" ca="1" si="14"/>
        <v>Win</v>
      </c>
      <c r="E115" s="3">
        <f t="shared" ca="1" si="18"/>
        <v>500</v>
      </c>
      <c r="F115" s="42">
        <f t="shared" si="10"/>
        <v>3.796901009904313E-165</v>
      </c>
      <c r="G115" s="41">
        <f>SUM(F$11:F115)</f>
        <v>4.2721624120694734E-165</v>
      </c>
      <c r="I115" s="1">
        <f t="shared" si="19"/>
        <v>105</v>
      </c>
      <c r="J115" s="3">
        <v>292000</v>
      </c>
      <c r="K115" s="3">
        <v>100000</v>
      </c>
      <c r="L115" s="3">
        <v>296000</v>
      </c>
      <c r="M115" s="30">
        <f t="shared" si="11"/>
        <v>1.92</v>
      </c>
      <c r="N115" s="1" t="str">
        <f t="shared" si="12"/>
        <v/>
      </c>
      <c r="O115" s="1" t="str">
        <f t="shared" si="13"/>
        <v/>
      </c>
    </row>
    <row r="116" spans="1:15" x14ac:dyDescent="0.25">
      <c r="A116" s="1">
        <f t="shared" si="15"/>
        <v>105</v>
      </c>
      <c r="B116" s="3">
        <f t="shared" ca="1" si="16"/>
        <v>99500</v>
      </c>
      <c r="C116" s="26">
        <f t="shared" ca="1" si="17"/>
        <v>0.58867590611816034</v>
      </c>
      <c r="D116" s="26" t="str">
        <f t="shared" ca="1" si="14"/>
        <v>Win</v>
      </c>
      <c r="E116" s="3">
        <f t="shared" ca="1" si="18"/>
        <v>500</v>
      </c>
      <c r="F116" s="42">
        <f t="shared" si="10"/>
        <v>3.3722679990003262E-164</v>
      </c>
      <c r="G116" s="41">
        <f>SUM(F$11:F116)</f>
        <v>3.7994842402072734E-164</v>
      </c>
      <c r="I116" s="1">
        <f t="shared" si="19"/>
        <v>106</v>
      </c>
      <c r="J116" s="3">
        <v>308000</v>
      </c>
      <c r="K116" s="3">
        <v>80000</v>
      </c>
      <c r="L116" s="3">
        <v>312000</v>
      </c>
      <c r="M116" s="30">
        <f t="shared" si="11"/>
        <v>2.08</v>
      </c>
      <c r="N116" s="1" t="str">
        <f t="shared" si="12"/>
        <v/>
      </c>
      <c r="O116" s="1" t="str">
        <f t="shared" si="13"/>
        <v/>
      </c>
    </row>
    <row r="117" spans="1:15" x14ac:dyDescent="0.25">
      <c r="A117" s="1">
        <f t="shared" si="15"/>
        <v>106</v>
      </c>
      <c r="B117" s="3">
        <f t="shared" ca="1" si="16"/>
        <v>99000</v>
      </c>
      <c r="C117" s="26">
        <f t="shared" ca="1" si="17"/>
        <v>0.30697237923682252</v>
      </c>
      <c r="D117" s="26" t="str">
        <f t="shared" ca="1" si="14"/>
        <v>Lose</v>
      </c>
      <c r="E117" s="3">
        <f t="shared" ca="1" si="18"/>
        <v>-500</v>
      </c>
      <c r="F117" s="42">
        <f t="shared" si="10"/>
        <v>2.9635574280782235E-163</v>
      </c>
      <c r="G117" s="41">
        <f>SUM(F$11:F117)</f>
        <v>3.3435058520989511E-163</v>
      </c>
      <c r="I117" s="1">
        <f t="shared" si="19"/>
        <v>107</v>
      </c>
      <c r="J117" s="3">
        <v>248000</v>
      </c>
      <c r="K117" s="3">
        <v>90000</v>
      </c>
      <c r="L117" s="3">
        <v>266000</v>
      </c>
      <c r="M117" s="30">
        <f t="shared" si="11"/>
        <v>1.48</v>
      </c>
      <c r="N117" s="1" t="str">
        <f t="shared" si="12"/>
        <v/>
      </c>
      <c r="O117" s="1" t="str">
        <f t="shared" si="13"/>
        <v/>
      </c>
    </row>
    <row r="118" spans="1:15" x14ac:dyDescent="0.25">
      <c r="A118" s="1">
        <f t="shared" si="15"/>
        <v>107</v>
      </c>
      <c r="B118" s="3">
        <f t="shared" ca="1" si="16"/>
        <v>98500</v>
      </c>
      <c r="C118" s="26">
        <f t="shared" ca="1" si="17"/>
        <v>7.276172364055089E-3</v>
      </c>
      <c r="D118" s="26" t="str">
        <f t="shared" ca="1" si="14"/>
        <v>Lose</v>
      </c>
      <c r="E118" s="3">
        <f t="shared" ca="1" si="18"/>
        <v>-500</v>
      </c>
      <c r="F118" s="42">
        <f t="shared" si="10"/>
        <v>2.5771588284526075E-162</v>
      </c>
      <c r="G118" s="41">
        <f>SUM(F$11:F118)</f>
        <v>2.9115094136625028E-162</v>
      </c>
      <c r="I118" s="1">
        <f t="shared" si="19"/>
        <v>108</v>
      </c>
      <c r="J118" s="3">
        <v>312000</v>
      </c>
      <c r="K118" s="3">
        <v>92000</v>
      </c>
      <c r="L118" s="3">
        <v>316000</v>
      </c>
      <c r="M118" s="30">
        <f t="shared" si="11"/>
        <v>2.12</v>
      </c>
      <c r="N118" s="1" t="str">
        <f t="shared" si="12"/>
        <v/>
      </c>
      <c r="O118" s="1" t="str">
        <f t="shared" si="13"/>
        <v/>
      </c>
    </row>
    <row r="119" spans="1:15" x14ac:dyDescent="0.25">
      <c r="A119" s="1">
        <f t="shared" si="15"/>
        <v>108</v>
      </c>
      <c r="B119" s="3">
        <f t="shared" ca="1" si="16"/>
        <v>99000</v>
      </c>
      <c r="C119" s="26">
        <f t="shared" ca="1" si="17"/>
        <v>0.52087901136170545</v>
      </c>
      <c r="D119" s="26" t="str">
        <f t="shared" ca="1" si="14"/>
        <v>Win</v>
      </c>
      <c r="E119" s="3">
        <f t="shared" ca="1" si="18"/>
        <v>500</v>
      </c>
      <c r="F119" s="42">
        <f t="shared" si="10"/>
        <v>2.2179052253252977E-161</v>
      </c>
      <c r="G119" s="41">
        <f>SUM(F$11:F119)</f>
        <v>2.509056166691548E-161</v>
      </c>
      <c r="I119" s="1">
        <f t="shared" si="19"/>
        <v>109</v>
      </c>
      <c r="J119" s="3">
        <v>380000</v>
      </c>
      <c r="K119" s="3">
        <v>96000</v>
      </c>
      <c r="L119" s="3">
        <v>398000</v>
      </c>
      <c r="M119" s="30">
        <f t="shared" si="11"/>
        <v>2.8</v>
      </c>
      <c r="N119" s="1" t="str">
        <f t="shared" si="12"/>
        <v/>
      </c>
      <c r="O119" s="1" t="str">
        <f t="shared" si="13"/>
        <v/>
      </c>
    </row>
    <row r="120" spans="1:15" x14ac:dyDescent="0.25">
      <c r="A120" s="1">
        <f t="shared" si="15"/>
        <v>109</v>
      </c>
      <c r="B120" s="3">
        <f t="shared" ca="1" si="16"/>
        <v>98500</v>
      </c>
      <c r="C120" s="26">
        <f t="shared" ca="1" si="17"/>
        <v>0.40788098185458965</v>
      </c>
      <c r="D120" s="26" t="str">
        <f t="shared" ca="1" si="14"/>
        <v>Lose</v>
      </c>
      <c r="E120" s="3">
        <f t="shared" ca="1" si="18"/>
        <v>-500</v>
      </c>
      <c r="F120" s="42">
        <f t="shared" si="10"/>
        <v>1.8891021252671516E-160</v>
      </c>
      <c r="G120" s="41">
        <f>SUM(F$11:F120)</f>
        <v>2.1400077419363063E-160</v>
      </c>
      <c r="I120" s="1">
        <f t="shared" si="19"/>
        <v>110</v>
      </c>
      <c r="J120" s="3">
        <v>292000</v>
      </c>
      <c r="K120" s="3">
        <v>100000</v>
      </c>
      <c r="L120" s="3">
        <v>292000</v>
      </c>
      <c r="M120" s="30">
        <f t="shared" si="11"/>
        <v>1.92</v>
      </c>
      <c r="N120" s="1" t="str">
        <f t="shared" si="12"/>
        <v/>
      </c>
      <c r="O120" s="1" t="str">
        <f t="shared" si="13"/>
        <v/>
      </c>
    </row>
    <row r="121" spans="1:15" x14ac:dyDescent="0.25">
      <c r="A121" s="1">
        <f t="shared" si="15"/>
        <v>110</v>
      </c>
      <c r="B121" s="3">
        <f t="shared" ca="1" si="16"/>
        <v>98000</v>
      </c>
      <c r="C121" s="26">
        <f t="shared" ca="1" si="17"/>
        <v>0.3825282323236463</v>
      </c>
      <c r="D121" s="26" t="str">
        <f t="shared" ca="1" si="14"/>
        <v>Lose</v>
      </c>
      <c r="E121" s="3">
        <f t="shared" ca="1" si="18"/>
        <v>-500</v>
      </c>
      <c r="F121" s="42">
        <f t="shared" si="10"/>
        <v>1.5926287509137948E-159</v>
      </c>
      <c r="G121" s="41">
        <f>SUM(F$11:F121)</f>
        <v>1.8066295251074256E-159</v>
      </c>
      <c r="I121" s="1">
        <f t="shared" si="19"/>
        <v>111</v>
      </c>
      <c r="J121" s="3">
        <v>228000</v>
      </c>
      <c r="K121" s="3">
        <v>94000</v>
      </c>
      <c r="L121" s="3">
        <v>230000</v>
      </c>
      <c r="M121" s="30">
        <f t="shared" si="11"/>
        <v>1.2799999999999998</v>
      </c>
      <c r="N121" s="1" t="str">
        <f t="shared" si="12"/>
        <v/>
      </c>
      <c r="O121" s="1" t="str">
        <f t="shared" si="13"/>
        <v/>
      </c>
    </row>
    <row r="122" spans="1:15" x14ac:dyDescent="0.25">
      <c r="A122" s="1">
        <f t="shared" si="15"/>
        <v>111</v>
      </c>
      <c r="B122" s="3">
        <f t="shared" ca="1" si="16"/>
        <v>98500</v>
      </c>
      <c r="C122" s="26">
        <f t="shared" ca="1" si="17"/>
        <v>0.67932351645550326</v>
      </c>
      <c r="D122" s="26" t="str">
        <f t="shared" ca="1" si="14"/>
        <v>Win</v>
      </c>
      <c r="E122" s="3">
        <f t="shared" ca="1" si="18"/>
        <v>500</v>
      </c>
      <c r="F122" s="42">
        <f t="shared" si="10"/>
        <v>1.3290939327813894E-158</v>
      </c>
      <c r="G122" s="41">
        <f>SUM(F$11:F122)</f>
        <v>1.5097568852921318E-158</v>
      </c>
      <c r="I122" s="1">
        <f t="shared" si="19"/>
        <v>112</v>
      </c>
      <c r="J122" s="3">
        <v>328000</v>
      </c>
      <c r="K122" s="3">
        <v>100000</v>
      </c>
      <c r="L122" s="3">
        <v>354000</v>
      </c>
      <c r="M122" s="30">
        <f t="shared" si="11"/>
        <v>2.2799999999999998</v>
      </c>
      <c r="N122" s="1" t="str">
        <f t="shared" si="12"/>
        <v/>
      </c>
      <c r="O122" s="1" t="str">
        <f t="shared" si="13"/>
        <v/>
      </c>
    </row>
    <row r="123" spans="1:15" x14ac:dyDescent="0.25">
      <c r="A123" s="1">
        <f t="shared" si="15"/>
        <v>112</v>
      </c>
      <c r="B123" s="3">
        <f t="shared" ca="1" si="16"/>
        <v>99000</v>
      </c>
      <c r="C123" s="26">
        <f t="shared" ca="1" si="17"/>
        <v>0.83657707721857388</v>
      </c>
      <c r="D123" s="26" t="str">
        <f t="shared" ca="1" si="14"/>
        <v>Win</v>
      </c>
      <c r="E123" s="3">
        <f t="shared" ca="1" si="18"/>
        <v>500</v>
      </c>
      <c r="F123" s="42">
        <f t="shared" si="10"/>
        <v>1.0980282401309132E-157</v>
      </c>
      <c r="G123" s="41">
        <f>SUM(F$11:F123)</f>
        <v>1.2490039286601264E-157</v>
      </c>
      <c r="I123" s="1">
        <f t="shared" si="19"/>
        <v>113</v>
      </c>
      <c r="J123" s="3">
        <v>264000</v>
      </c>
      <c r="K123" s="3">
        <v>94000</v>
      </c>
      <c r="L123" s="3">
        <v>294000</v>
      </c>
      <c r="M123" s="30">
        <f t="shared" si="11"/>
        <v>1.6400000000000001</v>
      </c>
      <c r="N123" s="1" t="str">
        <f t="shared" si="12"/>
        <v/>
      </c>
      <c r="O123" s="1" t="str">
        <f t="shared" si="13"/>
        <v/>
      </c>
    </row>
    <row r="124" spans="1:15" x14ac:dyDescent="0.25">
      <c r="A124" s="1">
        <f t="shared" si="15"/>
        <v>113</v>
      </c>
      <c r="B124" s="3">
        <f t="shared" ca="1" si="16"/>
        <v>98500</v>
      </c>
      <c r="C124" s="26">
        <f t="shared" ca="1" si="17"/>
        <v>0.45425189817747758</v>
      </c>
      <c r="D124" s="26" t="str">
        <f t="shared" ca="1" si="14"/>
        <v>Lose</v>
      </c>
      <c r="E124" s="3">
        <f t="shared" ca="1" si="18"/>
        <v>-500</v>
      </c>
      <c r="F124" s="42">
        <f t="shared" si="10"/>
        <v>8.9809468916458231E-157</v>
      </c>
      <c r="G124" s="41">
        <f>SUM(F$11:F124)</f>
        <v>1.022995082030595E-156</v>
      </c>
      <c r="I124" s="1">
        <f t="shared" si="19"/>
        <v>114</v>
      </c>
      <c r="J124" s="3">
        <v>280000</v>
      </c>
      <c r="K124" s="3">
        <v>96000</v>
      </c>
      <c r="L124" s="3">
        <v>294000</v>
      </c>
      <c r="M124" s="30">
        <f t="shared" si="11"/>
        <v>1.7999999999999998</v>
      </c>
      <c r="N124" s="1" t="str">
        <f t="shared" si="12"/>
        <v/>
      </c>
      <c r="O124" s="1" t="str">
        <f t="shared" si="13"/>
        <v/>
      </c>
    </row>
    <row r="125" spans="1:15" x14ac:dyDescent="0.25">
      <c r="A125" s="1">
        <f t="shared" si="15"/>
        <v>114</v>
      </c>
      <c r="B125" s="3">
        <f t="shared" ca="1" si="16"/>
        <v>99000</v>
      </c>
      <c r="C125" s="26">
        <f t="shared" ca="1" si="17"/>
        <v>0.77468408904272534</v>
      </c>
      <c r="D125" s="26" t="str">
        <f t="shared" ca="1" si="14"/>
        <v>Win</v>
      </c>
      <c r="E125" s="3">
        <f t="shared" ca="1" si="18"/>
        <v>500</v>
      </c>
      <c r="F125" s="42">
        <f t="shared" si="10"/>
        <v>7.2730235327138521E-156</v>
      </c>
      <c r="G125" s="41">
        <f>SUM(F$11:F125)</f>
        <v>8.296018614744447E-156</v>
      </c>
      <c r="I125" s="1">
        <f t="shared" si="19"/>
        <v>115</v>
      </c>
      <c r="J125" s="3">
        <v>204000</v>
      </c>
      <c r="K125" s="3">
        <v>90000</v>
      </c>
      <c r="L125" s="3">
        <v>222000</v>
      </c>
      <c r="M125" s="30">
        <f t="shared" si="11"/>
        <v>1.04</v>
      </c>
      <c r="N125" s="1" t="str">
        <f t="shared" si="12"/>
        <v/>
      </c>
      <c r="O125" s="1" t="str">
        <f t="shared" si="13"/>
        <v/>
      </c>
    </row>
    <row r="126" spans="1:15" x14ac:dyDescent="0.25">
      <c r="A126" s="1">
        <f t="shared" si="15"/>
        <v>115</v>
      </c>
      <c r="B126" s="3">
        <f t="shared" ca="1" si="16"/>
        <v>99500</v>
      </c>
      <c r="C126" s="26">
        <f t="shared" ca="1" si="17"/>
        <v>0.97796680124849933</v>
      </c>
      <c r="D126" s="26" t="str">
        <f t="shared" ca="1" si="14"/>
        <v>Win</v>
      </c>
      <c r="E126" s="3">
        <f t="shared" ca="1" si="18"/>
        <v>500</v>
      </c>
      <c r="F126" s="42">
        <f t="shared" si="10"/>
        <v>5.8321001126749116E-155</v>
      </c>
      <c r="G126" s="41">
        <f>SUM(F$11:F126)</f>
        <v>6.6617019741493562E-155</v>
      </c>
      <c r="I126" s="1">
        <f t="shared" si="19"/>
        <v>116</v>
      </c>
      <c r="J126" s="3">
        <v>340000</v>
      </c>
      <c r="K126" s="3">
        <v>96000</v>
      </c>
      <c r="L126" s="3">
        <v>344000</v>
      </c>
      <c r="M126" s="30">
        <f t="shared" si="11"/>
        <v>2.4</v>
      </c>
      <c r="N126" s="1" t="str">
        <f t="shared" si="12"/>
        <v/>
      </c>
      <c r="O126" s="1" t="str">
        <f t="shared" si="13"/>
        <v/>
      </c>
    </row>
    <row r="127" spans="1:15" x14ac:dyDescent="0.25">
      <c r="A127" s="1">
        <f t="shared" si="15"/>
        <v>116</v>
      </c>
      <c r="B127" s="3">
        <f t="shared" ca="1" si="16"/>
        <v>99000</v>
      </c>
      <c r="C127" s="26">
        <f t="shared" ca="1" si="17"/>
        <v>0.28073950773989809</v>
      </c>
      <c r="D127" s="26" t="str">
        <f t="shared" ca="1" si="14"/>
        <v>Lose</v>
      </c>
      <c r="E127" s="3">
        <f t="shared" ca="1" si="18"/>
        <v>-500</v>
      </c>
      <c r="F127" s="42">
        <f t="shared" si="10"/>
        <v>4.6311020159312046E-154</v>
      </c>
      <c r="G127" s="41">
        <f>SUM(F$11:F127)</f>
        <v>5.2972722133461402E-154</v>
      </c>
      <c r="I127" s="1">
        <f t="shared" si="19"/>
        <v>117</v>
      </c>
      <c r="J127" s="3">
        <v>360000</v>
      </c>
      <c r="K127" s="3">
        <v>98000</v>
      </c>
      <c r="L127" s="3">
        <v>362000</v>
      </c>
      <c r="M127" s="30">
        <f t="shared" si="11"/>
        <v>2.6</v>
      </c>
      <c r="N127" s="1" t="str">
        <f t="shared" si="12"/>
        <v/>
      </c>
      <c r="O127" s="1" t="str">
        <f t="shared" si="13"/>
        <v/>
      </c>
    </row>
    <row r="128" spans="1:15" x14ac:dyDescent="0.25">
      <c r="A128" s="1">
        <f t="shared" si="15"/>
        <v>117</v>
      </c>
      <c r="B128" s="3">
        <f t="shared" ca="1" si="16"/>
        <v>98500</v>
      </c>
      <c r="C128" s="26">
        <f t="shared" ca="1" si="17"/>
        <v>0.40265948944339069</v>
      </c>
      <c r="D128" s="26" t="str">
        <f t="shared" ca="1" si="14"/>
        <v>Lose</v>
      </c>
      <c r="E128" s="3">
        <f t="shared" ca="1" si="18"/>
        <v>-500</v>
      </c>
      <c r="F128" s="42">
        <f t="shared" si="10"/>
        <v>3.6418734220520629E-153</v>
      </c>
      <c r="G128" s="41">
        <f>SUM(F$11:F128)</f>
        <v>4.1716006433866771E-153</v>
      </c>
      <c r="I128" s="1">
        <f t="shared" si="19"/>
        <v>118</v>
      </c>
      <c r="J128" s="3">
        <v>216000</v>
      </c>
      <c r="K128" s="3">
        <v>98000</v>
      </c>
      <c r="L128" s="3">
        <v>218000</v>
      </c>
      <c r="M128" s="30">
        <f t="shared" si="11"/>
        <v>1.1600000000000001</v>
      </c>
      <c r="N128" s="1" t="str">
        <f t="shared" si="12"/>
        <v/>
      </c>
      <c r="O128" s="1" t="str">
        <f t="shared" si="13"/>
        <v/>
      </c>
    </row>
    <row r="129" spans="1:15" x14ac:dyDescent="0.25">
      <c r="A129" s="1">
        <f t="shared" si="15"/>
        <v>118</v>
      </c>
      <c r="B129" s="3">
        <f t="shared" ca="1" si="16"/>
        <v>98000</v>
      </c>
      <c r="C129" s="26">
        <f t="shared" ca="1" si="17"/>
        <v>0.20546844512593343</v>
      </c>
      <c r="D129" s="26" t="str">
        <f t="shared" ca="1" si="14"/>
        <v>Lose</v>
      </c>
      <c r="E129" s="3">
        <f t="shared" ca="1" si="18"/>
        <v>-500</v>
      </c>
      <c r="F129" s="42">
        <f t="shared" si="10"/>
        <v>2.8364663752210974E-152</v>
      </c>
      <c r="G129" s="41">
        <f>SUM(F$11:F129)</f>
        <v>3.2536264395597652E-152</v>
      </c>
      <c r="I129" s="1">
        <f t="shared" si="19"/>
        <v>119</v>
      </c>
      <c r="J129" s="3">
        <v>380000</v>
      </c>
      <c r="K129" s="3">
        <v>94000</v>
      </c>
      <c r="L129" s="3">
        <v>392000</v>
      </c>
      <c r="M129" s="30">
        <f t="shared" si="11"/>
        <v>2.8</v>
      </c>
      <c r="N129" s="1" t="str">
        <f t="shared" si="12"/>
        <v/>
      </c>
      <c r="O129" s="1" t="str">
        <f t="shared" si="13"/>
        <v/>
      </c>
    </row>
    <row r="130" spans="1:15" x14ac:dyDescent="0.25">
      <c r="A130" s="1">
        <f t="shared" si="15"/>
        <v>119</v>
      </c>
      <c r="B130" s="3">
        <f t="shared" ca="1" si="16"/>
        <v>97500</v>
      </c>
      <c r="C130" s="26">
        <f t="shared" ca="1" si="17"/>
        <v>0.46898595649104791</v>
      </c>
      <c r="D130" s="26" t="str">
        <f t="shared" ca="1" si="14"/>
        <v>Lose</v>
      </c>
      <c r="E130" s="3">
        <f t="shared" ca="1" si="18"/>
        <v>-500</v>
      </c>
      <c r="F130" s="42">
        <f t="shared" si="10"/>
        <v>2.1881312037419051E-151</v>
      </c>
      <c r="G130" s="41">
        <f>SUM(F$11:F130)</f>
        <v>2.5134938476978816E-151</v>
      </c>
      <c r="I130" s="1">
        <f t="shared" si="19"/>
        <v>120</v>
      </c>
      <c r="J130" s="3">
        <v>308000</v>
      </c>
      <c r="K130" s="3">
        <v>90000</v>
      </c>
      <c r="L130" s="3">
        <v>312000</v>
      </c>
      <c r="M130" s="30">
        <f t="shared" si="11"/>
        <v>2.08</v>
      </c>
      <c r="N130" s="1" t="str">
        <f t="shared" si="12"/>
        <v/>
      </c>
      <c r="O130" s="1" t="str">
        <f t="shared" si="13"/>
        <v/>
      </c>
    </row>
    <row r="131" spans="1:15" x14ac:dyDescent="0.25">
      <c r="A131" s="1">
        <f t="shared" si="15"/>
        <v>120</v>
      </c>
      <c r="B131" s="3">
        <f t="shared" ca="1" si="16"/>
        <v>97000</v>
      </c>
      <c r="C131" s="26">
        <f t="shared" ca="1" si="17"/>
        <v>5.7099734695477133E-3</v>
      </c>
      <c r="D131" s="26" t="str">
        <f t="shared" ca="1" si="14"/>
        <v>Lose</v>
      </c>
      <c r="E131" s="3">
        <f t="shared" ca="1" si="18"/>
        <v>-500</v>
      </c>
      <c r="F131" s="42">
        <f t="shared" si="10"/>
        <v>1.6720225019613062E-150</v>
      </c>
      <c r="G131" s="41">
        <f>SUM(F$11:F131)</f>
        <v>1.9233718867310944E-150</v>
      </c>
      <c r="I131" s="1">
        <f t="shared" si="19"/>
        <v>121</v>
      </c>
      <c r="J131" s="3">
        <v>256000</v>
      </c>
      <c r="K131" s="3">
        <v>68000</v>
      </c>
      <c r="L131" s="3">
        <v>258000</v>
      </c>
      <c r="M131" s="30">
        <f t="shared" si="11"/>
        <v>1.56</v>
      </c>
      <c r="N131" s="1" t="str">
        <f t="shared" si="12"/>
        <v/>
      </c>
      <c r="O131" s="1" t="str">
        <f t="shared" si="13"/>
        <v/>
      </c>
    </row>
    <row r="132" spans="1:15" x14ac:dyDescent="0.25">
      <c r="A132" s="1">
        <f t="shared" si="15"/>
        <v>121</v>
      </c>
      <c r="B132" s="3">
        <f t="shared" ca="1" si="16"/>
        <v>96500</v>
      </c>
      <c r="C132" s="26">
        <f t="shared" ca="1" si="17"/>
        <v>0.34444835284651543</v>
      </c>
      <c r="D132" s="26" t="str">
        <f t="shared" ca="1" si="14"/>
        <v>Lose</v>
      </c>
      <c r="E132" s="3">
        <f t="shared" ca="1" si="18"/>
        <v>-500</v>
      </c>
      <c r="F132" s="42">
        <f t="shared" si="10"/>
        <v>1.2656496860859155E-149</v>
      </c>
      <c r="G132" s="41">
        <f>SUM(F$11:F132)</f>
        <v>1.4579868747590249E-149</v>
      </c>
      <c r="I132" s="1">
        <f t="shared" si="19"/>
        <v>122</v>
      </c>
      <c r="J132" s="3">
        <v>392000</v>
      </c>
      <c r="K132" s="3">
        <v>96000</v>
      </c>
      <c r="L132" s="3">
        <v>406000</v>
      </c>
      <c r="M132" s="30">
        <f t="shared" si="11"/>
        <v>2.92</v>
      </c>
      <c r="N132" s="1" t="str">
        <f t="shared" si="12"/>
        <v/>
      </c>
      <c r="O132" s="1" t="str">
        <f t="shared" si="13"/>
        <v/>
      </c>
    </row>
    <row r="133" spans="1:15" x14ac:dyDescent="0.25">
      <c r="A133" s="1">
        <f t="shared" si="15"/>
        <v>122</v>
      </c>
      <c r="B133" s="3">
        <f t="shared" ca="1" si="16"/>
        <v>97000</v>
      </c>
      <c r="C133" s="26">
        <f t="shared" ca="1" si="17"/>
        <v>0.91713446291624434</v>
      </c>
      <c r="D133" s="26" t="str">
        <f t="shared" ca="1" si="14"/>
        <v>Win</v>
      </c>
      <c r="E133" s="3">
        <f t="shared" ca="1" si="18"/>
        <v>500</v>
      </c>
      <c r="F133" s="42">
        <f t="shared" si="10"/>
        <v>9.4911023381639892E-149</v>
      </c>
      <c r="G133" s="41">
        <f>SUM(F$11:F133)</f>
        <v>1.0949089212923013E-148</v>
      </c>
      <c r="I133" s="1">
        <f t="shared" si="19"/>
        <v>123</v>
      </c>
      <c r="J133" s="3">
        <v>284000</v>
      </c>
      <c r="K133" s="3">
        <v>88000</v>
      </c>
      <c r="L133" s="3">
        <v>290000</v>
      </c>
      <c r="M133" s="30">
        <f t="shared" si="11"/>
        <v>1.8399999999999999</v>
      </c>
      <c r="N133" s="1" t="str">
        <f t="shared" si="12"/>
        <v/>
      </c>
      <c r="O133" s="1" t="str">
        <f t="shared" si="13"/>
        <v/>
      </c>
    </row>
    <row r="134" spans="1:15" x14ac:dyDescent="0.25">
      <c r="A134" s="1">
        <f t="shared" si="15"/>
        <v>123</v>
      </c>
      <c r="B134" s="3">
        <f t="shared" ca="1" si="16"/>
        <v>96500</v>
      </c>
      <c r="C134" s="26">
        <f t="shared" ca="1" si="17"/>
        <v>0.12474640799770709</v>
      </c>
      <c r="D134" s="26" t="str">
        <f t="shared" ca="1" si="14"/>
        <v>Lose</v>
      </c>
      <c r="E134" s="3">
        <f t="shared" ca="1" si="18"/>
        <v>-500</v>
      </c>
      <c r="F134" s="42">
        <f t="shared" si="10"/>
        <v>7.0514780238646978E-148</v>
      </c>
      <c r="G134" s="41">
        <f>SUM(F$11:F134)</f>
        <v>8.1463869451569988E-148</v>
      </c>
      <c r="I134" s="1">
        <f t="shared" si="19"/>
        <v>124</v>
      </c>
      <c r="J134" s="3">
        <v>344000</v>
      </c>
      <c r="K134" s="3">
        <v>98000</v>
      </c>
      <c r="L134" s="3">
        <v>344000</v>
      </c>
      <c r="M134" s="30">
        <f t="shared" si="11"/>
        <v>2.44</v>
      </c>
      <c r="N134" s="1" t="str">
        <f t="shared" si="12"/>
        <v/>
      </c>
      <c r="O134" s="1" t="str">
        <f t="shared" si="13"/>
        <v/>
      </c>
    </row>
    <row r="135" spans="1:15" x14ac:dyDescent="0.25">
      <c r="A135" s="1">
        <f t="shared" si="15"/>
        <v>124</v>
      </c>
      <c r="B135" s="3">
        <f t="shared" ca="1" si="16"/>
        <v>96000</v>
      </c>
      <c r="C135" s="26">
        <f t="shared" ca="1" si="17"/>
        <v>0.145814114622831</v>
      </c>
      <c r="D135" s="26" t="str">
        <f t="shared" ca="1" si="14"/>
        <v>Lose</v>
      </c>
      <c r="E135" s="3">
        <f t="shared" ca="1" si="18"/>
        <v>-500</v>
      </c>
      <c r="F135" s="42">
        <f t="shared" si="10"/>
        <v>5.1907744827747493E-147</v>
      </c>
      <c r="G135" s="41">
        <f>SUM(F$11:F135)</f>
        <v>6.0054131772904496E-147</v>
      </c>
      <c r="I135" s="1">
        <f t="shared" si="19"/>
        <v>125</v>
      </c>
      <c r="J135" s="3">
        <v>244000</v>
      </c>
      <c r="K135" s="3">
        <v>100000</v>
      </c>
      <c r="L135" s="3">
        <v>246000</v>
      </c>
      <c r="M135" s="30">
        <f t="shared" si="11"/>
        <v>1.44</v>
      </c>
      <c r="N135" s="1" t="str">
        <f t="shared" si="12"/>
        <v/>
      </c>
      <c r="O135" s="1" t="str">
        <f t="shared" si="13"/>
        <v/>
      </c>
    </row>
    <row r="136" spans="1:15" x14ac:dyDescent="0.25">
      <c r="A136" s="1">
        <f t="shared" si="15"/>
        <v>125</v>
      </c>
      <c r="B136" s="3">
        <f t="shared" ca="1" si="16"/>
        <v>95500</v>
      </c>
      <c r="C136" s="26">
        <f t="shared" ca="1" si="17"/>
        <v>0.34338961758243614</v>
      </c>
      <c r="D136" s="26" t="str">
        <f t="shared" ca="1" si="14"/>
        <v>Lose</v>
      </c>
      <c r="E136" s="3">
        <f t="shared" ca="1" si="18"/>
        <v>-500</v>
      </c>
      <c r="F136" s="42">
        <f t="shared" si="10"/>
        <v>3.7861720945702155E-146</v>
      </c>
      <c r="G136" s="41">
        <f>SUM(F$11:F136)</f>
        <v>4.3867134122992607E-146</v>
      </c>
      <c r="I136" s="1">
        <f t="shared" si="19"/>
        <v>126</v>
      </c>
      <c r="J136" s="3">
        <v>272000</v>
      </c>
      <c r="K136" s="3">
        <v>84000</v>
      </c>
      <c r="L136" s="3">
        <v>292000</v>
      </c>
      <c r="M136" s="30">
        <f t="shared" si="11"/>
        <v>1.7200000000000002</v>
      </c>
      <c r="N136" s="1" t="str">
        <f t="shared" si="12"/>
        <v/>
      </c>
      <c r="O136" s="1" t="str">
        <f t="shared" si="13"/>
        <v/>
      </c>
    </row>
    <row r="137" spans="1:15" x14ac:dyDescent="0.25">
      <c r="A137" s="1">
        <f t="shared" si="15"/>
        <v>126</v>
      </c>
      <c r="B137" s="3">
        <f t="shared" ca="1" si="16"/>
        <v>96000</v>
      </c>
      <c r="C137" s="26">
        <f t="shared" ca="1" si="17"/>
        <v>0.89258090743706542</v>
      </c>
      <c r="D137" s="26" t="str">
        <f t="shared" ca="1" si="14"/>
        <v>Win</v>
      </c>
      <c r="E137" s="3">
        <f t="shared" ca="1" si="18"/>
        <v>500</v>
      </c>
      <c r="F137" s="42">
        <f t="shared" si="10"/>
        <v>2.7366039799188891E-145</v>
      </c>
      <c r="G137" s="41">
        <f>SUM(F$11:F137)</f>
        <v>3.1752753211488151E-145</v>
      </c>
      <c r="I137" s="1">
        <f t="shared" si="19"/>
        <v>127</v>
      </c>
      <c r="J137" s="3">
        <v>264000</v>
      </c>
      <c r="K137" s="3">
        <v>94000</v>
      </c>
      <c r="L137" s="3">
        <v>292000</v>
      </c>
      <c r="M137" s="30">
        <f t="shared" si="11"/>
        <v>1.6400000000000001</v>
      </c>
      <c r="N137" s="1" t="str">
        <f t="shared" si="12"/>
        <v/>
      </c>
      <c r="O137" s="1" t="str">
        <f t="shared" si="13"/>
        <v/>
      </c>
    </row>
    <row r="138" spans="1:15" x14ac:dyDescent="0.25">
      <c r="A138" s="1">
        <f t="shared" si="15"/>
        <v>127</v>
      </c>
      <c r="B138" s="3">
        <f t="shared" ca="1" si="16"/>
        <v>95500</v>
      </c>
      <c r="C138" s="26">
        <f t="shared" ca="1" si="17"/>
        <v>0.15399659109113895</v>
      </c>
      <c r="D138" s="26" t="str">
        <f t="shared" ca="1" si="14"/>
        <v>Lose</v>
      </c>
      <c r="E138" s="3">
        <f t="shared" ca="1" si="18"/>
        <v>-500</v>
      </c>
      <c r="F138" s="42">
        <f t="shared" si="10"/>
        <v>1.9601701076796856E-144</v>
      </c>
      <c r="G138" s="41">
        <f>SUM(F$11:F138)</f>
        <v>2.277697639794567E-144</v>
      </c>
      <c r="I138" s="1">
        <f t="shared" si="19"/>
        <v>128</v>
      </c>
      <c r="J138" s="3">
        <v>364000</v>
      </c>
      <c r="K138" s="3">
        <v>96000</v>
      </c>
      <c r="L138" s="3">
        <v>370000</v>
      </c>
      <c r="M138" s="30">
        <f t="shared" si="11"/>
        <v>2.64</v>
      </c>
      <c r="N138" s="1" t="str">
        <f t="shared" si="12"/>
        <v/>
      </c>
      <c r="O138" s="1" t="str">
        <f t="shared" si="13"/>
        <v/>
      </c>
    </row>
    <row r="139" spans="1:15" x14ac:dyDescent="0.25">
      <c r="A139" s="1">
        <f t="shared" si="15"/>
        <v>128</v>
      </c>
      <c r="B139" s="3">
        <f t="shared" ca="1" si="16"/>
        <v>95000</v>
      </c>
      <c r="C139" s="26">
        <f t="shared" ca="1" si="17"/>
        <v>0.19013460094267198</v>
      </c>
      <c r="D139" s="26" t="str">
        <f t="shared" ca="1" si="14"/>
        <v>Lose</v>
      </c>
      <c r="E139" s="3">
        <f t="shared" ca="1" si="18"/>
        <v>-500</v>
      </c>
      <c r="F139" s="42">
        <f t="shared" si="10"/>
        <v>1.3914645042126632E-143</v>
      </c>
      <c r="G139" s="41">
        <f>SUM(F$11:F139)</f>
        <v>1.6192342681921198E-143</v>
      </c>
      <c r="I139" s="1">
        <f t="shared" si="19"/>
        <v>129</v>
      </c>
      <c r="J139" s="3">
        <v>284000</v>
      </c>
      <c r="K139" s="3">
        <v>100000</v>
      </c>
      <c r="L139" s="3">
        <v>290000</v>
      </c>
      <c r="M139" s="30">
        <f t="shared" si="11"/>
        <v>1.8399999999999999</v>
      </c>
      <c r="N139" s="1" t="str">
        <f t="shared" si="12"/>
        <v/>
      </c>
      <c r="O139" s="1" t="str">
        <f t="shared" si="13"/>
        <v/>
      </c>
    </row>
    <row r="140" spans="1:15" x14ac:dyDescent="0.25">
      <c r="A140" s="1">
        <f t="shared" si="15"/>
        <v>129</v>
      </c>
      <c r="B140" s="3">
        <f t="shared" ca="1" si="16"/>
        <v>94500</v>
      </c>
      <c r="C140" s="26">
        <f t="shared" ca="1" si="17"/>
        <v>0.3355623218295698</v>
      </c>
      <c r="D140" s="26" t="str">
        <f t="shared" ca="1" si="14"/>
        <v>Lose</v>
      </c>
      <c r="E140" s="3">
        <f t="shared" ca="1" si="18"/>
        <v>-500</v>
      </c>
      <c r="F140" s="42">
        <f t="shared" ref="F140:F203" si="20">_xlfn.BINOM.DIST(A140,$A$1011,$B$1,FALSE)</f>
        <v>9.7897815901514455E-143</v>
      </c>
      <c r="G140" s="41">
        <f>SUM(F$11:F140)</f>
        <v>1.1409015858343565E-142</v>
      </c>
      <c r="I140" s="1">
        <f t="shared" si="19"/>
        <v>130</v>
      </c>
      <c r="J140" s="3">
        <v>240000</v>
      </c>
      <c r="K140" s="3">
        <v>98000</v>
      </c>
      <c r="L140" s="3">
        <v>248000</v>
      </c>
      <c r="M140" s="30">
        <f t="shared" ref="M140:M203" si="21">J140/$B$3-1</f>
        <v>1.4</v>
      </c>
      <c r="N140" s="1" t="str">
        <f t="shared" ref="N140:N203" si="22">IF(K140&lt;=0,1,"")</f>
        <v/>
      </c>
      <c r="O140" s="1" t="str">
        <f t="shared" ref="O140:O203" si="23">IF(J140&lt;=0,1,"")</f>
        <v/>
      </c>
    </row>
    <row r="141" spans="1:15" x14ac:dyDescent="0.25">
      <c r="A141" s="1">
        <f t="shared" si="15"/>
        <v>130</v>
      </c>
      <c r="B141" s="3">
        <f t="shared" ca="1" si="16"/>
        <v>94000</v>
      </c>
      <c r="C141" s="26">
        <f t="shared" ca="1" si="17"/>
        <v>8.978777364553725E-2</v>
      </c>
      <c r="D141" s="26" t="str">
        <f t="shared" ref="D141:D204" ca="1" si="24">IF(C141&gt;$B$2,"Win","Lose")</f>
        <v>Lose</v>
      </c>
      <c r="E141" s="3">
        <f t="shared" ca="1" si="18"/>
        <v>-500</v>
      </c>
      <c r="F141" s="42">
        <f t="shared" si="20"/>
        <v>6.826874223172676E-142</v>
      </c>
      <c r="G141" s="41">
        <f>SUM(F$11:F141)</f>
        <v>7.9677758090070321E-142</v>
      </c>
      <c r="I141" s="1">
        <f t="shared" si="19"/>
        <v>131</v>
      </c>
      <c r="J141" s="3">
        <v>360000</v>
      </c>
      <c r="K141" s="3">
        <v>98000</v>
      </c>
      <c r="L141" s="3">
        <v>364000</v>
      </c>
      <c r="M141" s="30">
        <f t="shared" si="21"/>
        <v>2.6</v>
      </c>
      <c r="N141" s="1" t="str">
        <f t="shared" si="22"/>
        <v/>
      </c>
      <c r="O141" s="1" t="str">
        <f t="shared" si="23"/>
        <v/>
      </c>
    </row>
    <row r="142" spans="1:15" x14ac:dyDescent="0.25">
      <c r="A142" s="1">
        <f t="shared" ref="A142:A205" si="25">A141+1</f>
        <v>131</v>
      </c>
      <c r="B142" s="3">
        <f t="shared" ref="B142:B205" ca="1" si="26">B141+E142</f>
        <v>94500</v>
      </c>
      <c r="C142" s="26">
        <f t="shared" ref="C142:C205" ca="1" si="27">RAND()</f>
        <v>0.55496477300791092</v>
      </c>
      <c r="D142" s="26" t="str">
        <f t="shared" ca="1" si="24"/>
        <v>Win</v>
      </c>
      <c r="E142" s="3">
        <f t="shared" ref="E142:E205" ca="1" si="28">IF(D142="Win",$B$4,-$B$4)</f>
        <v>500</v>
      </c>
      <c r="F142" s="42">
        <f t="shared" si="20"/>
        <v>4.718934558065198E-141</v>
      </c>
      <c r="G142" s="41">
        <f>SUM(F$11:F142)</f>
        <v>5.5157121389659014E-141</v>
      </c>
      <c r="I142" s="1">
        <f t="shared" ref="I142:I205" si="29">I141+1</f>
        <v>132</v>
      </c>
      <c r="J142" s="3">
        <v>272000</v>
      </c>
      <c r="K142" s="3">
        <v>94000</v>
      </c>
      <c r="L142" s="3">
        <v>286000</v>
      </c>
      <c r="M142" s="30">
        <f t="shared" si="21"/>
        <v>1.7200000000000002</v>
      </c>
      <c r="N142" s="1" t="str">
        <f t="shared" si="22"/>
        <v/>
      </c>
      <c r="O142" s="1" t="str">
        <f t="shared" si="23"/>
        <v/>
      </c>
    </row>
    <row r="143" spans="1:15" x14ac:dyDescent="0.25">
      <c r="A143" s="1">
        <f t="shared" si="25"/>
        <v>132</v>
      </c>
      <c r="B143" s="3">
        <f t="shared" ca="1" si="26"/>
        <v>95000</v>
      </c>
      <c r="C143" s="26">
        <f t="shared" ca="1" si="27"/>
        <v>0.72731010808284235</v>
      </c>
      <c r="D143" s="26" t="str">
        <f t="shared" ca="1" si="24"/>
        <v>Win</v>
      </c>
      <c r="E143" s="3">
        <f t="shared" ca="1" si="28"/>
        <v>500</v>
      </c>
      <c r="F143" s="42">
        <f t="shared" si="20"/>
        <v>3.233433220143572E-140</v>
      </c>
      <c r="G143" s="41">
        <f>SUM(F$11:F143)</f>
        <v>3.7850044340401619E-140</v>
      </c>
      <c r="I143" s="1">
        <f t="shared" si="29"/>
        <v>133</v>
      </c>
      <c r="J143" s="3">
        <v>332000</v>
      </c>
      <c r="K143" s="3">
        <v>96000</v>
      </c>
      <c r="L143" s="3">
        <v>340000</v>
      </c>
      <c r="M143" s="30">
        <f t="shared" si="21"/>
        <v>2.3199999999999998</v>
      </c>
      <c r="N143" s="1" t="str">
        <f t="shared" si="22"/>
        <v/>
      </c>
      <c r="O143" s="1" t="str">
        <f t="shared" si="23"/>
        <v/>
      </c>
    </row>
    <row r="144" spans="1:15" x14ac:dyDescent="0.25">
      <c r="A144" s="1">
        <f t="shared" si="25"/>
        <v>133</v>
      </c>
      <c r="B144" s="3">
        <f t="shared" ca="1" si="26"/>
        <v>95500</v>
      </c>
      <c r="C144" s="26">
        <f t="shared" ca="1" si="27"/>
        <v>0.81607469823158862</v>
      </c>
      <c r="D144" s="26" t="str">
        <f t="shared" ca="1" si="24"/>
        <v>Win</v>
      </c>
      <c r="E144" s="3">
        <f t="shared" ca="1" si="28"/>
        <v>500</v>
      </c>
      <c r="F144" s="42">
        <f t="shared" si="20"/>
        <v>2.1963728984091244E-139</v>
      </c>
      <c r="G144" s="41">
        <f>SUM(F$11:F144)</f>
        <v>2.5748733418131405E-139</v>
      </c>
      <c r="I144" s="1">
        <f t="shared" si="29"/>
        <v>134</v>
      </c>
      <c r="J144" s="3">
        <v>308000</v>
      </c>
      <c r="K144" s="3">
        <v>66000</v>
      </c>
      <c r="L144" s="3">
        <v>310000</v>
      </c>
      <c r="M144" s="30">
        <f t="shared" si="21"/>
        <v>2.08</v>
      </c>
      <c r="N144" s="1" t="str">
        <f t="shared" si="22"/>
        <v/>
      </c>
      <c r="O144" s="1" t="str">
        <f t="shared" si="23"/>
        <v/>
      </c>
    </row>
    <row r="145" spans="1:15" x14ac:dyDescent="0.25">
      <c r="A145" s="1">
        <f t="shared" si="25"/>
        <v>134</v>
      </c>
      <c r="B145" s="3">
        <f t="shared" ca="1" si="26"/>
        <v>95000</v>
      </c>
      <c r="C145" s="26">
        <f t="shared" ca="1" si="27"/>
        <v>7.9064318926351573E-2</v>
      </c>
      <c r="D145" s="26" t="str">
        <f t="shared" ca="1" si="24"/>
        <v>Lose</v>
      </c>
      <c r="E145" s="3">
        <f t="shared" ca="1" si="28"/>
        <v>-500</v>
      </c>
      <c r="F145" s="42">
        <f t="shared" si="20"/>
        <v>1.4790895590761763E-138</v>
      </c>
      <c r="G145" s="41">
        <f>SUM(F$11:F145)</f>
        <v>1.7365768932574902E-138</v>
      </c>
      <c r="I145" s="1">
        <f t="shared" si="29"/>
        <v>135</v>
      </c>
      <c r="J145" s="3">
        <v>248000</v>
      </c>
      <c r="K145" s="3">
        <v>96000</v>
      </c>
      <c r="L145" s="3">
        <v>248000</v>
      </c>
      <c r="M145" s="30">
        <f t="shared" si="21"/>
        <v>1.48</v>
      </c>
      <c r="N145" s="1" t="str">
        <f t="shared" si="22"/>
        <v/>
      </c>
      <c r="O145" s="1" t="str">
        <f t="shared" si="23"/>
        <v/>
      </c>
    </row>
    <row r="146" spans="1:15" x14ac:dyDescent="0.25">
      <c r="A146" s="1">
        <f t="shared" si="25"/>
        <v>135</v>
      </c>
      <c r="B146" s="3">
        <f t="shared" ca="1" si="26"/>
        <v>94500</v>
      </c>
      <c r="C146" s="26">
        <f t="shared" ca="1" si="27"/>
        <v>0.21149501164695061</v>
      </c>
      <c r="D146" s="26" t="str">
        <f t="shared" ca="1" si="24"/>
        <v>Lose</v>
      </c>
      <c r="E146" s="3">
        <f t="shared" ca="1" si="28"/>
        <v>-500</v>
      </c>
      <c r="F146" s="42">
        <f t="shared" si="20"/>
        <v>9.8753544166528222E-138</v>
      </c>
      <c r="G146" s="41">
        <f>SUM(F$11:F146)</f>
        <v>1.1611931309910313E-137</v>
      </c>
      <c r="I146" s="1">
        <f t="shared" si="29"/>
        <v>136</v>
      </c>
      <c r="J146" s="3">
        <v>172000</v>
      </c>
      <c r="K146" s="3">
        <v>82000</v>
      </c>
      <c r="L146" s="3">
        <v>172000</v>
      </c>
      <c r="M146" s="30">
        <f t="shared" si="21"/>
        <v>0.72</v>
      </c>
      <c r="N146" s="1" t="str">
        <f t="shared" si="22"/>
        <v/>
      </c>
      <c r="O146" s="1" t="str">
        <f t="shared" si="23"/>
        <v/>
      </c>
    </row>
    <row r="147" spans="1:15" x14ac:dyDescent="0.25">
      <c r="A147" s="1">
        <f t="shared" si="25"/>
        <v>136</v>
      </c>
      <c r="B147" s="3">
        <f t="shared" ca="1" si="26"/>
        <v>94000</v>
      </c>
      <c r="C147" s="26">
        <f t="shared" ca="1" si="27"/>
        <v>8.5266478397244549E-2</v>
      </c>
      <c r="D147" s="26" t="str">
        <f t="shared" ca="1" si="24"/>
        <v>Lose</v>
      </c>
      <c r="E147" s="3">
        <f t="shared" ca="1" si="28"/>
        <v>-500</v>
      </c>
      <c r="F147" s="42">
        <f t="shared" si="20"/>
        <v>6.537383854902717E-137</v>
      </c>
      <c r="G147" s="41">
        <f>SUM(F$11:F147)</f>
        <v>7.6985769858937483E-137</v>
      </c>
      <c r="I147" s="1">
        <f t="shared" si="29"/>
        <v>137</v>
      </c>
      <c r="J147" s="3">
        <v>432000</v>
      </c>
      <c r="K147" s="3">
        <v>100000</v>
      </c>
      <c r="L147" s="3">
        <v>446000</v>
      </c>
      <c r="M147" s="30">
        <f t="shared" si="21"/>
        <v>3.3200000000000003</v>
      </c>
      <c r="N147" s="1" t="str">
        <f t="shared" si="22"/>
        <v/>
      </c>
      <c r="O147" s="1" t="str">
        <f t="shared" si="23"/>
        <v/>
      </c>
    </row>
    <row r="148" spans="1:15" x14ac:dyDescent="0.25">
      <c r="A148" s="1">
        <f t="shared" si="25"/>
        <v>137</v>
      </c>
      <c r="B148" s="3">
        <f t="shared" ca="1" si="26"/>
        <v>93500</v>
      </c>
      <c r="C148" s="26">
        <f t="shared" ca="1" si="27"/>
        <v>5.0332588373325104E-2</v>
      </c>
      <c r="D148" s="26" t="str">
        <f t="shared" ca="1" si="24"/>
        <v>Lose</v>
      </c>
      <c r="E148" s="3">
        <f t="shared" ca="1" si="28"/>
        <v>-500</v>
      </c>
      <c r="F148" s="42">
        <f t="shared" si="20"/>
        <v>4.2911259076777634E-136</v>
      </c>
      <c r="G148" s="41">
        <f>SUM(F$11:F148)</f>
        <v>5.0609836062671379E-136</v>
      </c>
      <c r="I148" s="1">
        <f t="shared" si="29"/>
        <v>138</v>
      </c>
      <c r="J148" s="3">
        <v>292000</v>
      </c>
      <c r="K148" s="3">
        <v>100000</v>
      </c>
      <c r="L148" s="3">
        <v>296000</v>
      </c>
      <c r="M148" s="30">
        <f t="shared" si="21"/>
        <v>1.92</v>
      </c>
      <c r="N148" s="1" t="str">
        <f t="shared" si="22"/>
        <v/>
      </c>
      <c r="O148" s="1" t="str">
        <f t="shared" si="23"/>
        <v/>
      </c>
    </row>
    <row r="149" spans="1:15" x14ac:dyDescent="0.25">
      <c r="A149" s="1">
        <f t="shared" si="25"/>
        <v>138</v>
      </c>
      <c r="B149" s="3">
        <f t="shared" ca="1" si="26"/>
        <v>94000</v>
      </c>
      <c r="C149" s="26">
        <f t="shared" ca="1" si="27"/>
        <v>0.85689244092550854</v>
      </c>
      <c r="D149" s="26" t="str">
        <f t="shared" ca="1" si="24"/>
        <v>Win</v>
      </c>
      <c r="E149" s="3">
        <f t="shared" ca="1" si="28"/>
        <v>500</v>
      </c>
      <c r="F149" s="42">
        <f t="shared" si="20"/>
        <v>2.7930394051261633E-135</v>
      </c>
      <c r="G149" s="41">
        <f>SUM(F$11:F149)</f>
        <v>3.2991377657528772E-135</v>
      </c>
      <c r="I149" s="1">
        <f t="shared" si="29"/>
        <v>139</v>
      </c>
      <c r="J149" s="3">
        <v>188000</v>
      </c>
      <c r="K149" s="3">
        <v>94000</v>
      </c>
      <c r="L149" s="3">
        <v>190000</v>
      </c>
      <c r="M149" s="30">
        <f t="shared" si="21"/>
        <v>0.87999999999999989</v>
      </c>
      <c r="N149" s="1" t="str">
        <f t="shared" si="22"/>
        <v/>
      </c>
      <c r="O149" s="1" t="str">
        <f t="shared" si="23"/>
        <v/>
      </c>
    </row>
    <row r="150" spans="1:15" x14ac:dyDescent="0.25">
      <c r="A150" s="1">
        <f t="shared" si="25"/>
        <v>139</v>
      </c>
      <c r="B150" s="3">
        <f t="shared" ca="1" si="26"/>
        <v>94500</v>
      </c>
      <c r="C150" s="26">
        <f t="shared" ca="1" si="27"/>
        <v>0.64217043581696109</v>
      </c>
      <c r="D150" s="26" t="str">
        <f t="shared" ca="1" si="24"/>
        <v>Win</v>
      </c>
      <c r="E150" s="3">
        <f t="shared" ca="1" si="28"/>
        <v>500</v>
      </c>
      <c r="F150" s="42">
        <f t="shared" si="20"/>
        <v>1.8027837076516073E-134</v>
      </c>
      <c r="G150" s="41">
        <f>SUM(F$11:F150)</f>
        <v>2.1326974842268949E-134</v>
      </c>
      <c r="I150" s="1">
        <f t="shared" si="29"/>
        <v>140</v>
      </c>
      <c r="J150" s="3">
        <v>340000</v>
      </c>
      <c r="K150" s="3">
        <v>100000</v>
      </c>
      <c r="L150" s="3">
        <v>352000</v>
      </c>
      <c r="M150" s="30">
        <f t="shared" si="21"/>
        <v>2.4</v>
      </c>
      <c r="N150" s="1" t="str">
        <f t="shared" si="22"/>
        <v/>
      </c>
      <c r="O150" s="1" t="str">
        <f t="shared" si="23"/>
        <v/>
      </c>
    </row>
    <row r="151" spans="1:15" x14ac:dyDescent="0.25">
      <c r="A151" s="1">
        <f t="shared" si="25"/>
        <v>140</v>
      </c>
      <c r="B151" s="3">
        <f t="shared" ca="1" si="26"/>
        <v>95000</v>
      </c>
      <c r="C151" s="26">
        <f t="shared" ca="1" si="27"/>
        <v>0.73685524323840323</v>
      </c>
      <c r="D151" s="26" t="str">
        <f t="shared" ca="1" si="24"/>
        <v>Win</v>
      </c>
      <c r="E151" s="3">
        <f t="shared" ca="1" si="28"/>
        <v>500</v>
      </c>
      <c r="F151" s="42">
        <f t="shared" si="20"/>
        <v>1.1539655304182139E-133</v>
      </c>
      <c r="G151" s="41">
        <f>SUM(F$11:F151)</f>
        <v>1.3672352788409035E-133</v>
      </c>
      <c r="I151" s="1">
        <f t="shared" si="29"/>
        <v>141</v>
      </c>
      <c r="J151" s="3">
        <v>148000</v>
      </c>
      <c r="K151" s="3">
        <v>60000</v>
      </c>
      <c r="L151" s="3">
        <v>166000</v>
      </c>
      <c r="M151" s="30">
        <f t="shared" si="21"/>
        <v>0.48</v>
      </c>
      <c r="N151" s="1" t="str">
        <f t="shared" si="22"/>
        <v/>
      </c>
      <c r="O151" s="1" t="str">
        <f t="shared" si="23"/>
        <v/>
      </c>
    </row>
    <row r="152" spans="1:15" x14ac:dyDescent="0.25">
      <c r="A152" s="1">
        <f t="shared" si="25"/>
        <v>141</v>
      </c>
      <c r="B152" s="3">
        <f t="shared" ca="1" si="26"/>
        <v>94500</v>
      </c>
      <c r="C152" s="26">
        <f t="shared" ca="1" si="27"/>
        <v>0.23575626313359699</v>
      </c>
      <c r="D152" s="26" t="str">
        <f t="shared" ca="1" si="24"/>
        <v>Lose</v>
      </c>
      <c r="E152" s="3">
        <f t="shared" ca="1" si="28"/>
        <v>-500</v>
      </c>
      <c r="F152" s="42">
        <f t="shared" si="20"/>
        <v>7.3256517823338728E-133</v>
      </c>
      <c r="G152" s="41">
        <f>SUM(F$11:F152)</f>
        <v>8.692887061174776E-133</v>
      </c>
      <c r="I152" s="1">
        <f t="shared" si="29"/>
        <v>142</v>
      </c>
      <c r="J152" s="3">
        <v>460000</v>
      </c>
      <c r="K152" s="3">
        <v>100000</v>
      </c>
      <c r="L152" s="3">
        <v>462000</v>
      </c>
      <c r="M152" s="30">
        <f t="shared" si="21"/>
        <v>3.5999999999999996</v>
      </c>
      <c r="N152" s="1" t="str">
        <f t="shared" si="22"/>
        <v/>
      </c>
      <c r="O152" s="1" t="str">
        <f t="shared" si="23"/>
        <v/>
      </c>
    </row>
    <row r="153" spans="1:15" x14ac:dyDescent="0.25">
      <c r="A153" s="1">
        <f t="shared" si="25"/>
        <v>142</v>
      </c>
      <c r="B153" s="3">
        <f t="shared" ca="1" si="26"/>
        <v>95000</v>
      </c>
      <c r="C153" s="26">
        <f t="shared" ca="1" si="27"/>
        <v>0.71231627458502034</v>
      </c>
      <c r="D153" s="26" t="str">
        <f t="shared" ca="1" si="24"/>
        <v>Win</v>
      </c>
      <c r="E153" s="3">
        <f t="shared" ca="1" si="28"/>
        <v>500</v>
      </c>
      <c r="F153" s="42">
        <f t="shared" si="20"/>
        <v>4.6123811286614604E-132</v>
      </c>
      <c r="G153" s="41">
        <f>SUM(F$11:F153)</f>
        <v>5.4816698347789381E-132</v>
      </c>
      <c r="I153" s="1">
        <f t="shared" si="29"/>
        <v>143</v>
      </c>
      <c r="J153" s="3">
        <v>336000</v>
      </c>
      <c r="K153" s="3">
        <v>96000</v>
      </c>
      <c r="L153" s="3">
        <v>348000</v>
      </c>
      <c r="M153" s="30">
        <f t="shared" si="21"/>
        <v>2.36</v>
      </c>
      <c r="N153" s="1" t="str">
        <f t="shared" si="22"/>
        <v/>
      </c>
      <c r="O153" s="1" t="str">
        <f t="shared" si="23"/>
        <v/>
      </c>
    </row>
    <row r="154" spans="1:15" x14ac:dyDescent="0.25">
      <c r="A154" s="1">
        <f t="shared" si="25"/>
        <v>143</v>
      </c>
      <c r="B154" s="3">
        <f t="shared" ca="1" si="26"/>
        <v>94500</v>
      </c>
      <c r="C154" s="26">
        <f t="shared" ca="1" si="27"/>
        <v>0.18886633666501162</v>
      </c>
      <c r="D154" s="26" t="str">
        <f t="shared" ca="1" si="24"/>
        <v>Lose</v>
      </c>
      <c r="E154" s="3">
        <f t="shared" ca="1" si="28"/>
        <v>-500</v>
      </c>
      <c r="F154" s="42">
        <f t="shared" si="20"/>
        <v>2.8803849497353431E-131</v>
      </c>
      <c r="G154" s="41">
        <f>SUM(F$11:F154)</f>
        <v>3.4285519332132371E-131</v>
      </c>
      <c r="I154" s="1">
        <f t="shared" si="29"/>
        <v>144</v>
      </c>
      <c r="J154" s="3">
        <v>336000</v>
      </c>
      <c r="K154" s="3">
        <v>94000</v>
      </c>
      <c r="L154" s="3">
        <v>344000</v>
      </c>
      <c r="M154" s="30">
        <f t="shared" si="21"/>
        <v>2.36</v>
      </c>
      <c r="N154" s="1" t="str">
        <f t="shared" si="22"/>
        <v/>
      </c>
      <c r="O154" s="1" t="str">
        <f t="shared" si="23"/>
        <v/>
      </c>
    </row>
    <row r="155" spans="1:15" x14ac:dyDescent="0.25">
      <c r="A155" s="1">
        <f t="shared" si="25"/>
        <v>144</v>
      </c>
      <c r="B155" s="3">
        <f t="shared" ca="1" si="26"/>
        <v>95000</v>
      </c>
      <c r="C155" s="26">
        <f t="shared" ca="1" si="27"/>
        <v>0.83614361714622365</v>
      </c>
      <c r="D155" s="26" t="str">
        <f t="shared" ca="1" si="24"/>
        <v>Win</v>
      </c>
      <c r="E155" s="3">
        <f t="shared" ca="1" si="28"/>
        <v>500</v>
      </c>
      <c r="F155" s="42">
        <f t="shared" si="20"/>
        <v>1.7841976331928073E-130</v>
      </c>
      <c r="G155" s="41">
        <f>SUM(F$11:F155)</f>
        <v>2.1270528265141311E-130</v>
      </c>
      <c r="I155" s="1">
        <f t="shared" si="29"/>
        <v>145</v>
      </c>
      <c r="J155" s="3">
        <v>264000</v>
      </c>
      <c r="K155" s="3">
        <v>96000</v>
      </c>
      <c r="L155" s="3">
        <v>270000</v>
      </c>
      <c r="M155" s="30">
        <f t="shared" si="21"/>
        <v>1.6400000000000001</v>
      </c>
      <c r="N155" s="1" t="str">
        <f t="shared" si="22"/>
        <v/>
      </c>
      <c r="O155" s="1" t="str">
        <f t="shared" si="23"/>
        <v/>
      </c>
    </row>
    <row r="156" spans="1:15" x14ac:dyDescent="0.25">
      <c r="A156" s="1">
        <f t="shared" si="25"/>
        <v>145</v>
      </c>
      <c r="B156" s="3">
        <f t="shared" ca="1" si="26"/>
        <v>94500</v>
      </c>
      <c r="C156" s="26">
        <f t="shared" ca="1" si="27"/>
        <v>0.34329843442128616</v>
      </c>
      <c r="D156" s="26" t="str">
        <f t="shared" ca="1" si="24"/>
        <v>Lose</v>
      </c>
      <c r="E156" s="3">
        <f t="shared" ca="1" si="28"/>
        <v>-500</v>
      </c>
      <c r="F156" s="42">
        <f t="shared" si="20"/>
        <v>1.0962833479896212E-129</v>
      </c>
      <c r="G156" s="41">
        <f>SUM(F$11:F156)</f>
        <v>1.3089886306410344E-129</v>
      </c>
      <c r="I156" s="1">
        <f t="shared" si="29"/>
        <v>146</v>
      </c>
      <c r="J156" s="3">
        <v>296000</v>
      </c>
      <c r="K156" s="3">
        <v>100000</v>
      </c>
      <c r="L156" s="3">
        <v>318000</v>
      </c>
      <c r="M156" s="30">
        <f t="shared" si="21"/>
        <v>1.96</v>
      </c>
      <c r="N156" s="1" t="str">
        <f t="shared" si="22"/>
        <v/>
      </c>
      <c r="O156" s="1" t="str">
        <f t="shared" si="23"/>
        <v/>
      </c>
    </row>
    <row r="157" spans="1:15" x14ac:dyDescent="0.25">
      <c r="A157" s="1">
        <f t="shared" si="25"/>
        <v>146</v>
      </c>
      <c r="B157" s="3">
        <f t="shared" ca="1" si="26"/>
        <v>95000</v>
      </c>
      <c r="C157" s="26">
        <f t="shared" ca="1" si="27"/>
        <v>0.76335078383395505</v>
      </c>
      <c r="D157" s="26" t="str">
        <f t="shared" ca="1" si="24"/>
        <v>Win</v>
      </c>
      <c r="E157" s="3">
        <f t="shared" ca="1" si="28"/>
        <v>500</v>
      </c>
      <c r="F157" s="42">
        <f t="shared" si="20"/>
        <v>6.6820569456370898E-129</v>
      </c>
      <c r="G157" s="41">
        <f>SUM(F$11:F157)</f>
        <v>7.9910455762781239E-129</v>
      </c>
      <c r="I157" s="1">
        <f t="shared" si="29"/>
        <v>147</v>
      </c>
      <c r="J157" s="3">
        <v>344000</v>
      </c>
      <c r="K157" s="3">
        <v>92000</v>
      </c>
      <c r="L157" s="3">
        <v>354000</v>
      </c>
      <c r="M157" s="30">
        <f t="shared" si="21"/>
        <v>2.44</v>
      </c>
      <c r="N157" s="1" t="str">
        <f t="shared" si="22"/>
        <v/>
      </c>
      <c r="O157" s="1" t="str">
        <f t="shared" si="23"/>
        <v/>
      </c>
    </row>
    <row r="158" spans="1:15" x14ac:dyDescent="0.25">
      <c r="A158" s="1">
        <f t="shared" si="25"/>
        <v>147</v>
      </c>
      <c r="B158" s="3">
        <f t="shared" ca="1" si="26"/>
        <v>95500</v>
      </c>
      <c r="C158" s="26">
        <f t="shared" ca="1" si="27"/>
        <v>0.65677737755380639</v>
      </c>
      <c r="D158" s="26" t="str">
        <f t="shared" ca="1" si="24"/>
        <v>Win</v>
      </c>
      <c r="E158" s="3">
        <f t="shared" ca="1" si="28"/>
        <v>500</v>
      </c>
      <c r="F158" s="42">
        <f t="shared" si="20"/>
        <v>4.0404041123186078E-128</v>
      </c>
      <c r="G158" s="41">
        <f>SUM(F$11:F158)</f>
        <v>4.8395086699464199E-128</v>
      </c>
      <c r="I158" s="1">
        <f t="shared" si="29"/>
        <v>148</v>
      </c>
      <c r="J158" s="3">
        <v>284000</v>
      </c>
      <c r="K158" s="3">
        <v>80000</v>
      </c>
      <c r="L158" s="3">
        <v>284000</v>
      </c>
      <c r="M158" s="30">
        <f t="shared" si="21"/>
        <v>1.8399999999999999</v>
      </c>
      <c r="N158" s="1" t="str">
        <f t="shared" si="22"/>
        <v/>
      </c>
      <c r="O158" s="1" t="str">
        <f t="shared" si="23"/>
        <v/>
      </c>
    </row>
    <row r="159" spans="1:15" x14ac:dyDescent="0.25">
      <c r="A159" s="1">
        <f t="shared" si="25"/>
        <v>148</v>
      </c>
      <c r="B159" s="3">
        <f t="shared" ca="1" si="26"/>
        <v>95000</v>
      </c>
      <c r="C159" s="26">
        <f t="shared" ca="1" si="27"/>
        <v>6.4593192032603719E-3</v>
      </c>
      <c r="D159" s="26" t="str">
        <f t="shared" ca="1" si="24"/>
        <v>Lose</v>
      </c>
      <c r="E159" s="3">
        <f t="shared" ca="1" si="28"/>
        <v>-500</v>
      </c>
      <c r="F159" s="42">
        <f t="shared" si="20"/>
        <v>2.4237410383091103E-127</v>
      </c>
      <c r="G159" s="41">
        <f>SUM(F$11:F159)</f>
        <v>2.9076919053037523E-127</v>
      </c>
      <c r="I159" s="1">
        <f t="shared" si="29"/>
        <v>149</v>
      </c>
      <c r="J159" s="3">
        <v>372000</v>
      </c>
      <c r="K159" s="3">
        <v>100000</v>
      </c>
      <c r="L159" s="3">
        <v>382000</v>
      </c>
      <c r="M159" s="30">
        <f t="shared" si="21"/>
        <v>2.72</v>
      </c>
      <c r="N159" s="1" t="str">
        <f t="shared" si="22"/>
        <v/>
      </c>
      <c r="O159" s="1" t="str">
        <f t="shared" si="23"/>
        <v/>
      </c>
    </row>
    <row r="160" spans="1:15" x14ac:dyDescent="0.25">
      <c r="A160" s="1">
        <f t="shared" si="25"/>
        <v>149</v>
      </c>
      <c r="B160" s="3">
        <f t="shared" ca="1" si="26"/>
        <v>95500</v>
      </c>
      <c r="C160" s="26">
        <f t="shared" ca="1" si="27"/>
        <v>0.92519953572145019</v>
      </c>
      <c r="D160" s="26" t="str">
        <f t="shared" ca="1" si="24"/>
        <v>Win</v>
      </c>
      <c r="E160" s="3">
        <f t="shared" ca="1" si="28"/>
        <v>500</v>
      </c>
      <c r="F160" s="42">
        <f t="shared" si="20"/>
        <v>1.4424927488921169E-126</v>
      </c>
      <c r="G160" s="41">
        <f>SUM(F$11:F160)</f>
        <v>1.7332619394224921E-126</v>
      </c>
      <c r="I160" s="1">
        <f t="shared" si="29"/>
        <v>150</v>
      </c>
      <c r="J160" s="3">
        <v>288000</v>
      </c>
      <c r="K160" s="3">
        <v>90000</v>
      </c>
      <c r="L160" s="3">
        <v>306000</v>
      </c>
      <c r="M160" s="30">
        <f t="shared" si="21"/>
        <v>1.88</v>
      </c>
      <c r="N160" s="1" t="str">
        <f t="shared" si="22"/>
        <v/>
      </c>
      <c r="O160" s="1" t="str">
        <f t="shared" si="23"/>
        <v/>
      </c>
    </row>
    <row r="161" spans="1:15" x14ac:dyDescent="0.25">
      <c r="A161" s="1">
        <f t="shared" si="25"/>
        <v>150</v>
      </c>
      <c r="B161" s="3">
        <f t="shared" ca="1" si="26"/>
        <v>95000</v>
      </c>
      <c r="C161" s="26">
        <f t="shared" ca="1" si="27"/>
        <v>9.1310645399120816E-2</v>
      </c>
      <c r="D161" s="26" t="str">
        <f t="shared" ca="1" si="24"/>
        <v>Lose</v>
      </c>
      <c r="E161" s="3">
        <f t="shared" ca="1" si="28"/>
        <v>-500</v>
      </c>
      <c r="F161" s="42">
        <f t="shared" si="20"/>
        <v>8.5177724890705059E-126</v>
      </c>
      <c r="G161" s="41">
        <f>SUM(F$11:F161)</f>
        <v>1.0251034428492998E-125</v>
      </c>
      <c r="I161" s="1">
        <f t="shared" si="29"/>
        <v>151</v>
      </c>
      <c r="J161" s="3">
        <v>312000</v>
      </c>
      <c r="K161" s="3">
        <v>86000</v>
      </c>
      <c r="L161" s="3">
        <v>320000</v>
      </c>
      <c r="M161" s="30">
        <f t="shared" si="21"/>
        <v>2.12</v>
      </c>
      <c r="N161" s="1" t="str">
        <f t="shared" si="22"/>
        <v/>
      </c>
      <c r="O161" s="1" t="str">
        <f t="shared" si="23"/>
        <v/>
      </c>
    </row>
    <row r="162" spans="1:15" x14ac:dyDescent="0.25">
      <c r="A162" s="1">
        <f t="shared" si="25"/>
        <v>151</v>
      </c>
      <c r="B162" s="3">
        <f t="shared" ca="1" si="26"/>
        <v>94500</v>
      </c>
      <c r="C162" s="26">
        <f t="shared" ca="1" si="27"/>
        <v>3.7576348475115928E-2</v>
      </c>
      <c r="D162" s="26" t="str">
        <f t="shared" ca="1" si="24"/>
        <v>Lose</v>
      </c>
      <c r="E162" s="3">
        <f t="shared" ca="1" si="28"/>
        <v>-500</v>
      </c>
      <c r="F162" s="42">
        <f t="shared" si="20"/>
        <v>4.9904775969886935E-125</v>
      </c>
      <c r="G162" s="41">
        <f>SUM(F$11:F162)</f>
        <v>6.015581039837993E-125</v>
      </c>
      <c r="I162" s="1">
        <f t="shared" si="29"/>
        <v>152</v>
      </c>
      <c r="J162" s="3">
        <v>188000</v>
      </c>
      <c r="K162" s="3">
        <v>92000</v>
      </c>
      <c r="L162" s="3">
        <v>198000</v>
      </c>
      <c r="M162" s="30">
        <f t="shared" si="21"/>
        <v>0.87999999999999989</v>
      </c>
      <c r="N162" s="1" t="str">
        <f t="shared" si="22"/>
        <v/>
      </c>
      <c r="O162" s="1" t="str">
        <f t="shared" si="23"/>
        <v/>
      </c>
    </row>
    <row r="163" spans="1:15" x14ac:dyDescent="0.25">
      <c r="A163" s="1">
        <f t="shared" si="25"/>
        <v>152</v>
      </c>
      <c r="B163" s="3">
        <f t="shared" ca="1" si="26"/>
        <v>94000</v>
      </c>
      <c r="C163" s="26">
        <f t="shared" ca="1" si="27"/>
        <v>0.25346020658474622</v>
      </c>
      <c r="D163" s="26" t="str">
        <f t="shared" ca="1" si="24"/>
        <v>Lose</v>
      </c>
      <c r="E163" s="3">
        <f t="shared" ca="1" si="28"/>
        <v>-500</v>
      </c>
      <c r="F163" s="42">
        <f t="shared" si="20"/>
        <v>2.9012176352308445E-124</v>
      </c>
      <c r="G163" s="41">
        <f>SUM(F$11:F163)</f>
        <v>3.5027757392146439E-124</v>
      </c>
      <c r="I163" s="1">
        <f t="shared" si="29"/>
        <v>153</v>
      </c>
      <c r="J163" s="3">
        <v>284000</v>
      </c>
      <c r="K163" s="3">
        <v>92000</v>
      </c>
      <c r="L163" s="3">
        <v>294000</v>
      </c>
      <c r="M163" s="30">
        <f t="shared" si="21"/>
        <v>1.8399999999999999</v>
      </c>
      <c r="N163" s="1" t="str">
        <f t="shared" si="22"/>
        <v/>
      </c>
      <c r="O163" s="1" t="str">
        <f t="shared" si="23"/>
        <v/>
      </c>
    </row>
    <row r="164" spans="1:15" x14ac:dyDescent="0.25">
      <c r="A164" s="1">
        <f t="shared" si="25"/>
        <v>153</v>
      </c>
      <c r="B164" s="3">
        <f t="shared" ca="1" si="26"/>
        <v>93500</v>
      </c>
      <c r="C164" s="26">
        <f t="shared" ca="1" si="27"/>
        <v>0.443862852540578</v>
      </c>
      <c r="D164" s="26" t="str">
        <f t="shared" ca="1" si="24"/>
        <v>Lose</v>
      </c>
      <c r="E164" s="3">
        <f t="shared" ca="1" si="28"/>
        <v>-500</v>
      </c>
      <c r="F164" s="42">
        <f t="shared" si="20"/>
        <v>1.6736275882149397E-123</v>
      </c>
      <c r="G164" s="41">
        <f>SUM(F$11:F164)</f>
        <v>2.023905162136404E-123</v>
      </c>
      <c r="I164" s="1">
        <f t="shared" si="29"/>
        <v>154</v>
      </c>
      <c r="J164" s="3">
        <v>208000</v>
      </c>
      <c r="K164" s="3">
        <v>78000</v>
      </c>
      <c r="L164" s="3">
        <v>210000</v>
      </c>
      <c r="M164" s="30">
        <f t="shared" si="21"/>
        <v>1.08</v>
      </c>
      <c r="N164" s="1" t="str">
        <f t="shared" si="22"/>
        <v/>
      </c>
      <c r="O164" s="1" t="str">
        <f t="shared" si="23"/>
        <v/>
      </c>
    </row>
    <row r="165" spans="1:15" x14ac:dyDescent="0.25">
      <c r="A165" s="1">
        <f t="shared" si="25"/>
        <v>154</v>
      </c>
      <c r="B165" s="3">
        <f t="shared" ca="1" si="26"/>
        <v>93000</v>
      </c>
      <c r="C165" s="26">
        <f t="shared" ca="1" si="27"/>
        <v>0.44861053790117311</v>
      </c>
      <c r="D165" s="26" t="str">
        <f t="shared" ca="1" si="24"/>
        <v>Lose</v>
      </c>
      <c r="E165" s="3">
        <f t="shared" ca="1" si="28"/>
        <v>-500</v>
      </c>
      <c r="F165" s="42">
        <f t="shared" si="20"/>
        <v>9.580664050903429E-123</v>
      </c>
      <c r="G165" s="41">
        <f>SUM(F$11:F165)</f>
        <v>1.1604569213039833E-122</v>
      </c>
      <c r="I165" s="1">
        <f t="shared" si="29"/>
        <v>155</v>
      </c>
      <c r="J165" s="3">
        <v>380000</v>
      </c>
      <c r="K165" s="3">
        <v>84000</v>
      </c>
      <c r="L165" s="3">
        <v>380000</v>
      </c>
      <c r="M165" s="30">
        <f t="shared" si="21"/>
        <v>2.8</v>
      </c>
      <c r="N165" s="1" t="str">
        <f t="shared" si="22"/>
        <v/>
      </c>
      <c r="O165" s="1" t="str">
        <f t="shared" si="23"/>
        <v/>
      </c>
    </row>
    <row r="166" spans="1:15" x14ac:dyDescent="0.25">
      <c r="A166" s="1">
        <f t="shared" si="25"/>
        <v>155</v>
      </c>
      <c r="B166" s="3">
        <f t="shared" ca="1" si="26"/>
        <v>93500</v>
      </c>
      <c r="C166" s="26">
        <f t="shared" ca="1" si="27"/>
        <v>0.67257448335389436</v>
      </c>
      <c r="D166" s="26" t="str">
        <f t="shared" ca="1" si="24"/>
        <v>Win</v>
      </c>
      <c r="E166" s="3">
        <f t="shared" ca="1" si="28"/>
        <v>500</v>
      </c>
      <c r="F166" s="42">
        <f t="shared" si="20"/>
        <v>5.4426245048095074E-122</v>
      </c>
      <c r="G166" s="41">
        <f>SUM(F$11:F166)</f>
        <v>6.6030814261134905E-122</v>
      </c>
      <c r="I166" s="1">
        <f t="shared" si="29"/>
        <v>156</v>
      </c>
      <c r="J166" s="3">
        <v>336000</v>
      </c>
      <c r="K166" s="3">
        <v>88000</v>
      </c>
      <c r="L166" s="3">
        <v>338000</v>
      </c>
      <c r="M166" s="30">
        <f t="shared" si="21"/>
        <v>2.36</v>
      </c>
      <c r="N166" s="1" t="str">
        <f t="shared" si="22"/>
        <v/>
      </c>
      <c r="O166" s="1" t="str">
        <f t="shared" si="23"/>
        <v/>
      </c>
    </row>
    <row r="167" spans="1:15" x14ac:dyDescent="0.25">
      <c r="A167" s="1">
        <f t="shared" si="25"/>
        <v>156</v>
      </c>
      <c r="B167" s="3">
        <f t="shared" ca="1" si="26"/>
        <v>93000</v>
      </c>
      <c r="C167" s="26">
        <f t="shared" ca="1" si="27"/>
        <v>0.35443639226834911</v>
      </c>
      <c r="D167" s="26" t="str">
        <f t="shared" ca="1" si="24"/>
        <v>Lose</v>
      </c>
      <c r="E167" s="3">
        <f t="shared" ca="1" si="28"/>
        <v>-500</v>
      </c>
      <c r="F167" s="42">
        <f t="shared" si="20"/>
        <v>3.0684184070482679E-121</v>
      </c>
      <c r="G167" s="41">
        <f>SUM(F$11:F167)</f>
        <v>3.728726549659617E-121</v>
      </c>
      <c r="I167" s="1">
        <f t="shared" si="29"/>
        <v>157</v>
      </c>
      <c r="J167" s="3">
        <v>304000</v>
      </c>
      <c r="K167" s="3">
        <v>88000</v>
      </c>
      <c r="L167" s="3">
        <v>304000</v>
      </c>
      <c r="M167" s="30">
        <f t="shared" si="21"/>
        <v>2.04</v>
      </c>
      <c r="N167" s="1" t="str">
        <f t="shared" si="22"/>
        <v/>
      </c>
      <c r="O167" s="1" t="str">
        <f t="shared" si="23"/>
        <v/>
      </c>
    </row>
    <row r="168" spans="1:15" x14ac:dyDescent="0.25">
      <c r="A168" s="1">
        <f t="shared" si="25"/>
        <v>157</v>
      </c>
      <c r="B168" s="3">
        <f t="shared" ca="1" si="26"/>
        <v>93500</v>
      </c>
      <c r="C168" s="26">
        <f t="shared" ca="1" si="27"/>
        <v>0.68932678250190937</v>
      </c>
      <c r="D168" s="26" t="str">
        <f t="shared" ca="1" si="24"/>
        <v>Win</v>
      </c>
      <c r="E168" s="3">
        <f t="shared" ca="1" si="28"/>
        <v>500</v>
      </c>
      <c r="F168" s="42">
        <f t="shared" si="20"/>
        <v>1.7168465086830629E-120</v>
      </c>
      <c r="G168" s="41">
        <f>SUM(F$11:F168)</f>
        <v>2.0897191636490245E-120</v>
      </c>
      <c r="I168" s="1">
        <f t="shared" si="29"/>
        <v>158</v>
      </c>
      <c r="J168" s="3">
        <v>336000</v>
      </c>
      <c r="K168" s="3">
        <v>86000</v>
      </c>
      <c r="L168" s="3">
        <v>338000</v>
      </c>
      <c r="M168" s="30">
        <f t="shared" si="21"/>
        <v>2.36</v>
      </c>
      <c r="N168" s="1" t="str">
        <f t="shared" si="22"/>
        <v/>
      </c>
      <c r="O168" s="1" t="str">
        <f t="shared" si="23"/>
        <v/>
      </c>
    </row>
    <row r="169" spans="1:15" x14ac:dyDescent="0.25">
      <c r="A169" s="1">
        <f t="shared" si="25"/>
        <v>158</v>
      </c>
      <c r="B169" s="3">
        <f t="shared" ca="1" si="26"/>
        <v>94000</v>
      </c>
      <c r="C169" s="26">
        <f t="shared" ca="1" si="27"/>
        <v>0.63547316960160882</v>
      </c>
      <c r="D169" s="26" t="str">
        <f t="shared" ca="1" si="24"/>
        <v>Win</v>
      </c>
      <c r="E169" s="3">
        <f t="shared" ca="1" si="28"/>
        <v>500</v>
      </c>
      <c r="F169" s="42">
        <f t="shared" si="20"/>
        <v>9.5340198847602925E-120</v>
      </c>
      <c r="G169" s="41">
        <f>SUM(F$11:F169)</f>
        <v>1.1623739048409318E-119</v>
      </c>
      <c r="I169" s="1">
        <f t="shared" si="29"/>
        <v>159</v>
      </c>
      <c r="J169" s="3">
        <v>324000</v>
      </c>
      <c r="K169" s="3">
        <v>96000</v>
      </c>
      <c r="L169" s="3">
        <v>326000</v>
      </c>
      <c r="M169" s="30">
        <f t="shared" si="21"/>
        <v>2.2400000000000002</v>
      </c>
      <c r="N169" s="1" t="str">
        <f t="shared" si="22"/>
        <v/>
      </c>
      <c r="O169" s="1" t="str">
        <f t="shared" si="23"/>
        <v/>
      </c>
    </row>
    <row r="170" spans="1:15" x14ac:dyDescent="0.25">
      <c r="A170" s="1">
        <f t="shared" si="25"/>
        <v>159</v>
      </c>
      <c r="B170" s="3">
        <f t="shared" ca="1" si="26"/>
        <v>93500</v>
      </c>
      <c r="C170" s="26">
        <f t="shared" ca="1" si="27"/>
        <v>0.41372940206873698</v>
      </c>
      <c r="D170" s="26" t="str">
        <f t="shared" ca="1" si="24"/>
        <v>Lose</v>
      </c>
      <c r="E170" s="3">
        <f t="shared" ca="1" si="28"/>
        <v>-500</v>
      </c>
      <c r="F170" s="42">
        <f t="shared" si="20"/>
        <v>5.2549079950118863E-119</v>
      </c>
      <c r="G170" s="41">
        <f>SUM(F$11:F170)</f>
        <v>6.4172818998528175E-119</v>
      </c>
      <c r="I170" s="1">
        <f t="shared" si="29"/>
        <v>160</v>
      </c>
      <c r="J170" s="3">
        <v>180000</v>
      </c>
      <c r="K170" s="3">
        <v>58000</v>
      </c>
      <c r="L170" s="3">
        <v>214000</v>
      </c>
      <c r="M170" s="30">
        <f t="shared" si="21"/>
        <v>0.8</v>
      </c>
      <c r="N170" s="1" t="str">
        <f t="shared" si="22"/>
        <v/>
      </c>
      <c r="O170" s="1" t="str">
        <f t="shared" si="23"/>
        <v/>
      </c>
    </row>
    <row r="171" spans="1:15" x14ac:dyDescent="0.25">
      <c r="A171" s="1">
        <f t="shared" si="25"/>
        <v>160</v>
      </c>
      <c r="B171" s="3">
        <f t="shared" ca="1" si="26"/>
        <v>93000</v>
      </c>
      <c r="C171" s="26">
        <f t="shared" ca="1" si="27"/>
        <v>0.33875936563094344</v>
      </c>
      <c r="D171" s="26" t="str">
        <f t="shared" ca="1" si="24"/>
        <v>Lose</v>
      </c>
      <c r="E171" s="3">
        <f t="shared" ca="1" si="28"/>
        <v>-500</v>
      </c>
      <c r="F171" s="42">
        <f t="shared" si="20"/>
        <v>2.8748502399753392E-118</v>
      </c>
      <c r="G171" s="41">
        <f>SUM(F$11:F171)</f>
        <v>3.516578429960621E-118</v>
      </c>
      <c r="I171" s="1">
        <f t="shared" si="29"/>
        <v>161</v>
      </c>
      <c r="J171" s="3">
        <v>312000</v>
      </c>
      <c r="K171" s="3">
        <v>100000</v>
      </c>
      <c r="L171" s="3">
        <v>312000</v>
      </c>
      <c r="M171" s="30">
        <f t="shared" si="21"/>
        <v>2.12</v>
      </c>
      <c r="N171" s="1" t="str">
        <f t="shared" si="22"/>
        <v/>
      </c>
      <c r="O171" s="1" t="str">
        <f t="shared" si="23"/>
        <v/>
      </c>
    </row>
    <row r="172" spans="1:15" x14ac:dyDescent="0.25">
      <c r="A172" s="1">
        <f t="shared" si="25"/>
        <v>161</v>
      </c>
      <c r="B172" s="3">
        <f t="shared" ca="1" si="26"/>
        <v>92500</v>
      </c>
      <c r="C172" s="26">
        <f t="shared" ca="1" si="27"/>
        <v>0.48911718756221834</v>
      </c>
      <c r="D172" s="26" t="str">
        <f t="shared" ca="1" si="24"/>
        <v>Lose</v>
      </c>
      <c r="E172" s="3">
        <f t="shared" ca="1" si="28"/>
        <v>-500</v>
      </c>
      <c r="F172" s="42">
        <f t="shared" si="20"/>
        <v>1.5611431649197839E-117</v>
      </c>
      <c r="G172" s="41">
        <f>SUM(F$11:F172)</f>
        <v>1.9128010079158458E-117</v>
      </c>
      <c r="I172" s="1">
        <f t="shared" si="29"/>
        <v>162</v>
      </c>
      <c r="J172" s="3">
        <v>324000</v>
      </c>
      <c r="K172" s="3">
        <v>86000</v>
      </c>
      <c r="L172" s="3">
        <v>336000</v>
      </c>
      <c r="M172" s="30">
        <f t="shared" si="21"/>
        <v>2.2400000000000002</v>
      </c>
      <c r="N172" s="1" t="str">
        <f t="shared" si="22"/>
        <v/>
      </c>
      <c r="O172" s="1" t="str">
        <f t="shared" si="23"/>
        <v/>
      </c>
    </row>
    <row r="173" spans="1:15" x14ac:dyDescent="0.25">
      <c r="A173" s="1">
        <f t="shared" si="25"/>
        <v>162</v>
      </c>
      <c r="B173" s="3">
        <f t="shared" ca="1" si="26"/>
        <v>92000</v>
      </c>
      <c r="C173" s="26">
        <f t="shared" ca="1" si="27"/>
        <v>0.4261475625332114</v>
      </c>
      <c r="D173" s="26" t="str">
        <f t="shared" ca="1" si="24"/>
        <v>Lose</v>
      </c>
      <c r="E173" s="3">
        <f t="shared" ca="1" si="28"/>
        <v>-500</v>
      </c>
      <c r="F173" s="42">
        <f t="shared" si="20"/>
        <v>8.4151870601859914E-117</v>
      </c>
      <c r="G173" s="41">
        <f>SUM(F$11:F173)</f>
        <v>1.0327988068101838E-116</v>
      </c>
      <c r="I173" s="1">
        <f t="shared" si="29"/>
        <v>163</v>
      </c>
      <c r="J173" s="3">
        <v>256000</v>
      </c>
      <c r="K173" s="3">
        <v>76000</v>
      </c>
      <c r="L173" s="3">
        <v>262000</v>
      </c>
      <c r="M173" s="30">
        <f t="shared" si="21"/>
        <v>1.56</v>
      </c>
      <c r="N173" s="1" t="str">
        <f t="shared" si="22"/>
        <v/>
      </c>
      <c r="O173" s="1" t="str">
        <f t="shared" si="23"/>
        <v/>
      </c>
    </row>
    <row r="174" spans="1:15" x14ac:dyDescent="0.25">
      <c r="A174" s="1">
        <f t="shared" si="25"/>
        <v>163</v>
      </c>
      <c r="B174" s="3">
        <f t="shared" ca="1" si="26"/>
        <v>92500</v>
      </c>
      <c r="C174" s="26">
        <f t="shared" ca="1" si="27"/>
        <v>0.51922569892365511</v>
      </c>
      <c r="D174" s="26" t="str">
        <f t="shared" ca="1" si="24"/>
        <v>Win</v>
      </c>
      <c r="E174" s="3">
        <f t="shared" ca="1" si="28"/>
        <v>500</v>
      </c>
      <c r="F174" s="42">
        <f t="shared" si="20"/>
        <v>4.5029205531269732E-116</v>
      </c>
      <c r="G174" s="41">
        <f>SUM(F$11:F174)</f>
        <v>5.5357193599371574E-116</v>
      </c>
      <c r="I174" s="1">
        <f t="shared" si="29"/>
        <v>164</v>
      </c>
      <c r="J174" s="3">
        <v>328000</v>
      </c>
      <c r="K174" s="3">
        <v>94000</v>
      </c>
      <c r="L174" s="3">
        <v>336000</v>
      </c>
      <c r="M174" s="30">
        <f t="shared" si="21"/>
        <v>2.2799999999999998</v>
      </c>
      <c r="N174" s="1" t="str">
        <f t="shared" si="22"/>
        <v/>
      </c>
      <c r="O174" s="1" t="str">
        <f t="shared" si="23"/>
        <v/>
      </c>
    </row>
    <row r="175" spans="1:15" x14ac:dyDescent="0.25">
      <c r="A175" s="1">
        <f t="shared" si="25"/>
        <v>164</v>
      </c>
      <c r="B175" s="3">
        <f t="shared" ca="1" si="26"/>
        <v>93000</v>
      </c>
      <c r="C175" s="26">
        <f t="shared" ca="1" si="27"/>
        <v>0.61751950223792729</v>
      </c>
      <c r="D175" s="26" t="str">
        <f t="shared" ca="1" si="24"/>
        <v>Win</v>
      </c>
      <c r="E175" s="3">
        <f t="shared" ca="1" si="28"/>
        <v>500</v>
      </c>
      <c r="F175" s="42">
        <f t="shared" si="20"/>
        <v>2.3919383978511126E-115</v>
      </c>
      <c r="G175" s="41">
        <f>SUM(F$11:F175)</f>
        <v>2.9455103338448285E-115</v>
      </c>
      <c r="I175" s="1">
        <f t="shared" si="29"/>
        <v>165</v>
      </c>
      <c r="J175" s="3">
        <v>432000</v>
      </c>
      <c r="K175" s="3">
        <v>96000</v>
      </c>
      <c r="L175" s="3">
        <v>438000</v>
      </c>
      <c r="M175" s="30">
        <f t="shared" si="21"/>
        <v>3.3200000000000003</v>
      </c>
      <c r="N175" s="1" t="str">
        <f t="shared" si="22"/>
        <v/>
      </c>
      <c r="O175" s="1" t="str">
        <f t="shared" si="23"/>
        <v/>
      </c>
    </row>
    <row r="176" spans="1:15" x14ac:dyDescent="0.25">
      <c r="A176" s="1">
        <f t="shared" si="25"/>
        <v>165</v>
      </c>
      <c r="B176" s="3">
        <f t="shared" ca="1" si="26"/>
        <v>92500</v>
      </c>
      <c r="C176" s="26">
        <f t="shared" ca="1" si="27"/>
        <v>0.17643646591582118</v>
      </c>
      <c r="D176" s="26" t="str">
        <f t="shared" ca="1" si="24"/>
        <v>Lose</v>
      </c>
      <c r="E176" s="3">
        <f t="shared" ca="1" si="28"/>
        <v>-500</v>
      </c>
      <c r="F176" s="42">
        <f t="shared" si="20"/>
        <v>1.2613813918464267E-114</v>
      </c>
      <c r="G176" s="41">
        <f>SUM(F$11:F176)</f>
        <v>1.5559324252309095E-114</v>
      </c>
      <c r="I176" s="1">
        <f t="shared" si="29"/>
        <v>166</v>
      </c>
      <c r="J176" s="3">
        <v>408000</v>
      </c>
      <c r="K176" s="3">
        <v>94000</v>
      </c>
      <c r="L176" s="3">
        <v>412000</v>
      </c>
      <c r="M176" s="30">
        <f t="shared" si="21"/>
        <v>3.08</v>
      </c>
      <c r="N176" s="1" t="str">
        <f t="shared" si="22"/>
        <v/>
      </c>
      <c r="O176" s="1" t="str">
        <f t="shared" si="23"/>
        <v/>
      </c>
    </row>
    <row r="177" spans="1:15" x14ac:dyDescent="0.25">
      <c r="A177" s="1">
        <f t="shared" si="25"/>
        <v>166</v>
      </c>
      <c r="B177" s="3">
        <f t="shared" ca="1" si="26"/>
        <v>92000</v>
      </c>
      <c r="C177" s="26">
        <f t="shared" ca="1" si="27"/>
        <v>1.7335160648335179E-2</v>
      </c>
      <c r="D177" s="26" t="str">
        <f t="shared" ca="1" si="24"/>
        <v>Lose</v>
      </c>
      <c r="E177" s="3">
        <f t="shared" ca="1" si="28"/>
        <v>-500</v>
      </c>
      <c r="F177" s="42">
        <f t="shared" si="20"/>
        <v>6.6038759001451176E-114</v>
      </c>
      <c r="G177" s="41">
        <f>SUM(F$11:F177)</f>
        <v>8.1598083253760272E-114</v>
      </c>
      <c r="I177" s="1">
        <f t="shared" si="29"/>
        <v>167</v>
      </c>
      <c r="J177" s="3">
        <v>236000</v>
      </c>
      <c r="K177" s="3">
        <v>80000</v>
      </c>
      <c r="L177" s="3">
        <v>240000</v>
      </c>
      <c r="M177" s="30">
        <f t="shared" si="21"/>
        <v>1.3599999999999999</v>
      </c>
      <c r="N177" s="1" t="str">
        <f t="shared" si="22"/>
        <v/>
      </c>
      <c r="O177" s="1" t="str">
        <f t="shared" si="23"/>
        <v/>
      </c>
    </row>
    <row r="178" spans="1:15" x14ac:dyDescent="0.25">
      <c r="A178" s="1">
        <f t="shared" si="25"/>
        <v>167</v>
      </c>
      <c r="B178" s="3">
        <f t="shared" ca="1" si="26"/>
        <v>91500</v>
      </c>
      <c r="C178" s="26">
        <f t="shared" ca="1" si="27"/>
        <v>0.27526602100448727</v>
      </c>
      <c r="D178" s="26" t="str">
        <f t="shared" ca="1" si="24"/>
        <v>Lose</v>
      </c>
      <c r="E178" s="3">
        <f t="shared" ca="1" si="28"/>
        <v>-500</v>
      </c>
      <c r="F178" s="42">
        <f t="shared" si="20"/>
        <v>3.4325951061564198E-113</v>
      </c>
      <c r="G178" s="41">
        <f>SUM(F$11:F178)</f>
        <v>4.2485759386940226E-113</v>
      </c>
      <c r="I178" s="1">
        <f t="shared" si="29"/>
        <v>168</v>
      </c>
      <c r="J178" s="3">
        <v>244000</v>
      </c>
      <c r="K178" s="3">
        <v>94000</v>
      </c>
      <c r="L178" s="3">
        <v>246000</v>
      </c>
      <c r="M178" s="30">
        <f t="shared" si="21"/>
        <v>1.44</v>
      </c>
      <c r="N178" s="1" t="str">
        <f t="shared" si="22"/>
        <v/>
      </c>
      <c r="O178" s="1" t="str">
        <f t="shared" si="23"/>
        <v/>
      </c>
    </row>
    <row r="179" spans="1:15" x14ac:dyDescent="0.25">
      <c r="A179" s="1">
        <f t="shared" si="25"/>
        <v>168</v>
      </c>
      <c r="B179" s="3">
        <f t="shared" ca="1" si="26"/>
        <v>92000</v>
      </c>
      <c r="C179" s="26">
        <f t="shared" ca="1" si="27"/>
        <v>0.93684382925595777</v>
      </c>
      <c r="D179" s="26" t="str">
        <f t="shared" ca="1" si="24"/>
        <v>Win</v>
      </c>
      <c r="E179" s="3">
        <f t="shared" ca="1" si="28"/>
        <v>500</v>
      </c>
      <c r="F179" s="42">
        <f t="shared" si="20"/>
        <v>1.7714642601413414E-112</v>
      </c>
      <c r="G179" s="41">
        <f>SUM(F$11:F179)</f>
        <v>2.1963218540107438E-112</v>
      </c>
      <c r="I179" s="1">
        <f t="shared" si="29"/>
        <v>169</v>
      </c>
      <c r="J179" s="3">
        <v>196000</v>
      </c>
      <c r="K179" s="3">
        <v>76000</v>
      </c>
      <c r="L179" s="3">
        <v>232000</v>
      </c>
      <c r="M179" s="30">
        <f t="shared" si="21"/>
        <v>0.96</v>
      </c>
      <c r="N179" s="1" t="str">
        <f t="shared" si="22"/>
        <v/>
      </c>
      <c r="O179" s="1" t="str">
        <f t="shared" si="23"/>
        <v/>
      </c>
    </row>
    <row r="180" spans="1:15" x14ac:dyDescent="0.25">
      <c r="A180" s="1">
        <f t="shared" si="25"/>
        <v>169</v>
      </c>
      <c r="B180" s="3">
        <f t="shared" ca="1" si="26"/>
        <v>92500</v>
      </c>
      <c r="C180" s="26">
        <f t="shared" ca="1" si="27"/>
        <v>0.61000087908667</v>
      </c>
      <c r="D180" s="26" t="str">
        <f t="shared" ca="1" si="24"/>
        <v>Win</v>
      </c>
      <c r="E180" s="3">
        <f t="shared" ca="1" si="28"/>
        <v>500</v>
      </c>
      <c r="F180" s="42">
        <f t="shared" si="20"/>
        <v>9.0770162403480561E-112</v>
      </c>
      <c r="G180" s="41">
        <f>SUM(F$11:F180)</f>
        <v>1.1273338094358801E-111</v>
      </c>
      <c r="I180" s="1">
        <f t="shared" si="29"/>
        <v>170</v>
      </c>
      <c r="J180" s="3">
        <v>272000</v>
      </c>
      <c r="K180" s="3">
        <v>88000</v>
      </c>
      <c r="L180" s="3">
        <v>304000</v>
      </c>
      <c r="M180" s="30">
        <f t="shared" si="21"/>
        <v>1.7200000000000002</v>
      </c>
      <c r="N180" s="1" t="str">
        <f t="shared" si="22"/>
        <v/>
      </c>
      <c r="O180" s="1" t="str">
        <f t="shared" si="23"/>
        <v/>
      </c>
    </row>
    <row r="181" spans="1:15" x14ac:dyDescent="0.25">
      <c r="A181" s="1">
        <f t="shared" si="25"/>
        <v>170</v>
      </c>
      <c r="B181" s="3">
        <f t="shared" ca="1" si="26"/>
        <v>93000</v>
      </c>
      <c r="C181" s="26">
        <f t="shared" ca="1" si="27"/>
        <v>0.55997384140268658</v>
      </c>
      <c r="D181" s="26" t="str">
        <f t="shared" ca="1" si="24"/>
        <v>Win</v>
      </c>
      <c r="E181" s="3">
        <f t="shared" ca="1" si="28"/>
        <v>500</v>
      </c>
      <c r="F181" s="42">
        <f t="shared" si="20"/>
        <v>4.618163568813603E-111</v>
      </c>
      <c r="G181" s="41">
        <f>SUM(F$11:F181)</f>
        <v>5.745497378249483E-111</v>
      </c>
      <c r="I181" s="1">
        <f t="shared" si="29"/>
        <v>171</v>
      </c>
      <c r="J181" s="3">
        <v>280000</v>
      </c>
      <c r="K181" s="3">
        <v>72000</v>
      </c>
      <c r="L181" s="3">
        <v>312000</v>
      </c>
      <c r="M181" s="30">
        <f t="shared" si="21"/>
        <v>1.7999999999999998</v>
      </c>
      <c r="N181" s="1" t="str">
        <f t="shared" si="22"/>
        <v/>
      </c>
      <c r="O181" s="1" t="str">
        <f t="shared" si="23"/>
        <v/>
      </c>
    </row>
    <row r="182" spans="1:15" x14ac:dyDescent="0.25">
      <c r="A182" s="1">
        <f t="shared" si="25"/>
        <v>171</v>
      </c>
      <c r="B182" s="3">
        <f t="shared" ca="1" si="26"/>
        <v>93500</v>
      </c>
      <c r="C182" s="26">
        <f t="shared" ca="1" si="27"/>
        <v>0.79489759942073801</v>
      </c>
      <c r="D182" s="26" t="str">
        <f t="shared" ca="1" si="24"/>
        <v>Win</v>
      </c>
      <c r="E182" s="3">
        <f t="shared" ca="1" si="28"/>
        <v>500</v>
      </c>
      <c r="F182" s="42">
        <f t="shared" si="20"/>
        <v>2.3330572128877636E-110</v>
      </c>
      <c r="G182" s="41">
        <f>SUM(F$11:F182)</f>
        <v>2.9076069507127119E-110</v>
      </c>
      <c r="I182" s="1">
        <f t="shared" si="29"/>
        <v>172</v>
      </c>
      <c r="J182" s="3">
        <v>300000</v>
      </c>
      <c r="K182" s="3">
        <v>86000</v>
      </c>
      <c r="L182" s="3">
        <v>306000</v>
      </c>
      <c r="M182" s="30">
        <f t="shared" si="21"/>
        <v>2</v>
      </c>
      <c r="N182" s="1" t="str">
        <f t="shared" si="22"/>
        <v/>
      </c>
      <c r="O182" s="1" t="str">
        <f t="shared" si="23"/>
        <v/>
      </c>
    </row>
    <row r="183" spans="1:15" x14ac:dyDescent="0.25">
      <c r="A183" s="1">
        <f t="shared" si="25"/>
        <v>172</v>
      </c>
      <c r="B183" s="3">
        <f t="shared" ca="1" si="26"/>
        <v>93000</v>
      </c>
      <c r="C183" s="26">
        <f t="shared" ca="1" si="27"/>
        <v>6.0687290302126939E-2</v>
      </c>
      <c r="D183" s="26" t="str">
        <f t="shared" ca="1" si="24"/>
        <v>Lose</v>
      </c>
      <c r="E183" s="3">
        <f t="shared" ca="1" si="28"/>
        <v>-500</v>
      </c>
      <c r="F183" s="42">
        <f t="shared" si="20"/>
        <v>1.1703764345477434E-109</v>
      </c>
      <c r="G183" s="41">
        <f>SUM(F$11:F183)</f>
        <v>1.4611371296190144E-109</v>
      </c>
      <c r="I183" s="1">
        <f t="shared" si="29"/>
        <v>173</v>
      </c>
      <c r="J183" s="3">
        <v>268000</v>
      </c>
      <c r="K183" s="3">
        <v>94000</v>
      </c>
      <c r="L183" s="3">
        <v>288000</v>
      </c>
      <c r="M183" s="30">
        <f t="shared" si="21"/>
        <v>1.6800000000000002</v>
      </c>
      <c r="N183" s="1" t="str">
        <f t="shared" si="22"/>
        <v/>
      </c>
      <c r="O183" s="1" t="str">
        <f t="shared" si="23"/>
        <v/>
      </c>
    </row>
    <row r="184" spans="1:15" x14ac:dyDescent="0.25">
      <c r="A184" s="1">
        <f t="shared" si="25"/>
        <v>173</v>
      </c>
      <c r="B184" s="3">
        <f t="shared" ca="1" si="26"/>
        <v>93500</v>
      </c>
      <c r="C184" s="26">
        <f t="shared" ca="1" si="27"/>
        <v>0.55786059423888956</v>
      </c>
      <c r="D184" s="26" t="str">
        <f t="shared" ca="1" si="24"/>
        <v>Win</v>
      </c>
      <c r="E184" s="3">
        <f t="shared" ca="1" si="28"/>
        <v>500</v>
      </c>
      <c r="F184" s="42">
        <f t="shared" si="20"/>
        <v>5.8302059783041563E-109</v>
      </c>
      <c r="G184" s="41">
        <f>SUM(F$11:F184)</f>
        <v>7.2913431079231707E-109</v>
      </c>
      <c r="I184" s="1">
        <f t="shared" si="29"/>
        <v>174</v>
      </c>
      <c r="J184" s="3">
        <v>252000</v>
      </c>
      <c r="K184" s="3">
        <v>64000</v>
      </c>
      <c r="L184" s="3">
        <v>260000</v>
      </c>
      <c r="M184" s="30">
        <f t="shared" si="21"/>
        <v>1.52</v>
      </c>
      <c r="N184" s="1" t="str">
        <f t="shared" si="22"/>
        <v/>
      </c>
      <c r="O184" s="1" t="str">
        <f t="shared" si="23"/>
        <v/>
      </c>
    </row>
    <row r="185" spans="1:15" x14ac:dyDescent="0.25">
      <c r="A185" s="1">
        <f t="shared" si="25"/>
        <v>174</v>
      </c>
      <c r="B185" s="3">
        <f t="shared" ca="1" si="26"/>
        <v>94000</v>
      </c>
      <c r="C185" s="26">
        <f t="shared" ca="1" si="27"/>
        <v>0.67867662720856903</v>
      </c>
      <c r="D185" s="26" t="str">
        <f t="shared" ca="1" si="24"/>
        <v>Win</v>
      </c>
      <c r="E185" s="3">
        <f t="shared" ca="1" si="28"/>
        <v>500</v>
      </c>
      <c r="F185" s="42">
        <f t="shared" si="20"/>
        <v>2.884126173433471E-108</v>
      </c>
      <c r="G185" s="41">
        <f>SUM(F$11:F185)</f>
        <v>3.6132604842257879E-108</v>
      </c>
      <c r="I185" s="1">
        <f t="shared" si="29"/>
        <v>175</v>
      </c>
      <c r="J185" s="3">
        <v>348000</v>
      </c>
      <c r="K185" s="3">
        <v>98000</v>
      </c>
      <c r="L185" s="3">
        <v>350000</v>
      </c>
      <c r="M185" s="30">
        <f t="shared" si="21"/>
        <v>2.48</v>
      </c>
      <c r="N185" s="1" t="str">
        <f t="shared" si="22"/>
        <v/>
      </c>
      <c r="O185" s="1" t="str">
        <f t="shared" si="23"/>
        <v/>
      </c>
    </row>
    <row r="186" spans="1:15" x14ac:dyDescent="0.25">
      <c r="A186" s="1">
        <f t="shared" si="25"/>
        <v>175</v>
      </c>
      <c r="B186" s="3">
        <f t="shared" ca="1" si="26"/>
        <v>93500</v>
      </c>
      <c r="C186" s="26">
        <f t="shared" ca="1" si="27"/>
        <v>0.1543197376664488</v>
      </c>
      <c r="D186" s="26" t="str">
        <f t="shared" ca="1" si="24"/>
        <v>Lose</v>
      </c>
      <c r="E186" s="3">
        <f t="shared" ca="1" si="28"/>
        <v>-500</v>
      </c>
      <c r="F186" s="42">
        <f t="shared" si="20"/>
        <v>1.4168711274876072E-107</v>
      </c>
      <c r="G186" s="41">
        <f>SUM(F$11:F186)</f>
        <v>1.7781971759101858E-107</v>
      </c>
      <c r="I186" s="1">
        <f t="shared" si="29"/>
        <v>176</v>
      </c>
      <c r="J186" s="3">
        <v>188000</v>
      </c>
      <c r="K186" s="3">
        <v>82000</v>
      </c>
      <c r="L186" s="3">
        <v>204000</v>
      </c>
      <c r="M186" s="30">
        <f t="shared" si="21"/>
        <v>0.87999999999999989</v>
      </c>
      <c r="N186" s="1" t="str">
        <f t="shared" si="22"/>
        <v/>
      </c>
      <c r="O186" s="1" t="str">
        <f t="shared" si="23"/>
        <v/>
      </c>
    </row>
    <row r="187" spans="1:15" x14ac:dyDescent="0.25">
      <c r="A187" s="1">
        <f t="shared" si="25"/>
        <v>176</v>
      </c>
      <c r="B187" s="3">
        <f t="shared" ca="1" si="26"/>
        <v>93000</v>
      </c>
      <c r="C187" s="26">
        <f t="shared" ca="1" si="27"/>
        <v>0.48041980519061822</v>
      </c>
      <c r="D187" s="26" t="str">
        <f t="shared" ca="1" si="24"/>
        <v>Lose</v>
      </c>
      <c r="E187" s="3">
        <f t="shared" ca="1" si="28"/>
        <v>-500</v>
      </c>
      <c r="F187" s="42">
        <f t="shared" si="20"/>
        <v>6.91266844724482E-107</v>
      </c>
      <c r="G187" s="41">
        <f>SUM(F$11:F187)</f>
        <v>8.6908656231550059E-107</v>
      </c>
      <c r="I187" s="1">
        <f t="shared" si="29"/>
        <v>177</v>
      </c>
      <c r="J187" s="3">
        <v>256000</v>
      </c>
      <c r="K187" s="3">
        <v>72000</v>
      </c>
      <c r="L187" s="3">
        <v>256000</v>
      </c>
      <c r="M187" s="30">
        <f t="shared" si="21"/>
        <v>1.56</v>
      </c>
      <c r="N187" s="1" t="str">
        <f t="shared" si="22"/>
        <v/>
      </c>
      <c r="O187" s="1" t="str">
        <f t="shared" si="23"/>
        <v/>
      </c>
    </row>
    <row r="188" spans="1:15" x14ac:dyDescent="0.25">
      <c r="A188" s="1">
        <f t="shared" si="25"/>
        <v>177</v>
      </c>
      <c r="B188" s="3">
        <f t="shared" ca="1" si="26"/>
        <v>93500</v>
      </c>
      <c r="C188" s="26">
        <f t="shared" ca="1" si="27"/>
        <v>0.94931275334566101</v>
      </c>
      <c r="D188" s="26" t="str">
        <f t="shared" ca="1" si="24"/>
        <v>Win</v>
      </c>
      <c r="E188" s="3">
        <f t="shared" ca="1" si="28"/>
        <v>500</v>
      </c>
      <c r="F188" s="42">
        <f t="shared" si="20"/>
        <v>3.3494520791769605E-106</v>
      </c>
      <c r="G188" s="41">
        <f>SUM(F$11:F188)</f>
        <v>4.2185386414924608E-106</v>
      </c>
      <c r="I188" s="1">
        <f t="shared" si="29"/>
        <v>178</v>
      </c>
      <c r="J188" s="3">
        <v>216000</v>
      </c>
      <c r="K188" s="3">
        <v>88000</v>
      </c>
      <c r="L188" s="3">
        <v>228000</v>
      </c>
      <c r="M188" s="30">
        <f t="shared" si="21"/>
        <v>1.1600000000000001</v>
      </c>
      <c r="N188" s="1" t="str">
        <f t="shared" si="22"/>
        <v/>
      </c>
      <c r="O188" s="1" t="str">
        <f t="shared" si="23"/>
        <v/>
      </c>
    </row>
    <row r="189" spans="1:15" x14ac:dyDescent="0.25">
      <c r="A189" s="1">
        <f t="shared" si="25"/>
        <v>178</v>
      </c>
      <c r="B189" s="3">
        <f t="shared" ca="1" si="26"/>
        <v>94000</v>
      </c>
      <c r="C189" s="26">
        <f t="shared" ca="1" si="27"/>
        <v>0.67002629703337657</v>
      </c>
      <c r="D189" s="26" t="str">
        <f t="shared" ca="1" si="24"/>
        <v>Win</v>
      </c>
      <c r="E189" s="3">
        <f t="shared" ca="1" si="28"/>
        <v>500</v>
      </c>
      <c r="F189" s="42">
        <f t="shared" si="20"/>
        <v>1.6118614093018255E-105</v>
      </c>
      <c r="G189" s="41">
        <f>SUM(F$11:F189)</f>
        <v>2.0337152734510718E-105</v>
      </c>
      <c r="I189" s="1">
        <f t="shared" si="29"/>
        <v>179</v>
      </c>
      <c r="J189" s="3">
        <v>112000</v>
      </c>
      <c r="K189" s="3">
        <v>82000</v>
      </c>
      <c r="L189" s="3">
        <v>150000</v>
      </c>
      <c r="M189" s="30">
        <f t="shared" si="21"/>
        <v>0.12000000000000011</v>
      </c>
      <c r="N189" s="1" t="str">
        <f t="shared" si="22"/>
        <v/>
      </c>
      <c r="O189" s="1" t="str">
        <f t="shared" si="23"/>
        <v/>
      </c>
    </row>
    <row r="190" spans="1:15" x14ac:dyDescent="0.25">
      <c r="A190" s="1">
        <f t="shared" si="25"/>
        <v>179</v>
      </c>
      <c r="B190" s="3">
        <f t="shared" ca="1" si="26"/>
        <v>93500</v>
      </c>
      <c r="C190" s="26">
        <f t="shared" ca="1" si="27"/>
        <v>0.19195592078775692</v>
      </c>
      <c r="D190" s="26" t="str">
        <f t="shared" ca="1" si="24"/>
        <v>Lose</v>
      </c>
      <c r="E190" s="3">
        <f t="shared" ca="1" si="28"/>
        <v>-500</v>
      </c>
      <c r="F190" s="42">
        <f t="shared" si="20"/>
        <v>7.70407638818169E-105</v>
      </c>
      <c r="G190" s="41">
        <f>SUM(F$11:F190)</f>
        <v>9.737791661632761E-105</v>
      </c>
      <c r="I190" s="1">
        <f t="shared" si="29"/>
        <v>180</v>
      </c>
      <c r="J190" s="3">
        <v>312000</v>
      </c>
      <c r="K190" s="3">
        <v>100000</v>
      </c>
      <c r="L190" s="3">
        <v>316000</v>
      </c>
      <c r="M190" s="30">
        <f t="shared" si="21"/>
        <v>2.12</v>
      </c>
      <c r="N190" s="1" t="str">
        <f t="shared" si="22"/>
        <v/>
      </c>
      <c r="O190" s="1" t="str">
        <f t="shared" si="23"/>
        <v/>
      </c>
    </row>
    <row r="191" spans="1:15" x14ac:dyDescent="0.25">
      <c r="A191" s="1">
        <f t="shared" si="25"/>
        <v>180</v>
      </c>
      <c r="B191" s="3">
        <f t="shared" ca="1" si="26"/>
        <v>93000</v>
      </c>
      <c r="C191" s="26">
        <f t="shared" ca="1" si="27"/>
        <v>0.40750832797120928</v>
      </c>
      <c r="D191" s="26" t="str">
        <f t="shared" ca="1" si="24"/>
        <v>Lose</v>
      </c>
      <c r="E191" s="3">
        <f t="shared" ca="1" si="28"/>
        <v>-500</v>
      </c>
      <c r="F191" s="42">
        <f t="shared" si="20"/>
        <v>3.6573399370698077E-104</v>
      </c>
      <c r="G191" s="41">
        <f>SUM(F$11:F191)</f>
        <v>4.6311191032330838E-104</v>
      </c>
      <c r="I191" s="1">
        <f t="shared" si="29"/>
        <v>181</v>
      </c>
      <c r="J191" s="3">
        <v>268000</v>
      </c>
      <c r="K191" s="3">
        <v>100000</v>
      </c>
      <c r="L191" s="3">
        <v>274000</v>
      </c>
      <c r="M191" s="30">
        <f t="shared" si="21"/>
        <v>1.6800000000000002</v>
      </c>
      <c r="N191" s="1" t="str">
        <f t="shared" si="22"/>
        <v/>
      </c>
      <c r="O191" s="1" t="str">
        <f t="shared" si="23"/>
        <v/>
      </c>
    </row>
    <row r="192" spans="1:15" x14ac:dyDescent="0.25">
      <c r="A192" s="1">
        <f t="shared" si="25"/>
        <v>181</v>
      </c>
      <c r="B192" s="3">
        <f t="shared" ca="1" si="26"/>
        <v>93500</v>
      </c>
      <c r="C192" s="26">
        <f t="shared" ca="1" si="27"/>
        <v>0.7005163095693524</v>
      </c>
      <c r="D192" s="26" t="str">
        <f t="shared" ca="1" si="24"/>
        <v>Win</v>
      </c>
      <c r="E192" s="3">
        <f t="shared" ca="1" si="28"/>
        <v>500</v>
      </c>
      <c r="F192" s="42">
        <f t="shared" si="20"/>
        <v>1.7245456778471222E-103</v>
      </c>
      <c r="G192" s="41">
        <f>SUM(F$11:F192)</f>
        <v>2.1876575881704305E-103</v>
      </c>
      <c r="I192" s="1">
        <f t="shared" si="29"/>
        <v>182</v>
      </c>
      <c r="J192" s="3">
        <v>220000</v>
      </c>
      <c r="K192" s="3">
        <v>98000</v>
      </c>
      <c r="L192" s="3">
        <v>234000</v>
      </c>
      <c r="M192" s="30">
        <f t="shared" si="21"/>
        <v>1.2000000000000002</v>
      </c>
      <c r="N192" s="1" t="str">
        <f t="shared" si="22"/>
        <v/>
      </c>
      <c r="O192" s="1" t="str">
        <f t="shared" si="23"/>
        <v/>
      </c>
    </row>
    <row r="193" spans="1:15" x14ac:dyDescent="0.25">
      <c r="A193" s="1">
        <f t="shared" si="25"/>
        <v>182</v>
      </c>
      <c r="B193" s="3">
        <f t="shared" ca="1" si="26"/>
        <v>93000</v>
      </c>
      <c r="C193" s="26">
        <f t="shared" ca="1" si="27"/>
        <v>0.37943736829534569</v>
      </c>
      <c r="D193" s="26" t="str">
        <f t="shared" ca="1" si="24"/>
        <v>Lose</v>
      </c>
      <c r="E193" s="3">
        <f t="shared" ca="1" si="28"/>
        <v>-500</v>
      </c>
      <c r="F193" s="42">
        <f t="shared" si="20"/>
        <v>8.0772088380803058E-103</v>
      </c>
      <c r="G193" s="41">
        <f>SUM(F$11:F193)</f>
        <v>1.0264866426250735E-102</v>
      </c>
      <c r="I193" s="1">
        <f t="shared" si="29"/>
        <v>183</v>
      </c>
      <c r="J193" s="3">
        <v>304000</v>
      </c>
      <c r="K193" s="3">
        <v>96000</v>
      </c>
      <c r="L193" s="3">
        <v>306000</v>
      </c>
      <c r="M193" s="30">
        <f t="shared" si="21"/>
        <v>2.04</v>
      </c>
      <c r="N193" s="1" t="str">
        <f t="shared" si="22"/>
        <v/>
      </c>
      <c r="O193" s="1" t="str">
        <f t="shared" si="23"/>
        <v/>
      </c>
    </row>
    <row r="194" spans="1:15" x14ac:dyDescent="0.25">
      <c r="A194" s="1">
        <f t="shared" si="25"/>
        <v>183</v>
      </c>
      <c r="B194" s="3">
        <f t="shared" ca="1" si="26"/>
        <v>93500</v>
      </c>
      <c r="C194" s="26">
        <f t="shared" ca="1" si="27"/>
        <v>0.7233850899669696</v>
      </c>
      <c r="D194" s="26" t="str">
        <f t="shared" ca="1" si="24"/>
        <v>Win</v>
      </c>
      <c r="E194" s="3">
        <f t="shared" ca="1" si="28"/>
        <v>500</v>
      </c>
      <c r="F194" s="42">
        <f t="shared" si="20"/>
        <v>3.7578342623734128E-102</v>
      </c>
      <c r="G194" s="41">
        <f>SUM(F$11:F194)</f>
        <v>4.7843209049984863E-102</v>
      </c>
      <c r="I194" s="1">
        <f t="shared" si="29"/>
        <v>184</v>
      </c>
      <c r="J194" s="3">
        <v>232000</v>
      </c>
      <c r="K194" s="3">
        <v>100000</v>
      </c>
      <c r="L194" s="3">
        <v>234000</v>
      </c>
      <c r="M194" s="30">
        <f t="shared" si="21"/>
        <v>1.3199999999999998</v>
      </c>
      <c r="N194" s="1" t="str">
        <f t="shared" si="22"/>
        <v/>
      </c>
      <c r="O194" s="1" t="str">
        <f t="shared" si="23"/>
        <v/>
      </c>
    </row>
    <row r="195" spans="1:15" x14ac:dyDescent="0.25">
      <c r="A195" s="1">
        <f t="shared" si="25"/>
        <v>184</v>
      </c>
      <c r="B195" s="3">
        <f t="shared" ca="1" si="26"/>
        <v>93000</v>
      </c>
      <c r="C195" s="26">
        <f t="shared" ca="1" si="27"/>
        <v>0.38549625173931745</v>
      </c>
      <c r="D195" s="26" t="str">
        <f t="shared" ca="1" si="24"/>
        <v>Lose</v>
      </c>
      <c r="E195" s="3">
        <f t="shared" ca="1" si="28"/>
        <v>-500</v>
      </c>
      <c r="F195" s="42">
        <f t="shared" si="20"/>
        <v>1.7366645986059101E-101</v>
      </c>
      <c r="G195" s="41">
        <f>SUM(F$11:F195)</f>
        <v>2.2150966891057587E-101</v>
      </c>
      <c r="I195" s="1">
        <f t="shared" si="29"/>
        <v>185</v>
      </c>
      <c r="J195" s="3">
        <v>160000</v>
      </c>
      <c r="K195" s="3">
        <v>86000</v>
      </c>
      <c r="L195" s="3">
        <v>210000</v>
      </c>
      <c r="M195" s="30">
        <f t="shared" si="21"/>
        <v>0.60000000000000009</v>
      </c>
      <c r="N195" s="1" t="str">
        <f t="shared" si="22"/>
        <v/>
      </c>
      <c r="O195" s="1" t="str">
        <f t="shared" si="23"/>
        <v/>
      </c>
    </row>
    <row r="196" spans="1:15" x14ac:dyDescent="0.25">
      <c r="A196" s="1">
        <f t="shared" si="25"/>
        <v>185</v>
      </c>
      <c r="B196" s="3">
        <f t="shared" ca="1" si="26"/>
        <v>93500</v>
      </c>
      <c r="C196" s="26">
        <f t="shared" ca="1" si="27"/>
        <v>0.6572604919272016</v>
      </c>
      <c r="D196" s="26" t="str">
        <f t="shared" ca="1" si="24"/>
        <v>Win</v>
      </c>
      <c r="E196" s="3">
        <f t="shared" ca="1" si="28"/>
        <v>500</v>
      </c>
      <c r="F196" s="42">
        <f t="shared" si="20"/>
        <v>7.9727560877651932E-101</v>
      </c>
      <c r="G196" s="41">
        <f>SUM(F$11:F196)</f>
        <v>1.0187852776870952E-100</v>
      </c>
      <c r="I196" s="1">
        <f t="shared" si="29"/>
        <v>186</v>
      </c>
      <c r="J196" s="3">
        <v>196000</v>
      </c>
      <c r="K196" s="3">
        <v>52000</v>
      </c>
      <c r="L196" s="3">
        <v>206000</v>
      </c>
      <c r="M196" s="30">
        <f t="shared" si="21"/>
        <v>0.96</v>
      </c>
      <c r="N196" s="1" t="str">
        <f t="shared" si="22"/>
        <v/>
      </c>
      <c r="O196" s="1" t="str">
        <f t="shared" si="23"/>
        <v/>
      </c>
    </row>
    <row r="197" spans="1:15" x14ac:dyDescent="0.25">
      <c r="A197" s="1">
        <f t="shared" si="25"/>
        <v>186</v>
      </c>
      <c r="B197" s="3">
        <f t="shared" ca="1" si="26"/>
        <v>94000</v>
      </c>
      <c r="C197" s="26">
        <f t="shared" ca="1" si="27"/>
        <v>0.96772090965242263</v>
      </c>
      <c r="D197" s="26" t="str">
        <f t="shared" ca="1" si="24"/>
        <v>Win</v>
      </c>
      <c r="E197" s="3">
        <f t="shared" ca="1" si="28"/>
        <v>500</v>
      </c>
      <c r="F197" s="42">
        <f t="shared" si="20"/>
        <v>3.6360281631331634E-100</v>
      </c>
      <c r="G197" s="41">
        <f>SUM(F$11:F197)</f>
        <v>4.6548134408202582E-100</v>
      </c>
      <c r="I197" s="1">
        <f t="shared" si="29"/>
        <v>187</v>
      </c>
      <c r="J197" s="3">
        <v>376000</v>
      </c>
      <c r="K197" s="3">
        <v>96000</v>
      </c>
      <c r="L197" s="3">
        <v>388000</v>
      </c>
      <c r="M197" s="30">
        <f t="shared" si="21"/>
        <v>2.76</v>
      </c>
      <c r="N197" s="1" t="str">
        <f t="shared" si="22"/>
        <v/>
      </c>
      <c r="O197" s="1" t="str">
        <f t="shared" si="23"/>
        <v/>
      </c>
    </row>
    <row r="198" spans="1:15" x14ac:dyDescent="0.25">
      <c r="A198" s="1">
        <f t="shared" si="25"/>
        <v>187</v>
      </c>
      <c r="B198" s="3">
        <f t="shared" ca="1" si="26"/>
        <v>94500</v>
      </c>
      <c r="C198" s="26">
        <f t="shared" ca="1" si="27"/>
        <v>0.56051567255258283</v>
      </c>
      <c r="D198" s="26" t="str">
        <f t="shared" ca="1" si="24"/>
        <v>Win</v>
      </c>
      <c r="E198" s="3">
        <f t="shared" ca="1" si="28"/>
        <v>500</v>
      </c>
      <c r="F198" s="42">
        <f t="shared" si="20"/>
        <v>1.6473433718684225E-99</v>
      </c>
      <c r="G198" s="41">
        <f>SUM(F$11:F198)</f>
        <v>2.1128247159504485E-99</v>
      </c>
      <c r="I198" s="1">
        <f t="shared" si="29"/>
        <v>188</v>
      </c>
      <c r="J198" s="3">
        <v>304000</v>
      </c>
      <c r="K198" s="3">
        <v>98000</v>
      </c>
      <c r="L198" s="3">
        <v>306000</v>
      </c>
      <c r="M198" s="30">
        <f t="shared" si="21"/>
        <v>2.04</v>
      </c>
      <c r="N198" s="1" t="str">
        <f t="shared" si="22"/>
        <v/>
      </c>
      <c r="O198" s="1" t="str">
        <f t="shared" si="23"/>
        <v/>
      </c>
    </row>
    <row r="199" spans="1:15" x14ac:dyDescent="0.25">
      <c r="A199" s="1">
        <f t="shared" si="25"/>
        <v>188</v>
      </c>
      <c r="B199" s="3">
        <f t="shared" ca="1" si="26"/>
        <v>95000</v>
      </c>
      <c r="C199" s="26">
        <f t="shared" ca="1" si="27"/>
        <v>0.95195199191275914</v>
      </c>
      <c r="D199" s="26" t="str">
        <f t="shared" ca="1" si="24"/>
        <v>Win</v>
      </c>
      <c r="E199" s="3">
        <f t="shared" ca="1" si="28"/>
        <v>500</v>
      </c>
      <c r="F199" s="42">
        <f t="shared" si="20"/>
        <v>7.4146546057073148E-99</v>
      </c>
      <c r="G199" s="41">
        <f>SUM(F$11:F199)</f>
        <v>9.5274793216577632E-99</v>
      </c>
      <c r="I199" s="1">
        <f t="shared" si="29"/>
        <v>189</v>
      </c>
      <c r="J199" s="3">
        <v>332000</v>
      </c>
      <c r="K199" s="3">
        <v>80000</v>
      </c>
      <c r="L199" s="3">
        <v>332000</v>
      </c>
      <c r="M199" s="30">
        <f t="shared" si="21"/>
        <v>2.3199999999999998</v>
      </c>
      <c r="N199" s="1" t="str">
        <f t="shared" si="22"/>
        <v/>
      </c>
      <c r="O199" s="1" t="str">
        <f t="shared" si="23"/>
        <v/>
      </c>
    </row>
    <row r="200" spans="1:15" x14ac:dyDescent="0.25">
      <c r="A200" s="1">
        <f t="shared" si="25"/>
        <v>189</v>
      </c>
      <c r="B200" s="3">
        <f t="shared" ca="1" si="26"/>
        <v>95500</v>
      </c>
      <c r="C200" s="26">
        <f t="shared" ca="1" si="27"/>
        <v>0.90613320374488326</v>
      </c>
      <c r="D200" s="26" t="str">
        <f t="shared" ca="1" si="24"/>
        <v>Win</v>
      </c>
      <c r="E200" s="3">
        <f t="shared" ca="1" si="28"/>
        <v>500</v>
      </c>
      <c r="F200" s="42">
        <f t="shared" si="20"/>
        <v>3.3155779778810066E-98</v>
      </c>
      <c r="G200" s="41">
        <f>SUM(F$11:F200)</f>
        <v>4.2683259100467831E-98</v>
      </c>
      <c r="I200" s="1">
        <f t="shared" si="29"/>
        <v>190</v>
      </c>
      <c r="J200" s="3">
        <v>256000</v>
      </c>
      <c r="K200" s="3">
        <v>92000</v>
      </c>
      <c r="L200" s="3">
        <v>256000</v>
      </c>
      <c r="M200" s="30">
        <f t="shared" si="21"/>
        <v>1.56</v>
      </c>
      <c r="N200" s="1" t="str">
        <f t="shared" si="22"/>
        <v/>
      </c>
      <c r="O200" s="1" t="str">
        <f t="shared" si="23"/>
        <v/>
      </c>
    </row>
    <row r="201" spans="1:15" x14ac:dyDescent="0.25">
      <c r="A201" s="1">
        <f t="shared" si="25"/>
        <v>190</v>
      </c>
      <c r="B201" s="3">
        <f t="shared" ca="1" si="26"/>
        <v>95000</v>
      </c>
      <c r="C201" s="26">
        <f t="shared" ca="1" si="27"/>
        <v>0.18334095325030975</v>
      </c>
      <c r="D201" s="26" t="str">
        <f t="shared" ca="1" si="24"/>
        <v>Lose</v>
      </c>
      <c r="E201" s="3">
        <f t="shared" ca="1" si="28"/>
        <v>-500</v>
      </c>
      <c r="F201" s="42">
        <f t="shared" si="20"/>
        <v>1.4729927040078823E-97</v>
      </c>
      <c r="G201" s="41">
        <f>SUM(F$11:F201)</f>
        <v>1.8998252950125607E-97</v>
      </c>
      <c r="I201" s="1">
        <f t="shared" si="29"/>
        <v>191</v>
      </c>
      <c r="J201" s="3">
        <v>392000</v>
      </c>
      <c r="K201" s="3">
        <v>86000</v>
      </c>
      <c r="L201" s="3">
        <v>400000</v>
      </c>
      <c r="M201" s="30">
        <f t="shared" si="21"/>
        <v>2.92</v>
      </c>
      <c r="N201" s="1" t="str">
        <f t="shared" si="22"/>
        <v/>
      </c>
      <c r="O201" s="1" t="str">
        <f t="shared" si="23"/>
        <v/>
      </c>
    </row>
    <row r="202" spans="1:15" x14ac:dyDescent="0.25">
      <c r="A202" s="1">
        <f t="shared" si="25"/>
        <v>191</v>
      </c>
      <c r="B202" s="3">
        <f t="shared" ca="1" si="26"/>
        <v>95500</v>
      </c>
      <c r="C202" s="26">
        <f t="shared" ca="1" si="27"/>
        <v>0.74832672264233213</v>
      </c>
      <c r="D202" s="26" t="str">
        <f t="shared" ca="1" si="24"/>
        <v>Win</v>
      </c>
      <c r="E202" s="3">
        <f t="shared" ca="1" si="28"/>
        <v>500</v>
      </c>
      <c r="F202" s="42">
        <f t="shared" si="20"/>
        <v>6.5016912707094349E-97</v>
      </c>
      <c r="G202" s="41">
        <f>SUM(F$11:F202)</f>
        <v>8.4015165657219956E-97</v>
      </c>
      <c r="I202" s="1">
        <f t="shared" si="29"/>
        <v>192</v>
      </c>
      <c r="J202" s="3">
        <v>308000</v>
      </c>
      <c r="K202" s="3">
        <v>98000</v>
      </c>
      <c r="L202" s="3">
        <v>318000</v>
      </c>
      <c r="M202" s="30">
        <f t="shared" si="21"/>
        <v>2.08</v>
      </c>
      <c r="N202" s="1" t="str">
        <f t="shared" si="22"/>
        <v/>
      </c>
      <c r="O202" s="1" t="str">
        <f t="shared" si="23"/>
        <v/>
      </c>
    </row>
    <row r="203" spans="1:15" x14ac:dyDescent="0.25">
      <c r="A203" s="1">
        <f t="shared" si="25"/>
        <v>192</v>
      </c>
      <c r="B203" s="3">
        <f t="shared" ca="1" si="26"/>
        <v>96000</v>
      </c>
      <c r="C203" s="26">
        <f t="shared" ca="1" si="27"/>
        <v>0.52908386377260153</v>
      </c>
      <c r="D203" s="26" t="str">
        <f t="shared" ca="1" si="24"/>
        <v>Win</v>
      </c>
      <c r="E203" s="3">
        <f t="shared" ca="1" si="28"/>
        <v>500</v>
      </c>
      <c r="F203" s="42">
        <f t="shared" si="20"/>
        <v>2.8513316341221355E-96</v>
      </c>
      <c r="G203" s="41">
        <f>SUM(F$11:F203)</f>
        <v>3.6914832906943351E-96</v>
      </c>
      <c r="I203" s="1">
        <f t="shared" si="29"/>
        <v>193</v>
      </c>
      <c r="J203" s="3">
        <v>224000</v>
      </c>
      <c r="K203" s="3">
        <v>90000</v>
      </c>
      <c r="L203" s="3">
        <v>228000</v>
      </c>
      <c r="M203" s="30">
        <f t="shared" si="21"/>
        <v>1.2400000000000002</v>
      </c>
      <c r="N203" s="1" t="str">
        <f t="shared" si="22"/>
        <v/>
      </c>
      <c r="O203" s="1" t="str">
        <f t="shared" si="23"/>
        <v/>
      </c>
    </row>
    <row r="204" spans="1:15" x14ac:dyDescent="0.25">
      <c r="A204" s="1">
        <f t="shared" si="25"/>
        <v>193</v>
      </c>
      <c r="B204" s="3">
        <f t="shared" ca="1" si="26"/>
        <v>96500</v>
      </c>
      <c r="C204" s="26">
        <f t="shared" ca="1" si="27"/>
        <v>0.77230158405185834</v>
      </c>
      <c r="D204" s="26" t="str">
        <f t="shared" ca="1" si="24"/>
        <v>Win</v>
      </c>
      <c r="E204" s="3">
        <f t="shared" ca="1" si="28"/>
        <v>500</v>
      </c>
      <c r="F204" s="42">
        <f t="shared" ref="F204:F267" si="30">_xlfn.BINOM.DIST(A204,$A$1011,$B$1,FALSE)</f>
        <v>1.2424413025156201E-95</v>
      </c>
      <c r="G204" s="41">
        <f>SUM(F$11:F204)</f>
        <v>1.6115896315850536E-95</v>
      </c>
      <c r="I204" s="1">
        <f t="shared" si="29"/>
        <v>194</v>
      </c>
      <c r="J204" s="3">
        <v>224000</v>
      </c>
      <c r="K204" s="3">
        <v>54000</v>
      </c>
      <c r="L204" s="3">
        <v>230000</v>
      </c>
      <c r="M204" s="30">
        <f t="shared" ref="M204:M267" si="31">J204/$B$3-1</f>
        <v>1.2400000000000002</v>
      </c>
      <c r="N204" s="1" t="str">
        <f t="shared" ref="N204:N267" si="32">IF(K204&lt;=0,1,"")</f>
        <v/>
      </c>
      <c r="O204" s="1" t="str">
        <f t="shared" ref="O204:O267" si="33">IF(J204&lt;=0,1,"")</f>
        <v/>
      </c>
    </row>
    <row r="205" spans="1:15" x14ac:dyDescent="0.25">
      <c r="A205" s="1">
        <f t="shared" si="25"/>
        <v>194</v>
      </c>
      <c r="B205" s="3">
        <f t="shared" ca="1" si="26"/>
        <v>96000</v>
      </c>
      <c r="C205" s="26">
        <f t="shared" ca="1" si="27"/>
        <v>4.6999413589611683E-2</v>
      </c>
      <c r="D205" s="26" t="str">
        <f t="shared" ref="D205:D268" ca="1" si="34">IF(C205&gt;$B$2,"Win","Lose")</f>
        <v>Lose</v>
      </c>
      <c r="E205" s="3">
        <f t="shared" ca="1" si="28"/>
        <v>-500</v>
      </c>
      <c r="F205" s="42">
        <f t="shared" si="30"/>
        <v>5.3792506509188654E-95</v>
      </c>
      <c r="G205" s="41">
        <f>SUM(F$11:F205)</f>
        <v>6.9908402825039183E-95</v>
      </c>
      <c r="I205" s="1">
        <f t="shared" si="29"/>
        <v>195</v>
      </c>
      <c r="J205" s="3">
        <v>376000</v>
      </c>
      <c r="K205" s="3">
        <v>100000</v>
      </c>
      <c r="L205" s="3">
        <v>378000</v>
      </c>
      <c r="M205" s="30">
        <f t="shared" si="31"/>
        <v>2.76</v>
      </c>
      <c r="N205" s="1" t="str">
        <f t="shared" si="32"/>
        <v/>
      </c>
      <c r="O205" s="1" t="str">
        <f t="shared" si="33"/>
        <v/>
      </c>
    </row>
    <row r="206" spans="1:15" x14ac:dyDescent="0.25">
      <c r="A206" s="1">
        <f t="shared" ref="A206:A269" si="35">A205+1</f>
        <v>195</v>
      </c>
      <c r="B206" s="3">
        <f t="shared" ref="B206:B269" ca="1" si="36">B205+E206</f>
        <v>95500</v>
      </c>
      <c r="C206" s="26">
        <f t="shared" ref="C206:C269" ca="1" si="37">RAND()</f>
        <v>0.36294302444502635</v>
      </c>
      <c r="D206" s="26" t="str">
        <f t="shared" ca="1" si="34"/>
        <v>Lose</v>
      </c>
      <c r="E206" s="3">
        <f t="shared" ref="E206:E269" ca="1" si="38">IF(D206="Win",$B$4,-$B$4)</f>
        <v>-500</v>
      </c>
      <c r="F206" s="42">
        <f t="shared" si="30"/>
        <v>2.3141755861504262E-94</v>
      </c>
      <c r="G206" s="41">
        <f>SUM(F$11:F206)</f>
        <v>3.0132596144008183E-94</v>
      </c>
      <c r="I206" s="1">
        <f t="shared" ref="I206:I260" si="39">I205+1</f>
        <v>196</v>
      </c>
      <c r="J206" s="3">
        <v>236000</v>
      </c>
      <c r="K206" s="3">
        <v>100000</v>
      </c>
      <c r="L206" s="3">
        <v>250000</v>
      </c>
      <c r="M206" s="30">
        <f t="shared" si="31"/>
        <v>1.3599999999999999</v>
      </c>
      <c r="N206" s="1" t="str">
        <f t="shared" si="32"/>
        <v/>
      </c>
      <c r="O206" s="1" t="str">
        <f t="shared" si="33"/>
        <v/>
      </c>
    </row>
    <row r="207" spans="1:15" x14ac:dyDescent="0.25">
      <c r="A207" s="1">
        <f t="shared" si="35"/>
        <v>196</v>
      </c>
      <c r="B207" s="3">
        <f t="shared" ca="1" si="36"/>
        <v>96000</v>
      </c>
      <c r="C207" s="26">
        <f t="shared" ca="1" si="37"/>
        <v>0.6238776110912958</v>
      </c>
      <c r="D207" s="26" t="str">
        <f t="shared" ca="1" si="34"/>
        <v>Win</v>
      </c>
      <c r="E207" s="3">
        <f t="shared" ca="1" si="38"/>
        <v>500</v>
      </c>
      <c r="F207" s="42">
        <f t="shared" si="30"/>
        <v>9.8925946157225888E-94</v>
      </c>
      <c r="G207" s="41">
        <f>SUM(F$11:F207)</f>
        <v>1.2905854230123408E-93</v>
      </c>
      <c r="I207" s="1">
        <f t="shared" si="39"/>
        <v>197</v>
      </c>
      <c r="J207" s="3">
        <v>292000</v>
      </c>
      <c r="K207" s="3">
        <v>96000</v>
      </c>
      <c r="L207" s="3">
        <v>300000</v>
      </c>
      <c r="M207" s="30">
        <f t="shared" si="31"/>
        <v>1.92</v>
      </c>
      <c r="N207" s="1" t="str">
        <f t="shared" si="32"/>
        <v/>
      </c>
      <c r="O207" s="1" t="str">
        <f t="shared" si="33"/>
        <v/>
      </c>
    </row>
    <row r="208" spans="1:15" x14ac:dyDescent="0.25">
      <c r="A208" s="1">
        <f t="shared" si="35"/>
        <v>197</v>
      </c>
      <c r="B208" s="3">
        <f t="shared" ca="1" si="36"/>
        <v>96500</v>
      </c>
      <c r="C208" s="26">
        <f t="shared" ca="1" si="37"/>
        <v>0.86207677732719146</v>
      </c>
      <c r="D208" s="26" t="str">
        <f t="shared" ca="1" si="34"/>
        <v>Win</v>
      </c>
      <c r="E208" s="3">
        <f t="shared" ca="1" si="38"/>
        <v>500</v>
      </c>
      <c r="F208" s="42">
        <f t="shared" si="30"/>
        <v>4.2021749676068626E-93</v>
      </c>
      <c r="G208" s="41">
        <f>SUM(F$11:F208)</f>
        <v>5.492760390619203E-93</v>
      </c>
      <c r="I208" s="1">
        <f t="shared" si="39"/>
        <v>198</v>
      </c>
      <c r="J208" s="3">
        <v>344000</v>
      </c>
      <c r="K208" s="3">
        <v>84000</v>
      </c>
      <c r="L208" s="3">
        <v>344000</v>
      </c>
      <c r="M208" s="30">
        <f t="shared" si="31"/>
        <v>2.44</v>
      </c>
      <c r="N208" s="1" t="str">
        <f t="shared" si="32"/>
        <v/>
      </c>
      <c r="O208" s="1" t="str">
        <f t="shared" si="33"/>
        <v/>
      </c>
    </row>
    <row r="209" spans="1:15" x14ac:dyDescent="0.25">
      <c r="A209" s="1">
        <f t="shared" si="35"/>
        <v>198</v>
      </c>
      <c r="B209" s="3">
        <f t="shared" ca="1" si="36"/>
        <v>97000</v>
      </c>
      <c r="C209" s="26">
        <f t="shared" ca="1" si="37"/>
        <v>0.70915488229235424</v>
      </c>
      <c r="D209" s="26" t="str">
        <f t="shared" ca="1" si="34"/>
        <v>Win</v>
      </c>
      <c r="E209" s="3">
        <f t="shared" ca="1" si="38"/>
        <v>500</v>
      </c>
      <c r="F209" s="42">
        <f t="shared" si="30"/>
        <v>1.7737752159183792E-92</v>
      </c>
      <c r="G209" s="41">
        <f>SUM(F$11:F209)</f>
        <v>2.3230512549802995E-92</v>
      </c>
      <c r="I209" s="1">
        <f t="shared" si="39"/>
        <v>199</v>
      </c>
      <c r="J209" s="3">
        <v>268000</v>
      </c>
      <c r="K209" s="3">
        <v>68000</v>
      </c>
      <c r="L209" s="3">
        <v>268000</v>
      </c>
      <c r="M209" s="30">
        <f t="shared" si="31"/>
        <v>1.6800000000000002</v>
      </c>
      <c r="N209" s="1" t="str">
        <f t="shared" si="32"/>
        <v/>
      </c>
      <c r="O209" s="1" t="str">
        <f t="shared" si="33"/>
        <v/>
      </c>
    </row>
    <row r="210" spans="1:15" x14ac:dyDescent="0.25">
      <c r="A210" s="1">
        <f t="shared" si="35"/>
        <v>199</v>
      </c>
      <c r="B210" s="3">
        <f t="shared" ca="1" si="36"/>
        <v>97500</v>
      </c>
      <c r="C210" s="26">
        <f t="shared" ca="1" si="37"/>
        <v>0.97646636954352573</v>
      </c>
      <c r="D210" s="26" t="str">
        <f t="shared" ca="1" si="34"/>
        <v>Win</v>
      </c>
      <c r="E210" s="3">
        <f t="shared" ca="1" si="38"/>
        <v>500</v>
      </c>
      <c r="F210" s="42">
        <f t="shared" si="30"/>
        <v>7.4403603611421621E-92</v>
      </c>
      <c r="G210" s="41">
        <f>SUM(F$11:F210)</f>
        <v>9.7634116161224616E-92</v>
      </c>
      <c r="I210" s="1">
        <f t="shared" si="39"/>
        <v>200</v>
      </c>
      <c r="J210" s="3">
        <v>328000</v>
      </c>
      <c r="K210" s="3">
        <v>92000</v>
      </c>
      <c r="L210" s="3">
        <v>342000</v>
      </c>
      <c r="M210" s="30">
        <f t="shared" si="31"/>
        <v>2.2799999999999998</v>
      </c>
      <c r="N210" s="1" t="str">
        <f t="shared" si="32"/>
        <v/>
      </c>
      <c r="O210" s="1" t="str">
        <f t="shared" si="33"/>
        <v/>
      </c>
    </row>
    <row r="211" spans="1:15" x14ac:dyDescent="0.25">
      <c r="A211" s="1">
        <f t="shared" si="35"/>
        <v>200</v>
      </c>
      <c r="B211" s="3">
        <f t="shared" ca="1" si="36"/>
        <v>98000</v>
      </c>
      <c r="C211" s="26">
        <f t="shared" ca="1" si="37"/>
        <v>0.8751898103382556</v>
      </c>
      <c r="D211" s="26" t="str">
        <f t="shared" ca="1" si="34"/>
        <v>Win</v>
      </c>
      <c r="E211" s="3">
        <f t="shared" ca="1" si="38"/>
        <v>500</v>
      </c>
      <c r="F211" s="42">
        <f t="shared" si="30"/>
        <v>3.1014914399287267E-91</v>
      </c>
      <c r="G211" s="41">
        <f>SUM(F$11:F211)</f>
        <v>4.0778326015409727E-91</v>
      </c>
      <c r="I211" s="1">
        <f t="shared" si="39"/>
        <v>201</v>
      </c>
      <c r="J211" s="3">
        <v>368000</v>
      </c>
      <c r="K211" s="3">
        <v>94000</v>
      </c>
      <c r="L211" s="3">
        <v>368000</v>
      </c>
      <c r="M211" s="30">
        <f t="shared" si="31"/>
        <v>2.68</v>
      </c>
      <c r="N211" s="1" t="str">
        <f t="shared" si="32"/>
        <v/>
      </c>
      <c r="O211" s="1" t="str">
        <f t="shared" si="33"/>
        <v/>
      </c>
    </row>
    <row r="212" spans="1:15" x14ac:dyDescent="0.25">
      <c r="A212" s="1">
        <f t="shared" si="35"/>
        <v>201</v>
      </c>
      <c r="B212" s="3">
        <f t="shared" ca="1" si="36"/>
        <v>98500</v>
      </c>
      <c r="C212" s="26">
        <f t="shared" ca="1" si="37"/>
        <v>0.58386465493535677</v>
      </c>
      <c r="D212" s="26" t="str">
        <f t="shared" ca="1" si="34"/>
        <v>Win</v>
      </c>
      <c r="E212" s="3">
        <f t="shared" ca="1" si="38"/>
        <v>500</v>
      </c>
      <c r="F212" s="42">
        <f t="shared" si="30"/>
        <v>1.2848091252826458E-90</v>
      </c>
      <c r="G212" s="41">
        <f>SUM(F$11:F212)</f>
        <v>1.6925923854367431E-90</v>
      </c>
      <c r="I212" s="1">
        <f t="shared" si="39"/>
        <v>202</v>
      </c>
      <c r="J212" s="3">
        <v>204000</v>
      </c>
      <c r="K212" s="3">
        <v>86000</v>
      </c>
      <c r="L212" s="3">
        <v>222000</v>
      </c>
      <c r="M212" s="30">
        <f t="shared" si="31"/>
        <v>1.04</v>
      </c>
      <c r="N212" s="1" t="str">
        <f t="shared" si="32"/>
        <v/>
      </c>
      <c r="O212" s="1" t="str">
        <f t="shared" si="33"/>
        <v/>
      </c>
    </row>
    <row r="213" spans="1:15" x14ac:dyDescent="0.25">
      <c r="A213" s="1">
        <f t="shared" si="35"/>
        <v>202</v>
      </c>
      <c r="B213" s="3">
        <f t="shared" ca="1" si="36"/>
        <v>99000</v>
      </c>
      <c r="C213" s="26">
        <f t="shared" ca="1" si="37"/>
        <v>0.89295281833280726</v>
      </c>
      <c r="D213" s="26" t="str">
        <f t="shared" ca="1" si="34"/>
        <v>Win</v>
      </c>
      <c r="E213" s="3">
        <f t="shared" ca="1" si="38"/>
        <v>500</v>
      </c>
      <c r="F213" s="42">
        <f t="shared" si="30"/>
        <v>5.2894207967412769E-90</v>
      </c>
      <c r="G213" s="41">
        <f>SUM(F$11:F213)</f>
        <v>6.98201318217802E-90</v>
      </c>
      <c r="I213" s="1">
        <f t="shared" si="39"/>
        <v>203</v>
      </c>
      <c r="J213" s="3">
        <v>416000</v>
      </c>
      <c r="K213" s="3">
        <v>100000</v>
      </c>
      <c r="L213" s="3">
        <v>418000</v>
      </c>
      <c r="M213" s="30">
        <f t="shared" si="31"/>
        <v>3.16</v>
      </c>
      <c r="N213" s="1" t="str">
        <f t="shared" si="32"/>
        <v/>
      </c>
      <c r="O213" s="1" t="str">
        <f t="shared" si="33"/>
        <v/>
      </c>
    </row>
    <row r="214" spans="1:15" x14ac:dyDescent="0.25">
      <c r="A214" s="1">
        <f t="shared" si="35"/>
        <v>203</v>
      </c>
      <c r="B214" s="3">
        <f t="shared" ca="1" si="36"/>
        <v>98500</v>
      </c>
      <c r="C214" s="26">
        <f t="shared" ca="1" si="37"/>
        <v>0.43113802113909294</v>
      </c>
      <c r="D214" s="26" t="str">
        <f t="shared" ca="1" si="34"/>
        <v>Lose</v>
      </c>
      <c r="E214" s="3">
        <f t="shared" ca="1" si="38"/>
        <v>-500</v>
      </c>
      <c r="F214" s="42">
        <f t="shared" si="30"/>
        <v>2.1641585159925529E-89</v>
      </c>
      <c r="G214" s="41">
        <f>SUM(F$11:F214)</f>
        <v>2.8623598342103548E-89</v>
      </c>
      <c r="I214" s="1">
        <f t="shared" si="39"/>
        <v>204</v>
      </c>
      <c r="J214" s="3">
        <v>336000</v>
      </c>
      <c r="K214" s="3">
        <v>98000</v>
      </c>
      <c r="L214" s="3">
        <v>338000</v>
      </c>
      <c r="M214" s="30">
        <f t="shared" si="31"/>
        <v>2.36</v>
      </c>
      <c r="N214" s="1" t="str">
        <f t="shared" si="32"/>
        <v/>
      </c>
      <c r="O214" s="1" t="str">
        <f t="shared" si="33"/>
        <v/>
      </c>
    </row>
    <row r="215" spans="1:15" x14ac:dyDescent="0.25">
      <c r="A215" s="1">
        <f t="shared" si="35"/>
        <v>204</v>
      </c>
      <c r="B215" s="3">
        <f t="shared" ca="1" si="36"/>
        <v>99000</v>
      </c>
      <c r="C215" s="26">
        <f t="shared" ca="1" si="37"/>
        <v>0.97190157892018803</v>
      </c>
      <c r="D215" s="26" t="str">
        <f t="shared" ca="1" si="34"/>
        <v>Win</v>
      </c>
      <c r="E215" s="3">
        <f t="shared" ca="1" si="38"/>
        <v>500</v>
      </c>
      <c r="F215" s="42">
        <f t="shared" si="30"/>
        <v>8.8001751900307667E-89</v>
      </c>
      <c r="G215" s="41">
        <f>SUM(F$11:F215)</f>
        <v>1.1662535024241122E-88</v>
      </c>
      <c r="I215" s="1">
        <f t="shared" si="39"/>
        <v>205</v>
      </c>
      <c r="J215" s="3">
        <v>332000</v>
      </c>
      <c r="K215" s="3">
        <v>96000</v>
      </c>
      <c r="L215" s="3">
        <v>360000</v>
      </c>
      <c r="M215" s="30">
        <f t="shared" si="31"/>
        <v>2.3199999999999998</v>
      </c>
      <c r="N215" s="1" t="str">
        <f t="shared" si="32"/>
        <v/>
      </c>
      <c r="O215" s="1" t="str">
        <f t="shared" si="33"/>
        <v/>
      </c>
    </row>
    <row r="216" spans="1:15" x14ac:dyDescent="0.25">
      <c r="A216" s="1">
        <f t="shared" si="35"/>
        <v>205</v>
      </c>
      <c r="B216" s="3">
        <f t="shared" ca="1" si="36"/>
        <v>98500</v>
      </c>
      <c r="C216" s="26">
        <f t="shared" ca="1" si="37"/>
        <v>0.17996266424039664</v>
      </c>
      <c r="D216" s="26" t="str">
        <f t="shared" ca="1" si="34"/>
        <v>Lose</v>
      </c>
      <c r="E216" s="3">
        <f t="shared" ca="1" si="38"/>
        <v>-500</v>
      </c>
      <c r="F216" s="42">
        <f t="shared" si="30"/>
        <v>3.5565148035291611E-88</v>
      </c>
      <c r="G216" s="41">
        <f>SUM(F$11:F216)</f>
        <v>4.7227683059532736E-88</v>
      </c>
      <c r="I216" s="1">
        <f t="shared" si="39"/>
        <v>206</v>
      </c>
      <c r="J216" s="3">
        <v>276000</v>
      </c>
      <c r="K216" s="3">
        <v>100000</v>
      </c>
      <c r="L216" s="3">
        <v>278000</v>
      </c>
      <c r="M216" s="30">
        <f t="shared" si="31"/>
        <v>1.7599999999999998</v>
      </c>
      <c r="N216" s="1" t="str">
        <f t="shared" si="32"/>
        <v/>
      </c>
      <c r="O216" s="1" t="str">
        <f t="shared" si="33"/>
        <v/>
      </c>
    </row>
    <row r="217" spans="1:15" x14ac:dyDescent="0.25">
      <c r="A217" s="1">
        <f t="shared" si="35"/>
        <v>206</v>
      </c>
      <c r="B217" s="3">
        <f t="shared" ca="1" si="36"/>
        <v>99000</v>
      </c>
      <c r="C217" s="26">
        <f t="shared" ca="1" si="37"/>
        <v>0.94514447958592618</v>
      </c>
      <c r="D217" s="26" t="str">
        <f t="shared" ca="1" si="34"/>
        <v>Win</v>
      </c>
      <c r="E217" s="3">
        <f t="shared" ca="1" si="38"/>
        <v>500</v>
      </c>
      <c r="F217" s="42">
        <f t="shared" si="30"/>
        <v>1.4285604587784432E-87</v>
      </c>
      <c r="G217" s="41">
        <f>SUM(F$11:F217)</f>
        <v>1.9008372893737706E-87</v>
      </c>
      <c r="I217" s="1">
        <f t="shared" si="39"/>
        <v>207</v>
      </c>
      <c r="J217" s="3">
        <v>384000</v>
      </c>
      <c r="K217" s="3">
        <v>98000</v>
      </c>
      <c r="L217" s="3">
        <v>396000</v>
      </c>
      <c r="M217" s="30">
        <f t="shared" si="31"/>
        <v>2.84</v>
      </c>
      <c r="N217" s="1" t="str">
        <f t="shared" si="32"/>
        <v/>
      </c>
      <c r="O217" s="1" t="str">
        <f t="shared" si="33"/>
        <v/>
      </c>
    </row>
    <row r="218" spans="1:15" x14ac:dyDescent="0.25">
      <c r="A218" s="1">
        <f t="shared" si="35"/>
        <v>207</v>
      </c>
      <c r="B218" s="3">
        <f t="shared" ca="1" si="36"/>
        <v>99500</v>
      </c>
      <c r="C218" s="26">
        <f t="shared" ca="1" si="37"/>
        <v>0.72299225656228383</v>
      </c>
      <c r="D218" s="26" t="str">
        <f t="shared" ca="1" si="34"/>
        <v>Win</v>
      </c>
      <c r="E218" s="3">
        <f t="shared" ca="1" si="38"/>
        <v>500</v>
      </c>
      <c r="F218" s="42">
        <f t="shared" si="30"/>
        <v>5.7032561587070019E-87</v>
      </c>
      <c r="G218" s="41">
        <f>SUM(F$11:F218)</f>
        <v>7.6040934480807725E-87</v>
      </c>
      <c r="I218" s="1">
        <f t="shared" si="39"/>
        <v>208</v>
      </c>
      <c r="J218" s="3">
        <v>168000</v>
      </c>
      <c r="K218" s="3">
        <v>38000</v>
      </c>
      <c r="L218" s="3">
        <v>182000</v>
      </c>
      <c r="M218" s="30">
        <f t="shared" si="31"/>
        <v>0.67999999999999994</v>
      </c>
      <c r="N218" s="1" t="str">
        <f t="shared" si="32"/>
        <v/>
      </c>
      <c r="O218" s="1" t="str">
        <f t="shared" si="33"/>
        <v/>
      </c>
    </row>
    <row r="219" spans="1:15" x14ac:dyDescent="0.25">
      <c r="A219" s="1">
        <f t="shared" si="35"/>
        <v>208</v>
      </c>
      <c r="B219" s="3">
        <f t="shared" ca="1" si="36"/>
        <v>100000</v>
      </c>
      <c r="C219" s="26">
        <f t="shared" ca="1" si="37"/>
        <v>0.89284487186717532</v>
      </c>
      <c r="D219" s="26" t="str">
        <f t="shared" ca="1" si="34"/>
        <v>Win</v>
      </c>
      <c r="E219" s="3">
        <f t="shared" ca="1" si="38"/>
        <v>500</v>
      </c>
      <c r="F219" s="42">
        <f t="shared" si="30"/>
        <v>2.2631160599156507E-86</v>
      </c>
      <c r="G219" s="41">
        <f>SUM(F$11:F219)</f>
        <v>3.023525404723728E-86</v>
      </c>
      <c r="I219" s="1">
        <f t="shared" si="39"/>
        <v>209</v>
      </c>
      <c r="J219" s="3">
        <v>428000</v>
      </c>
      <c r="K219" s="3">
        <v>98000</v>
      </c>
      <c r="L219" s="3">
        <v>432000</v>
      </c>
      <c r="M219" s="30">
        <f t="shared" si="31"/>
        <v>3.2800000000000002</v>
      </c>
      <c r="N219" s="1" t="str">
        <f t="shared" si="32"/>
        <v/>
      </c>
      <c r="O219" s="1" t="str">
        <f t="shared" si="33"/>
        <v/>
      </c>
    </row>
    <row r="220" spans="1:15" x14ac:dyDescent="0.25">
      <c r="A220" s="1">
        <f t="shared" si="35"/>
        <v>209</v>
      </c>
      <c r="B220" s="3">
        <f t="shared" ca="1" si="36"/>
        <v>100500</v>
      </c>
      <c r="C220" s="26">
        <f t="shared" ca="1" si="37"/>
        <v>0.72291064343426892</v>
      </c>
      <c r="D220" s="26" t="str">
        <f t="shared" ca="1" si="34"/>
        <v>Win</v>
      </c>
      <c r="E220" s="3">
        <f t="shared" ca="1" si="38"/>
        <v>500</v>
      </c>
      <c r="F220" s="42">
        <f t="shared" si="30"/>
        <v>8.9260603351341636E-86</v>
      </c>
      <c r="G220" s="41">
        <f>SUM(F$11:F220)</f>
        <v>1.1949585739857892E-85</v>
      </c>
      <c r="I220" s="1">
        <f t="shared" si="39"/>
        <v>210</v>
      </c>
      <c r="J220" s="3">
        <v>260000</v>
      </c>
      <c r="K220" s="3">
        <v>94000</v>
      </c>
      <c r="L220" s="3">
        <v>266000</v>
      </c>
      <c r="M220" s="30">
        <f t="shared" si="31"/>
        <v>1.6</v>
      </c>
      <c r="N220" s="1" t="str">
        <f t="shared" si="32"/>
        <v/>
      </c>
      <c r="O220" s="1" t="str">
        <f t="shared" si="33"/>
        <v/>
      </c>
    </row>
    <row r="221" spans="1:15" x14ac:dyDescent="0.25">
      <c r="A221" s="1">
        <f t="shared" si="35"/>
        <v>210</v>
      </c>
      <c r="B221" s="3">
        <f t="shared" ca="1" si="36"/>
        <v>101000</v>
      </c>
      <c r="C221" s="26">
        <f t="shared" ca="1" si="37"/>
        <v>0.91551741777834661</v>
      </c>
      <c r="D221" s="26" t="str">
        <f t="shared" ca="1" si="34"/>
        <v>Win</v>
      </c>
      <c r="E221" s="3">
        <f t="shared" ca="1" si="38"/>
        <v>500</v>
      </c>
      <c r="F221" s="42">
        <f t="shared" si="30"/>
        <v>3.4993799803661752E-85</v>
      </c>
      <c r="G221" s="41">
        <f>SUM(F$11:F221)</f>
        <v>4.6943385543519641E-85</v>
      </c>
      <c r="I221" s="1">
        <f t="shared" si="39"/>
        <v>211</v>
      </c>
      <c r="J221" s="3">
        <v>352000</v>
      </c>
      <c r="K221" s="3">
        <v>92000</v>
      </c>
      <c r="L221" s="3">
        <v>352000</v>
      </c>
      <c r="M221" s="30">
        <f t="shared" si="31"/>
        <v>2.52</v>
      </c>
      <c r="N221" s="1" t="str">
        <f t="shared" si="32"/>
        <v/>
      </c>
      <c r="O221" s="1" t="str">
        <f t="shared" si="33"/>
        <v/>
      </c>
    </row>
    <row r="222" spans="1:15" x14ac:dyDescent="0.25">
      <c r="A222" s="1">
        <f t="shared" si="35"/>
        <v>211</v>
      </c>
      <c r="B222" s="3">
        <f t="shared" ca="1" si="36"/>
        <v>101500</v>
      </c>
      <c r="C222" s="26">
        <f t="shared" ca="1" si="37"/>
        <v>0.52566481088854933</v>
      </c>
      <c r="D222" s="26" t="str">
        <f t="shared" ca="1" si="34"/>
        <v>Win</v>
      </c>
      <c r="E222" s="3">
        <f t="shared" ca="1" si="38"/>
        <v>500</v>
      </c>
      <c r="F222" s="42">
        <f t="shared" si="30"/>
        <v>1.363671722690323E-84</v>
      </c>
      <c r="G222" s="41">
        <f>SUM(F$11:F222)</f>
        <v>1.8331055781255194E-84</v>
      </c>
      <c r="I222" s="1">
        <f t="shared" si="39"/>
        <v>212</v>
      </c>
      <c r="J222" s="3">
        <v>144000</v>
      </c>
      <c r="K222" s="3">
        <v>82000</v>
      </c>
      <c r="L222" s="3">
        <v>152000</v>
      </c>
      <c r="M222" s="30">
        <f t="shared" si="31"/>
        <v>0.43999999999999995</v>
      </c>
      <c r="N222" s="1" t="str">
        <f t="shared" si="32"/>
        <v/>
      </c>
      <c r="O222" s="1" t="str">
        <f t="shared" si="33"/>
        <v/>
      </c>
    </row>
    <row r="223" spans="1:15" x14ac:dyDescent="0.25">
      <c r="A223" s="1">
        <f t="shared" si="35"/>
        <v>212</v>
      </c>
      <c r="B223" s="3">
        <f t="shared" ca="1" si="36"/>
        <v>102000</v>
      </c>
      <c r="C223" s="26">
        <f t="shared" ca="1" si="37"/>
        <v>0.56298317628582195</v>
      </c>
      <c r="D223" s="26" t="str">
        <f t="shared" ca="1" si="34"/>
        <v>Win</v>
      </c>
      <c r="E223" s="3">
        <f t="shared" ca="1" si="38"/>
        <v>500</v>
      </c>
      <c r="F223" s="42">
        <f t="shared" si="30"/>
        <v>5.2823244560392021E-84</v>
      </c>
      <c r="G223" s="41">
        <f>SUM(F$11:F223)</f>
        <v>7.1154300341647213E-84</v>
      </c>
      <c r="I223" s="1">
        <f t="shared" si="39"/>
        <v>213</v>
      </c>
      <c r="J223" s="3">
        <v>208000</v>
      </c>
      <c r="K223" s="3">
        <v>86000</v>
      </c>
      <c r="L223" s="3">
        <v>208000</v>
      </c>
      <c r="M223" s="30">
        <f t="shared" si="31"/>
        <v>1.08</v>
      </c>
      <c r="N223" s="1" t="str">
        <f t="shared" si="32"/>
        <v/>
      </c>
      <c r="O223" s="1" t="str">
        <f t="shared" si="33"/>
        <v/>
      </c>
    </row>
    <row r="224" spans="1:15" x14ac:dyDescent="0.25">
      <c r="A224" s="1">
        <f t="shared" si="35"/>
        <v>213</v>
      </c>
      <c r="B224" s="3">
        <f t="shared" ca="1" si="36"/>
        <v>102500</v>
      </c>
      <c r="C224" s="26">
        <f t="shared" ca="1" si="37"/>
        <v>0.99131590774708533</v>
      </c>
      <c r="D224" s="26" t="str">
        <f t="shared" ca="1" si="34"/>
        <v>Win</v>
      </c>
      <c r="E224" s="3">
        <f t="shared" ca="1" si="38"/>
        <v>500</v>
      </c>
      <c r="F224" s="42">
        <f t="shared" si="30"/>
        <v>2.0339758095171172E-83</v>
      </c>
      <c r="G224" s="41">
        <f>SUM(F$11:F224)</f>
        <v>2.7455188129335894E-83</v>
      </c>
      <c r="I224" s="1">
        <f t="shared" si="39"/>
        <v>214</v>
      </c>
      <c r="J224" s="3">
        <v>304000</v>
      </c>
      <c r="K224" s="3">
        <v>100000</v>
      </c>
      <c r="L224" s="3">
        <v>310000</v>
      </c>
      <c r="M224" s="30">
        <f t="shared" si="31"/>
        <v>2.04</v>
      </c>
      <c r="N224" s="1" t="str">
        <f t="shared" si="32"/>
        <v/>
      </c>
      <c r="O224" s="1" t="str">
        <f t="shared" si="33"/>
        <v/>
      </c>
    </row>
    <row r="225" spans="1:15" x14ac:dyDescent="0.25">
      <c r="A225" s="1">
        <f t="shared" si="35"/>
        <v>214</v>
      </c>
      <c r="B225" s="3">
        <f t="shared" ca="1" si="36"/>
        <v>103000</v>
      </c>
      <c r="C225" s="26">
        <f t="shared" ca="1" si="37"/>
        <v>0.59205481092329193</v>
      </c>
      <c r="D225" s="26" t="str">
        <f t="shared" ca="1" si="34"/>
        <v>Win</v>
      </c>
      <c r="E225" s="3">
        <f t="shared" ca="1" si="38"/>
        <v>500</v>
      </c>
      <c r="F225" s="42">
        <f t="shared" si="30"/>
        <v>7.7853983469949532E-83</v>
      </c>
      <c r="G225" s="41">
        <f>SUM(F$11:F225)</f>
        <v>1.0530917159928542E-82</v>
      </c>
      <c r="I225" s="1">
        <f t="shared" si="39"/>
        <v>215</v>
      </c>
      <c r="J225" s="3">
        <v>352000</v>
      </c>
      <c r="K225" s="3">
        <v>100000</v>
      </c>
      <c r="L225" s="3">
        <v>356000</v>
      </c>
      <c r="M225" s="30">
        <f t="shared" si="31"/>
        <v>2.52</v>
      </c>
      <c r="N225" s="1" t="str">
        <f t="shared" si="32"/>
        <v/>
      </c>
      <c r="O225" s="1" t="str">
        <f t="shared" si="33"/>
        <v/>
      </c>
    </row>
    <row r="226" spans="1:15" x14ac:dyDescent="0.25">
      <c r="A226" s="1">
        <f t="shared" si="35"/>
        <v>215</v>
      </c>
      <c r="B226" s="3">
        <f t="shared" ca="1" si="36"/>
        <v>102500</v>
      </c>
      <c r="C226" s="26">
        <f t="shared" ca="1" si="37"/>
        <v>0.11630222161580051</v>
      </c>
      <c r="D226" s="26" t="str">
        <f t="shared" ca="1" si="34"/>
        <v>Lose</v>
      </c>
      <c r="E226" s="3">
        <f t="shared" ca="1" si="38"/>
        <v>-500</v>
      </c>
      <c r="F226" s="42">
        <f t="shared" si="30"/>
        <v>2.9623680886346153E-82</v>
      </c>
      <c r="G226" s="41">
        <f>SUM(F$11:F226)</f>
        <v>4.0154598046274694E-82</v>
      </c>
      <c r="I226" s="1">
        <f t="shared" si="39"/>
        <v>216</v>
      </c>
      <c r="J226" s="3">
        <v>376000</v>
      </c>
      <c r="K226" s="3">
        <v>94000</v>
      </c>
      <c r="L226" s="3">
        <v>382000</v>
      </c>
      <c r="M226" s="30">
        <f t="shared" si="31"/>
        <v>2.76</v>
      </c>
      <c r="N226" s="1" t="str">
        <f t="shared" si="32"/>
        <v/>
      </c>
      <c r="O226" s="1" t="str">
        <f t="shared" si="33"/>
        <v/>
      </c>
    </row>
    <row r="227" spans="1:15" x14ac:dyDescent="0.25">
      <c r="A227" s="1">
        <f t="shared" si="35"/>
        <v>216</v>
      </c>
      <c r="B227" s="3">
        <f t="shared" ca="1" si="36"/>
        <v>103000</v>
      </c>
      <c r="C227" s="26">
        <f t="shared" ca="1" si="37"/>
        <v>0.61135988014920373</v>
      </c>
      <c r="D227" s="26" t="str">
        <f t="shared" ca="1" si="34"/>
        <v>Win</v>
      </c>
      <c r="E227" s="3">
        <f t="shared" ca="1" si="38"/>
        <v>500</v>
      </c>
      <c r="F227" s="42">
        <f t="shared" si="30"/>
        <v>1.1205442784247143E-81</v>
      </c>
      <c r="G227" s="41">
        <f>SUM(F$11:F227)</f>
        <v>1.5220902588874612E-81</v>
      </c>
      <c r="I227" s="1">
        <f t="shared" si="39"/>
        <v>217</v>
      </c>
      <c r="J227" s="3">
        <v>288000</v>
      </c>
      <c r="K227" s="3">
        <v>100000</v>
      </c>
      <c r="L227" s="3">
        <v>302000</v>
      </c>
      <c r="M227" s="30">
        <f t="shared" si="31"/>
        <v>1.88</v>
      </c>
      <c r="N227" s="1" t="str">
        <f t="shared" si="32"/>
        <v/>
      </c>
      <c r="O227" s="1" t="str">
        <f t="shared" si="33"/>
        <v/>
      </c>
    </row>
    <row r="228" spans="1:15" x14ac:dyDescent="0.25">
      <c r="A228" s="1">
        <f t="shared" si="35"/>
        <v>217</v>
      </c>
      <c r="B228" s="3">
        <f t="shared" ca="1" si="36"/>
        <v>102500</v>
      </c>
      <c r="C228" s="26">
        <f t="shared" ca="1" si="37"/>
        <v>0.13726406406164404</v>
      </c>
      <c r="D228" s="26" t="str">
        <f t="shared" ca="1" si="34"/>
        <v>Lose</v>
      </c>
      <c r="E228" s="3">
        <f t="shared" ca="1" si="38"/>
        <v>-500</v>
      </c>
      <c r="F228" s="42">
        <f t="shared" si="30"/>
        <v>4.2136595907584366E-81</v>
      </c>
      <c r="G228" s="41">
        <f>SUM(F$11:F228)</f>
        <v>5.7357498496458983E-81</v>
      </c>
      <c r="I228" s="1">
        <f t="shared" si="39"/>
        <v>218</v>
      </c>
      <c r="J228" s="3">
        <v>296000</v>
      </c>
      <c r="K228" s="3">
        <v>100000</v>
      </c>
      <c r="L228" s="3">
        <v>296000</v>
      </c>
      <c r="M228" s="30">
        <f t="shared" si="31"/>
        <v>1.96</v>
      </c>
      <c r="N228" s="1" t="str">
        <f t="shared" si="32"/>
        <v/>
      </c>
      <c r="O228" s="1" t="str">
        <f t="shared" si="33"/>
        <v/>
      </c>
    </row>
    <row r="229" spans="1:15" x14ac:dyDescent="0.25">
      <c r="A229" s="1">
        <f t="shared" si="35"/>
        <v>218</v>
      </c>
      <c r="B229" s="3">
        <f t="shared" ca="1" si="36"/>
        <v>103000</v>
      </c>
      <c r="C229" s="26">
        <f t="shared" ca="1" si="37"/>
        <v>0.53222512420062562</v>
      </c>
      <c r="D229" s="26" t="str">
        <f t="shared" ca="1" si="34"/>
        <v>Win</v>
      </c>
      <c r="E229" s="3">
        <f t="shared" ca="1" si="38"/>
        <v>500</v>
      </c>
      <c r="F229" s="42">
        <f t="shared" si="30"/>
        <v>1.575211275395647E-80</v>
      </c>
      <c r="G229" s="41">
        <f>SUM(F$11:F229)</f>
        <v>2.1487862603602368E-80</v>
      </c>
      <c r="I229" s="1">
        <f t="shared" si="39"/>
        <v>219</v>
      </c>
      <c r="J229" s="3">
        <v>304000</v>
      </c>
      <c r="K229" s="3">
        <v>94000</v>
      </c>
      <c r="L229" s="3">
        <v>310000</v>
      </c>
      <c r="M229" s="30">
        <f t="shared" si="31"/>
        <v>2.04</v>
      </c>
      <c r="N229" s="1" t="str">
        <f t="shared" si="32"/>
        <v/>
      </c>
      <c r="O229" s="1" t="str">
        <f t="shared" si="33"/>
        <v/>
      </c>
    </row>
    <row r="230" spans="1:15" x14ac:dyDescent="0.25">
      <c r="A230" s="1">
        <f t="shared" si="35"/>
        <v>219</v>
      </c>
      <c r="B230" s="3">
        <f t="shared" ca="1" si="36"/>
        <v>103500</v>
      </c>
      <c r="C230" s="26">
        <f t="shared" ca="1" si="37"/>
        <v>0.79018135353475816</v>
      </c>
      <c r="D230" s="26" t="str">
        <f t="shared" ca="1" si="34"/>
        <v>Win</v>
      </c>
      <c r="E230" s="3">
        <f t="shared" ca="1" si="38"/>
        <v>500</v>
      </c>
      <c r="F230" s="42">
        <f t="shared" si="30"/>
        <v>5.8543077145957138E-80</v>
      </c>
      <c r="G230" s="41">
        <f>SUM(F$11:F230)</f>
        <v>8.003093974955951E-80</v>
      </c>
      <c r="I230" s="1">
        <f t="shared" si="39"/>
        <v>220</v>
      </c>
      <c r="J230" s="3">
        <v>212000</v>
      </c>
      <c r="K230" s="3">
        <v>64000</v>
      </c>
      <c r="L230" s="3">
        <v>214000</v>
      </c>
      <c r="M230" s="30">
        <f t="shared" si="31"/>
        <v>1.1200000000000001</v>
      </c>
      <c r="N230" s="1" t="str">
        <f t="shared" si="32"/>
        <v/>
      </c>
      <c r="O230" s="1" t="str">
        <f t="shared" si="33"/>
        <v/>
      </c>
    </row>
    <row r="231" spans="1:15" x14ac:dyDescent="0.25">
      <c r="A231" s="1">
        <f t="shared" si="35"/>
        <v>220</v>
      </c>
      <c r="B231" s="3">
        <f t="shared" ca="1" si="36"/>
        <v>104000</v>
      </c>
      <c r="C231" s="26">
        <f t="shared" ca="1" si="37"/>
        <v>0.91713296655708421</v>
      </c>
      <c r="D231" s="26" t="str">
        <f t="shared" ca="1" si="34"/>
        <v>Win</v>
      </c>
      <c r="E231" s="3">
        <f t="shared" ca="1" si="38"/>
        <v>500</v>
      </c>
      <c r="F231" s="42">
        <f t="shared" si="30"/>
        <v>2.1631069627094289E-79</v>
      </c>
      <c r="G231" s="41">
        <f>SUM(F$11:F231)</f>
        <v>2.963416360205024E-79</v>
      </c>
      <c r="I231" s="1">
        <f t="shared" si="39"/>
        <v>221</v>
      </c>
      <c r="J231" s="3">
        <v>212000</v>
      </c>
      <c r="K231" s="3">
        <v>72000</v>
      </c>
      <c r="L231" s="3">
        <v>228000</v>
      </c>
      <c r="M231" s="30">
        <f t="shared" si="31"/>
        <v>1.1200000000000001</v>
      </c>
      <c r="N231" s="1" t="str">
        <f t="shared" si="32"/>
        <v/>
      </c>
      <c r="O231" s="1" t="str">
        <f t="shared" si="33"/>
        <v/>
      </c>
    </row>
    <row r="232" spans="1:15" x14ac:dyDescent="0.25">
      <c r="A232" s="1">
        <f t="shared" si="35"/>
        <v>221</v>
      </c>
      <c r="B232" s="3">
        <f t="shared" ca="1" si="36"/>
        <v>104500</v>
      </c>
      <c r="C232" s="26">
        <f t="shared" ca="1" si="37"/>
        <v>0.68465599211203343</v>
      </c>
      <c r="D232" s="26" t="str">
        <f t="shared" ca="1" si="34"/>
        <v>Win</v>
      </c>
      <c r="E232" s="3">
        <f t="shared" ca="1" si="38"/>
        <v>500</v>
      </c>
      <c r="F232" s="42">
        <f t="shared" si="30"/>
        <v>7.9461072099527657E-79</v>
      </c>
      <c r="G232" s="41">
        <f>SUM(F$11:F232)</f>
        <v>1.0909523570157788E-78</v>
      </c>
      <c r="I232" s="1">
        <f t="shared" si="39"/>
        <v>222</v>
      </c>
      <c r="J232" s="3">
        <v>256000</v>
      </c>
      <c r="K232" s="3">
        <v>96000</v>
      </c>
      <c r="L232" s="3">
        <v>266000</v>
      </c>
      <c r="M232" s="30">
        <f t="shared" si="31"/>
        <v>1.56</v>
      </c>
      <c r="N232" s="1" t="str">
        <f t="shared" si="32"/>
        <v/>
      </c>
      <c r="O232" s="1" t="str">
        <f t="shared" si="33"/>
        <v/>
      </c>
    </row>
    <row r="233" spans="1:15" x14ac:dyDescent="0.25">
      <c r="A233" s="1">
        <f t="shared" si="35"/>
        <v>222</v>
      </c>
      <c r="B233" s="3">
        <f t="shared" ca="1" si="36"/>
        <v>105000</v>
      </c>
      <c r="C233" s="26">
        <f t="shared" ca="1" si="37"/>
        <v>0.66364859205432214</v>
      </c>
      <c r="D233" s="26" t="str">
        <f t="shared" ca="1" si="34"/>
        <v>Win</v>
      </c>
      <c r="E233" s="3">
        <f t="shared" ca="1" si="38"/>
        <v>500</v>
      </c>
      <c r="F233" s="42">
        <f t="shared" si="30"/>
        <v>2.9021041859186199E-78</v>
      </c>
      <c r="G233" s="41">
        <f>SUM(F$11:F233)</f>
        <v>3.9930565429343987E-78</v>
      </c>
      <c r="I233" s="1">
        <f t="shared" si="39"/>
        <v>223</v>
      </c>
      <c r="J233" s="3">
        <v>432000</v>
      </c>
      <c r="K233" s="3">
        <v>94000</v>
      </c>
      <c r="L233" s="3">
        <v>446000</v>
      </c>
      <c r="M233" s="30">
        <f t="shared" si="31"/>
        <v>3.3200000000000003</v>
      </c>
      <c r="N233" s="1" t="str">
        <f t="shared" si="32"/>
        <v/>
      </c>
      <c r="O233" s="1" t="str">
        <f t="shared" si="33"/>
        <v/>
      </c>
    </row>
    <row r="234" spans="1:15" x14ac:dyDescent="0.25">
      <c r="A234" s="1">
        <f t="shared" si="35"/>
        <v>223</v>
      </c>
      <c r="B234" s="3">
        <f t="shared" ca="1" si="36"/>
        <v>105500</v>
      </c>
      <c r="C234" s="26">
        <f t="shared" ca="1" si="37"/>
        <v>0.49174257702383095</v>
      </c>
      <c r="D234" s="26" t="str">
        <f t="shared" ca="1" si="34"/>
        <v>Win</v>
      </c>
      <c r="E234" s="3">
        <f t="shared" ca="1" si="38"/>
        <v>500</v>
      </c>
      <c r="F234" s="42">
        <f t="shared" si="30"/>
        <v>1.0538088211666098E-77</v>
      </c>
      <c r="G234" s="41">
        <f>SUM(F$11:F234)</f>
        <v>1.4531144754600496E-77</v>
      </c>
      <c r="I234" s="1">
        <f t="shared" si="39"/>
        <v>224</v>
      </c>
      <c r="J234" s="3">
        <v>396000</v>
      </c>
      <c r="K234" s="3">
        <v>84000</v>
      </c>
      <c r="L234" s="3">
        <v>400000</v>
      </c>
      <c r="M234" s="30">
        <f t="shared" si="31"/>
        <v>2.96</v>
      </c>
      <c r="N234" s="1" t="str">
        <f t="shared" si="32"/>
        <v/>
      </c>
      <c r="O234" s="1" t="str">
        <f t="shared" si="33"/>
        <v/>
      </c>
    </row>
    <row r="235" spans="1:15" x14ac:dyDescent="0.25">
      <c r="A235" s="1">
        <f t="shared" si="35"/>
        <v>224</v>
      </c>
      <c r="B235" s="3">
        <f t="shared" ca="1" si="36"/>
        <v>105000</v>
      </c>
      <c r="C235" s="26">
        <f t="shared" ca="1" si="37"/>
        <v>0.11562542883824178</v>
      </c>
      <c r="D235" s="26" t="str">
        <f t="shared" ca="1" si="34"/>
        <v>Lose</v>
      </c>
      <c r="E235" s="3">
        <f t="shared" ca="1" si="38"/>
        <v>-500</v>
      </c>
      <c r="F235" s="42">
        <f t="shared" si="30"/>
        <v>3.8045993218268348E-77</v>
      </c>
      <c r="G235" s="41">
        <f>SUM(F$11:F235)</f>
        <v>5.2577137972868847E-77</v>
      </c>
      <c r="I235" s="1">
        <f t="shared" si="39"/>
        <v>225</v>
      </c>
      <c r="J235" s="3">
        <v>388000</v>
      </c>
      <c r="K235" s="3">
        <v>98000</v>
      </c>
      <c r="L235" s="3">
        <v>404000</v>
      </c>
      <c r="M235" s="30">
        <f t="shared" si="31"/>
        <v>2.88</v>
      </c>
      <c r="N235" s="1" t="str">
        <f t="shared" si="32"/>
        <v/>
      </c>
      <c r="O235" s="1" t="str">
        <f t="shared" si="33"/>
        <v/>
      </c>
    </row>
    <row r="236" spans="1:15" x14ac:dyDescent="0.25">
      <c r="A236" s="1">
        <f t="shared" si="35"/>
        <v>225</v>
      </c>
      <c r="B236" s="3">
        <f t="shared" ca="1" si="36"/>
        <v>104500</v>
      </c>
      <c r="C236" s="26">
        <f t="shared" ca="1" si="37"/>
        <v>0.48963918678229823</v>
      </c>
      <c r="D236" s="26" t="str">
        <f t="shared" ca="1" si="34"/>
        <v>Lose</v>
      </c>
      <c r="E236" s="3">
        <f t="shared" ca="1" si="38"/>
        <v>-500</v>
      </c>
      <c r="F236" s="42">
        <f t="shared" si="30"/>
        <v>1.3657217483954859E-76</v>
      </c>
      <c r="G236" s="41">
        <f>SUM(F$11:F236)</f>
        <v>1.8914931281241744E-76</v>
      </c>
      <c r="I236" s="1">
        <f t="shared" si="39"/>
        <v>226</v>
      </c>
      <c r="J236" s="3">
        <v>216000</v>
      </c>
      <c r="K236" s="3">
        <v>74000</v>
      </c>
      <c r="L236" s="3">
        <v>218000</v>
      </c>
      <c r="M236" s="30">
        <f t="shared" si="31"/>
        <v>1.1600000000000001</v>
      </c>
      <c r="N236" s="1" t="str">
        <f t="shared" si="32"/>
        <v/>
      </c>
      <c r="O236" s="1" t="str">
        <f t="shared" si="33"/>
        <v/>
      </c>
    </row>
    <row r="237" spans="1:15" x14ac:dyDescent="0.25">
      <c r="A237" s="1">
        <f t="shared" si="35"/>
        <v>226</v>
      </c>
      <c r="B237" s="3">
        <f t="shared" ca="1" si="36"/>
        <v>104000</v>
      </c>
      <c r="C237" s="26">
        <f t="shared" ca="1" si="37"/>
        <v>1.330383800967494E-2</v>
      </c>
      <c r="D237" s="26" t="str">
        <f t="shared" ca="1" si="34"/>
        <v>Lose</v>
      </c>
      <c r="E237" s="3">
        <f t="shared" ca="1" si="38"/>
        <v>-500</v>
      </c>
      <c r="F237" s="42">
        <f t="shared" si="30"/>
        <v>4.8744945011134198E-76</v>
      </c>
      <c r="G237" s="41">
        <f>SUM(F$11:F237)</f>
        <v>6.7659876292375942E-76</v>
      </c>
      <c r="I237" s="1">
        <f t="shared" si="39"/>
        <v>227</v>
      </c>
      <c r="J237" s="3">
        <v>264000</v>
      </c>
      <c r="K237" s="3">
        <v>66000</v>
      </c>
      <c r="L237" s="3">
        <v>264000</v>
      </c>
      <c r="M237" s="30">
        <f t="shared" si="31"/>
        <v>1.6400000000000001</v>
      </c>
      <c r="N237" s="1" t="str">
        <f t="shared" si="32"/>
        <v/>
      </c>
      <c r="O237" s="1" t="str">
        <f t="shared" si="33"/>
        <v/>
      </c>
    </row>
    <row r="238" spans="1:15" x14ac:dyDescent="0.25">
      <c r="A238" s="1">
        <f t="shared" si="35"/>
        <v>227</v>
      </c>
      <c r="B238" s="3">
        <f t="shared" ca="1" si="36"/>
        <v>103500</v>
      </c>
      <c r="C238" s="26">
        <f t="shared" ca="1" si="37"/>
        <v>6.189109467456666E-2</v>
      </c>
      <c r="D238" s="26" t="str">
        <f t="shared" ca="1" si="34"/>
        <v>Lose</v>
      </c>
      <c r="E238" s="3">
        <f t="shared" ca="1" si="38"/>
        <v>-500</v>
      </c>
      <c r="F238" s="42">
        <f t="shared" si="30"/>
        <v>1.729891179870173E-75</v>
      </c>
      <c r="G238" s="41">
        <f>SUM(F$11:F238)</f>
        <v>2.4064899427939326E-75</v>
      </c>
      <c r="I238" s="1">
        <f t="shared" si="39"/>
        <v>228</v>
      </c>
      <c r="J238" s="3">
        <v>236000</v>
      </c>
      <c r="K238" s="3">
        <v>82000</v>
      </c>
      <c r="L238" s="3">
        <v>244000</v>
      </c>
      <c r="M238" s="30">
        <f t="shared" si="31"/>
        <v>1.3599999999999999</v>
      </c>
      <c r="N238" s="1" t="str">
        <f t="shared" si="32"/>
        <v/>
      </c>
      <c r="O238" s="1" t="str">
        <f t="shared" si="33"/>
        <v/>
      </c>
    </row>
    <row r="239" spans="1:15" x14ac:dyDescent="0.25">
      <c r="A239" s="1">
        <f t="shared" si="35"/>
        <v>228</v>
      </c>
      <c r="B239" s="3">
        <f t="shared" ca="1" si="36"/>
        <v>104000</v>
      </c>
      <c r="C239" s="26">
        <f t="shared" ca="1" si="37"/>
        <v>0.80659773322177208</v>
      </c>
      <c r="D239" s="26" t="str">
        <f t="shared" ca="1" si="34"/>
        <v>Win</v>
      </c>
      <c r="E239" s="3">
        <f t="shared" ca="1" si="38"/>
        <v>500</v>
      </c>
      <c r="F239" s="42">
        <f t="shared" si="30"/>
        <v>6.1043233068408502E-75</v>
      </c>
      <c r="G239" s="41">
        <f>SUM(F$11:F239)</f>
        <v>8.5108132496347828E-75</v>
      </c>
      <c r="I239" s="1">
        <f t="shared" si="39"/>
        <v>229</v>
      </c>
      <c r="J239" s="3">
        <v>228000</v>
      </c>
      <c r="K239" s="3">
        <v>88000</v>
      </c>
      <c r="L239" s="3">
        <v>262000</v>
      </c>
      <c r="M239" s="30">
        <f t="shared" si="31"/>
        <v>1.2799999999999998</v>
      </c>
      <c r="N239" s="1" t="str">
        <f t="shared" si="32"/>
        <v/>
      </c>
      <c r="O239" s="1" t="str">
        <f t="shared" si="33"/>
        <v/>
      </c>
    </row>
    <row r="240" spans="1:15" x14ac:dyDescent="0.25">
      <c r="A240" s="1">
        <f t="shared" si="35"/>
        <v>229</v>
      </c>
      <c r="B240" s="3">
        <f t="shared" ca="1" si="36"/>
        <v>104500</v>
      </c>
      <c r="C240" s="26">
        <f t="shared" ca="1" si="37"/>
        <v>0.77165899970904794</v>
      </c>
      <c r="D240" s="26" t="str">
        <f t="shared" ca="1" si="34"/>
        <v>Win</v>
      </c>
      <c r="E240" s="3">
        <f t="shared" ca="1" si="38"/>
        <v>500</v>
      </c>
      <c r="F240" s="42">
        <f t="shared" si="30"/>
        <v>2.1418716445676669E-74</v>
      </c>
      <c r="G240" s="41">
        <f>SUM(F$11:F240)</f>
        <v>2.9929529695311453E-74</v>
      </c>
      <c r="I240" s="1">
        <f t="shared" si="39"/>
        <v>230</v>
      </c>
      <c r="J240" s="3">
        <v>300000</v>
      </c>
      <c r="K240" s="3">
        <v>98000</v>
      </c>
      <c r="L240" s="3">
        <v>316000</v>
      </c>
      <c r="M240" s="30">
        <f t="shared" si="31"/>
        <v>2</v>
      </c>
      <c r="N240" s="1" t="str">
        <f t="shared" si="32"/>
        <v/>
      </c>
      <c r="O240" s="1" t="str">
        <f t="shared" si="33"/>
        <v/>
      </c>
    </row>
    <row r="241" spans="1:15" x14ac:dyDescent="0.25">
      <c r="A241" s="1">
        <f t="shared" si="35"/>
        <v>230</v>
      </c>
      <c r="B241" s="3">
        <f t="shared" ca="1" si="36"/>
        <v>104000</v>
      </c>
      <c r="C241" s="26">
        <f t="shared" ca="1" si="37"/>
        <v>0.43791065364300552</v>
      </c>
      <c r="D241" s="26" t="str">
        <f t="shared" ca="1" si="34"/>
        <v>Lose</v>
      </c>
      <c r="E241" s="3">
        <f t="shared" ca="1" si="38"/>
        <v>-500</v>
      </c>
      <c r="F241" s="42">
        <f t="shared" si="30"/>
        <v>7.4729844663751366E-74</v>
      </c>
      <c r="G241" s="41">
        <f>SUM(F$11:F241)</f>
        <v>1.0465937435906282E-73</v>
      </c>
      <c r="I241" s="1">
        <f t="shared" si="39"/>
        <v>231</v>
      </c>
      <c r="J241" s="3">
        <v>324000</v>
      </c>
      <c r="K241" s="3">
        <v>86000</v>
      </c>
      <c r="L241" s="3">
        <v>324000</v>
      </c>
      <c r="M241" s="30">
        <f t="shared" si="31"/>
        <v>2.2400000000000002</v>
      </c>
      <c r="N241" s="1" t="str">
        <f t="shared" si="32"/>
        <v/>
      </c>
      <c r="O241" s="1" t="str">
        <f t="shared" si="33"/>
        <v/>
      </c>
    </row>
    <row r="242" spans="1:15" x14ac:dyDescent="0.25">
      <c r="A242" s="1">
        <f t="shared" si="35"/>
        <v>231</v>
      </c>
      <c r="B242" s="3">
        <f t="shared" ca="1" si="36"/>
        <v>103500</v>
      </c>
      <c r="C242" s="26">
        <f t="shared" ca="1" si="37"/>
        <v>0.28640092375063053</v>
      </c>
      <c r="D242" s="26" t="str">
        <f t="shared" ca="1" si="34"/>
        <v>Lose</v>
      </c>
      <c r="E242" s="3">
        <f t="shared" ca="1" si="38"/>
        <v>-500</v>
      </c>
      <c r="F242" s="42">
        <f t="shared" si="30"/>
        <v>2.5926680801709886E-73</v>
      </c>
      <c r="G242" s="41">
        <f>SUM(F$11:F242)</f>
        <v>3.6392618237616171E-73</v>
      </c>
      <c r="I242" s="1">
        <f t="shared" si="39"/>
        <v>232</v>
      </c>
      <c r="J242" s="3">
        <v>308000</v>
      </c>
      <c r="K242" s="3">
        <v>92000</v>
      </c>
      <c r="L242" s="3">
        <v>312000</v>
      </c>
      <c r="M242" s="30">
        <f t="shared" si="31"/>
        <v>2.08</v>
      </c>
      <c r="N242" s="1" t="str">
        <f t="shared" si="32"/>
        <v/>
      </c>
      <c r="O242" s="1" t="str">
        <f t="shared" si="33"/>
        <v/>
      </c>
    </row>
    <row r="243" spans="1:15" x14ac:dyDescent="0.25">
      <c r="A243" s="1">
        <f t="shared" si="35"/>
        <v>232</v>
      </c>
      <c r="B243" s="3">
        <f t="shared" ca="1" si="36"/>
        <v>103000</v>
      </c>
      <c r="C243" s="26">
        <f t="shared" ca="1" si="37"/>
        <v>0.47682434898481241</v>
      </c>
      <c r="D243" s="26" t="str">
        <f t="shared" ca="1" si="34"/>
        <v>Lose</v>
      </c>
      <c r="E243" s="3">
        <f t="shared" ca="1" si="38"/>
        <v>-500</v>
      </c>
      <c r="F243" s="42">
        <f t="shared" si="30"/>
        <v>8.9445680362618966E-73</v>
      </c>
      <c r="G243" s="41">
        <f>SUM(F$11:F243)</f>
        <v>1.2583829860023514E-72</v>
      </c>
      <c r="I243" s="1">
        <f t="shared" si="39"/>
        <v>233</v>
      </c>
      <c r="J243" s="3">
        <v>360000</v>
      </c>
      <c r="K243" s="3">
        <v>94000</v>
      </c>
      <c r="L243" s="3">
        <v>368000</v>
      </c>
      <c r="M243" s="30">
        <f t="shared" si="31"/>
        <v>2.6</v>
      </c>
      <c r="N243" s="1" t="str">
        <f t="shared" si="32"/>
        <v/>
      </c>
      <c r="O243" s="1" t="str">
        <f t="shared" si="33"/>
        <v/>
      </c>
    </row>
    <row r="244" spans="1:15" x14ac:dyDescent="0.25">
      <c r="A244" s="1">
        <f t="shared" si="35"/>
        <v>233</v>
      </c>
      <c r="B244" s="3">
        <f t="shared" ca="1" si="36"/>
        <v>103500</v>
      </c>
      <c r="C244" s="26">
        <f t="shared" ca="1" si="37"/>
        <v>0.8069926416236135</v>
      </c>
      <c r="D244" s="26" t="str">
        <f t="shared" ca="1" si="34"/>
        <v>Win</v>
      </c>
      <c r="E244" s="3">
        <f t="shared" ca="1" si="38"/>
        <v>500</v>
      </c>
      <c r="F244" s="42">
        <f t="shared" si="30"/>
        <v>3.0685893040580118E-72</v>
      </c>
      <c r="G244" s="41">
        <f>SUM(F$11:F244)</f>
        <v>4.3269722900603634E-72</v>
      </c>
      <c r="I244" s="1">
        <f t="shared" si="39"/>
        <v>234</v>
      </c>
      <c r="J244" s="3">
        <v>216000</v>
      </c>
      <c r="K244" s="3">
        <v>30000</v>
      </c>
      <c r="L244" s="3">
        <v>216000</v>
      </c>
      <c r="M244" s="30">
        <f t="shared" si="31"/>
        <v>1.1600000000000001</v>
      </c>
      <c r="N244" s="1" t="str">
        <f t="shared" si="32"/>
        <v/>
      </c>
      <c r="O244" s="1" t="str">
        <f t="shared" si="33"/>
        <v/>
      </c>
    </row>
    <row r="245" spans="1:15" x14ac:dyDescent="0.25">
      <c r="A245" s="1">
        <f t="shared" si="35"/>
        <v>234</v>
      </c>
      <c r="B245" s="3">
        <f t="shared" ca="1" si="36"/>
        <v>103000</v>
      </c>
      <c r="C245" s="26">
        <f t="shared" ca="1" si="37"/>
        <v>0.20661048131045856</v>
      </c>
      <c r="D245" s="26" t="str">
        <f t="shared" ca="1" si="34"/>
        <v>Lose</v>
      </c>
      <c r="E245" s="3">
        <f t="shared" ca="1" si="38"/>
        <v>-500</v>
      </c>
      <c r="F245" s="42">
        <f t="shared" si="30"/>
        <v>1.0468690720986201E-71</v>
      </c>
      <c r="G245" s="41">
        <f>SUM(F$11:F245)</f>
        <v>1.4795663011046564E-71</v>
      </c>
      <c r="I245" s="1">
        <f t="shared" si="39"/>
        <v>235</v>
      </c>
      <c r="J245" s="3">
        <v>284000</v>
      </c>
      <c r="K245" s="3">
        <v>98000</v>
      </c>
      <c r="L245" s="3">
        <v>294000</v>
      </c>
      <c r="M245" s="30">
        <f t="shared" si="31"/>
        <v>1.8399999999999999</v>
      </c>
      <c r="N245" s="1" t="str">
        <f t="shared" si="32"/>
        <v/>
      </c>
      <c r="O245" s="1" t="str">
        <f t="shared" si="33"/>
        <v/>
      </c>
    </row>
    <row r="246" spans="1:15" x14ac:dyDescent="0.25">
      <c r="A246" s="1">
        <f t="shared" si="35"/>
        <v>235</v>
      </c>
      <c r="B246" s="3">
        <f t="shared" ca="1" si="36"/>
        <v>103500</v>
      </c>
      <c r="C246" s="26">
        <f t="shared" ca="1" si="37"/>
        <v>0.58856056524636913</v>
      </c>
      <c r="D246" s="26" t="str">
        <f t="shared" ca="1" si="34"/>
        <v>Win</v>
      </c>
      <c r="E246" s="3">
        <f t="shared" ca="1" si="38"/>
        <v>500</v>
      </c>
      <c r="F246" s="42">
        <f t="shared" si="30"/>
        <v>3.5516271967524349E-71</v>
      </c>
      <c r="G246" s="41">
        <f>SUM(F$11:F246)</f>
        <v>5.0311934978570913E-71</v>
      </c>
      <c r="I246" s="1">
        <f t="shared" si="39"/>
        <v>236</v>
      </c>
      <c r="J246" s="3">
        <v>284000</v>
      </c>
      <c r="K246" s="3">
        <v>70000</v>
      </c>
      <c r="L246" s="3">
        <v>284000</v>
      </c>
      <c r="M246" s="30">
        <f t="shared" si="31"/>
        <v>1.8399999999999999</v>
      </c>
      <c r="N246" s="1" t="str">
        <f t="shared" si="32"/>
        <v/>
      </c>
      <c r="O246" s="1" t="str">
        <f t="shared" si="33"/>
        <v/>
      </c>
    </row>
    <row r="247" spans="1:15" x14ac:dyDescent="0.25">
      <c r="A247" s="1">
        <f t="shared" si="35"/>
        <v>236</v>
      </c>
      <c r="B247" s="3">
        <f t="shared" ca="1" si="36"/>
        <v>103000</v>
      </c>
      <c r="C247" s="26">
        <f t="shared" ca="1" si="37"/>
        <v>0.38249249161448196</v>
      </c>
      <c r="D247" s="26" t="str">
        <f t="shared" ca="1" si="34"/>
        <v>Lose</v>
      </c>
      <c r="E247" s="3">
        <f t="shared" ca="1" si="38"/>
        <v>-500</v>
      </c>
      <c r="F247" s="42">
        <f t="shared" si="30"/>
        <v>1.1982595562201246E-70</v>
      </c>
      <c r="G247" s="41">
        <f>SUM(F$11:F247)</f>
        <v>1.7013789060058336E-70</v>
      </c>
      <c r="I247" s="1">
        <f t="shared" si="39"/>
        <v>237</v>
      </c>
      <c r="J247" s="3">
        <v>324000</v>
      </c>
      <c r="K247" s="3">
        <v>94000</v>
      </c>
      <c r="L247" s="3">
        <v>336000</v>
      </c>
      <c r="M247" s="30">
        <f t="shared" si="31"/>
        <v>2.2400000000000002</v>
      </c>
      <c r="N247" s="1" t="str">
        <f t="shared" si="32"/>
        <v/>
      </c>
      <c r="O247" s="1" t="str">
        <f t="shared" si="33"/>
        <v/>
      </c>
    </row>
    <row r="248" spans="1:15" x14ac:dyDescent="0.25">
      <c r="A248" s="1">
        <f t="shared" si="35"/>
        <v>237</v>
      </c>
      <c r="B248" s="3">
        <f t="shared" ca="1" si="36"/>
        <v>103500</v>
      </c>
      <c r="C248" s="26">
        <f t="shared" ca="1" si="37"/>
        <v>0.77587441357021447</v>
      </c>
      <c r="D248" s="26" t="str">
        <f t="shared" ca="1" si="34"/>
        <v>Win</v>
      </c>
      <c r="E248" s="3">
        <f t="shared" ca="1" si="38"/>
        <v>500</v>
      </c>
      <c r="F248" s="42">
        <f t="shared" si="30"/>
        <v>4.0204069016243247E-70</v>
      </c>
      <c r="G248" s="41">
        <f>SUM(F$11:F248)</f>
        <v>5.721785807630158E-70</v>
      </c>
      <c r="I248" s="1">
        <f t="shared" si="39"/>
        <v>238</v>
      </c>
      <c r="J248" s="3">
        <v>292000</v>
      </c>
      <c r="K248" s="3">
        <v>100000</v>
      </c>
      <c r="L248" s="3">
        <v>292000</v>
      </c>
      <c r="M248" s="30">
        <f t="shared" si="31"/>
        <v>1.92</v>
      </c>
      <c r="N248" s="1" t="str">
        <f t="shared" si="32"/>
        <v/>
      </c>
      <c r="O248" s="1" t="str">
        <f t="shared" si="33"/>
        <v/>
      </c>
    </row>
    <row r="249" spans="1:15" x14ac:dyDescent="0.25">
      <c r="A249" s="1">
        <f t="shared" si="35"/>
        <v>238</v>
      </c>
      <c r="B249" s="3">
        <f t="shared" ca="1" si="36"/>
        <v>103000</v>
      </c>
      <c r="C249" s="26">
        <f t="shared" ca="1" si="37"/>
        <v>0.2480928376532151</v>
      </c>
      <c r="D249" s="26" t="str">
        <f t="shared" ca="1" si="34"/>
        <v>Lose</v>
      </c>
      <c r="E249" s="3">
        <f t="shared" ca="1" si="38"/>
        <v>-500</v>
      </c>
      <c r="F249" s="42">
        <f t="shared" si="30"/>
        <v>1.341503119215501E-69</v>
      </c>
      <c r="G249" s="41">
        <f>SUM(F$11:F249)</f>
        <v>1.9136816999785167E-69</v>
      </c>
      <c r="I249" s="1">
        <f t="shared" si="39"/>
        <v>239</v>
      </c>
      <c r="J249" s="3">
        <v>356000</v>
      </c>
      <c r="K249" s="3">
        <v>96000</v>
      </c>
      <c r="L249" s="3">
        <v>366000</v>
      </c>
      <c r="M249" s="30">
        <f t="shared" si="31"/>
        <v>2.56</v>
      </c>
      <c r="N249" s="1" t="str">
        <f t="shared" si="32"/>
        <v/>
      </c>
      <c r="O249" s="1" t="str">
        <f t="shared" si="33"/>
        <v/>
      </c>
    </row>
    <row r="250" spans="1:15" x14ac:dyDescent="0.25">
      <c r="A250" s="1">
        <f t="shared" si="35"/>
        <v>239</v>
      </c>
      <c r="B250" s="3">
        <f t="shared" ca="1" si="36"/>
        <v>103500</v>
      </c>
      <c r="C250" s="26">
        <f t="shared" ca="1" si="37"/>
        <v>0.87283628838828919</v>
      </c>
      <c r="D250" s="26" t="str">
        <f t="shared" ca="1" si="34"/>
        <v>Win</v>
      </c>
      <c r="E250" s="3">
        <f t="shared" ca="1" si="38"/>
        <v>500</v>
      </c>
      <c r="F250" s="42">
        <f t="shared" si="30"/>
        <v>4.4516688770346238E-69</v>
      </c>
      <c r="G250" s="41">
        <f>SUM(F$11:F250)</f>
        <v>6.365350577013141E-69</v>
      </c>
      <c r="I250" s="1">
        <f t="shared" si="39"/>
        <v>240</v>
      </c>
      <c r="J250" s="3">
        <v>340000</v>
      </c>
      <c r="K250" s="3">
        <v>92000</v>
      </c>
      <c r="L250" s="3">
        <v>340000</v>
      </c>
      <c r="M250" s="30">
        <f t="shared" si="31"/>
        <v>2.4</v>
      </c>
      <c r="N250" s="1" t="str">
        <f t="shared" si="32"/>
        <v/>
      </c>
      <c r="O250" s="1" t="str">
        <f t="shared" si="33"/>
        <v/>
      </c>
    </row>
    <row r="251" spans="1:15" x14ac:dyDescent="0.25">
      <c r="A251" s="1">
        <f t="shared" si="35"/>
        <v>240</v>
      </c>
      <c r="B251" s="3">
        <f t="shared" ca="1" si="36"/>
        <v>103000</v>
      </c>
      <c r="C251" s="26">
        <f t="shared" ca="1" si="37"/>
        <v>0.22251565480259539</v>
      </c>
      <c r="D251" s="26" t="str">
        <f t="shared" ca="1" si="34"/>
        <v>Lose</v>
      </c>
      <c r="E251" s="3">
        <f t="shared" ca="1" si="38"/>
        <v>-500</v>
      </c>
      <c r="F251" s="42">
        <f t="shared" si="30"/>
        <v>1.4691642924029926E-68</v>
      </c>
      <c r="G251" s="41">
        <f>SUM(F$11:F251)</f>
        <v>2.1056993501043067E-68</v>
      </c>
      <c r="I251" s="1">
        <f t="shared" si="39"/>
        <v>241</v>
      </c>
      <c r="J251" s="3">
        <v>388000</v>
      </c>
      <c r="K251" s="3">
        <v>100000</v>
      </c>
      <c r="L251" s="3">
        <v>390000</v>
      </c>
      <c r="M251" s="30">
        <f t="shared" si="31"/>
        <v>2.88</v>
      </c>
      <c r="N251" s="1" t="str">
        <f t="shared" si="32"/>
        <v/>
      </c>
      <c r="O251" s="1" t="str">
        <f t="shared" si="33"/>
        <v/>
      </c>
    </row>
    <row r="252" spans="1:15" x14ac:dyDescent="0.25">
      <c r="A252" s="1">
        <f t="shared" si="35"/>
        <v>241</v>
      </c>
      <c r="B252" s="3">
        <f t="shared" ca="1" si="36"/>
        <v>103500</v>
      </c>
      <c r="C252" s="26">
        <f t="shared" ca="1" si="37"/>
        <v>0.67779643564138126</v>
      </c>
      <c r="D252" s="26" t="str">
        <f t="shared" ca="1" si="34"/>
        <v>Win</v>
      </c>
      <c r="E252" s="3">
        <f t="shared" ca="1" si="38"/>
        <v>500</v>
      </c>
      <c r="F252" s="42">
        <f t="shared" si="30"/>
        <v>4.8221532706866952E-68</v>
      </c>
      <c r="G252" s="41">
        <f>SUM(F$11:F252)</f>
        <v>6.9278526207910019E-68</v>
      </c>
      <c r="I252" s="1">
        <f t="shared" si="39"/>
        <v>242</v>
      </c>
      <c r="J252" s="3">
        <v>200000</v>
      </c>
      <c r="K252" s="3">
        <v>98000</v>
      </c>
      <c r="L252" s="3">
        <v>210000</v>
      </c>
      <c r="M252" s="30">
        <f t="shared" si="31"/>
        <v>1</v>
      </c>
      <c r="N252" s="1" t="str">
        <f t="shared" si="32"/>
        <v/>
      </c>
      <c r="O252" s="1" t="str">
        <f t="shared" si="33"/>
        <v/>
      </c>
    </row>
    <row r="253" spans="1:15" x14ac:dyDescent="0.25">
      <c r="A253" s="1">
        <f t="shared" si="35"/>
        <v>242</v>
      </c>
      <c r="B253" s="3">
        <f t="shared" ca="1" si="36"/>
        <v>103000</v>
      </c>
      <c r="C253" s="26">
        <f t="shared" ca="1" si="37"/>
        <v>2.4068980212237023E-2</v>
      </c>
      <c r="D253" s="26" t="str">
        <f t="shared" ca="1" si="34"/>
        <v>Lose</v>
      </c>
      <c r="E253" s="3">
        <f t="shared" ca="1" si="38"/>
        <v>-500</v>
      </c>
      <c r="F253" s="42">
        <f t="shared" si="30"/>
        <v>1.5741333357651243E-67</v>
      </c>
      <c r="G253" s="41">
        <f>SUM(F$11:F253)</f>
        <v>2.2669185978442244E-67</v>
      </c>
      <c r="I253" s="1">
        <f t="shared" si="39"/>
        <v>243</v>
      </c>
      <c r="J253" s="3">
        <v>280000</v>
      </c>
      <c r="K253" s="3">
        <v>100000</v>
      </c>
      <c r="L253" s="3">
        <v>284000</v>
      </c>
      <c r="M253" s="30">
        <f t="shared" si="31"/>
        <v>1.7999999999999998</v>
      </c>
      <c r="N253" s="1" t="str">
        <f t="shared" si="32"/>
        <v/>
      </c>
      <c r="O253" s="1" t="str">
        <f t="shared" si="33"/>
        <v/>
      </c>
    </row>
    <row r="254" spans="1:15" x14ac:dyDescent="0.25">
      <c r="A254" s="1">
        <f t="shared" si="35"/>
        <v>243</v>
      </c>
      <c r="B254" s="3">
        <f t="shared" ca="1" si="36"/>
        <v>103500</v>
      </c>
      <c r="C254" s="26">
        <f t="shared" ca="1" si="37"/>
        <v>0.57819078515330669</v>
      </c>
      <c r="D254" s="26" t="str">
        <f t="shared" ca="1" si="34"/>
        <v>Win</v>
      </c>
      <c r="E254" s="3">
        <f t="shared" ca="1" si="38"/>
        <v>500</v>
      </c>
      <c r="F254" s="42">
        <f t="shared" si="30"/>
        <v>5.1106782979760053E-67</v>
      </c>
      <c r="G254" s="41">
        <f>SUM(F$11:F254)</f>
        <v>7.3775968958202303E-67</v>
      </c>
      <c r="I254" s="1">
        <f t="shared" si="39"/>
        <v>244</v>
      </c>
      <c r="J254" s="3">
        <v>248000</v>
      </c>
      <c r="K254" s="3">
        <v>98000</v>
      </c>
      <c r="L254" s="3">
        <v>252000</v>
      </c>
      <c r="M254" s="30">
        <f t="shared" si="31"/>
        <v>1.48</v>
      </c>
      <c r="N254" s="1" t="str">
        <f t="shared" si="32"/>
        <v/>
      </c>
      <c r="O254" s="1" t="str">
        <f t="shared" si="33"/>
        <v/>
      </c>
    </row>
    <row r="255" spans="1:15" x14ac:dyDescent="0.25">
      <c r="A255" s="1">
        <f t="shared" si="35"/>
        <v>244</v>
      </c>
      <c r="B255" s="3">
        <f t="shared" ca="1" si="36"/>
        <v>104000</v>
      </c>
      <c r="C255" s="26">
        <f t="shared" ca="1" si="37"/>
        <v>0.70829693053618492</v>
      </c>
      <c r="D255" s="26" t="str">
        <f t="shared" ca="1" si="34"/>
        <v>Win</v>
      </c>
      <c r="E255" s="3">
        <f t="shared" ca="1" si="38"/>
        <v>500</v>
      </c>
      <c r="F255" s="42">
        <f t="shared" si="30"/>
        <v>1.650284016811247E-66</v>
      </c>
      <c r="G255" s="41">
        <f>SUM(F$11:F255)</f>
        <v>2.3880437063932701E-66</v>
      </c>
      <c r="I255" s="1">
        <f t="shared" si="39"/>
        <v>245</v>
      </c>
      <c r="J255" s="3">
        <v>152000</v>
      </c>
      <c r="K255" s="3">
        <v>76000</v>
      </c>
      <c r="L255" s="3">
        <v>170000</v>
      </c>
      <c r="M255" s="30">
        <f t="shared" si="31"/>
        <v>0.52</v>
      </c>
      <c r="N255" s="1" t="str">
        <f t="shared" si="32"/>
        <v/>
      </c>
      <c r="O255" s="1" t="str">
        <f t="shared" si="33"/>
        <v/>
      </c>
    </row>
    <row r="256" spans="1:15" x14ac:dyDescent="0.25">
      <c r="A256" s="1">
        <f t="shared" si="35"/>
        <v>245</v>
      </c>
      <c r="B256" s="3">
        <f t="shared" ca="1" si="36"/>
        <v>103500</v>
      </c>
      <c r="C256" s="26">
        <f t="shared" ca="1" si="37"/>
        <v>0.36019570006983592</v>
      </c>
      <c r="D256" s="26" t="str">
        <f t="shared" ca="1" si="34"/>
        <v>Lose</v>
      </c>
      <c r="E256" s="3">
        <f t="shared" ca="1" si="38"/>
        <v>-500</v>
      </c>
      <c r="F256" s="42">
        <f t="shared" si="30"/>
        <v>5.3001541484527576E-66</v>
      </c>
      <c r="G256" s="41">
        <f>SUM(F$11:F256)</f>
        <v>7.6881978548460271E-66</v>
      </c>
      <c r="I256" s="1">
        <f t="shared" si="39"/>
        <v>246</v>
      </c>
      <c r="J256" s="3">
        <v>208000</v>
      </c>
      <c r="K256" s="3">
        <v>92000</v>
      </c>
      <c r="L256" s="3">
        <v>208000</v>
      </c>
      <c r="M256" s="30">
        <f t="shared" si="31"/>
        <v>1.08</v>
      </c>
      <c r="N256" s="1" t="str">
        <f t="shared" si="32"/>
        <v/>
      </c>
      <c r="O256" s="1" t="str">
        <f t="shared" si="33"/>
        <v/>
      </c>
    </row>
    <row r="257" spans="1:15" x14ac:dyDescent="0.25">
      <c r="A257" s="1">
        <f t="shared" si="35"/>
        <v>246</v>
      </c>
      <c r="B257" s="3">
        <f t="shared" ca="1" si="36"/>
        <v>103000</v>
      </c>
      <c r="C257" s="26">
        <f t="shared" ca="1" si="37"/>
        <v>0.4470132397660731</v>
      </c>
      <c r="D257" s="26" t="str">
        <f t="shared" ca="1" si="34"/>
        <v>Lose</v>
      </c>
      <c r="E257" s="3">
        <f t="shared" ca="1" si="38"/>
        <v>-500</v>
      </c>
      <c r="F257" s="42">
        <f t="shared" si="30"/>
        <v>1.6930681556841779E-65</v>
      </c>
      <c r="G257" s="41">
        <f>SUM(F$11:F257)</f>
        <v>2.4618879411687806E-65</v>
      </c>
      <c r="I257" s="1">
        <f t="shared" si="39"/>
        <v>247</v>
      </c>
      <c r="J257" s="3">
        <v>280000</v>
      </c>
      <c r="K257" s="3">
        <v>88000</v>
      </c>
      <c r="L257" s="3">
        <v>288000</v>
      </c>
      <c r="M257" s="30">
        <f t="shared" si="31"/>
        <v>1.7999999999999998</v>
      </c>
      <c r="N257" s="1" t="str">
        <f t="shared" si="32"/>
        <v/>
      </c>
      <c r="O257" s="1" t="str">
        <f t="shared" si="33"/>
        <v/>
      </c>
    </row>
    <row r="258" spans="1:15" x14ac:dyDescent="0.25">
      <c r="A258" s="1">
        <f t="shared" si="35"/>
        <v>247</v>
      </c>
      <c r="B258" s="3">
        <f t="shared" ca="1" si="36"/>
        <v>103500</v>
      </c>
      <c r="C258" s="26">
        <f t="shared" ca="1" si="37"/>
        <v>0.75934782169313342</v>
      </c>
      <c r="D258" s="26" t="str">
        <f t="shared" ca="1" si="34"/>
        <v>Win</v>
      </c>
      <c r="E258" s="3">
        <f t="shared" ca="1" si="38"/>
        <v>500</v>
      </c>
      <c r="F258" s="42">
        <f t="shared" si="30"/>
        <v>5.3792648813257826E-65</v>
      </c>
      <c r="G258" s="41">
        <f>SUM(F$11:F258)</f>
        <v>7.8411528224945632E-65</v>
      </c>
      <c r="I258" s="1">
        <f t="shared" si="39"/>
        <v>248</v>
      </c>
      <c r="J258" s="3">
        <v>304000</v>
      </c>
      <c r="K258" s="3">
        <v>88000</v>
      </c>
      <c r="L258" s="3">
        <v>304000</v>
      </c>
      <c r="M258" s="30">
        <f t="shared" si="31"/>
        <v>2.04</v>
      </c>
      <c r="N258" s="1" t="str">
        <f t="shared" si="32"/>
        <v/>
      </c>
      <c r="O258" s="1" t="str">
        <f t="shared" si="33"/>
        <v/>
      </c>
    </row>
    <row r="259" spans="1:15" x14ac:dyDescent="0.25">
      <c r="A259" s="1">
        <f t="shared" si="35"/>
        <v>248</v>
      </c>
      <c r="B259" s="3">
        <f t="shared" ca="1" si="36"/>
        <v>104000</v>
      </c>
      <c r="C259" s="26">
        <f t="shared" ca="1" si="37"/>
        <v>0.97867241393063464</v>
      </c>
      <c r="D259" s="26" t="str">
        <f t="shared" ca="1" si="34"/>
        <v>Win</v>
      </c>
      <c r="E259" s="3">
        <f t="shared" ca="1" si="38"/>
        <v>500</v>
      </c>
      <c r="F259" s="42">
        <f t="shared" si="30"/>
        <v>1.6999663367144734E-64</v>
      </c>
      <c r="G259" s="41">
        <f>SUM(F$11:F259)</f>
        <v>2.4840816189639298E-64</v>
      </c>
      <c r="I259" s="1">
        <f t="shared" si="39"/>
        <v>249</v>
      </c>
      <c r="J259" s="3">
        <v>292000</v>
      </c>
      <c r="K259" s="3">
        <v>98000</v>
      </c>
      <c r="L259" s="3">
        <v>304000</v>
      </c>
      <c r="M259" s="30">
        <f t="shared" si="31"/>
        <v>1.92</v>
      </c>
      <c r="N259" s="1" t="str">
        <f t="shared" si="32"/>
        <v/>
      </c>
      <c r="O259" s="1" t="str">
        <f t="shared" si="33"/>
        <v/>
      </c>
    </row>
    <row r="260" spans="1:15" x14ac:dyDescent="0.25">
      <c r="A260" s="1">
        <f t="shared" si="35"/>
        <v>249</v>
      </c>
      <c r="B260" s="3">
        <f t="shared" ca="1" si="36"/>
        <v>104500</v>
      </c>
      <c r="C260" s="26">
        <f t="shared" ca="1" si="37"/>
        <v>0.64333209394362367</v>
      </c>
      <c r="D260" s="26" t="str">
        <f t="shared" ca="1" si="34"/>
        <v>Win</v>
      </c>
      <c r="E260" s="3">
        <f t="shared" ca="1" si="38"/>
        <v>500</v>
      </c>
      <c r="F260" s="42">
        <f t="shared" si="30"/>
        <v>5.3435873244552229E-64</v>
      </c>
      <c r="G260" s="41">
        <f>SUM(F$11:F260)</f>
        <v>7.8276689434191523E-64</v>
      </c>
      <c r="I260" s="1">
        <f t="shared" si="39"/>
        <v>250</v>
      </c>
      <c r="J260" s="3">
        <v>124000</v>
      </c>
      <c r="K260" s="3">
        <v>44000</v>
      </c>
      <c r="L260" s="3">
        <v>150000</v>
      </c>
      <c r="M260" s="30">
        <f t="shared" si="31"/>
        <v>0.24</v>
      </c>
      <c r="N260" s="1" t="str">
        <f t="shared" si="32"/>
        <v/>
      </c>
      <c r="O260" s="1" t="str">
        <f t="shared" si="33"/>
        <v/>
      </c>
    </row>
    <row r="261" spans="1:15" x14ac:dyDescent="0.25">
      <c r="A261" s="1">
        <f t="shared" si="35"/>
        <v>250</v>
      </c>
      <c r="B261" s="3">
        <f t="shared" ca="1" si="36"/>
        <v>105000</v>
      </c>
      <c r="C261" s="26">
        <f t="shared" ca="1" si="37"/>
        <v>0.66662445113971325</v>
      </c>
      <c r="D261" s="26" t="str">
        <f t="shared" ca="1" si="34"/>
        <v>Win</v>
      </c>
      <c r="E261" s="3">
        <f t="shared" ca="1" si="38"/>
        <v>500</v>
      </c>
      <c r="F261" s="42">
        <f t="shared" si="30"/>
        <v>1.6707325560322825E-63</v>
      </c>
      <c r="G261" s="41">
        <f>SUM(F$11:F261)</f>
        <v>2.453499450374198E-63</v>
      </c>
      <c r="I261" s="1">
        <f>I260+1</f>
        <v>251</v>
      </c>
      <c r="J261" s="3">
        <v>332000</v>
      </c>
      <c r="K261" s="3">
        <v>86000</v>
      </c>
      <c r="L261" s="3">
        <v>344000</v>
      </c>
      <c r="M261" s="30">
        <f t="shared" si="31"/>
        <v>2.3199999999999998</v>
      </c>
      <c r="N261" s="1" t="str">
        <f t="shared" si="32"/>
        <v/>
      </c>
      <c r="O261" s="1" t="str">
        <f t="shared" si="33"/>
        <v/>
      </c>
    </row>
    <row r="262" spans="1:15" x14ac:dyDescent="0.25">
      <c r="A262" s="1">
        <f t="shared" si="35"/>
        <v>251</v>
      </c>
      <c r="B262" s="3">
        <f t="shared" ca="1" si="36"/>
        <v>104500</v>
      </c>
      <c r="C262" s="26">
        <f t="shared" ca="1" si="37"/>
        <v>0.31387554256730965</v>
      </c>
      <c r="D262" s="26" t="str">
        <f t="shared" ca="1" si="34"/>
        <v>Lose</v>
      </c>
      <c r="E262" s="3">
        <f t="shared" ca="1" si="38"/>
        <v>-500</v>
      </c>
      <c r="F262" s="42">
        <f t="shared" si="30"/>
        <v>5.1959931919859334E-63</v>
      </c>
      <c r="G262" s="41">
        <f>SUM(F$11:F262)</f>
        <v>7.6494926423601314E-63</v>
      </c>
      <c r="I262" s="1">
        <f>I261+1</f>
        <v>252</v>
      </c>
      <c r="J262" s="3">
        <v>304000</v>
      </c>
      <c r="K262" s="3">
        <v>90000</v>
      </c>
      <c r="L262" s="3">
        <v>322000</v>
      </c>
      <c r="M262" s="30">
        <f t="shared" si="31"/>
        <v>2.04</v>
      </c>
      <c r="N262" s="1" t="str">
        <f t="shared" si="32"/>
        <v/>
      </c>
      <c r="O262" s="1" t="str">
        <f t="shared" si="33"/>
        <v/>
      </c>
    </row>
    <row r="263" spans="1:15" x14ac:dyDescent="0.25">
      <c r="A263" s="1">
        <f t="shared" si="35"/>
        <v>252</v>
      </c>
      <c r="B263" s="3">
        <f t="shared" ca="1" si="36"/>
        <v>105000</v>
      </c>
      <c r="C263" s="26">
        <f t="shared" ca="1" si="37"/>
        <v>0.67589717420968665</v>
      </c>
      <c r="D263" s="26" t="str">
        <f t="shared" ca="1" si="34"/>
        <v>Win</v>
      </c>
      <c r="E263" s="3">
        <f t="shared" ca="1" si="38"/>
        <v>500</v>
      </c>
      <c r="F263" s="42">
        <f t="shared" si="30"/>
        <v>1.6073999347315663E-62</v>
      </c>
      <c r="G263" s="41">
        <f>SUM(F$11:F263)</f>
        <v>2.3723491989675794E-62</v>
      </c>
      <c r="I263" s="1">
        <f t="shared" ref="I263:I326" si="40">I262+1</f>
        <v>253</v>
      </c>
      <c r="J263" s="3">
        <v>316000</v>
      </c>
      <c r="K263" s="3">
        <v>100000</v>
      </c>
      <c r="L263" s="3">
        <v>326000</v>
      </c>
      <c r="M263" s="30">
        <f t="shared" si="31"/>
        <v>2.16</v>
      </c>
      <c r="N263" s="1" t="str">
        <f t="shared" si="32"/>
        <v/>
      </c>
      <c r="O263" s="1" t="str">
        <f t="shared" si="33"/>
        <v/>
      </c>
    </row>
    <row r="264" spans="1:15" x14ac:dyDescent="0.25">
      <c r="A264" s="1">
        <f t="shared" si="35"/>
        <v>253</v>
      </c>
      <c r="B264" s="3">
        <f t="shared" ca="1" si="36"/>
        <v>104500</v>
      </c>
      <c r="C264" s="26">
        <f t="shared" ca="1" si="37"/>
        <v>0.23963636515409048</v>
      </c>
      <c r="D264" s="26" t="str">
        <f t="shared" ca="1" si="34"/>
        <v>Lose</v>
      </c>
      <c r="E264" s="3">
        <f t="shared" ca="1" si="38"/>
        <v>-500</v>
      </c>
      <c r="F264" s="42">
        <f t="shared" si="30"/>
        <v>4.9462848035927352E-62</v>
      </c>
      <c r="G264" s="41">
        <f>SUM(F$11:F264)</f>
        <v>7.318634002560315E-62</v>
      </c>
      <c r="I264" s="1">
        <f t="shared" si="40"/>
        <v>254</v>
      </c>
      <c r="J264" s="3">
        <v>296000</v>
      </c>
      <c r="K264" s="3">
        <v>60000</v>
      </c>
      <c r="L264" s="3">
        <v>306000</v>
      </c>
      <c r="M264" s="30">
        <f t="shared" si="31"/>
        <v>1.96</v>
      </c>
      <c r="N264" s="1" t="str">
        <f t="shared" si="32"/>
        <v/>
      </c>
      <c r="O264" s="1" t="str">
        <f t="shared" si="33"/>
        <v/>
      </c>
    </row>
    <row r="265" spans="1:15" x14ac:dyDescent="0.25">
      <c r="A265" s="1">
        <f t="shared" si="35"/>
        <v>254</v>
      </c>
      <c r="B265" s="3">
        <f t="shared" ca="1" si="36"/>
        <v>104000</v>
      </c>
      <c r="C265" s="26">
        <f t="shared" ca="1" si="37"/>
        <v>0.43133496800093551</v>
      </c>
      <c r="D265" s="26" t="str">
        <f t="shared" ca="1" si="34"/>
        <v>Lose</v>
      </c>
      <c r="E265" s="3">
        <f t="shared" ca="1" si="38"/>
        <v>-500</v>
      </c>
      <c r="F265" s="42">
        <f t="shared" si="30"/>
        <v>1.514049591535207E-61</v>
      </c>
      <c r="G265" s="41">
        <f>SUM(F$11:F265)</f>
        <v>2.2459129917912385E-61</v>
      </c>
      <c r="I265" s="1">
        <f t="shared" si="40"/>
        <v>255</v>
      </c>
      <c r="J265" s="3">
        <v>304000</v>
      </c>
      <c r="K265" s="3">
        <v>90000</v>
      </c>
      <c r="L265" s="3">
        <v>312000</v>
      </c>
      <c r="M265" s="30">
        <f t="shared" si="31"/>
        <v>2.04</v>
      </c>
      <c r="N265" s="1" t="str">
        <f t="shared" si="32"/>
        <v/>
      </c>
      <c r="O265" s="1" t="str">
        <f t="shared" si="33"/>
        <v/>
      </c>
    </row>
    <row r="266" spans="1:15" x14ac:dyDescent="0.25">
      <c r="A266" s="1">
        <f t="shared" si="35"/>
        <v>255</v>
      </c>
      <c r="B266" s="3">
        <f t="shared" ca="1" si="36"/>
        <v>104500</v>
      </c>
      <c r="C266" s="26">
        <f t="shared" ca="1" si="37"/>
        <v>0.73417086030073742</v>
      </c>
      <c r="D266" s="26" t="str">
        <f t="shared" ca="1" si="34"/>
        <v>Win</v>
      </c>
      <c r="E266" s="3">
        <f t="shared" ca="1" si="38"/>
        <v>500</v>
      </c>
      <c r="F266" s="42">
        <f t="shared" si="30"/>
        <v>4.6101265113687951E-61</v>
      </c>
      <c r="G266" s="41">
        <f>SUM(F$11:F266)</f>
        <v>6.8560395031600343E-61</v>
      </c>
      <c r="I266" s="1">
        <f t="shared" si="40"/>
        <v>256</v>
      </c>
      <c r="J266" s="3">
        <v>208000</v>
      </c>
      <c r="K266" s="3">
        <v>88000</v>
      </c>
      <c r="L266" s="3">
        <v>212000</v>
      </c>
      <c r="M266" s="30">
        <f t="shared" si="31"/>
        <v>1.08</v>
      </c>
      <c r="N266" s="1" t="str">
        <f t="shared" si="32"/>
        <v/>
      </c>
      <c r="O266" s="1" t="str">
        <f t="shared" si="33"/>
        <v/>
      </c>
    </row>
    <row r="267" spans="1:15" x14ac:dyDescent="0.25">
      <c r="A267" s="1">
        <f t="shared" si="35"/>
        <v>256</v>
      </c>
      <c r="B267" s="3">
        <f t="shared" ca="1" si="36"/>
        <v>104000</v>
      </c>
      <c r="C267" s="26">
        <f t="shared" ca="1" si="37"/>
        <v>0.15090326857884218</v>
      </c>
      <c r="D267" s="26" t="str">
        <f t="shared" ca="1" si="34"/>
        <v>Lose</v>
      </c>
      <c r="E267" s="3">
        <f t="shared" ca="1" si="38"/>
        <v>-500</v>
      </c>
      <c r="F267" s="42">
        <f t="shared" si="30"/>
        <v>1.3963788010161129E-60</v>
      </c>
      <c r="G267" s="41">
        <f>SUM(F$11:F267)</f>
        <v>2.0819827513321163E-60</v>
      </c>
      <c r="I267" s="1">
        <f t="shared" si="40"/>
        <v>257</v>
      </c>
      <c r="J267" s="3">
        <v>304000</v>
      </c>
      <c r="K267" s="3">
        <v>82000</v>
      </c>
      <c r="L267" s="3">
        <v>312000</v>
      </c>
      <c r="M267" s="30">
        <f t="shared" si="31"/>
        <v>2.04</v>
      </c>
      <c r="N267" s="1" t="str">
        <f t="shared" si="32"/>
        <v/>
      </c>
      <c r="O267" s="1" t="str">
        <f t="shared" si="33"/>
        <v/>
      </c>
    </row>
    <row r="268" spans="1:15" x14ac:dyDescent="0.25">
      <c r="A268" s="1">
        <f t="shared" si="35"/>
        <v>257</v>
      </c>
      <c r="B268" s="3">
        <f t="shared" ca="1" si="36"/>
        <v>103500</v>
      </c>
      <c r="C268" s="26">
        <f t="shared" ca="1" si="37"/>
        <v>0.29883006170563253</v>
      </c>
      <c r="D268" s="26" t="str">
        <f t="shared" ca="1" si="34"/>
        <v>Lose</v>
      </c>
      <c r="E268" s="3">
        <f t="shared" ca="1" si="38"/>
        <v>-500</v>
      </c>
      <c r="F268" s="42">
        <f t="shared" ref="F268:F331" si="41">_xlfn.BINOM.DIST(A268,$A$1011,$B$1,FALSE)</f>
        <v>4.2074324804059585E-60</v>
      </c>
      <c r="G268" s="41">
        <f>SUM(F$11:F268)</f>
        <v>6.2894152317380746E-60</v>
      </c>
      <c r="I268" s="1">
        <f t="shared" si="40"/>
        <v>258</v>
      </c>
      <c r="J268" s="3">
        <v>288000</v>
      </c>
      <c r="K268" s="3">
        <v>62000</v>
      </c>
      <c r="L268" s="3">
        <v>322000</v>
      </c>
      <c r="M268" s="30">
        <f t="shared" ref="M268:M331" si="42">J268/$B$3-1</f>
        <v>1.88</v>
      </c>
      <c r="N268" s="1" t="str">
        <f t="shared" ref="N268:N331" si="43">IF(K268&lt;=0,1,"")</f>
        <v/>
      </c>
      <c r="O268" s="1" t="str">
        <f t="shared" ref="O268:O331" si="44">IF(J268&lt;=0,1,"")</f>
        <v/>
      </c>
    </row>
    <row r="269" spans="1:15" x14ac:dyDescent="0.25">
      <c r="A269" s="1">
        <f t="shared" si="35"/>
        <v>258</v>
      </c>
      <c r="B269" s="3">
        <f t="shared" ca="1" si="36"/>
        <v>104000</v>
      </c>
      <c r="C269" s="26">
        <f t="shared" ca="1" si="37"/>
        <v>0.59430296609390021</v>
      </c>
      <c r="D269" s="26" t="str">
        <f t="shared" ref="D269:D332" ca="1" si="45">IF(C269&gt;$B$2,"Win","Lose")</f>
        <v>Win</v>
      </c>
      <c r="E269" s="3">
        <f t="shared" ca="1" si="38"/>
        <v>500</v>
      </c>
      <c r="F269" s="42">
        <f t="shared" si="41"/>
        <v>1.2611314584719904E-59</v>
      </c>
      <c r="G269" s="41">
        <f>SUM(F$11:F269)</f>
        <v>1.8900729816457979E-59</v>
      </c>
      <c r="I269" s="1">
        <f t="shared" si="40"/>
        <v>259</v>
      </c>
      <c r="J269" s="3">
        <v>244000</v>
      </c>
      <c r="K269" s="3">
        <v>96000</v>
      </c>
      <c r="L269" s="3">
        <v>274000</v>
      </c>
      <c r="M269" s="30">
        <f t="shared" si="42"/>
        <v>1.44</v>
      </c>
      <c r="N269" s="1" t="str">
        <f t="shared" si="43"/>
        <v/>
      </c>
      <c r="O269" s="1" t="str">
        <f t="shared" si="44"/>
        <v/>
      </c>
    </row>
    <row r="270" spans="1:15" x14ac:dyDescent="0.25">
      <c r="A270" s="1">
        <f t="shared" ref="A270:A323" si="46">A269+1</f>
        <v>259</v>
      </c>
      <c r="B270" s="3">
        <f t="shared" ref="B270:B333" ca="1" si="47">B269+E270</f>
        <v>104500</v>
      </c>
      <c r="C270" s="26">
        <f t="shared" ref="C270:C333" ca="1" si="48">RAND()</f>
        <v>0.89238473188667589</v>
      </c>
      <c r="D270" s="26" t="str">
        <f t="shared" ca="1" si="45"/>
        <v>Win</v>
      </c>
      <c r="E270" s="3">
        <f t="shared" ref="E270:E333" ca="1" si="49">IF(D270="Win",$B$4,-$B$4)</f>
        <v>500</v>
      </c>
      <c r="F270" s="42">
        <f t="shared" si="41"/>
        <v>3.7604394178156166E-59</v>
      </c>
      <c r="G270" s="41">
        <f>SUM(F$11:F270)</f>
        <v>5.6505123994614145E-59</v>
      </c>
      <c r="I270" s="1">
        <f t="shared" si="40"/>
        <v>260</v>
      </c>
      <c r="J270" s="3">
        <v>272000</v>
      </c>
      <c r="K270" s="3">
        <v>90000</v>
      </c>
      <c r="L270" s="3">
        <v>272000</v>
      </c>
      <c r="M270" s="30">
        <f t="shared" si="42"/>
        <v>1.7200000000000002</v>
      </c>
      <c r="N270" s="1" t="str">
        <f t="shared" si="43"/>
        <v/>
      </c>
      <c r="O270" s="1" t="str">
        <f t="shared" si="44"/>
        <v/>
      </c>
    </row>
    <row r="271" spans="1:15" x14ac:dyDescent="0.25">
      <c r="A271" s="1">
        <f t="shared" si="46"/>
        <v>260</v>
      </c>
      <c r="B271" s="3">
        <f t="shared" ca="1" si="47"/>
        <v>105000</v>
      </c>
      <c r="C271" s="26">
        <f t="shared" ca="1" si="48"/>
        <v>0.9684920198164656</v>
      </c>
      <c r="D271" s="26" t="str">
        <f t="shared" ca="1" si="45"/>
        <v>Win</v>
      </c>
      <c r="E271" s="3">
        <f t="shared" ca="1" si="49"/>
        <v>500</v>
      </c>
      <c r="F271" s="42">
        <f t="shared" si="41"/>
        <v>1.1154691211826631E-58</v>
      </c>
      <c r="G271" s="41">
        <f>SUM(F$11:F271)</f>
        <v>1.6805203611288045E-58</v>
      </c>
      <c r="I271" s="1">
        <f t="shared" si="40"/>
        <v>261</v>
      </c>
      <c r="J271" s="3">
        <v>248000</v>
      </c>
      <c r="K271" s="3">
        <v>82000</v>
      </c>
      <c r="L271" s="3">
        <v>248000</v>
      </c>
      <c r="M271" s="30">
        <f t="shared" si="42"/>
        <v>1.48</v>
      </c>
      <c r="N271" s="1" t="str">
        <f t="shared" si="43"/>
        <v/>
      </c>
      <c r="O271" s="1" t="str">
        <f t="shared" si="44"/>
        <v/>
      </c>
    </row>
    <row r="272" spans="1:15" x14ac:dyDescent="0.25">
      <c r="A272" s="1">
        <f t="shared" si="46"/>
        <v>261</v>
      </c>
      <c r="B272" s="3">
        <f t="shared" ca="1" si="47"/>
        <v>105500</v>
      </c>
      <c r="C272" s="26">
        <f t="shared" ca="1" si="48"/>
        <v>0.91183889895142389</v>
      </c>
      <c r="D272" s="26" t="str">
        <f t="shared" ca="1" si="45"/>
        <v>Win</v>
      </c>
      <c r="E272" s="3">
        <f t="shared" ca="1" si="49"/>
        <v>500</v>
      </c>
      <c r="F272" s="42">
        <f t="shared" si="41"/>
        <v>3.2917198086974086E-58</v>
      </c>
      <c r="G272" s="41">
        <f>SUM(F$11:F272)</f>
        <v>4.9722401698262132E-58</v>
      </c>
      <c r="I272" s="1">
        <f t="shared" si="40"/>
        <v>262</v>
      </c>
      <c r="J272" s="3">
        <v>228000</v>
      </c>
      <c r="K272" s="3">
        <v>100000</v>
      </c>
      <c r="L272" s="3">
        <v>242000</v>
      </c>
      <c r="M272" s="30">
        <f t="shared" si="42"/>
        <v>1.2799999999999998</v>
      </c>
      <c r="N272" s="1" t="str">
        <f t="shared" si="43"/>
        <v/>
      </c>
      <c r="O272" s="1" t="str">
        <f t="shared" si="44"/>
        <v/>
      </c>
    </row>
    <row r="273" spans="1:15" x14ac:dyDescent="0.25">
      <c r="A273" s="1">
        <f t="shared" si="46"/>
        <v>262</v>
      </c>
      <c r="B273" s="3">
        <f t="shared" ca="1" si="47"/>
        <v>105000</v>
      </c>
      <c r="C273" s="26">
        <f t="shared" ca="1" si="48"/>
        <v>8.9637145323010481E-3</v>
      </c>
      <c r="D273" s="26" t="str">
        <f t="shared" ca="1" si="45"/>
        <v>Lose</v>
      </c>
      <c r="E273" s="3">
        <f t="shared" ca="1" si="49"/>
        <v>-500</v>
      </c>
      <c r="F273" s="42">
        <f t="shared" si="41"/>
        <v>9.6636257882844028E-58</v>
      </c>
      <c r="G273" s="41">
        <f>SUM(F$11:F273)</f>
        <v>1.4635865958110617E-57</v>
      </c>
      <c r="I273" s="1">
        <f t="shared" si="40"/>
        <v>263</v>
      </c>
      <c r="J273" s="3">
        <v>252000</v>
      </c>
      <c r="K273" s="3">
        <v>92000</v>
      </c>
      <c r="L273" s="3">
        <v>264000</v>
      </c>
      <c r="M273" s="30">
        <f t="shared" si="42"/>
        <v>1.52</v>
      </c>
      <c r="N273" s="1" t="str">
        <f t="shared" si="43"/>
        <v/>
      </c>
      <c r="O273" s="1" t="str">
        <f t="shared" si="44"/>
        <v/>
      </c>
    </row>
    <row r="274" spans="1:15" x14ac:dyDescent="0.25">
      <c r="A274" s="1">
        <f t="shared" si="46"/>
        <v>263</v>
      </c>
      <c r="B274" s="3">
        <f t="shared" ca="1" si="47"/>
        <v>105500</v>
      </c>
      <c r="C274" s="26">
        <f t="shared" ca="1" si="48"/>
        <v>0.85284605279636283</v>
      </c>
      <c r="D274" s="26" t="str">
        <f t="shared" ca="1" si="45"/>
        <v>Win</v>
      </c>
      <c r="E274" s="3">
        <f t="shared" ca="1" si="49"/>
        <v>500</v>
      </c>
      <c r="F274" s="42">
        <f t="shared" si="41"/>
        <v>2.8223756298550614E-57</v>
      </c>
      <c r="G274" s="41">
        <f>SUM(F$11:F274)</f>
        <v>4.2859622256661232E-57</v>
      </c>
      <c r="I274" s="1">
        <f t="shared" si="40"/>
        <v>264</v>
      </c>
      <c r="J274" s="3">
        <v>388000</v>
      </c>
      <c r="K274" s="3">
        <v>100000</v>
      </c>
      <c r="L274" s="3">
        <v>388000</v>
      </c>
      <c r="M274" s="30">
        <f t="shared" si="42"/>
        <v>2.88</v>
      </c>
      <c r="N274" s="1" t="str">
        <f t="shared" si="43"/>
        <v/>
      </c>
      <c r="O274" s="1" t="str">
        <f t="shared" si="44"/>
        <v/>
      </c>
    </row>
    <row r="275" spans="1:15" x14ac:dyDescent="0.25">
      <c r="A275" s="1">
        <f t="shared" si="46"/>
        <v>264</v>
      </c>
      <c r="B275" s="3">
        <f t="shared" ca="1" si="47"/>
        <v>106000</v>
      </c>
      <c r="C275" s="26">
        <f t="shared" ca="1" si="48"/>
        <v>0.69474335957370437</v>
      </c>
      <c r="D275" s="26" t="str">
        <f t="shared" ca="1" si="45"/>
        <v>Win</v>
      </c>
      <c r="E275" s="3">
        <f t="shared" ca="1" si="49"/>
        <v>500</v>
      </c>
      <c r="F275" s="42">
        <f t="shared" si="41"/>
        <v>8.200729189808903E-57</v>
      </c>
      <c r="G275" s="41">
        <f>SUM(F$11:F275)</f>
        <v>1.2486691415475027E-56</v>
      </c>
      <c r="I275" s="1">
        <f t="shared" si="40"/>
        <v>265</v>
      </c>
      <c r="J275" s="3">
        <v>288000</v>
      </c>
      <c r="K275" s="3">
        <v>94000</v>
      </c>
      <c r="L275" s="3">
        <v>294000</v>
      </c>
      <c r="M275" s="30">
        <f t="shared" si="42"/>
        <v>1.88</v>
      </c>
      <c r="N275" s="1" t="str">
        <f t="shared" si="43"/>
        <v/>
      </c>
      <c r="O275" s="1" t="str">
        <f t="shared" si="44"/>
        <v/>
      </c>
    </row>
    <row r="276" spans="1:15" x14ac:dyDescent="0.25">
      <c r="A276" s="1">
        <f t="shared" si="46"/>
        <v>265</v>
      </c>
      <c r="B276" s="3">
        <f t="shared" ca="1" si="47"/>
        <v>106500</v>
      </c>
      <c r="C276" s="26">
        <f t="shared" ca="1" si="48"/>
        <v>0.71164052555804869</v>
      </c>
      <c r="D276" s="26" t="str">
        <f t="shared" ca="1" si="45"/>
        <v>Win</v>
      </c>
      <c r="E276" s="3">
        <f t="shared" ca="1" si="49"/>
        <v>500</v>
      </c>
      <c r="F276" s="42">
        <f t="shared" si="41"/>
        <v>2.3706012388807164E-56</v>
      </c>
      <c r="G276" s="41">
        <f>SUM(F$11:F276)</f>
        <v>3.6192703804282193E-56</v>
      </c>
      <c r="I276" s="1">
        <f t="shared" si="40"/>
        <v>266</v>
      </c>
      <c r="J276" s="3">
        <v>332000</v>
      </c>
      <c r="K276" s="3">
        <v>94000</v>
      </c>
      <c r="L276" s="3">
        <v>338000</v>
      </c>
      <c r="M276" s="30">
        <f t="shared" si="42"/>
        <v>2.3199999999999998</v>
      </c>
      <c r="N276" s="1" t="str">
        <f t="shared" si="43"/>
        <v/>
      </c>
      <c r="O276" s="1" t="str">
        <f t="shared" si="44"/>
        <v/>
      </c>
    </row>
    <row r="277" spans="1:15" x14ac:dyDescent="0.25">
      <c r="A277" s="1">
        <f t="shared" si="46"/>
        <v>266</v>
      </c>
      <c r="B277" s="3">
        <f t="shared" ca="1" si="47"/>
        <v>106000</v>
      </c>
      <c r="C277" s="26">
        <f t="shared" ca="1" si="48"/>
        <v>9.3225631067911596E-2</v>
      </c>
      <c r="D277" s="26" t="str">
        <f t="shared" ca="1" si="45"/>
        <v>Lose</v>
      </c>
      <c r="E277" s="3">
        <f t="shared" ca="1" si="49"/>
        <v>-500</v>
      </c>
      <c r="F277" s="42">
        <f t="shared" si="41"/>
        <v>6.8177065704653903E-56</v>
      </c>
      <c r="G277" s="41">
        <f>SUM(F$11:F277)</f>
        <v>1.043697695089361E-55</v>
      </c>
      <c r="I277" s="1">
        <f t="shared" si="40"/>
        <v>267</v>
      </c>
      <c r="J277" s="3">
        <v>344000</v>
      </c>
      <c r="K277" s="3">
        <v>100000</v>
      </c>
      <c r="L277" s="3">
        <v>352000</v>
      </c>
      <c r="M277" s="30">
        <f t="shared" si="42"/>
        <v>2.44</v>
      </c>
      <c r="N277" s="1" t="str">
        <f t="shared" si="43"/>
        <v/>
      </c>
      <c r="O277" s="1" t="str">
        <f t="shared" si="44"/>
        <v/>
      </c>
    </row>
    <row r="278" spans="1:15" x14ac:dyDescent="0.25">
      <c r="A278" s="1">
        <f t="shared" si="46"/>
        <v>267</v>
      </c>
      <c r="B278" s="3">
        <f t="shared" ca="1" si="47"/>
        <v>106500</v>
      </c>
      <c r="C278" s="26">
        <f t="shared" ca="1" si="48"/>
        <v>0.63994191973670878</v>
      </c>
      <c r="D278" s="26" t="str">
        <f t="shared" ca="1" si="45"/>
        <v>Win</v>
      </c>
      <c r="E278" s="3">
        <f t="shared" ca="1" si="49"/>
        <v>500</v>
      </c>
      <c r="F278" s="42">
        <f t="shared" si="41"/>
        <v>1.9507301670779989E-55</v>
      </c>
      <c r="G278" s="41">
        <f>SUM(F$11:F278)</f>
        <v>2.99442786216736E-55</v>
      </c>
      <c r="I278" s="1">
        <f t="shared" si="40"/>
        <v>268</v>
      </c>
      <c r="J278" s="3">
        <v>244000</v>
      </c>
      <c r="K278" s="3">
        <v>90000</v>
      </c>
      <c r="L278" s="3">
        <v>264000</v>
      </c>
      <c r="M278" s="30">
        <f t="shared" si="42"/>
        <v>1.44</v>
      </c>
      <c r="N278" s="1" t="str">
        <f t="shared" si="43"/>
        <v/>
      </c>
      <c r="O278" s="1" t="str">
        <f t="shared" si="44"/>
        <v/>
      </c>
    </row>
    <row r="279" spans="1:15" x14ac:dyDescent="0.25">
      <c r="A279" s="1">
        <f t="shared" si="46"/>
        <v>268</v>
      </c>
      <c r="B279" s="3">
        <f t="shared" ca="1" si="47"/>
        <v>107000</v>
      </c>
      <c r="C279" s="26">
        <f t="shared" ca="1" si="48"/>
        <v>0.9439626126054943</v>
      </c>
      <c r="D279" s="26" t="str">
        <f t="shared" ca="1" si="45"/>
        <v>Win</v>
      </c>
      <c r="E279" s="3">
        <f t="shared" ca="1" si="49"/>
        <v>500</v>
      </c>
      <c r="F279" s="42">
        <f t="shared" si="41"/>
        <v>5.5531637097071678E-55</v>
      </c>
      <c r="G279" s="41">
        <f>SUM(F$11:F279)</f>
        <v>8.5475915718745285E-55</v>
      </c>
      <c r="I279" s="1">
        <f t="shared" si="40"/>
        <v>269</v>
      </c>
      <c r="J279" s="3">
        <v>312000</v>
      </c>
      <c r="K279" s="3">
        <v>98000</v>
      </c>
      <c r="L279" s="3">
        <v>312000</v>
      </c>
      <c r="M279" s="30">
        <f t="shared" si="42"/>
        <v>2.12</v>
      </c>
      <c r="N279" s="1" t="str">
        <f t="shared" si="43"/>
        <v/>
      </c>
      <c r="O279" s="1" t="str">
        <f t="shared" si="44"/>
        <v/>
      </c>
    </row>
    <row r="280" spans="1:15" x14ac:dyDescent="0.25">
      <c r="A280" s="1">
        <f t="shared" si="46"/>
        <v>269</v>
      </c>
      <c r="B280" s="3">
        <f t="shared" ca="1" si="47"/>
        <v>107500</v>
      </c>
      <c r="C280" s="26">
        <f t="shared" ca="1" si="48"/>
        <v>0.63261609922889683</v>
      </c>
      <c r="D280" s="26" t="str">
        <f t="shared" ca="1" si="45"/>
        <v>Win</v>
      </c>
      <c r="E280" s="3">
        <f t="shared" ca="1" si="49"/>
        <v>500</v>
      </c>
      <c r="F280" s="42">
        <f t="shared" si="41"/>
        <v>1.5727995418466012E-54</v>
      </c>
      <c r="G280" s="41">
        <f>SUM(F$11:F280)</f>
        <v>2.427558699034054E-54</v>
      </c>
      <c r="I280" s="1">
        <f t="shared" si="40"/>
        <v>270</v>
      </c>
      <c r="J280" s="3">
        <v>292000</v>
      </c>
      <c r="K280" s="3">
        <v>92000</v>
      </c>
      <c r="L280" s="3">
        <v>294000</v>
      </c>
      <c r="M280" s="30">
        <f t="shared" si="42"/>
        <v>1.92</v>
      </c>
      <c r="N280" s="1" t="str">
        <f t="shared" si="43"/>
        <v/>
      </c>
      <c r="O280" s="1" t="str">
        <f t="shared" si="44"/>
        <v/>
      </c>
    </row>
    <row r="281" spans="1:15" x14ac:dyDescent="0.25">
      <c r="A281" s="1">
        <f t="shared" si="46"/>
        <v>270</v>
      </c>
      <c r="B281" s="3">
        <f t="shared" ca="1" si="47"/>
        <v>107000</v>
      </c>
      <c r="C281" s="26">
        <f t="shared" ca="1" si="48"/>
        <v>0.19266028162657145</v>
      </c>
      <c r="D281" s="26" t="str">
        <f t="shared" ca="1" si="45"/>
        <v>Lose</v>
      </c>
      <c r="E281" s="3">
        <f t="shared" ca="1" si="49"/>
        <v>-500</v>
      </c>
      <c r="F281" s="42">
        <f t="shared" si="41"/>
        <v>4.4320135842464788E-54</v>
      </c>
      <c r="G281" s="41">
        <f>SUM(F$11:F281)</f>
        <v>6.8595722832805329E-54</v>
      </c>
      <c r="I281" s="1">
        <f t="shared" si="40"/>
        <v>271</v>
      </c>
      <c r="J281" s="3">
        <v>244000</v>
      </c>
      <c r="K281" s="3">
        <v>100000</v>
      </c>
      <c r="L281" s="3">
        <v>254000</v>
      </c>
      <c r="M281" s="30">
        <f t="shared" si="42"/>
        <v>1.44</v>
      </c>
      <c r="N281" s="1" t="str">
        <f t="shared" si="43"/>
        <v/>
      </c>
      <c r="O281" s="1" t="str">
        <f t="shared" si="44"/>
        <v/>
      </c>
    </row>
    <row r="282" spans="1:15" x14ac:dyDescent="0.25">
      <c r="A282" s="1">
        <f t="shared" si="46"/>
        <v>271</v>
      </c>
      <c r="B282" s="3">
        <f t="shared" ca="1" si="47"/>
        <v>107500</v>
      </c>
      <c r="C282" s="26">
        <f t="shared" ca="1" si="48"/>
        <v>0.85738575141936901</v>
      </c>
      <c r="D282" s="26" t="str">
        <f t="shared" ca="1" si="45"/>
        <v>Win</v>
      </c>
      <c r="E282" s="3">
        <f t="shared" ca="1" si="49"/>
        <v>500</v>
      </c>
      <c r="F282" s="42">
        <f t="shared" si="41"/>
        <v>1.2425925577339801E-53</v>
      </c>
      <c r="G282" s="41">
        <f>SUM(F$11:F282)</f>
        <v>1.9285497860620335E-53</v>
      </c>
      <c r="I282" s="1">
        <f t="shared" si="40"/>
        <v>272</v>
      </c>
      <c r="J282" s="3">
        <v>240000</v>
      </c>
      <c r="K282" s="3">
        <v>84000</v>
      </c>
      <c r="L282" s="3">
        <v>252000</v>
      </c>
      <c r="M282" s="30">
        <f t="shared" si="42"/>
        <v>1.4</v>
      </c>
      <c r="N282" s="1" t="str">
        <f t="shared" si="43"/>
        <v/>
      </c>
      <c r="O282" s="1" t="str">
        <f t="shared" si="44"/>
        <v/>
      </c>
    </row>
    <row r="283" spans="1:15" x14ac:dyDescent="0.25">
      <c r="A283" s="1">
        <f t="shared" si="46"/>
        <v>272</v>
      </c>
      <c r="B283" s="3">
        <f t="shared" ca="1" si="47"/>
        <v>108000</v>
      </c>
      <c r="C283" s="26">
        <f t="shared" ca="1" si="48"/>
        <v>0.63951587145681199</v>
      </c>
      <c r="D283" s="26" t="str">
        <f t="shared" ca="1" si="45"/>
        <v>Win</v>
      </c>
      <c r="E283" s="3">
        <f t="shared" ca="1" si="49"/>
        <v>500</v>
      </c>
      <c r="F283" s="42">
        <f t="shared" si="41"/>
        <v>3.4662626578627323E-53</v>
      </c>
      <c r="G283" s="41">
        <f>SUM(F$11:F283)</f>
        <v>5.3948124439247663E-53</v>
      </c>
      <c r="I283" s="1">
        <f t="shared" si="40"/>
        <v>273</v>
      </c>
      <c r="J283" s="3">
        <v>264000</v>
      </c>
      <c r="K283" s="3">
        <v>84000</v>
      </c>
      <c r="L283" s="3">
        <v>266000</v>
      </c>
      <c r="M283" s="30">
        <f t="shared" si="42"/>
        <v>1.6400000000000001</v>
      </c>
      <c r="N283" s="1" t="str">
        <f t="shared" si="43"/>
        <v/>
      </c>
      <c r="O283" s="1" t="str">
        <f t="shared" si="44"/>
        <v/>
      </c>
    </row>
    <row r="284" spans="1:15" x14ac:dyDescent="0.25">
      <c r="A284" s="1">
        <f t="shared" si="46"/>
        <v>273</v>
      </c>
      <c r="B284" s="3">
        <f t="shared" ca="1" si="47"/>
        <v>107500</v>
      </c>
      <c r="C284" s="26">
        <f t="shared" ca="1" si="48"/>
        <v>0.14103666179142027</v>
      </c>
      <c r="D284" s="26" t="str">
        <f t="shared" ca="1" si="45"/>
        <v>Lose</v>
      </c>
      <c r="E284" s="3">
        <f t="shared" ca="1" si="49"/>
        <v>-500</v>
      </c>
      <c r="F284" s="42">
        <f t="shared" si="41"/>
        <v>9.6206473769243398E-53</v>
      </c>
      <c r="G284" s="41">
        <f>SUM(F$11:F284)</f>
        <v>1.5015459820849106E-52</v>
      </c>
      <c r="I284" s="1">
        <f t="shared" si="40"/>
        <v>274</v>
      </c>
      <c r="J284" s="3">
        <v>296000</v>
      </c>
      <c r="K284" s="3">
        <v>86000</v>
      </c>
      <c r="L284" s="3">
        <v>306000</v>
      </c>
      <c r="M284" s="30">
        <f t="shared" si="42"/>
        <v>1.96</v>
      </c>
      <c r="N284" s="1" t="str">
        <f t="shared" si="43"/>
        <v/>
      </c>
      <c r="O284" s="1" t="str">
        <f t="shared" si="44"/>
        <v/>
      </c>
    </row>
    <row r="285" spans="1:15" x14ac:dyDescent="0.25">
      <c r="A285" s="1">
        <f t="shared" si="46"/>
        <v>274</v>
      </c>
      <c r="B285" s="3">
        <f t="shared" ca="1" si="47"/>
        <v>108000</v>
      </c>
      <c r="C285" s="26">
        <f t="shared" ca="1" si="48"/>
        <v>0.59182273673276897</v>
      </c>
      <c r="D285" s="26" t="str">
        <f t="shared" ca="1" si="45"/>
        <v>Win</v>
      </c>
      <c r="E285" s="3">
        <f t="shared" ca="1" si="49"/>
        <v>500</v>
      </c>
      <c r="F285" s="42">
        <f t="shared" si="41"/>
        <v>2.6568206673189532E-52</v>
      </c>
      <c r="G285" s="41">
        <f>SUM(F$11:F285)</f>
        <v>4.1583666494038641E-52</v>
      </c>
      <c r="I285" s="1">
        <f t="shared" si="40"/>
        <v>275</v>
      </c>
      <c r="J285" s="3">
        <v>324000</v>
      </c>
      <c r="K285" s="3">
        <v>90000</v>
      </c>
      <c r="L285" s="3">
        <v>358000</v>
      </c>
      <c r="M285" s="30">
        <f t="shared" si="42"/>
        <v>2.2400000000000002</v>
      </c>
      <c r="N285" s="1" t="str">
        <f t="shared" si="43"/>
        <v/>
      </c>
      <c r="O285" s="1" t="str">
        <f t="shared" si="44"/>
        <v/>
      </c>
    </row>
    <row r="286" spans="1:15" x14ac:dyDescent="0.25">
      <c r="A286" s="1">
        <f t="shared" si="46"/>
        <v>275</v>
      </c>
      <c r="B286" s="3">
        <f t="shared" ca="1" si="47"/>
        <v>108500</v>
      </c>
      <c r="C286" s="26">
        <f t="shared" ca="1" si="48"/>
        <v>0.96650228179767261</v>
      </c>
      <c r="D286" s="26" t="str">
        <f t="shared" ca="1" si="45"/>
        <v>Win</v>
      </c>
      <c r="E286" s="3">
        <f t="shared" ca="1" si="49"/>
        <v>500</v>
      </c>
      <c r="F286" s="42">
        <f t="shared" si="41"/>
        <v>7.3002925438330239E-52</v>
      </c>
      <c r="G286" s="41">
        <f>SUM(F$11:F286)</f>
        <v>1.1458659193236888E-51</v>
      </c>
      <c r="I286" s="1">
        <f t="shared" si="40"/>
        <v>276</v>
      </c>
      <c r="J286" s="3">
        <v>268000</v>
      </c>
      <c r="K286" s="3">
        <v>82000</v>
      </c>
      <c r="L286" s="3">
        <v>278000</v>
      </c>
      <c r="M286" s="30">
        <f t="shared" si="42"/>
        <v>1.6800000000000002</v>
      </c>
      <c r="N286" s="1" t="str">
        <f t="shared" si="43"/>
        <v/>
      </c>
      <c r="O286" s="1" t="str">
        <f t="shared" si="44"/>
        <v/>
      </c>
    </row>
    <row r="287" spans="1:15" x14ac:dyDescent="0.25">
      <c r="A287" s="1">
        <f t="shared" si="46"/>
        <v>276</v>
      </c>
      <c r="B287" s="3">
        <f t="shared" ca="1" si="47"/>
        <v>108000</v>
      </c>
      <c r="C287" s="26">
        <f t="shared" ca="1" si="48"/>
        <v>0.2685224754111567</v>
      </c>
      <c r="D287" s="26" t="str">
        <f t="shared" ca="1" si="45"/>
        <v>Lose</v>
      </c>
      <c r="E287" s="3">
        <f t="shared" ca="1" si="49"/>
        <v>-500</v>
      </c>
      <c r="F287" s="42">
        <f t="shared" si="41"/>
        <v>1.9959207099099263E-51</v>
      </c>
      <c r="G287" s="41">
        <f>SUM(F$11:F287)</f>
        <v>3.1417866292336152E-51</v>
      </c>
      <c r="I287" s="1">
        <f t="shared" si="40"/>
        <v>277</v>
      </c>
      <c r="J287" s="3">
        <v>260000</v>
      </c>
      <c r="K287" s="3">
        <v>92000</v>
      </c>
      <c r="L287" s="3">
        <v>264000</v>
      </c>
      <c r="M287" s="30">
        <f t="shared" si="42"/>
        <v>1.6</v>
      </c>
      <c r="N287" s="1" t="str">
        <f t="shared" si="43"/>
        <v/>
      </c>
      <c r="O287" s="1" t="str">
        <f t="shared" si="44"/>
        <v/>
      </c>
    </row>
    <row r="288" spans="1:15" x14ac:dyDescent="0.25">
      <c r="A288" s="1">
        <f t="shared" si="46"/>
        <v>277</v>
      </c>
      <c r="B288" s="3">
        <f t="shared" ca="1" si="47"/>
        <v>107500</v>
      </c>
      <c r="C288" s="26">
        <f t="shared" ca="1" si="48"/>
        <v>0.19745938735896684</v>
      </c>
      <c r="D288" s="26" t="str">
        <f t="shared" ca="1" si="45"/>
        <v>Lose</v>
      </c>
      <c r="E288" s="3">
        <f t="shared" ca="1" si="49"/>
        <v>-500</v>
      </c>
      <c r="F288" s="42">
        <f t="shared" si="41"/>
        <v>5.4297042873878836E-51</v>
      </c>
      <c r="G288" s="41">
        <f>SUM(F$11:F288)</f>
        <v>8.5714909166214988E-51</v>
      </c>
      <c r="I288" s="1">
        <f t="shared" si="40"/>
        <v>278</v>
      </c>
      <c r="J288" s="3">
        <v>324000</v>
      </c>
      <c r="K288" s="3">
        <v>90000</v>
      </c>
      <c r="L288" s="3">
        <v>338000</v>
      </c>
      <c r="M288" s="30">
        <f t="shared" si="42"/>
        <v>2.2400000000000002</v>
      </c>
      <c r="N288" s="1" t="str">
        <f t="shared" si="43"/>
        <v/>
      </c>
      <c r="O288" s="1" t="str">
        <f t="shared" si="44"/>
        <v/>
      </c>
    </row>
    <row r="289" spans="1:15" x14ac:dyDescent="0.25">
      <c r="A289" s="1">
        <f t="shared" si="46"/>
        <v>278</v>
      </c>
      <c r="B289" s="3">
        <f t="shared" ca="1" si="47"/>
        <v>108000</v>
      </c>
      <c r="C289" s="26">
        <f t="shared" ca="1" si="48"/>
        <v>0.79539114209842099</v>
      </c>
      <c r="D289" s="26" t="str">
        <f t="shared" ca="1" si="45"/>
        <v>Win</v>
      </c>
      <c r="E289" s="3">
        <f t="shared" ca="1" si="49"/>
        <v>500</v>
      </c>
      <c r="F289" s="42">
        <f t="shared" si="41"/>
        <v>1.4697510364767279E-50</v>
      </c>
      <c r="G289" s="41">
        <f>SUM(F$11:F289)</f>
        <v>2.3269001281388779E-50</v>
      </c>
      <c r="I289" s="1">
        <f t="shared" si="40"/>
        <v>279</v>
      </c>
      <c r="J289" s="3">
        <v>440000</v>
      </c>
      <c r="K289" s="3">
        <v>98000</v>
      </c>
      <c r="L289" s="3">
        <v>446000</v>
      </c>
      <c r="M289" s="30">
        <f t="shared" si="42"/>
        <v>3.4000000000000004</v>
      </c>
      <c r="N289" s="1" t="str">
        <f t="shared" si="43"/>
        <v/>
      </c>
      <c r="O289" s="1" t="str">
        <f t="shared" si="44"/>
        <v/>
      </c>
    </row>
    <row r="290" spans="1:15" x14ac:dyDescent="0.25">
      <c r="A290" s="1">
        <f t="shared" si="46"/>
        <v>279</v>
      </c>
      <c r="B290" s="3">
        <f t="shared" ca="1" si="47"/>
        <v>107500</v>
      </c>
      <c r="C290" s="26">
        <f t="shared" ca="1" si="48"/>
        <v>0.2811273777535076</v>
      </c>
      <c r="D290" s="26" t="str">
        <f t="shared" ca="1" si="45"/>
        <v>Lose</v>
      </c>
      <c r="E290" s="3">
        <f t="shared" ca="1" si="49"/>
        <v>-500</v>
      </c>
      <c r="F290" s="42">
        <f t="shared" si="41"/>
        <v>3.9586842707294686E-50</v>
      </c>
      <c r="G290" s="41">
        <f>SUM(F$11:F290)</f>
        <v>6.2855843988683465E-50</v>
      </c>
      <c r="I290" s="1">
        <f t="shared" si="40"/>
        <v>280</v>
      </c>
      <c r="J290" s="3">
        <v>288000</v>
      </c>
      <c r="K290" s="3">
        <v>96000</v>
      </c>
      <c r="L290" s="3">
        <v>290000</v>
      </c>
      <c r="M290" s="30">
        <f t="shared" si="42"/>
        <v>1.88</v>
      </c>
      <c r="N290" s="1" t="str">
        <f t="shared" si="43"/>
        <v/>
      </c>
      <c r="O290" s="1" t="str">
        <f t="shared" si="44"/>
        <v/>
      </c>
    </row>
    <row r="291" spans="1:15" x14ac:dyDescent="0.25">
      <c r="A291" s="1">
        <f t="shared" si="46"/>
        <v>280</v>
      </c>
      <c r="B291" s="3">
        <f t="shared" ca="1" si="47"/>
        <v>107000</v>
      </c>
      <c r="C291" s="26">
        <f t="shared" ca="1" si="48"/>
        <v>0.3359711263461147</v>
      </c>
      <c r="D291" s="26" t="str">
        <f t="shared" ca="1" si="45"/>
        <v>Lose</v>
      </c>
      <c r="E291" s="3">
        <f t="shared" ca="1" si="49"/>
        <v>-500</v>
      </c>
      <c r="F291" s="42">
        <f t="shared" si="41"/>
        <v>1.0609677792929669E-49</v>
      </c>
      <c r="G291" s="41">
        <f>SUM(F$11:F291)</f>
        <v>1.6895262191798016E-49</v>
      </c>
      <c r="I291" s="1">
        <f t="shared" si="40"/>
        <v>281</v>
      </c>
      <c r="J291" s="3">
        <v>332000</v>
      </c>
      <c r="K291" s="3">
        <v>96000</v>
      </c>
      <c r="L291" s="3">
        <v>354000</v>
      </c>
      <c r="M291" s="30">
        <f t="shared" si="42"/>
        <v>2.3199999999999998</v>
      </c>
      <c r="N291" s="1" t="str">
        <f t="shared" si="43"/>
        <v/>
      </c>
      <c r="O291" s="1" t="str">
        <f t="shared" si="44"/>
        <v/>
      </c>
    </row>
    <row r="292" spans="1:15" x14ac:dyDescent="0.25">
      <c r="A292" s="1">
        <f t="shared" si="46"/>
        <v>281</v>
      </c>
      <c r="B292" s="3">
        <f t="shared" ca="1" si="47"/>
        <v>106500</v>
      </c>
      <c r="C292" s="26">
        <f t="shared" ca="1" si="48"/>
        <v>2.2834709842967094E-4</v>
      </c>
      <c r="D292" s="26" t="str">
        <f t="shared" ca="1" si="45"/>
        <v>Lose</v>
      </c>
      <c r="E292" s="3">
        <f t="shared" ca="1" si="49"/>
        <v>-500</v>
      </c>
      <c r="F292" s="42">
        <f t="shared" si="41"/>
        <v>2.829452890960578E-49</v>
      </c>
      <c r="G292" s="41">
        <f>SUM(F$11:F292)</f>
        <v>4.5189791101403793E-49</v>
      </c>
      <c r="I292" s="1">
        <f t="shared" si="40"/>
        <v>282</v>
      </c>
      <c r="J292" s="3">
        <v>324000</v>
      </c>
      <c r="K292" s="3">
        <v>78000</v>
      </c>
      <c r="L292" s="3">
        <v>330000</v>
      </c>
      <c r="M292" s="30">
        <f t="shared" si="42"/>
        <v>2.2400000000000002</v>
      </c>
      <c r="N292" s="1" t="str">
        <f t="shared" si="43"/>
        <v/>
      </c>
      <c r="O292" s="1" t="str">
        <f t="shared" si="44"/>
        <v/>
      </c>
    </row>
    <row r="293" spans="1:15" x14ac:dyDescent="0.25">
      <c r="A293" s="1">
        <f t="shared" si="46"/>
        <v>282</v>
      </c>
      <c r="B293" s="3">
        <f t="shared" ca="1" si="47"/>
        <v>106000</v>
      </c>
      <c r="C293" s="26">
        <f t="shared" ca="1" si="48"/>
        <v>0.37218236315391362</v>
      </c>
      <c r="D293" s="26" t="str">
        <f t="shared" ca="1" si="45"/>
        <v>Lose</v>
      </c>
      <c r="E293" s="3">
        <f t="shared" ca="1" si="49"/>
        <v>-500</v>
      </c>
      <c r="F293" s="42">
        <f t="shared" si="41"/>
        <v>7.508554643120321E-49</v>
      </c>
      <c r="G293" s="41">
        <f>SUM(F$11:F293)</f>
        <v>1.20275337532607E-48</v>
      </c>
      <c r="I293" s="1">
        <f t="shared" si="40"/>
        <v>283</v>
      </c>
      <c r="J293" s="3">
        <v>296000</v>
      </c>
      <c r="K293" s="3">
        <v>94000</v>
      </c>
      <c r="L293" s="3">
        <v>296000</v>
      </c>
      <c r="M293" s="30">
        <f t="shared" si="42"/>
        <v>1.96</v>
      </c>
      <c r="N293" s="1" t="str">
        <f t="shared" si="43"/>
        <v/>
      </c>
      <c r="O293" s="1" t="str">
        <f t="shared" si="44"/>
        <v/>
      </c>
    </row>
    <row r="294" spans="1:15" x14ac:dyDescent="0.25">
      <c r="A294" s="1">
        <f t="shared" si="46"/>
        <v>283</v>
      </c>
      <c r="B294" s="3">
        <f t="shared" ca="1" si="47"/>
        <v>105500</v>
      </c>
      <c r="C294" s="26">
        <f t="shared" ca="1" si="48"/>
        <v>0.39033996147596139</v>
      </c>
      <c r="D294" s="26" t="str">
        <f t="shared" ca="1" si="45"/>
        <v>Lose</v>
      </c>
      <c r="E294" s="3">
        <f t="shared" ca="1" si="49"/>
        <v>-500</v>
      </c>
      <c r="F294" s="42">
        <f t="shared" si="41"/>
        <v>1.9827522457761398E-48</v>
      </c>
      <c r="G294" s="41">
        <f>SUM(F$11:F294)</f>
        <v>3.1855056211022097E-48</v>
      </c>
      <c r="I294" s="1">
        <f t="shared" si="40"/>
        <v>284</v>
      </c>
      <c r="J294" s="3">
        <v>320000</v>
      </c>
      <c r="K294" s="3">
        <v>90000</v>
      </c>
      <c r="L294" s="3">
        <v>330000</v>
      </c>
      <c r="M294" s="30">
        <f t="shared" si="42"/>
        <v>2.2000000000000002</v>
      </c>
      <c r="N294" s="1" t="str">
        <f t="shared" si="43"/>
        <v/>
      </c>
      <c r="O294" s="1" t="str">
        <f t="shared" si="44"/>
        <v/>
      </c>
    </row>
    <row r="295" spans="1:15" x14ac:dyDescent="0.25">
      <c r="A295" s="1">
        <f t="shared" si="46"/>
        <v>284</v>
      </c>
      <c r="B295" s="3">
        <f t="shared" ca="1" si="47"/>
        <v>105000</v>
      </c>
      <c r="C295" s="26">
        <f t="shared" ca="1" si="48"/>
        <v>0.31061663594345013</v>
      </c>
      <c r="D295" s="26" t="str">
        <f t="shared" ca="1" si="45"/>
        <v>Lose</v>
      </c>
      <c r="E295" s="3">
        <f t="shared" ca="1" si="49"/>
        <v>-500</v>
      </c>
      <c r="F295" s="42">
        <f t="shared" si="41"/>
        <v>5.2100676466869358E-48</v>
      </c>
      <c r="G295" s="41">
        <f>SUM(F$11:F295)</f>
        <v>8.3955732677891448E-48</v>
      </c>
      <c r="I295" s="1">
        <f t="shared" si="40"/>
        <v>285</v>
      </c>
      <c r="J295" s="3">
        <v>368000</v>
      </c>
      <c r="K295" s="3">
        <v>100000</v>
      </c>
      <c r="L295" s="3">
        <v>370000</v>
      </c>
      <c r="M295" s="30">
        <f t="shared" si="42"/>
        <v>2.68</v>
      </c>
      <c r="N295" s="1" t="str">
        <f t="shared" si="43"/>
        <v/>
      </c>
      <c r="O295" s="1" t="str">
        <f t="shared" si="44"/>
        <v/>
      </c>
    </row>
    <row r="296" spans="1:15" x14ac:dyDescent="0.25">
      <c r="A296" s="1">
        <f t="shared" si="46"/>
        <v>285</v>
      </c>
      <c r="B296" s="3">
        <f t="shared" ca="1" si="47"/>
        <v>104500</v>
      </c>
      <c r="C296" s="26">
        <f t="shared" ca="1" si="48"/>
        <v>0.32760453540801271</v>
      </c>
      <c r="D296" s="26" t="str">
        <f t="shared" ca="1" si="45"/>
        <v>Lose</v>
      </c>
      <c r="E296" s="3">
        <f t="shared" ca="1" si="49"/>
        <v>-500</v>
      </c>
      <c r="F296" s="42">
        <f t="shared" si="41"/>
        <v>1.3623403522121343E-47</v>
      </c>
      <c r="G296" s="41">
        <f>SUM(F$11:F296)</f>
        <v>2.2018976789910488E-47</v>
      </c>
      <c r="I296" s="1">
        <f t="shared" si="40"/>
        <v>286</v>
      </c>
      <c r="J296" s="3">
        <v>304000</v>
      </c>
      <c r="K296" s="3">
        <v>74000</v>
      </c>
      <c r="L296" s="3">
        <v>308000</v>
      </c>
      <c r="M296" s="30">
        <f t="shared" si="42"/>
        <v>2.04</v>
      </c>
      <c r="N296" s="1" t="str">
        <f t="shared" si="43"/>
        <v/>
      </c>
      <c r="O296" s="1" t="str">
        <f t="shared" si="44"/>
        <v/>
      </c>
    </row>
    <row r="297" spans="1:15" x14ac:dyDescent="0.25">
      <c r="A297" s="1">
        <f t="shared" si="46"/>
        <v>286</v>
      </c>
      <c r="B297" s="3">
        <f t="shared" ca="1" si="47"/>
        <v>105000</v>
      </c>
      <c r="C297" s="26">
        <f t="shared" ca="1" si="48"/>
        <v>0.58997835058772496</v>
      </c>
      <c r="D297" s="26" t="str">
        <f t="shared" ca="1" si="45"/>
        <v>Win</v>
      </c>
      <c r="E297" s="3">
        <f t="shared" ca="1" si="49"/>
        <v>500</v>
      </c>
      <c r="F297" s="42">
        <f t="shared" si="41"/>
        <v>3.5448652021846791E-47</v>
      </c>
      <c r="G297" s="41">
        <f>SUM(F$11:F297)</f>
        <v>5.7467628811757279E-47</v>
      </c>
      <c r="I297" s="1">
        <f t="shared" si="40"/>
        <v>287</v>
      </c>
      <c r="J297" s="3">
        <v>300000</v>
      </c>
      <c r="K297" s="3">
        <v>92000</v>
      </c>
      <c r="L297" s="3">
        <v>300000</v>
      </c>
      <c r="M297" s="30">
        <f t="shared" si="42"/>
        <v>2</v>
      </c>
      <c r="N297" s="1" t="str">
        <f t="shared" si="43"/>
        <v/>
      </c>
      <c r="O297" s="1" t="str">
        <f t="shared" si="44"/>
        <v/>
      </c>
    </row>
    <row r="298" spans="1:15" x14ac:dyDescent="0.25">
      <c r="A298" s="1">
        <f t="shared" si="46"/>
        <v>287</v>
      </c>
      <c r="B298" s="3">
        <f t="shared" ca="1" si="47"/>
        <v>104500</v>
      </c>
      <c r="C298" s="26">
        <f t="shared" ca="1" si="48"/>
        <v>0.34711975550888108</v>
      </c>
      <c r="D298" s="26" t="str">
        <f t="shared" ca="1" si="45"/>
        <v>Lose</v>
      </c>
      <c r="E298" s="3">
        <f t="shared" ca="1" si="49"/>
        <v>-500</v>
      </c>
      <c r="F298" s="42">
        <f t="shared" si="41"/>
        <v>9.1788893886335332E-47</v>
      </c>
      <c r="G298" s="41">
        <f>SUM(F$11:F298)</f>
        <v>1.4925652269809261E-46</v>
      </c>
      <c r="I298" s="1">
        <f t="shared" si="40"/>
        <v>288</v>
      </c>
      <c r="J298" s="3">
        <v>208000</v>
      </c>
      <c r="K298" s="3">
        <v>98000</v>
      </c>
      <c r="L298" s="3">
        <v>218000</v>
      </c>
      <c r="M298" s="30">
        <f t="shared" si="42"/>
        <v>1.08</v>
      </c>
      <c r="N298" s="1" t="str">
        <f t="shared" si="43"/>
        <v/>
      </c>
      <c r="O298" s="1" t="str">
        <f t="shared" si="44"/>
        <v/>
      </c>
    </row>
    <row r="299" spans="1:15" x14ac:dyDescent="0.25">
      <c r="A299" s="1">
        <f t="shared" si="46"/>
        <v>288</v>
      </c>
      <c r="B299" s="3">
        <f t="shared" ca="1" si="47"/>
        <v>104000</v>
      </c>
      <c r="C299" s="26">
        <f t="shared" ca="1" si="48"/>
        <v>0.14599194345239497</v>
      </c>
      <c r="D299" s="26" t="str">
        <f t="shared" ca="1" si="45"/>
        <v>Lose</v>
      </c>
      <c r="E299" s="3">
        <f t="shared" ca="1" si="49"/>
        <v>-500</v>
      </c>
      <c r="F299" s="42">
        <f t="shared" si="41"/>
        <v>2.3651640790736321E-46</v>
      </c>
      <c r="G299" s="41">
        <f>SUM(F$11:F299)</f>
        <v>3.8577293060545584E-46</v>
      </c>
      <c r="I299" s="1">
        <f t="shared" si="40"/>
        <v>289</v>
      </c>
      <c r="J299" s="3">
        <v>204000</v>
      </c>
      <c r="K299" s="3">
        <v>94000</v>
      </c>
      <c r="L299" s="3">
        <v>218000</v>
      </c>
      <c r="M299" s="30">
        <f t="shared" si="42"/>
        <v>1.04</v>
      </c>
      <c r="N299" s="1" t="str">
        <f t="shared" si="43"/>
        <v/>
      </c>
      <c r="O299" s="1" t="str">
        <f t="shared" si="44"/>
        <v/>
      </c>
    </row>
    <row r="300" spans="1:15" x14ac:dyDescent="0.25">
      <c r="A300" s="1">
        <f t="shared" si="46"/>
        <v>289</v>
      </c>
      <c r="B300" s="3">
        <f t="shared" ca="1" si="47"/>
        <v>103500</v>
      </c>
      <c r="C300" s="26">
        <f t="shared" ca="1" si="48"/>
        <v>1.4073138553151177E-2</v>
      </c>
      <c r="D300" s="26" t="str">
        <f t="shared" ca="1" si="45"/>
        <v>Lose</v>
      </c>
      <c r="E300" s="3">
        <f t="shared" ca="1" si="49"/>
        <v>-500</v>
      </c>
      <c r="F300" s="42">
        <f t="shared" si="41"/>
        <v>6.0648144932790309E-46</v>
      </c>
      <c r="G300" s="41">
        <f>SUM(F$11:F300)</f>
        <v>9.92254379933359E-46</v>
      </c>
      <c r="I300" s="1">
        <f t="shared" si="40"/>
        <v>290</v>
      </c>
      <c r="J300" s="3">
        <v>248000</v>
      </c>
      <c r="K300" s="3">
        <v>92000</v>
      </c>
      <c r="L300" s="3">
        <v>278000</v>
      </c>
      <c r="M300" s="30">
        <f t="shared" si="42"/>
        <v>1.48</v>
      </c>
      <c r="N300" s="1" t="str">
        <f t="shared" si="43"/>
        <v/>
      </c>
      <c r="O300" s="1" t="str">
        <f t="shared" si="44"/>
        <v/>
      </c>
    </row>
    <row r="301" spans="1:15" x14ac:dyDescent="0.25">
      <c r="A301" s="1">
        <f t="shared" si="46"/>
        <v>290</v>
      </c>
      <c r="B301" s="3">
        <f t="shared" ca="1" si="47"/>
        <v>103000</v>
      </c>
      <c r="C301" s="26">
        <f t="shared" ca="1" si="48"/>
        <v>0.45241099370530757</v>
      </c>
      <c r="D301" s="26" t="str">
        <f t="shared" ca="1" si="45"/>
        <v>Lose</v>
      </c>
      <c r="E301" s="3">
        <f t="shared" ca="1" si="49"/>
        <v>-500</v>
      </c>
      <c r="F301" s="42">
        <f t="shared" si="41"/>
        <v>1.5476160333624449E-45</v>
      </c>
      <c r="G301" s="41">
        <f>SUM(F$11:F301)</f>
        <v>2.5398704132958039E-45</v>
      </c>
      <c r="I301" s="1">
        <f t="shared" si="40"/>
        <v>291</v>
      </c>
      <c r="J301" s="3">
        <v>404000</v>
      </c>
      <c r="K301" s="3">
        <v>98000</v>
      </c>
      <c r="L301" s="3">
        <v>406000</v>
      </c>
      <c r="M301" s="30">
        <f t="shared" si="42"/>
        <v>3.04</v>
      </c>
      <c r="N301" s="1" t="str">
        <f t="shared" si="43"/>
        <v/>
      </c>
      <c r="O301" s="1" t="str">
        <f t="shared" si="44"/>
        <v/>
      </c>
    </row>
    <row r="302" spans="1:15" x14ac:dyDescent="0.25">
      <c r="A302" s="1">
        <f t="shared" si="46"/>
        <v>291</v>
      </c>
      <c r="B302" s="3">
        <f t="shared" ca="1" si="47"/>
        <v>103500</v>
      </c>
      <c r="C302" s="26">
        <f t="shared" ca="1" si="48"/>
        <v>0.74076199492428141</v>
      </c>
      <c r="D302" s="26" t="str">
        <f t="shared" ca="1" si="45"/>
        <v>Win</v>
      </c>
      <c r="E302" s="3">
        <f t="shared" ca="1" si="49"/>
        <v>500</v>
      </c>
      <c r="F302" s="42">
        <f t="shared" si="41"/>
        <v>3.9300916311138673E-45</v>
      </c>
      <c r="G302" s="41">
        <f>SUM(F$11:F302)</f>
        <v>6.4699620444096716E-45</v>
      </c>
      <c r="I302" s="1">
        <f t="shared" si="40"/>
        <v>292</v>
      </c>
      <c r="J302" s="3">
        <v>224000</v>
      </c>
      <c r="K302" s="3">
        <v>94000</v>
      </c>
      <c r="L302" s="3">
        <v>272000</v>
      </c>
      <c r="M302" s="30">
        <f t="shared" si="42"/>
        <v>1.2400000000000002</v>
      </c>
      <c r="N302" s="1" t="str">
        <f t="shared" si="43"/>
        <v/>
      </c>
      <c r="O302" s="1" t="str">
        <f t="shared" si="44"/>
        <v/>
      </c>
    </row>
    <row r="303" spans="1:15" x14ac:dyDescent="0.25">
      <c r="A303" s="1">
        <f t="shared" si="46"/>
        <v>292</v>
      </c>
      <c r="B303" s="3">
        <f t="shared" ca="1" si="47"/>
        <v>104000</v>
      </c>
      <c r="C303" s="26">
        <f t="shared" ca="1" si="48"/>
        <v>0.50913150916853389</v>
      </c>
      <c r="D303" s="26" t="str">
        <f t="shared" ca="1" si="45"/>
        <v>Win</v>
      </c>
      <c r="E303" s="3">
        <f t="shared" ca="1" si="49"/>
        <v>500</v>
      </c>
      <c r="F303" s="42">
        <f t="shared" si="41"/>
        <v>9.9320787873528721E-45</v>
      </c>
      <c r="G303" s="41">
        <f>SUM(F$11:F303)</f>
        <v>1.6402040831762544E-44</v>
      </c>
      <c r="I303" s="1">
        <f t="shared" si="40"/>
        <v>293</v>
      </c>
      <c r="J303" s="3">
        <v>308000</v>
      </c>
      <c r="K303" s="3">
        <v>90000</v>
      </c>
      <c r="L303" s="3">
        <v>320000</v>
      </c>
      <c r="M303" s="30">
        <f t="shared" si="42"/>
        <v>2.08</v>
      </c>
      <c r="N303" s="1" t="str">
        <f t="shared" si="43"/>
        <v/>
      </c>
      <c r="O303" s="1" t="str">
        <f t="shared" si="44"/>
        <v/>
      </c>
    </row>
    <row r="304" spans="1:15" x14ac:dyDescent="0.25">
      <c r="A304" s="1">
        <f t="shared" si="46"/>
        <v>293</v>
      </c>
      <c r="B304" s="3">
        <f t="shared" ca="1" si="47"/>
        <v>103500</v>
      </c>
      <c r="C304" s="26">
        <f t="shared" ca="1" si="48"/>
        <v>0.31718944198515775</v>
      </c>
      <c r="D304" s="26" t="str">
        <f t="shared" ca="1" si="45"/>
        <v>Lose</v>
      </c>
      <c r="E304" s="3">
        <f t="shared" ca="1" si="49"/>
        <v>-500</v>
      </c>
      <c r="F304" s="42">
        <f t="shared" si="41"/>
        <v>2.4979278460245713E-44</v>
      </c>
      <c r="G304" s="41">
        <f>SUM(F$11:F304)</f>
        <v>4.1381319292008259E-44</v>
      </c>
      <c r="I304" s="1">
        <f t="shared" si="40"/>
        <v>294</v>
      </c>
      <c r="J304" s="3">
        <v>264000</v>
      </c>
      <c r="K304" s="3">
        <v>96000</v>
      </c>
      <c r="L304" s="3">
        <v>290000</v>
      </c>
      <c r="M304" s="30">
        <f t="shared" si="42"/>
        <v>1.6400000000000001</v>
      </c>
      <c r="N304" s="1" t="str">
        <f t="shared" si="43"/>
        <v/>
      </c>
      <c r="O304" s="1" t="str">
        <f t="shared" si="44"/>
        <v/>
      </c>
    </row>
    <row r="305" spans="1:15" x14ac:dyDescent="0.25">
      <c r="A305" s="1">
        <f t="shared" si="46"/>
        <v>294</v>
      </c>
      <c r="B305" s="3">
        <f t="shared" ca="1" si="47"/>
        <v>104000</v>
      </c>
      <c r="C305" s="26">
        <f t="shared" ca="1" si="48"/>
        <v>0.95373415454834876</v>
      </c>
      <c r="D305" s="26" t="str">
        <f t="shared" ca="1" si="45"/>
        <v>Win</v>
      </c>
      <c r="E305" s="3">
        <f t="shared" ca="1" si="49"/>
        <v>500</v>
      </c>
      <c r="F305" s="42">
        <f t="shared" si="41"/>
        <v>6.2521022035335181E-44</v>
      </c>
      <c r="G305" s="41">
        <f>SUM(F$11:F305)</f>
        <v>1.0390234132734344E-43</v>
      </c>
      <c r="I305" s="1">
        <f t="shared" si="40"/>
        <v>295</v>
      </c>
      <c r="J305" s="3">
        <v>408000</v>
      </c>
      <c r="K305" s="3">
        <v>98000</v>
      </c>
      <c r="L305" s="3">
        <v>422000</v>
      </c>
      <c r="M305" s="30">
        <f t="shared" si="42"/>
        <v>3.08</v>
      </c>
      <c r="N305" s="1" t="str">
        <f t="shared" si="43"/>
        <v/>
      </c>
      <c r="O305" s="1" t="str">
        <f t="shared" si="44"/>
        <v/>
      </c>
    </row>
    <row r="306" spans="1:15" x14ac:dyDescent="0.25">
      <c r="A306" s="1">
        <f t="shared" si="46"/>
        <v>295</v>
      </c>
      <c r="B306" s="3">
        <f t="shared" ca="1" si="47"/>
        <v>103500</v>
      </c>
      <c r="C306" s="26">
        <f t="shared" ca="1" si="48"/>
        <v>6.3126025186956647E-2</v>
      </c>
      <c r="D306" s="26" t="str">
        <f t="shared" ca="1" si="45"/>
        <v>Lose</v>
      </c>
      <c r="E306" s="3">
        <f t="shared" ca="1" si="49"/>
        <v>-500</v>
      </c>
      <c r="F306" s="42">
        <f t="shared" si="41"/>
        <v>1.5573378895912408E-43</v>
      </c>
      <c r="G306" s="41">
        <f>SUM(F$11:F306)</f>
        <v>2.596361302864675E-43</v>
      </c>
      <c r="I306" s="1">
        <f t="shared" si="40"/>
        <v>296</v>
      </c>
      <c r="J306" s="3">
        <v>324000</v>
      </c>
      <c r="K306" s="3">
        <v>90000</v>
      </c>
      <c r="L306" s="3">
        <v>324000</v>
      </c>
      <c r="M306" s="30">
        <f t="shared" si="42"/>
        <v>2.2400000000000002</v>
      </c>
      <c r="N306" s="1" t="str">
        <f t="shared" si="43"/>
        <v/>
      </c>
      <c r="O306" s="1" t="str">
        <f t="shared" si="44"/>
        <v/>
      </c>
    </row>
    <row r="307" spans="1:15" x14ac:dyDescent="0.25">
      <c r="A307" s="1">
        <f t="shared" si="46"/>
        <v>296</v>
      </c>
      <c r="B307" s="3">
        <f t="shared" ca="1" si="47"/>
        <v>104000</v>
      </c>
      <c r="C307" s="26">
        <f t="shared" ca="1" si="48"/>
        <v>0.89684790940590753</v>
      </c>
      <c r="D307" s="26" t="str">
        <f t="shared" ca="1" si="45"/>
        <v>Win</v>
      </c>
      <c r="E307" s="3">
        <f t="shared" ca="1" si="49"/>
        <v>500</v>
      </c>
      <c r="F307" s="42">
        <f t="shared" si="41"/>
        <v>3.860595961131712E-43</v>
      </c>
      <c r="G307" s="41">
        <f>SUM(F$11:F307)</f>
        <v>6.456957263996387E-43</v>
      </c>
      <c r="I307" s="1">
        <f t="shared" si="40"/>
        <v>297</v>
      </c>
      <c r="J307" s="3">
        <v>284000</v>
      </c>
      <c r="K307" s="3">
        <v>98000</v>
      </c>
      <c r="L307" s="3">
        <v>288000</v>
      </c>
      <c r="M307" s="30">
        <f t="shared" si="42"/>
        <v>1.8399999999999999</v>
      </c>
      <c r="N307" s="1" t="str">
        <f t="shared" si="43"/>
        <v/>
      </c>
      <c r="O307" s="1" t="str">
        <f t="shared" si="44"/>
        <v/>
      </c>
    </row>
    <row r="308" spans="1:15" x14ac:dyDescent="0.25">
      <c r="A308" s="1">
        <f t="shared" si="46"/>
        <v>297</v>
      </c>
      <c r="B308" s="3">
        <f t="shared" ca="1" si="47"/>
        <v>104500</v>
      </c>
      <c r="C308" s="26">
        <f t="shared" ca="1" si="48"/>
        <v>0.61112791241069497</v>
      </c>
      <c r="D308" s="26" t="str">
        <f t="shared" ca="1" si="45"/>
        <v>Win</v>
      </c>
      <c r="E308" s="3">
        <f t="shared" ca="1" si="49"/>
        <v>500</v>
      </c>
      <c r="F308" s="42">
        <f t="shared" si="41"/>
        <v>9.5245542079622019E-43</v>
      </c>
      <c r="G308" s="41">
        <f>SUM(F$11:F308)</f>
        <v>1.5981511471958588E-42</v>
      </c>
      <c r="I308" s="1">
        <f t="shared" si="40"/>
        <v>298</v>
      </c>
      <c r="J308" s="3">
        <v>288000</v>
      </c>
      <c r="K308" s="3">
        <v>94000</v>
      </c>
      <c r="L308" s="3">
        <v>290000</v>
      </c>
      <c r="M308" s="30">
        <f t="shared" si="42"/>
        <v>1.88</v>
      </c>
      <c r="N308" s="1" t="str">
        <f t="shared" si="43"/>
        <v/>
      </c>
      <c r="O308" s="1" t="str">
        <f t="shared" si="44"/>
        <v/>
      </c>
    </row>
    <row r="309" spans="1:15" x14ac:dyDescent="0.25">
      <c r="A309" s="1">
        <f t="shared" si="46"/>
        <v>298</v>
      </c>
      <c r="B309" s="3">
        <f t="shared" ca="1" si="47"/>
        <v>105000</v>
      </c>
      <c r="C309" s="26">
        <f t="shared" ca="1" si="48"/>
        <v>0.94220832367539131</v>
      </c>
      <c r="D309" s="26" t="str">
        <f t="shared" ca="1" si="45"/>
        <v>Win</v>
      </c>
      <c r="E309" s="3">
        <f t="shared" ca="1" si="49"/>
        <v>500</v>
      </c>
      <c r="F309" s="42">
        <f t="shared" si="41"/>
        <v>2.3386100672378506E-42</v>
      </c>
      <c r="G309" s="41">
        <f>SUM(F$11:F309)</f>
        <v>3.9367612144337097E-42</v>
      </c>
      <c r="I309" s="1">
        <f t="shared" si="40"/>
        <v>299</v>
      </c>
      <c r="J309" s="3">
        <v>328000</v>
      </c>
      <c r="K309" s="3">
        <v>92000</v>
      </c>
      <c r="L309" s="3">
        <v>330000</v>
      </c>
      <c r="M309" s="30">
        <f t="shared" si="42"/>
        <v>2.2799999999999998</v>
      </c>
      <c r="N309" s="1" t="str">
        <f t="shared" si="43"/>
        <v/>
      </c>
      <c r="O309" s="1" t="str">
        <f t="shared" si="44"/>
        <v/>
      </c>
    </row>
    <row r="310" spans="1:15" x14ac:dyDescent="0.25">
      <c r="A310" s="1">
        <f t="shared" si="46"/>
        <v>299</v>
      </c>
      <c r="B310" s="3">
        <f t="shared" ca="1" si="47"/>
        <v>105500</v>
      </c>
      <c r="C310" s="26">
        <f t="shared" ca="1" si="48"/>
        <v>0.52360943003796989</v>
      </c>
      <c r="D310" s="26" t="str">
        <f t="shared" ca="1" si="45"/>
        <v>Win</v>
      </c>
      <c r="E310" s="3">
        <f t="shared" ca="1" si="49"/>
        <v>500</v>
      </c>
      <c r="F310" s="42">
        <f t="shared" si="41"/>
        <v>5.7147578750424865E-42</v>
      </c>
      <c r="G310" s="41">
        <f>SUM(F$11:F310)</f>
        <v>9.6515190894761955E-42</v>
      </c>
      <c r="I310" s="1">
        <f t="shared" si="40"/>
        <v>300</v>
      </c>
      <c r="J310" s="3">
        <v>304000</v>
      </c>
      <c r="K310" s="3">
        <v>88000</v>
      </c>
      <c r="L310" s="3">
        <v>312000</v>
      </c>
      <c r="M310" s="30">
        <f t="shared" si="42"/>
        <v>2.04</v>
      </c>
      <c r="N310" s="1" t="str">
        <f t="shared" si="43"/>
        <v/>
      </c>
      <c r="O310" s="1" t="str">
        <f t="shared" si="44"/>
        <v/>
      </c>
    </row>
    <row r="311" spans="1:15" x14ac:dyDescent="0.25">
      <c r="A311" s="1">
        <f t="shared" si="46"/>
        <v>300</v>
      </c>
      <c r="B311" s="3">
        <f t="shared" ca="1" si="47"/>
        <v>105000</v>
      </c>
      <c r="C311" s="26">
        <f t="shared" ca="1" si="48"/>
        <v>0.45014999542623613</v>
      </c>
      <c r="D311" s="26" t="str">
        <f t="shared" ca="1" si="45"/>
        <v>Lose</v>
      </c>
      <c r="E311" s="3">
        <f t="shared" ca="1" si="49"/>
        <v>-500</v>
      </c>
      <c r="F311" s="42">
        <f t="shared" si="41"/>
        <v>1.3898524407527161E-41</v>
      </c>
      <c r="G311" s="41">
        <f>SUM(F$11:F311)</f>
        <v>2.3550043497003356E-41</v>
      </c>
      <c r="I311" s="1">
        <f t="shared" si="40"/>
        <v>301</v>
      </c>
      <c r="J311" s="3">
        <v>340000</v>
      </c>
      <c r="K311" s="3">
        <v>72000</v>
      </c>
      <c r="L311" s="3">
        <v>358000</v>
      </c>
      <c r="M311" s="30">
        <f t="shared" si="42"/>
        <v>2.4</v>
      </c>
      <c r="N311" s="1" t="str">
        <f t="shared" si="43"/>
        <v/>
      </c>
      <c r="O311" s="1" t="str">
        <f t="shared" si="44"/>
        <v/>
      </c>
    </row>
    <row r="312" spans="1:15" x14ac:dyDescent="0.25">
      <c r="A312" s="1">
        <f t="shared" si="46"/>
        <v>301</v>
      </c>
      <c r="B312" s="3">
        <f t="shared" ca="1" si="47"/>
        <v>104500</v>
      </c>
      <c r="C312" s="26">
        <f t="shared" ca="1" si="48"/>
        <v>0.14908533786315115</v>
      </c>
      <c r="D312" s="26" t="str">
        <f t="shared" ca="1" si="45"/>
        <v>Lose</v>
      </c>
      <c r="E312" s="3">
        <f t="shared" ca="1" si="49"/>
        <v>-500</v>
      </c>
      <c r="F312" s="42">
        <f t="shared" si="41"/>
        <v>3.3641421204741607E-41</v>
      </c>
      <c r="G312" s="41">
        <f>SUM(F$11:F312)</f>
        <v>5.7191464701744959E-41</v>
      </c>
      <c r="I312" s="1">
        <f t="shared" si="40"/>
        <v>302</v>
      </c>
      <c r="J312" s="3">
        <v>352000</v>
      </c>
      <c r="K312" s="3">
        <v>96000</v>
      </c>
      <c r="L312" s="3">
        <v>352000</v>
      </c>
      <c r="M312" s="30">
        <f t="shared" si="42"/>
        <v>2.52</v>
      </c>
      <c r="N312" s="1" t="str">
        <f t="shared" si="43"/>
        <v/>
      </c>
      <c r="O312" s="1" t="str">
        <f t="shared" si="44"/>
        <v/>
      </c>
    </row>
    <row r="313" spans="1:15" x14ac:dyDescent="0.25">
      <c r="A313" s="1">
        <f t="shared" si="46"/>
        <v>302</v>
      </c>
      <c r="B313" s="3">
        <f t="shared" ca="1" si="47"/>
        <v>105000</v>
      </c>
      <c r="C313" s="26">
        <f t="shared" ca="1" si="48"/>
        <v>0.90725991136922834</v>
      </c>
      <c r="D313" s="26" t="str">
        <f t="shared" ca="1" si="45"/>
        <v>Win</v>
      </c>
      <c r="E313" s="3">
        <f t="shared" ca="1" si="49"/>
        <v>500</v>
      </c>
      <c r="F313" s="42">
        <f t="shared" si="41"/>
        <v>8.1043588628719176E-41</v>
      </c>
      <c r="G313" s="41">
        <f>SUM(F$11:F313)</f>
        <v>1.3823505333046413E-40</v>
      </c>
      <c r="I313" s="1">
        <f t="shared" si="40"/>
        <v>303</v>
      </c>
      <c r="J313" s="3">
        <v>460000</v>
      </c>
      <c r="K313" s="3">
        <v>100000</v>
      </c>
      <c r="L313" s="3">
        <v>462000</v>
      </c>
      <c r="M313" s="30">
        <f t="shared" si="42"/>
        <v>3.5999999999999996</v>
      </c>
      <c r="N313" s="1" t="str">
        <f t="shared" si="43"/>
        <v/>
      </c>
      <c r="O313" s="1" t="str">
        <f t="shared" si="44"/>
        <v/>
      </c>
    </row>
    <row r="314" spans="1:15" x14ac:dyDescent="0.25">
      <c r="A314" s="1">
        <f t="shared" si="46"/>
        <v>303</v>
      </c>
      <c r="B314" s="3">
        <f t="shared" ca="1" si="47"/>
        <v>105500</v>
      </c>
      <c r="C314" s="26">
        <f t="shared" ca="1" si="48"/>
        <v>0.96591709645315638</v>
      </c>
      <c r="D314" s="26" t="str">
        <f t="shared" ca="1" si="45"/>
        <v>Win</v>
      </c>
      <c r="E314" s="3">
        <f t="shared" ca="1" si="49"/>
        <v>500</v>
      </c>
      <c r="F314" s="42">
        <f t="shared" si="41"/>
        <v>1.9431465400452751E-40</v>
      </c>
      <c r="G314" s="41">
        <f>SUM(F$11:F314)</f>
        <v>3.3254970733499164E-40</v>
      </c>
      <c r="I314" s="1">
        <f t="shared" si="40"/>
        <v>304</v>
      </c>
      <c r="J314" s="3">
        <v>424000</v>
      </c>
      <c r="K314" s="3">
        <v>98000</v>
      </c>
      <c r="L314" s="3">
        <v>430000</v>
      </c>
      <c r="M314" s="30">
        <f t="shared" si="42"/>
        <v>3.24</v>
      </c>
      <c r="N314" s="1" t="str">
        <f t="shared" si="43"/>
        <v/>
      </c>
      <c r="O314" s="1" t="str">
        <f t="shared" si="44"/>
        <v/>
      </c>
    </row>
    <row r="315" spans="1:15" x14ac:dyDescent="0.25">
      <c r="A315" s="1">
        <f t="shared" si="46"/>
        <v>304</v>
      </c>
      <c r="B315" s="3">
        <f t="shared" ca="1" si="47"/>
        <v>106000</v>
      </c>
      <c r="C315" s="26">
        <f t="shared" ca="1" si="48"/>
        <v>0.50713266516891575</v>
      </c>
      <c r="D315" s="26" t="str">
        <f t="shared" ca="1" si="45"/>
        <v>Win</v>
      </c>
      <c r="E315" s="3">
        <f t="shared" ca="1" si="49"/>
        <v>500</v>
      </c>
      <c r="F315" s="42">
        <f t="shared" si="41"/>
        <v>4.637018666688352E-40</v>
      </c>
      <c r="G315" s="41">
        <f>SUM(F$11:F315)</f>
        <v>7.9625157400382688E-40</v>
      </c>
      <c r="I315" s="1">
        <f t="shared" si="40"/>
        <v>305</v>
      </c>
      <c r="J315" s="3">
        <v>248000</v>
      </c>
      <c r="K315" s="3">
        <v>98000</v>
      </c>
      <c r="L315" s="3">
        <v>262000</v>
      </c>
      <c r="M315" s="30">
        <f t="shared" si="42"/>
        <v>1.48</v>
      </c>
      <c r="N315" s="1" t="str">
        <f t="shared" si="43"/>
        <v/>
      </c>
      <c r="O315" s="1" t="str">
        <f t="shared" si="44"/>
        <v/>
      </c>
    </row>
    <row r="316" spans="1:15" x14ac:dyDescent="0.25">
      <c r="A316" s="1">
        <f t="shared" si="46"/>
        <v>305</v>
      </c>
      <c r="B316" s="3">
        <f t="shared" ca="1" si="47"/>
        <v>105500</v>
      </c>
      <c r="C316" s="26">
        <f t="shared" ca="1" si="48"/>
        <v>0.48797673868310742</v>
      </c>
      <c r="D316" s="26" t="str">
        <f t="shared" ca="1" si="45"/>
        <v>Lose</v>
      </c>
      <c r="E316" s="3">
        <f t="shared" ca="1" si="49"/>
        <v>-500</v>
      </c>
      <c r="F316" s="42">
        <f t="shared" si="41"/>
        <v>1.1013423525778964E-39</v>
      </c>
      <c r="G316" s="41">
        <f>SUM(F$11:F316)</f>
        <v>1.8975939265817234E-39</v>
      </c>
      <c r="I316" s="1">
        <f t="shared" si="40"/>
        <v>306</v>
      </c>
      <c r="J316" s="3">
        <v>232000</v>
      </c>
      <c r="K316" s="3">
        <v>90000</v>
      </c>
      <c r="L316" s="3">
        <v>248000</v>
      </c>
      <c r="M316" s="30">
        <f t="shared" si="42"/>
        <v>1.3199999999999998</v>
      </c>
      <c r="N316" s="1" t="str">
        <f t="shared" si="43"/>
        <v/>
      </c>
      <c r="O316" s="1" t="str">
        <f t="shared" si="44"/>
        <v/>
      </c>
    </row>
    <row r="317" spans="1:15" x14ac:dyDescent="0.25">
      <c r="A317" s="1">
        <f t="shared" si="46"/>
        <v>306</v>
      </c>
      <c r="B317" s="3">
        <f t="shared" ca="1" si="47"/>
        <v>106000</v>
      </c>
      <c r="C317" s="26">
        <f t="shared" ca="1" si="48"/>
        <v>0.7169041668406938</v>
      </c>
      <c r="D317" s="26" t="str">
        <f t="shared" ca="1" si="45"/>
        <v>Win</v>
      </c>
      <c r="E317" s="3">
        <f t="shared" ca="1" si="49"/>
        <v>500</v>
      </c>
      <c r="F317" s="42">
        <f t="shared" si="41"/>
        <v>2.6035133844954784E-39</v>
      </c>
      <c r="G317" s="41">
        <f>SUM(F$11:F317)</f>
        <v>4.5011073110772018E-39</v>
      </c>
      <c r="I317" s="1">
        <f t="shared" si="40"/>
        <v>307</v>
      </c>
      <c r="J317" s="3">
        <v>260000</v>
      </c>
      <c r="K317" s="3">
        <v>100000</v>
      </c>
      <c r="L317" s="3">
        <v>290000</v>
      </c>
      <c r="M317" s="30">
        <f t="shared" si="42"/>
        <v>1.6</v>
      </c>
      <c r="N317" s="1" t="str">
        <f t="shared" si="43"/>
        <v/>
      </c>
      <c r="O317" s="1" t="str">
        <f t="shared" si="44"/>
        <v/>
      </c>
    </row>
    <row r="318" spans="1:15" x14ac:dyDescent="0.25">
      <c r="A318" s="1">
        <f t="shared" si="46"/>
        <v>307</v>
      </c>
      <c r="B318" s="3">
        <f t="shared" ca="1" si="47"/>
        <v>105500</v>
      </c>
      <c r="C318" s="26">
        <f t="shared" ca="1" si="48"/>
        <v>6.6074597239074939E-2</v>
      </c>
      <c r="D318" s="26" t="str">
        <f t="shared" ca="1" si="45"/>
        <v>Lose</v>
      </c>
      <c r="E318" s="3">
        <f t="shared" ca="1" si="49"/>
        <v>-500</v>
      </c>
      <c r="F318" s="42">
        <f t="shared" si="41"/>
        <v>6.1256898710916075E-39</v>
      </c>
      <c r="G318" s="41">
        <f>SUM(F$11:F318)</f>
        <v>1.0626797182168809E-38</v>
      </c>
      <c r="I318" s="1">
        <f t="shared" si="40"/>
        <v>308</v>
      </c>
      <c r="J318" s="3">
        <v>264000</v>
      </c>
      <c r="K318" s="3">
        <v>76000</v>
      </c>
      <c r="L318" s="3">
        <v>264000</v>
      </c>
      <c r="M318" s="30">
        <f t="shared" si="42"/>
        <v>1.6400000000000001</v>
      </c>
      <c r="N318" s="1" t="str">
        <f t="shared" si="43"/>
        <v/>
      </c>
      <c r="O318" s="1" t="str">
        <f t="shared" si="44"/>
        <v/>
      </c>
    </row>
    <row r="319" spans="1:15" x14ac:dyDescent="0.25">
      <c r="A319" s="1">
        <f t="shared" si="46"/>
        <v>308</v>
      </c>
      <c r="B319" s="3">
        <f t="shared" ca="1" si="47"/>
        <v>105000</v>
      </c>
      <c r="C319" s="26">
        <f t="shared" ca="1" si="48"/>
        <v>5.7073660762890333E-2</v>
      </c>
      <c r="D319" s="26" t="str">
        <f t="shared" ca="1" si="45"/>
        <v>Lose</v>
      </c>
      <c r="E319" s="3">
        <f t="shared" ca="1" si="49"/>
        <v>-500</v>
      </c>
      <c r="F319" s="42">
        <f t="shared" si="41"/>
        <v>1.4345365565464487E-38</v>
      </c>
      <c r="G319" s="41">
        <f>SUM(F$11:F319)</f>
        <v>2.4972162747633295E-38</v>
      </c>
      <c r="I319" s="1">
        <f t="shared" si="40"/>
        <v>309</v>
      </c>
      <c r="J319" s="3">
        <v>308000</v>
      </c>
      <c r="K319" s="3">
        <v>88000</v>
      </c>
      <c r="L319" s="3">
        <v>310000</v>
      </c>
      <c r="M319" s="30">
        <f t="shared" si="42"/>
        <v>2.08</v>
      </c>
      <c r="N319" s="1" t="str">
        <f t="shared" si="43"/>
        <v/>
      </c>
      <c r="O319" s="1" t="str">
        <f t="shared" si="44"/>
        <v/>
      </c>
    </row>
    <row r="320" spans="1:15" x14ac:dyDescent="0.25">
      <c r="A320" s="1">
        <f t="shared" si="46"/>
        <v>309</v>
      </c>
      <c r="B320" s="3">
        <f t="shared" ca="1" si="47"/>
        <v>105500</v>
      </c>
      <c r="C320" s="26">
        <f t="shared" ca="1" si="48"/>
        <v>0.718160175087729</v>
      </c>
      <c r="D320" s="26" t="str">
        <f t="shared" ca="1" si="45"/>
        <v>Win</v>
      </c>
      <c r="E320" s="3">
        <f t="shared" ca="1" si="49"/>
        <v>500</v>
      </c>
      <c r="F320" s="42">
        <f t="shared" si="41"/>
        <v>3.3437463941376691E-38</v>
      </c>
      <c r="G320" s="41">
        <f>SUM(F$11:F320)</f>
        <v>5.8409626689009992E-38</v>
      </c>
      <c r="I320" s="1">
        <f t="shared" si="40"/>
        <v>310</v>
      </c>
      <c r="J320" s="3">
        <v>280000</v>
      </c>
      <c r="K320" s="3">
        <v>98000</v>
      </c>
      <c r="L320" s="3">
        <v>282000</v>
      </c>
      <c r="M320" s="30">
        <f t="shared" si="42"/>
        <v>1.7999999999999998</v>
      </c>
      <c r="N320" s="1" t="str">
        <f t="shared" si="43"/>
        <v/>
      </c>
      <c r="O320" s="1" t="str">
        <f t="shared" si="44"/>
        <v/>
      </c>
    </row>
    <row r="321" spans="1:15" x14ac:dyDescent="0.25">
      <c r="A321" s="1">
        <f t="shared" si="46"/>
        <v>310</v>
      </c>
      <c r="B321" s="3">
        <f t="shared" ca="1" si="47"/>
        <v>106000</v>
      </c>
      <c r="C321" s="26">
        <f t="shared" ca="1" si="48"/>
        <v>0.58227728127400857</v>
      </c>
      <c r="D321" s="26" t="str">
        <f t="shared" ca="1" si="45"/>
        <v>Win</v>
      </c>
      <c r="E321" s="3">
        <f t="shared" ca="1" si="49"/>
        <v>500</v>
      </c>
      <c r="F321" s="42">
        <f t="shared" si="41"/>
        <v>7.7575356600267714E-38</v>
      </c>
      <c r="G321" s="41">
        <f>SUM(F$11:F321)</f>
        <v>1.359849832892777E-37</v>
      </c>
      <c r="I321" s="1">
        <f t="shared" si="40"/>
        <v>311</v>
      </c>
      <c r="J321" s="3">
        <v>308000</v>
      </c>
      <c r="K321" s="3">
        <v>100000</v>
      </c>
      <c r="L321" s="3">
        <v>312000</v>
      </c>
      <c r="M321" s="30">
        <f t="shared" si="42"/>
        <v>2.08</v>
      </c>
      <c r="N321" s="1" t="str">
        <f t="shared" si="43"/>
        <v/>
      </c>
      <c r="O321" s="1" t="str">
        <f t="shared" si="44"/>
        <v/>
      </c>
    </row>
    <row r="322" spans="1:15" x14ac:dyDescent="0.25">
      <c r="A322" s="1">
        <f t="shared" si="46"/>
        <v>311</v>
      </c>
      <c r="B322" s="3">
        <f t="shared" ca="1" si="47"/>
        <v>106500</v>
      </c>
      <c r="C322" s="26">
        <f t="shared" ca="1" si="48"/>
        <v>0.89129330435181309</v>
      </c>
      <c r="D322" s="26" t="str">
        <f t="shared" ca="1" si="45"/>
        <v>Win</v>
      </c>
      <c r="E322" s="3">
        <f t="shared" ca="1" si="49"/>
        <v>500</v>
      </c>
      <c r="F322" s="42">
        <f t="shared" si="41"/>
        <v>1.7913752862807751E-37</v>
      </c>
      <c r="G322" s="41">
        <f>SUM(F$11:F322)</f>
        <v>3.1512251191735522E-37</v>
      </c>
      <c r="I322" s="1">
        <f t="shared" si="40"/>
        <v>312</v>
      </c>
      <c r="J322" s="3">
        <v>372000</v>
      </c>
      <c r="K322" s="3">
        <v>96000</v>
      </c>
      <c r="L322" s="3">
        <v>376000</v>
      </c>
      <c r="M322" s="30">
        <f t="shared" si="42"/>
        <v>2.72</v>
      </c>
      <c r="N322" s="1" t="str">
        <f t="shared" si="43"/>
        <v/>
      </c>
      <c r="O322" s="1" t="str">
        <f t="shared" si="44"/>
        <v/>
      </c>
    </row>
    <row r="323" spans="1:15" x14ac:dyDescent="0.25">
      <c r="A323" s="1">
        <f t="shared" si="46"/>
        <v>312</v>
      </c>
      <c r="B323" s="3">
        <f t="shared" ca="1" si="47"/>
        <v>107000</v>
      </c>
      <c r="C323" s="26">
        <f t="shared" ca="1" si="48"/>
        <v>0.65310580294524179</v>
      </c>
      <c r="D323" s="26" t="str">
        <f t="shared" ca="1" si="45"/>
        <v>Win</v>
      </c>
      <c r="E323" s="3">
        <f t="shared" ca="1" si="49"/>
        <v>500</v>
      </c>
      <c r="F323" s="42">
        <f t="shared" si="41"/>
        <v>4.1174212574973209E-37</v>
      </c>
      <c r="G323" s="41">
        <f>SUM(F$11:F323)</f>
        <v>7.2686463766708731E-37</v>
      </c>
      <c r="I323" s="1">
        <f t="shared" si="40"/>
        <v>313</v>
      </c>
      <c r="J323" s="3">
        <v>324000</v>
      </c>
      <c r="K323" s="3">
        <v>100000</v>
      </c>
      <c r="L323" s="3">
        <v>330000</v>
      </c>
      <c r="M323" s="30">
        <f t="shared" si="42"/>
        <v>2.2400000000000002</v>
      </c>
      <c r="N323" s="1" t="str">
        <f t="shared" si="43"/>
        <v/>
      </c>
      <c r="O323" s="1" t="str">
        <f t="shared" si="44"/>
        <v/>
      </c>
    </row>
    <row r="324" spans="1:15" x14ac:dyDescent="0.25">
      <c r="A324" s="1">
        <f>A323+1</f>
        <v>313</v>
      </c>
      <c r="B324" s="3">
        <f t="shared" ca="1" si="47"/>
        <v>106500</v>
      </c>
      <c r="C324" s="26">
        <f t="shared" ca="1" si="48"/>
        <v>0.32341006480060597</v>
      </c>
      <c r="D324" s="26" t="str">
        <f t="shared" ca="1" si="45"/>
        <v>Lose</v>
      </c>
      <c r="E324" s="3">
        <f t="shared" ca="1" si="49"/>
        <v>-500</v>
      </c>
      <c r="F324" s="42">
        <f t="shared" si="41"/>
        <v>9.4198394133839947E-37</v>
      </c>
      <c r="G324" s="41">
        <f>SUM(F$11:F324)</f>
        <v>1.6688485790054868E-36</v>
      </c>
      <c r="I324" s="1">
        <f t="shared" si="40"/>
        <v>314</v>
      </c>
      <c r="J324" s="3">
        <v>248000</v>
      </c>
      <c r="K324" s="3">
        <v>78000</v>
      </c>
      <c r="L324" s="3">
        <v>250000</v>
      </c>
      <c r="M324" s="30">
        <f t="shared" si="42"/>
        <v>1.48</v>
      </c>
      <c r="N324" s="1" t="str">
        <f t="shared" si="43"/>
        <v/>
      </c>
      <c r="O324" s="1" t="str">
        <f t="shared" si="44"/>
        <v/>
      </c>
    </row>
    <row r="325" spans="1:15" x14ac:dyDescent="0.25">
      <c r="A325" s="1">
        <f t="shared" ref="A325:A388" si="50">A324+1</f>
        <v>314</v>
      </c>
      <c r="B325" s="3">
        <f t="shared" ca="1" si="47"/>
        <v>106000</v>
      </c>
      <c r="C325" s="26">
        <f t="shared" ca="1" si="48"/>
        <v>0.14302834630839545</v>
      </c>
      <c r="D325" s="26" t="str">
        <f t="shared" ca="1" si="45"/>
        <v>Lose</v>
      </c>
      <c r="E325" s="3">
        <f t="shared" ca="1" si="49"/>
        <v>-500</v>
      </c>
      <c r="F325" s="42">
        <f t="shared" si="41"/>
        <v>2.1450858801945232E-36</v>
      </c>
      <c r="G325" s="41">
        <f>SUM(F$11:F325)</f>
        <v>3.81393445920001E-36</v>
      </c>
      <c r="I325" s="1">
        <f t="shared" si="40"/>
        <v>315</v>
      </c>
      <c r="J325" s="3">
        <v>348000</v>
      </c>
      <c r="K325" s="3">
        <v>88000</v>
      </c>
      <c r="L325" s="3">
        <v>350000</v>
      </c>
      <c r="M325" s="30">
        <f t="shared" si="42"/>
        <v>2.48</v>
      </c>
      <c r="N325" s="1" t="str">
        <f t="shared" si="43"/>
        <v/>
      </c>
      <c r="O325" s="1" t="str">
        <f t="shared" si="44"/>
        <v/>
      </c>
    </row>
    <row r="326" spans="1:15" x14ac:dyDescent="0.25">
      <c r="A326" s="1">
        <f t="shared" si="50"/>
        <v>315</v>
      </c>
      <c r="B326" s="3">
        <f t="shared" ca="1" si="47"/>
        <v>106500</v>
      </c>
      <c r="C326" s="26">
        <f t="shared" ca="1" si="48"/>
        <v>0.7405201931234211</v>
      </c>
      <c r="D326" s="26" t="str">
        <f t="shared" ca="1" si="45"/>
        <v>Win</v>
      </c>
      <c r="E326" s="3">
        <f t="shared" ca="1" si="49"/>
        <v>500</v>
      </c>
      <c r="F326" s="42">
        <f t="shared" si="41"/>
        <v>4.8621946617742189E-36</v>
      </c>
      <c r="G326" s="41">
        <f>SUM(F$11:F326)</f>
        <v>8.6761291209742296E-36</v>
      </c>
      <c r="I326" s="1">
        <f t="shared" si="40"/>
        <v>316</v>
      </c>
      <c r="J326" s="3">
        <v>360000</v>
      </c>
      <c r="K326" s="3">
        <v>92000</v>
      </c>
      <c r="L326" s="3">
        <v>360000</v>
      </c>
      <c r="M326" s="30">
        <f t="shared" si="42"/>
        <v>2.6</v>
      </c>
      <c r="N326" s="1" t="str">
        <f t="shared" si="43"/>
        <v/>
      </c>
      <c r="O326" s="1" t="str">
        <f t="shared" si="44"/>
        <v/>
      </c>
    </row>
    <row r="327" spans="1:15" x14ac:dyDescent="0.25">
      <c r="A327" s="1">
        <f t="shared" si="50"/>
        <v>316</v>
      </c>
      <c r="B327" s="3">
        <f t="shared" ca="1" si="47"/>
        <v>107000</v>
      </c>
      <c r="C327" s="26">
        <f t="shared" ca="1" si="48"/>
        <v>0.6159369873977909</v>
      </c>
      <c r="D327" s="26" t="str">
        <f t="shared" ca="1" si="45"/>
        <v>Win</v>
      </c>
      <c r="E327" s="3">
        <f t="shared" ca="1" si="49"/>
        <v>500</v>
      </c>
      <c r="F327" s="42">
        <f t="shared" si="41"/>
        <v>1.0970083344684233E-35</v>
      </c>
      <c r="G327" s="41">
        <f>SUM(F$11:F327)</f>
        <v>1.9646212465658464E-35</v>
      </c>
      <c r="I327" s="1">
        <f t="shared" ref="I327:I390" si="51">I326+1</f>
        <v>317</v>
      </c>
      <c r="J327" s="3">
        <v>188000</v>
      </c>
      <c r="K327" s="3">
        <v>96000</v>
      </c>
      <c r="L327" s="3">
        <v>188000</v>
      </c>
      <c r="M327" s="30">
        <f t="shared" si="42"/>
        <v>0.87999999999999989</v>
      </c>
      <c r="N327" s="1" t="str">
        <f t="shared" si="43"/>
        <v/>
      </c>
      <c r="O327" s="1" t="str">
        <f t="shared" si="44"/>
        <v/>
      </c>
    </row>
    <row r="328" spans="1:15" x14ac:dyDescent="0.25">
      <c r="A328" s="1">
        <f t="shared" si="50"/>
        <v>317</v>
      </c>
      <c r="B328" s="3">
        <f t="shared" ca="1" si="47"/>
        <v>107500</v>
      </c>
      <c r="C328" s="26">
        <f t="shared" ca="1" si="48"/>
        <v>0.93539645550897244</v>
      </c>
      <c r="D328" s="26" t="str">
        <f t="shared" ca="1" si="45"/>
        <v>Win</v>
      </c>
      <c r="E328" s="3">
        <f t="shared" ca="1" si="49"/>
        <v>500</v>
      </c>
      <c r="F328" s="42">
        <f t="shared" si="41"/>
        <v>2.4636605124313479E-35</v>
      </c>
      <c r="G328" s="41">
        <f>SUM(F$11:F328)</f>
        <v>4.4282817589971943E-35</v>
      </c>
      <c r="I328" s="1">
        <f t="shared" si="51"/>
        <v>318</v>
      </c>
      <c r="J328" s="3">
        <v>228000</v>
      </c>
      <c r="K328" s="3">
        <v>96000</v>
      </c>
      <c r="L328" s="3">
        <v>230000</v>
      </c>
      <c r="M328" s="30">
        <f t="shared" si="42"/>
        <v>1.2799999999999998</v>
      </c>
      <c r="N328" s="1" t="str">
        <f t="shared" si="43"/>
        <v/>
      </c>
      <c r="O328" s="1" t="str">
        <f t="shared" si="44"/>
        <v/>
      </c>
    </row>
    <row r="329" spans="1:15" x14ac:dyDescent="0.25">
      <c r="A329" s="1">
        <f t="shared" si="50"/>
        <v>318</v>
      </c>
      <c r="B329" s="3">
        <f t="shared" ca="1" si="47"/>
        <v>108000</v>
      </c>
      <c r="C329" s="26">
        <f t="shared" ca="1" si="48"/>
        <v>0.76709500559453259</v>
      </c>
      <c r="D329" s="26" t="str">
        <f t="shared" ca="1" si="45"/>
        <v>Win</v>
      </c>
      <c r="E329" s="3">
        <f t="shared" ca="1" si="49"/>
        <v>500</v>
      </c>
      <c r="F329" s="42">
        <f t="shared" si="41"/>
        <v>5.5074243761723261E-35</v>
      </c>
      <c r="G329" s="41">
        <f>SUM(F$11:F329)</f>
        <v>9.9357061351695194E-35</v>
      </c>
      <c r="I329" s="1">
        <f t="shared" si="51"/>
        <v>319</v>
      </c>
      <c r="J329" s="3">
        <v>372000</v>
      </c>
      <c r="K329" s="3">
        <v>94000</v>
      </c>
      <c r="L329" s="3">
        <v>394000</v>
      </c>
      <c r="M329" s="30">
        <f t="shared" si="42"/>
        <v>2.72</v>
      </c>
      <c r="N329" s="1" t="str">
        <f t="shared" si="43"/>
        <v/>
      </c>
      <c r="O329" s="1" t="str">
        <f t="shared" si="44"/>
        <v/>
      </c>
    </row>
    <row r="330" spans="1:15" x14ac:dyDescent="0.25">
      <c r="A330" s="1">
        <f t="shared" si="50"/>
        <v>319</v>
      </c>
      <c r="B330" s="3">
        <f t="shared" ca="1" si="47"/>
        <v>108500</v>
      </c>
      <c r="C330" s="26">
        <f t="shared" ca="1" si="48"/>
        <v>0.56906989073005476</v>
      </c>
      <c r="D330" s="26" t="str">
        <f t="shared" ca="1" si="45"/>
        <v>Win</v>
      </c>
      <c r="E330" s="3">
        <f t="shared" ca="1" si="49"/>
        <v>500</v>
      </c>
      <c r="F330" s="42">
        <f t="shared" si="41"/>
        <v>1.2255085065065225E-34</v>
      </c>
      <c r="G330" s="41">
        <f>SUM(F$11:F330)</f>
        <v>2.2190791200234747E-34</v>
      </c>
      <c r="I330" s="1">
        <f t="shared" si="51"/>
        <v>320</v>
      </c>
      <c r="J330" s="3">
        <v>136000</v>
      </c>
      <c r="K330" s="3">
        <v>94000</v>
      </c>
      <c r="L330" s="3">
        <v>160000</v>
      </c>
      <c r="M330" s="30">
        <f t="shared" si="42"/>
        <v>0.3600000000000001</v>
      </c>
      <c r="N330" s="1" t="str">
        <f t="shared" si="43"/>
        <v/>
      </c>
      <c r="O330" s="1" t="str">
        <f t="shared" si="44"/>
        <v/>
      </c>
    </row>
    <row r="331" spans="1:15" x14ac:dyDescent="0.25">
      <c r="A331" s="1">
        <f t="shared" si="50"/>
        <v>320</v>
      </c>
      <c r="B331" s="3">
        <f t="shared" ca="1" si="47"/>
        <v>109000</v>
      </c>
      <c r="C331" s="26">
        <f t="shared" ca="1" si="48"/>
        <v>0.57520960288104805</v>
      </c>
      <c r="D331" s="26" t="str">
        <f t="shared" ca="1" si="45"/>
        <v>Win</v>
      </c>
      <c r="E331" s="3">
        <f t="shared" ca="1" si="49"/>
        <v>500</v>
      </c>
      <c r="F331" s="42">
        <f t="shared" si="41"/>
        <v>2.7144857104258913E-34</v>
      </c>
      <c r="G331" s="41">
        <f>SUM(F$11:F331)</f>
        <v>4.9335648304493664E-34</v>
      </c>
      <c r="I331" s="1">
        <f t="shared" si="51"/>
        <v>321</v>
      </c>
      <c r="J331" s="3">
        <v>324000</v>
      </c>
      <c r="K331" s="3">
        <v>94000</v>
      </c>
      <c r="L331" s="3">
        <v>328000</v>
      </c>
      <c r="M331" s="30">
        <f t="shared" si="42"/>
        <v>2.2400000000000002</v>
      </c>
      <c r="N331" s="1" t="str">
        <f t="shared" si="43"/>
        <v/>
      </c>
      <c r="O331" s="1" t="str">
        <f t="shared" si="44"/>
        <v/>
      </c>
    </row>
    <row r="332" spans="1:15" x14ac:dyDescent="0.25">
      <c r="A332" s="1">
        <f t="shared" si="50"/>
        <v>321</v>
      </c>
      <c r="B332" s="3">
        <f t="shared" ca="1" si="47"/>
        <v>109500</v>
      </c>
      <c r="C332" s="26">
        <f t="shared" ca="1" si="48"/>
        <v>0.68762221469760387</v>
      </c>
      <c r="D332" s="26" t="str">
        <f t="shared" ca="1" si="45"/>
        <v>Win</v>
      </c>
      <c r="E332" s="3">
        <f t="shared" ca="1" si="49"/>
        <v>500</v>
      </c>
      <c r="F332" s="42">
        <f t="shared" ref="F332:F395" si="52">_xlfn.BINOM.DIST(A332,$A$1011,$B$1,FALSE)</f>
        <v>5.9850190372922695E-34</v>
      </c>
      <c r="G332" s="41">
        <f>SUM(F$11:F332)</f>
        <v>1.0918583867741637E-33</v>
      </c>
      <c r="I332" s="1">
        <f t="shared" si="51"/>
        <v>322</v>
      </c>
      <c r="J332" s="3">
        <v>260000</v>
      </c>
      <c r="K332" s="3">
        <v>100000</v>
      </c>
      <c r="L332" s="3">
        <v>272000</v>
      </c>
      <c r="M332" s="30">
        <f t="shared" ref="M332:M395" si="53">J332/$B$3-1</f>
        <v>1.6</v>
      </c>
      <c r="N332" s="1" t="str">
        <f t="shared" ref="N332:N395" si="54">IF(K332&lt;=0,1,"")</f>
        <v/>
      </c>
      <c r="O332" s="1" t="str">
        <f t="shared" ref="O332:O395" si="55">IF(J332&lt;=0,1,"")</f>
        <v/>
      </c>
    </row>
    <row r="333" spans="1:15" x14ac:dyDescent="0.25">
      <c r="A333" s="1">
        <f t="shared" si="50"/>
        <v>322</v>
      </c>
      <c r="B333" s="3">
        <f t="shared" ca="1" si="47"/>
        <v>109000</v>
      </c>
      <c r="C333" s="26">
        <f t="shared" ca="1" si="48"/>
        <v>0.1861180211379545</v>
      </c>
      <c r="D333" s="26" t="str">
        <f t="shared" ref="D333:D396" ca="1" si="56">IF(C333&gt;$B$2,"Win","Lose")</f>
        <v>Lose</v>
      </c>
      <c r="E333" s="3">
        <f t="shared" ca="1" si="49"/>
        <v>-500</v>
      </c>
      <c r="F333" s="42">
        <f t="shared" si="52"/>
        <v>1.3135709484243645E-33</v>
      </c>
      <c r="G333" s="41">
        <f>SUM(F$11:F333)</f>
        <v>2.405429335198528E-33</v>
      </c>
      <c r="I333" s="1">
        <f t="shared" si="51"/>
        <v>323</v>
      </c>
      <c r="J333" s="3">
        <v>260000</v>
      </c>
      <c r="K333" s="3">
        <v>98000</v>
      </c>
      <c r="L333" s="3">
        <v>260000</v>
      </c>
      <c r="M333" s="30">
        <f t="shared" si="53"/>
        <v>1.6</v>
      </c>
      <c r="N333" s="1" t="str">
        <f t="shared" si="54"/>
        <v/>
      </c>
      <c r="O333" s="1" t="str">
        <f t="shared" si="55"/>
        <v/>
      </c>
    </row>
    <row r="334" spans="1:15" x14ac:dyDescent="0.25">
      <c r="A334" s="1">
        <f t="shared" si="50"/>
        <v>323</v>
      </c>
      <c r="B334" s="3">
        <f t="shared" ref="B334:B397" ca="1" si="57">B333+E334</f>
        <v>109500</v>
      </c>
      <c r="C334" s="26">
        <f t="shared" ref="C334:C397" ca="1" si="58">RAND()</f>
        <v>0.78119300956102722</v>
      </c>
      <c r="D334" s="26" t="str">
        <f t="shared" ca="1" si="56"/>
        <v>Win</v>
      </c>
      <c r="E334" s="3">
        <f t="shared" ref="E334:E397" ca="1" si="59">IF(D334="Win",$B$4,-$B$4)</f>
        <v>500</v>
      </c>
      <c r="F334" s="42">
        <f t="shared" si="52"/>
        <v>2.8698209549893897E-33</v>
      </c>
      <c r="G334" s="41">
        <f>SUM(F$11:F334)</f>
        <v>5.2752502901879174E-33</v>
      </c>
      <c r="I334" s="1">
        <f t="shared" si="51"/>
        <v>324</v>
      </c>
      <c r="J334" s="3">
        <v>256000</v>
      </c>
      <c r="K334" s="3">
        <v>80000</v>
      </c>
      <c r="L334" s="3">
        <v>268000</v>
      </c>
      <c r="M334" s="30">
        <f t="shared" si="53"/>
        <v>1.56</v>
      </c>
      <c r="N334" s="1" t="str">
        <f t="shared" si="54"/>
        <v/>
      </c>
      <c r="O334" s="1" t="str">
        <f t="shared" si="55"/>
        <v/>
      </c>
    </row>
    <row r="335" spans="1:15" x14ac:dyDescent="0.25">
      <c r="A335" s="1">
        <f t="shared" si="50"/>
        <v>324</v>
      </c>
      <c r="B335" s="3">
        <f t="shared" ca="1" si="57"/>
        <v>110000</v>
      </c>
      <c r="C335" s="26">
        <f t="shared" ca="1" si="58"/>
        <v>0.50502626678754525</v>
      </c>
      <c r="D335" s="26" t="str">
        <f t="shared" ca="1" si="56"/>
        <v>Win</v>
      </c>
      <c r="E335" s="3">
        <f t="shared" ca="1" si="59"/>
        <v>500</v>
      </c>
      <c r="F335" s="42">
        <f t="shared" si="52"/>
        <v>6.2412640534717673E-33</v>
      </c>
      <c r="G335" s="41">
        <f>SUM(F$11:F335)</f>
        <v>1.1516514343659685E-32</v>
      </c>
      <c r="I335" s="1">
        <f t="shared" si="51"/>
        <v>325</v>
      </c>
      <c r="J335" s="3">
        <v>176000</v>
      </c>
      <c r="K335" s="3">
        <v>100000</v>
      </c>
      <c r="L335" s="3">
        <v>182000</v>
      </c>
      <c r="M335" s="30">
        <f t="shared" si="53"/>
        <v>0.76</v>
      </c>
      <c r="N335" s="1" t="str">
        <f t="shared" si="54"/>
        <v/>
      </c>
      <c r="O335" s="1" t="str">
        <f t="shared" si="55"/>
        <v/>
      </c>
    </row>
    <row r="336" spans="1:15" x14ac:dyDescent="0.25">
      <c r="A336" s="1">
        <f t="shared" si="50"/>
        <v>325</v>
      </c>
      <c r="B336" s="3">
        <f t="shared" ca="1" si="57"/>
        <v>110500</v>
      </c>
      <c r="C336" s="26">
        <f t="shared" ca="1" si="58"/>
        <v>0.52943485793418232</v>
      </c>
      <c r="D336" s="26" t="str">
        <f t="shared" ca="1" si="56"/>
        <v>Win</v>
      </c>
      <c r="E336" s="3">
        <f t="shared" ca="1" si="59"/>
        <v>500</v>
      </c>
      <c r="F336" s="42">
        <f t="shared" si="52"/>
        <v>1.3511699812087747E-32</v>
      </c>
      <c r="G336" s="41">
        <f>SUM(F$11:F336)</f>
        <v>2.5028214155747431E-32</v>
      </c>
      <c r="I336" s="1">
        <f t="shared" si="51"/>
        <v>326</v>
      </c>
      <c r="J336" s="3">
        <v>244000</v>
      </c>
      <c r="K336" s="3">
        <v>100000</v>
      </c>
      <c r="L336" s="3">
        <v>246000</v>
      </c>
      <c r="M336" s="30">
        <f t="shared" si="53"/>
        <v>1.44</v>
      </c>
      <c r="N336" s="1" t="str">
        <f t="shared" si="54"/>
        <v/>
      </c>
      <c r="O336" s="1" t="str">
        <f t="shared" si="55"/>
        <v/>
      </c>
    </row>
    <row r="337" spans="1:15" x14ac:dyDescent="0.25">
      <c r="A337" s="1">
        <f t="shared" si="50"/>
        <v>326</v>
      </c>
      <c r="B337" s="3">
        <f t="shared" ca="1" si="57"/>
        <v>111000</v>
      </c>
      <c r="C337" s="26">
        <f t="shared" ca="1" si="58"/>
        <v>0.55734002826817952</v>
      </c>
      <c r="D337" s="26" t="str">
        <f t="shared" ca="1" si="56"/>
        <v>Win</v>
      </c>
      <c r="E337" s="3">
        <f t="shared" ca="1" si="59"/>
        <v>500</v>
      </c>
      <c r="F337" s="42">
        <f t="shared" si="52"/>
        <v>2.9118584326475748E-32</v>
      </c>
      <c r="G337" s="41">
        <f>SUM(F$11:F337)</f>
        <v>5.4146798482223173E-32</v>
      </c>
      <c r="I337" s="1">
        <f t="shared" si="51"/>
        <v>327</v>
      </c>
      <c r="J337" s="3">
        <v>280000</v>
      </c>
      <c r="K337" s="3">
        <v>82000</v>
      </c>
      <c r="L337" s="3">
        <v>288000</v>
      </c>
      <c r="M337" s="30">
        <f t="shared" si="53"/>
        <v>1.7999999999999998</v>
      </c>
      <c r="N337" s="1" t="str">
        <f t="shared" si="54"/>
        <v/>
      </c>
      <c r="O337" s="1" t="str">
        <f t="shared" si="55"/>
        <v/>
      </c>
    </row>
    <row r="338" spans="1:15" x14ac:dyDescent="0.25">
      <c r="A338" s="1">
        <f t="shared" si="50"/>
        <v>327</v>
      </c>
      <c r="B338" s="3">
        <f t="shared" ca="1" si="57"/>
        <v>111500</v>
      </c>
      <c r="C338" s="26">
        <f t="shared" ca="1" si="58"/>
        <v>0.51724591069445702</v>
      </c>
      <c r="D338" s="26" t="str">
        <f t="shared" ca="1" si="56"/>
        <v>Win</v>
      </c>
      <c r="E338" s="3">
        <f t="shared" ca="1" si="59"/>
        <v>500</v>
      </c>
      <c r="F338" s="42">
        <f t="shared" si="52"/>
        <v>6.2467841080835602E-32</v>
      </c>
      <c r="G338" s="41">
        <f>SUM(F$11:F338)</f>
        <v>1.1661463956305877E-31</v>
      </c>
      <c r="I338" s="1">
        <f t="shared" si="51"/>
        <v>328</v>
      </c>
      <c r="J338" s="3">
        <v>244000</v>
      </c>
      <c r="K338" s="3">
        <v>100000</v>
      </c>
      <c r="L338" s="3">
        <v>254000</v>
      </c>
      <c r="M338" s="30">
        <f t="shared" si="53"/>
        <v>1.44</v>
      </c>
      <c r="N338" s="1" t="str">
        <f t="shared" si="54"/>
        <v/>
      </c>
      <c r="O338" s="1" t="str">
        <f t="shared" si="55"/>
        <v/>
      </c>
    </row>
    <row r="339" spans="1:15" x14ac:dyDescent="0.25">
      <c r="A339" s="1">
        <f t="shared" si="50"/>
        <v>328</v>
      </c>
      <c r="B339" s="3">
        <f t="shared" ca="1" si="57"/>
        <v>111000</v>
      </c>
      <c r="C339" s="26">
        <f t="shared" ca="1" si="58"/>
        <v>0.12825308848696271</v>
      </c>
      <c r="D339" s="26" t="str">
        <f t="shared" ca="1" si="56"/>
        <v>Lose</v>
      </c>
      <c r="E339" s="3">
        <f t="shared" ca="1" si="59"/>
        <v>-500</v>
      </c>
      <c r="F339" s="42">
        <f t="shared" si="52"/>
        <v>1.3340490974474277E-31</v>
      </c>
      <c r="G339" s="41">
        <f>SUM(F$11:F339)</f>
        <v>2.5001954930780156E-31</v>
      </c>
      <c r="I339" s="1">
        <f t="shared" si="51"/>
        <v>329</v>
      </c>
      <c r="J339" s="3">
        <v>264000</v>
      </c>
      <c r="K339" s="3">
        <v>96000</v>
      </c>
      <c r="L339" s="3">
        <v>264000</v>
      </c>
      <c r="M339" s="30">
        <f t="shared" si="53"/>
        <v>1.6400000000000001</v>
      </c>
      <c r="N339" s="1" t="str">
        <f t="shared" si="54"/>
        <v/>
      </c>
      <c r="O339" s="1" t="str">
        <f t="shared" si="55"/>
        <v/>
      </c>
    </row>
    <row r="340" spans="1:15" x14ac:dyDescent="0.25">
      <c r="A340" s="1">
        <f t="shared" si="50"/>
        <v>329</v>
      </c>
      <c r="B340" s="3">
        <f t="shared" ca="1" si="57"/>
        <v>110500</v>
      </c>
      <c r="C340" s="26">
        <f t="shared" ca="1" si="58"/>
        <v>0.15352475388854636</v>
      </c>
      <c r="D340" s="26" t="str">
        <f t="shared" ca="1" si="56"/>
        <v>Lose</v>
      </c>
      <c r="E340" s="3">
        <f t="shared" ca="1" si="59"/>
        <v>-500</v>
      </c>
      <c r="F340" s="42">
        <f t="shared" si="52"/>
        <v>2.8360852718640117E-31</v>
      </c>
      <c r="G340" s="41">
        <f>SUM(F$11:F340)</f>
        <v>5.3362807649420269E-31</v>
      </c>
      <c r="I340" s="1">
        <f t="shared" si="51"/>
        <v>330</v>
      </c>
      <c r="J340" s="3">
        <v>260000</v>
      </c>
      <c r="K340" s="3">
        <v>100000</v>
      </c>
      <c r="L340" s="3">
        <v>260000</v>
      </c>
      <c r="M340" s="30">
        <f t="shared" si="53"/>
        <v>1.6</v>
      </c>
      <c r="N340" s="1" t="str">
        <f t="shared" si="54"/>
        <v/>
      </c>
      <c r="O340" s="1" t="str">
        <f t="shared" si="55"/>
        <v/>
      </c>
    </row>
    <row r="341" spans="1:15" x14ac:dyDescent="0.25">
      <c r="A341" s="1">
        <f t="shared" si="50"/>
        <v>330</v>
      </c>
      <c r="B341" s="3">
        <f t="shared" ca="1" si="57"/>
        <v>111000</v>
      </c>
      <c r="C341" s="26">
        <f t="shared" ca="1" si="58"/>
        <v>0.66479215291013383</v>
      </c>
      <c r="D341" s="26" t="str">
        <f t="shared" ca="1" si="56"/>
        <v>Win</v>
      </c>
      <c r="E341" s="3">
        <f t="shared" ca="1" si="59"/>
        <v>500</v>
      </c>
      <c r="F341" s="42">
        <f t="shared" si="52"/>
        <v>6.0020825039241563E-31</v>
      </c>
      <c r="G341" s="41">
        <f>SUM(F$11:F341)</f>
        <v>1.1338363268866183E-30</v>
      </c>
      <c r="I341" s="1">
        <f t="shared" si="51"/>
        <v>331</v>
      </c>
      <c r="J341" s="3">
        <v>284000</v>
      </c>
      <c r="K341" s="3">
        <v>96000</v>
      </c>
      <c r="L341" s="3">
        <v>286000</v>
      </c>
      <c r="M341" s="30">
        <f t="shared" si="53"/>
        <v>1.8399999999999999</v>
      </c>
      <c r="N341" s="1" t="str">
        <f t="shared" si="54"/>
        <v/>
      </c>
      <c r="O341" s="1" t="str">
        <f t="shared" si="55"/>
        <v/>
      </c>
    </row>
    <row r="342" spans="1:15" x14ac:dyDescent="0.25">
      <c r="A342" s="1">
        <f t="shared" si="50"/>
        <v>331</v>
      </c>
      <c r="B342" s="3">
        <f t="shared" ca="1" si="57"/>
        <v>110500</v>
      </c>
      <c r="C342" s="26">
        <f t="shared" ca="1" si="58"/>
        <v>0.24243109971054955</v>
      </c>
      <c r="D342" s="26" t="str">
        <f t="shared" ca="1" si="56"/>
        <v>Lose</v>
      </c>
      <c r="E342" s="3">
        <f t="shared" ca="1" si="59"/>
        <v>-500</v>
      </c>
      <c r="F342" s="42">
        <f t="shared" si="52"/>
        <v>1.2645117402990111E-30</v>
      </c>
      <c r="G342" s="41">
        <f>SUM(F$11:F342)</f>
        <v>2.3983480671856294E-30</v>
      </c>
      <c r="I342" s="1">
        <f t="shared" si="51"/>
        <v>332</v>
      </c>
      <c r="J342" s="3">
        <v>196000</v>
      </c>
      <c r="K342" s="3">
        <v>100000</v>
      </c>
      <c r="L342" s="3">
        <v>200000</v>
      </c>
      <c r="M342" s="30">
        <f t="shared" si="53"/>
        <v>0.96</v>
      </c>
      <c r="N342" s="1" t="str">
        <f t="shared" si="54"/>
        <v/>
      </c>
      <c r="O342" s="1" t="str">
        <f t="shared" si="55"/>
        <v/>
      </c>
    </row>
    <row r="343" spans="1:15" x14ac:dyDescent="0.25">
      <c r="A343" s="1">
        <f t="shared" si="50"/>
        <v>332</v>
      </c>
      <c r="B343" s="3">
        <f t="shared" ca="1" si="57"/>
        <v>111000</v>
      </c>
      <c r="C343" s="26">
        <f t="shared" ca="1" si="58"/>
        <v>0.94963708391190305</v>
      </c>
      <c r="D343" s="26" t="str">
        <f t="shared" ca="1" si="56"/>
        <v>Win</v>
      </c>
      <c r="E343" s="3">
        <f t="shared" ca="1" si="59"/>
        <v>500</v>
      </c>
      <c r="F343" s="42">
        <f t="shared" si="52"/>
        <v>2.6520700803578826E-30</v>
      </c>
      <c r="G343" s="41">
        <f>SUM(F$11:F343)</f>
        <v>5.0504181475435123E-30</v>
      </c>
      <c r="I343" s="1">
        <f t="shared" si="51"/>
        <v>333</v>
      </c>
      <c r="J343" s="3">
        <v>256000</v>
      </c>
      <c r="K343" s="3">
        <v>88000</v>
      </c>
      <c r="L343" s="3">
        <v>256000</v>
      </c>
      <c r="M343" s="30">
        <f t="shared" si="53"/>
        <v>1.56</v>
      </c>
      <c r="N343" s="1" t="str">
        <f t="shared" si="54"/>
        <v/>
      </c>
      <c r="O343" s="1" t="str">
        <f t="shared" si="55"/>
        <v/>
      </c>
    </row>
    <row r="344" spans="1:15" x14ac:dyDescent="0.25">
      <c r="A344" s="1">
        <f t="shared" si="50"/>
        <v>333</v>
      </c>
      <c r="B344" s="3">
        <f t="shared" ca="1" si="57"/>
        <v>110500</v>
      </c>
      <c r="C344" s="26">
        <f t="shared" ca="1" si="58"/>
        <v>0.31007476154665803</v>
      </c>
      <c r="D344" s="26" t="str">
        <f t="shared" ca="1" si="56"/>
        <v>Lose</v>
      </c>
      <c r="E344" s="3">
        <f t="shared" ca="1" si="59"/>
        <v>-500</v>
      </c>
      <c r="F344" s="42">
        <f t="shared" si="52"/>
        <v>5.537214162997688E-30</v>
      </c>
      <c r="G344" s="41">
        <f>SUM(F$11:F344)</f>
        <v>1.0587632310541201E-29</v>
      </c>
      <c r="I344" s="1">
        <f t="shared" si="51"/>
        <v>334</v>
      </c>
      <c r="J344" s="3">
        <v>344000</v>
      </c>
      <c r="K344" s="3">
        <v>96000</v>
      </c>
      <c r="L344" s="3">
        <v>356000</v>
      </c>
      <c r="M344" s="30">
        <f t="shared" si="53"/>
        <v>2.44</v>
      </c>
      <c r="N344" s="1" t="str">
        <f t="shared" si="54"/>
        <v/>
      </c>
      <c r="O344" s="1" t="str">
        <f t="shared" si="55"/>
        <v/>
      </c>
    </row>
    <row r="345" spans="1:15" x14ac:dyDescent="0.25">
      <c r="A345" s="1">
        <f t="shared" si="50"/>
        <v>334</v>
      </c>
      <c r="B345" s="3">
        <f t="shared" ca="1" si="57"/>
        <v>110000</v>
      </c>
      <c r="C345" s="26">
        <f t="shared" ca="1" si="58"/>
        <v>0.28705137126873903</v>
      </c>
      <c r="D345" s="26" t="str">
        <f t="shared" ca="1" si="56"/>
        <v>Lose</v>
      </c>
      <c r="E345" s="3">
        <f t="shared" ca="1" si="59"/>
        <v>-500</v>
      </c>
      <c r="F345" s="42">
        <f t="shared" si="52"/>
        <v>1.1509190650292818E-29</v>
      </c>
      <c r="G345" s="41">
        <f>SUM(F$11:F345)</f>
        <v>2.209682296083402E-29</v>
      </c>
      <c r="I345" s="1">
        <f t="shared" si="51"/>
        <v>335</v>
      </c>
      <c r="J345" s="3">
        <v>276000</v>
      </c>
      <c r="K345" s="3">
        <v>94000</v>
      </c>
      <c r="L345" s="3">
        <v>284000</v>
      </c>
      <c r="M345" s="30">
        <f t="shared" si="53"/>
        <v>1.7599999999999998</v>
      </c>
      <c r="N345" s="1" t="str">
        <f t="shared" si="54"/>
        <v/>
      </c>
      <c r="O345" s="1" t="str">
        <f t="shared" si="55"/>
        <v/>
      </c>
    </row>
    <row r="346" spans="1:15" x14ac:dyDescent="0.25">
      <c r="A346" s="1">
        <f t="shared" si="50"/>
        <v>335</v>
      </c>
      <c r="B346" s="3">
        <f t="shared" ca="1" si="57"/>
        <v>110500</v>
      </c>
      <c r="C346" s="26">
        <f t="shared" ca="1" si="58"/>
        <v>0.56036559932157071</v>
      </c>
      <c r="D346" s="26" t="str">
        <f t="shared" ca="1" si="56"/>
        <v>Win</v>
      </c>
      <c r="E346" s="3">
        <f t="shared" ca="1" si="59"/>
        <v>500</v>
      </c>
      <c r="F346" s="42">
        <f t="shared" si="52"/>
        <v>2.3814874786953634E-29</v>
      </c>
      <c r="G346" s="41">
        <f>SUM(F$11:F346)</f>
        <v>4.5911697747787654E-29</v>
      </c>
      <c r="I346" s="1">
        <f t="shared" si="51"/>
        <v>336</v>
      </c>
      <c r="J346" s="3">
        <v>232000</v>
      </c>
      <c r="K346" s="3">
        <v>86000</v>
      </c>
      <c r="L346" s="3">
        <v>242000</v>
      </c>
      <c r="M346" s="30">
        <f t="shared" si="53"/>
        <v>1.3199999999999998</v>
      </c>
      <c r="N346" s="1" t="str">
        <f t="shared" si="54"/>
        <v/>
      </c>
      <c r="O346" s="1" t="str">
        <f t="shared" si="55"/>
        <v/>
      </c>
    </row>
    <row r="347" spans="1:15" x14ac:dyDescent="0.25">
      <c r="A347" s="1">
        <f t="shared" si="50"/>
        <v>336</v>
      </c>
      <c r="B347" s="3">
        <f t="shared" ca="1" si="57"/>
        <v>110000</v>
      </c>
      <c r="C347" s="26">
        <f t="shared" ca="1" si="58"/>
        <v>3.4445835110489154E-2</v>
      </c>
      <c r="D347" s="26" t="str">
        <f t="shared" ca="1" si="56"/>
        <v>Lose</v>
      </c>
      <c r="E347" s="3">
        <f t="shared" ca="1" si="59"/>
        <v>-500</v>
      </c>
      <c r="F347" s="42">
        <f t="shared" si="52"/>
        <v>4.9057427016493163E-29</v>
      </c>
      <c r="G347" s="41">
        <f>SUM(F$11:F347)</f>
        <v>9.4969124764280811E-29</v>
      </c>
      <c r="I347" s="1">
        <f t="shared" si="51"/>
        <v>337</v>
      </c>
      <c r="J347" s="3">
        <v>352000</v>
      </c>
      <c r="K347" s="3">
        <v>98000</v>
      </c>
      <c r="L347" s="3">
        <v>352000</v>
      </c>
      <c r="M347" s="30">
        <f t="shared" si="53"/>
        <v>2.52</v>
      </c>
      <c r="N347" s="1" t="str">
        <f t="shared" si="54"/>
        <v/>
      </c>
      <c r="O347" s="1" t="str">
        <f t="shared" si="55"/>
        <v/>
      </c>
    </row>
    <row r="348" spans="1:15" x14ac:dyDescent="0.25">
      <c r="A348" s="1">
        <f t="shared" si="50"/>
        <v>337</v>
      </c>
      <c r="B348" s="3">
        <f t="shared" ca="1" si="57"/>
        <v>109500</v>
      </c>
      <c r="C348" s="26">
        <f t="shared" ca="1" si="58"/>
        <v>0.12881221247332419</v>
      </c>
      <c r="D348" s="26" t="str">
        <f t="shared" ca="1" si="56"/>
        <v>Lose</v>
      </c>
      <c r="E348" s="3">
        <f t="shared" ca="1" si="59"/>
        <v>-500</v>
      </c>
      <c r="F348" s="42">
        <f t="shared" si="52"/>
        <v>1.0060441521749727E-28</v>
      </c>
      <c r="G348" s="41">
        <f>SUM(F$11:F348)</f>
        <v>1.9557353998177809E-28</v>
      </c>
      <c r="I348" s="1">
        <f t="shared" si="51"/>
        <v>338</v>
      </c>
      <c r="J348" s="3">
        <v>468000</v>
      </c>
      <c r="K348" s="3">
        <v>88000</v>
      </c>
      <c r="L348" s="3">
        <v>468000</v>
      </c>
      <c r="M348" s="30">
        <f t="shared" si="53"/>
        <v>3.6799999999999997</v>
      </c>
      <c r="N348" s="1" t="str">
        <f t="shared" si="54"/>
        <v/>
      </c>
      <c r="O348" s="1" t="str">
        <f t="shared" si="55"/>
        <v/>
      </c>
    </row>
    <row r="349" spans="1:15" x14ac:dyDescent="0.25">
      <c r="A349" s="1">
        <f t="shared" si="50"/>
        <v>338</v>
      </c>
      <c r="B349" s="3">
        <f t="shared" ca="1" si="57"/>
        <v>109000</v>
      </c>
      <c r="C349" s="26">
        <f t="shared" ca="1" si="58"/>
        <v>0.13939490503005458</v>
      </c>
      <c r="D349" s="26" t="str">
        <f t="shared" ca="1" si="56"/>
        <v>Lose</v>
      </c>
      <c r="E349" s="3">
        <f t="shared" ca="1" si="59"/>
        <v>-500</v>
      </c>
      <c r="F349" s="42">
        <f t="shared" si="52"/>
        <v>2.0539410045581438E-28</v>
      </c>
      <c r="G349" s="41">
        <f>SUM(F$11:F349)</f>
        <v>4.0096764043759249E-28</v>
      </c>
      <c r="I349" s="1">
        <f t="shared" si="51"/>
        <v>339</v>
      </c>
      <c r="J349" s="3">
        <v>372000</v>
      </c>
      <c r="K349" s="3">
        <v>94000</v>
      </c>
      <c r="L349" s="3">
        <v>378000</v>
      </c>
      <c r="M349" s="30">
        <f t="shared" si="53"/>
        <v>2.72</v>
      </c>
      <c r="N349" s="1" t="str">
        <f t="shared" si="54"/>
        <v/>
      </c>
      <c r="O349" s="1" t="str">
        <f t="shared" si="55"/>
        <v/>
      </c>
    </row>
    <row r="350" spans="1:15" x14ac:dyDescent="0.25">
      <c r="A350" s="1">
        <f t="shared" si="50"/>
        <v>339</v>
      </c>
      <c r="B350" s="3">
        <f t="shared" ca="1" si="57"/>
        <v>109500</v>
      </c>
      <c r="C350" s="26">
        <f t="shared" ca="1" si="58"/>
        <v>0.96558528199178295</v>
      </c>
      <c r="D350" s="26" t="str">
        <f t="shared" ca="1" si="56"/>
        <v>Win</v>
      </c>
      <c r="E350" s="3">
        <f t="shared" ca="1" si="59"/>
        <v>500</v>
      </c>
      <c r="F350" s="42">
        <f t="shared" si="52"/>
        <v>4.1746527118109702E-28</v>
      </c>
      <c r="G350" s="41">
        <f>SUM(F$11:F350)</f>
        <v>8.1843291161868951E-28</v>
      </c>
      <c r="I350" s="1">
        <f t="shared" si="51"/>
        <v>340</v>
      </c>
      <c r="J350" s="3">
        <v>300000</v>
      </c>
      <c r="K350" s="3">
        <v>100000</v>
      </c>
      <c r="L350" s="3">
        <v>306000</v>
      </c>
      <c r="M350" s="30">
        <f t="shared" si="53"/>
        <v>2</v>
      </c>
      <c r="N350" s="1" t="str">
        <f t="shared" si="54"/>
        <v/>
      </c>
      <c r="O350" s="1" t="str">
        <f t="shared" si="55"/>
        <v/>
      </c>
    </row>
    <row r="351" spans="1:15" x14ac:dyDescent="0.25">
      <c r="A351" s="1">
        <f t="shared" si="50"/>
        <v>340</v>
      </c>
      <c r="B351" s="3">
        <f t="shared" ca="1" si="57"/>
        <v>109000</v>
      </c>
      <c r="C351" s="26">
        <f t="shared" ca="1" si="58"/>
        <v>0.20547700920297307</v>
      </c>
      <c r="D351" s="26" t="str">
        <f t="shared" ca="1" si="56"/>
        <v>Lose</v>
      </c>
      <c r="E351" s="3">
        <f t="shared" ca="1" si="59"/>
        <v>-500</v>
      </c>
      <c r="F351" s="42">
        <f t="shared" si="52"/>
        <v>8.4472819668581999E-28</v>
      </c>
      <c r="G351" s="41">
        <f>SUM(F$11:F351)</f>
        <v>1.6631611083045093E-27</v>
      </c>
      <c r="I351" s="1">
        <f t="shared" si="51"/>
        <v>341</v>
      </c>
      <c r="J351" s="3">
        <v>288000</v>
      </c>
      <c r="K351" s="3">
        <v>92000</v>
      </c>
      <c r="L351" s="3">
        <v>298000</v>
      </c>
      <c r="M351" s="30">
        <f t="shared" si="53"/>
        <v>1.88</v>
      </c>
      <c r="N351" s="1" t="str">
        <f t="shared" si="54"/>
        <v/>
      </c>
      <c r="O351" s="1" t="str">
        <f t="shared" si="55"/>
        <v/>
      </c>
    </row>
    <row r="352" spans="1:15" x14ac:dyDescent="0.25">
      <c r="A352" s="1">
        <f t="shared" si="50"/>
        <v>341</v>
      </c>
      <c r="B352" s="3">
        <f t="shared" ca="1" si="57"/>
        <v>108500</v>
      </c>
      <c r="C352" s="26">
        <f t="shared" ca="1" si="58"/>
        <v>0.16399424857707279</v>
      </c>
      <c r="D352" s="26" t="str">
        <f t="shared" ca="1" si="56"/>
        <v>Lose</v>
      </c>
      <c r="E352" s="3">
        <f t="shared" ca="1" si="59"/>
        <v>-500</v>
      </c>
      <c r="F352" s="42">
        <f t="shared" si="52"/>
        <v>1.7016907714671792E-27</v>
      </c>
      <c r="G352" s="41">
        <f>SUM(F$11:F352)</f>
        <v>3.3648518797716881E-27</v>
      </c>
      <c r="I352" s="1">
        <f t="shared" si="51"/>
        <v>342</v>
      </c>
      <c r="J352" s="3">
        <v>324000</v>
      </c>
      <c r="K352" s="3">
        <v>94000</v>
      </c>
      <c r="L352" s="3">
        <v>358000</v>
      </c>
      <c r="M352" s="30">
        <f t="shared" si="53"/>
        <v>2.2400000000000002</v>
      </c>
      <c r="N352" s="1" t="str">
        <f t="shared" si="54"/>
        <v/>
      </c>
      <c r="O352" s="1" t="str">
        <f t="shared" si="55"/>
        <v/>
      </c>
    </row>
    <row r="353" spans="1:15" x14ac:dyDescent="0.25">
      <c r="A353" s="1">
        <f t="shared" si="50"/>
        <v>342</v>
      </c>
      <c r="B353" s="3">
        <f t="shared" ca="1" si="57"/>
        <v>108000</v>
      </c>
      <c r="C353" s="26">
        <f t="shared" ca="1" si="58"/>
        <v>0.39060655615015694</v>
      </c>
      <c r="D353" s="26" t="str">
        <f t="shared" ca="1" si="56"/>
        <v>Lose</v>
      </c>
      <c r="E353" s="3">
        <f t="shared" ca="1" si="59"/>
        <v>-500</v>
      </c>
      <c r="F353" s="42">
        <f t="shared" si="52"/>
        <v>3.4128252260556749E-27</v>
      </c>
      <c r="G353" s="41">
        <f>SUM(F$11:F353)</f>
        <v>6.777677105827363E-27</v>
      </c>
      <c r="I353" s="1">
        <f t="shared" si="51"/>
        <v>343</v>
      </c>
      <c r="J353" s="3">
        <v>324000</v>
      </c>
      <c r="K353" s="3">
        <v>82000</v>
      </c>
      <c r="L353" s="3">
        <v>332000</v>
      </c>
      <c r="M353" s="30">
        <f t="shared" si="53"/>
        <v>2.2400000000000002</v>
      </c>
      <c r="N353" s="1" t="str">
        <f t="shared" si="54"/>
        <v/>
      </c>
      <c r="O353" s="1" t="str">
        <f t="shared" si="55"/>
        <v/>
      </c>
    </row>
    <row r="354" spans="1:15" x14ac:dyDescent="0.25">
      <c r="A354" s="1">
        <f t="shared" si="50"/>
        <v>343</v>
      </c>
      <c r="B354" s="3">
        <f t="shared" ca="1" si="57"/>
        <v>108500</v>
      </c>
      <c r="C354" s="26">
        <f t="shared" ca="1" si="58"/>
        <v>0.52786447791933877</v>
      </c>
      <c r="D354" s="26" t="str">
        <f t="shared" ca="1" si="56"/>
        <v>Win</v>
      </c>
      <c r="E354" s="3">
        <f t="shared" ca="1" si="59"/>
        <v>500</v>
      </c>
      <c r="F354" s="42">
        <f t="shared" si="52"/>
        <v>6.8142791060852252E-27</v>
      </c>
      <c r="G354" s="41">
        <f>SUM(F$11:F354)</f>
        <v>1.3591956211912588E-26</v>
      </c>
      <c r="I354" s="1">
        <f t="shared" si="51"/>
        <v>344</v>
      </c>
      <c r="J354" s="3">
        <v>300000</v>
      </c>
      <c r="K354" s="3">
        <v>100000</v>
      </c>
      <c r="L354" s="3">
        <v>314000</v>
      </c>
      <c r="M354" s="30">
        <f t="shared" si="53"/>
        <v>2</v>
      </c>
      <c r="N354" s="1" t="str">
        <f t="shared" si="54"/>
        <v/>
      </c>
      <c r="O354" s="1" t="str">
        <f t="shared" si="55"/>
        <v/>
      </c>
    </row>
    <row r="355" spans="1:15" x14ac:dyDescent="0.25">
      <c r="A355" s="1">
        <f t="shared" si="50"/>
        <v>344</v>
      </c>
      <c r="B355" s="3">
        <f t="shared" ca="1" si="57"/>
        <v>108000</v>
      </c>
      <c r="C355" s="26">
        <f t="shared" ca="1" si="58"/>
        <v>0.10210887780875499</v>
      </c>
      <c r="D355" s="26" t="str">
        <f t="shared" ca="1" si="56"/>
        <v>Lose</v>
      </c>
      <c r="E355" s="3">
        <f t="shared" ca="1" si="59"/>
        <v>-500</v>
      </c>
      <c r="F355" s="42">
        <f t="shared" si="52"/>
        <v>1.3545684029877145E-26</v>
      </c>
      <c r="G355" s="41">
        <f>SUM(F$11:F355)</f>
        <v>2.7137640241789733E-26</v>
      </c>
      <c r="I355" s="1">
        <f t="shared" si="51"/>
        <v>345</v>
      </c>
      <c r="J355" s="3">
        <v>384000</v>
      </c>
      <c r="K355" s="3">
        <v>94000</v>
      </c>
      <c r="L355" s="3">
        <v>384000</v>
      </c>
      <c r="M355" s="30">
        <f t="shared" si="53"/>
        <v>2.84</v>
      </c>
      <c r="N355" s="1" t="str">
        <f t="shared" si="54"/>
        <v/>
      </c>
      <c r="O355" s="1" t="str">
        <f t="shared" si="55"/>
        <v/>
      </c>
    </row>
    <row r="356" spans="1:15" x14ac:dyDescent="0.25">
      <c r="A356" s="1">
        <f t="shared" si="50"/>
        <v>345</v>
      </c>
      <c r="B356" s="3">
        <f t="shared" ca="1" si="57"/>
        <v>108500</v>
      </c>
      <c r="C356" s="26">
        <f t="shared" ca="1" si="58"/>
        <v>0.66333583999062506</v>
      </c>
      <c r="D356" s="26" t="str">
        <f t="shared" ca="1" si="56"/>
        <v>Win</v>
      </c>
      <c r="E356" s="3">
        <f t="shared" ca="1" si="59"/>
        <v>500</v>
      </c>
      <c r="F356" s="42">
        <f t="shared" si="52"/>
        <v>2.6807713984238266E-26</v>
      </c>
      <c r="G356" s="41">
        <f>SUM(F$11:F356)</f>
        <v>5.3945354226027999E-26</v>
      </c>
      <c r="I356" s="1">
        <f t="shared" si="51"/>
        <v>346</v>
      </c>
      <c r="J356" s="3">
        <v>380000</v>
      </c>
      <c r="K356" s="3">
        <v>100000</v>
      </c>
      <c r="L356" s="3">
        <v>382000</v>
      </c>
      <c r="M356" s="30">
        <f t="shared" si="53"/>
        <v>2.8</v>
      </c>
      <c r="N356" s="1" t="str">
        <f t="shared" si="54"/>
        <v/>
      </c>
      <c r="O356" s="1" t="str">
        <f t="shared" si="55"/>
        <v/>
      </c>
    </row>
    <row r="357" spans="1:15" x14ac:dyDescent="0.25">
      <c r="A357" s="1">
        <f t="shared" si="50"/>
        <v>346</v>
      </c>
      <c r="B357" s="3">
        <f t="shared" ca="1" si="57"/>
        <v>108000</v>
      </c>
      <c r="C357" s="26">
        <f t="shared" ca="1" si="58"/>
        <v>0.37786376902622099</v>
      </c>
      <c r="D357" s="26" t="str">
        <f t="shared" ca="1" si="56"/>
        <v>Lose</v>
      </c>
      <c r="E357" s="3">
        <f t="shared" ca="1" si="59"/>
        <v>-500</v>
      </c>
      <c r="F357" s="42">
        <f t="shared" si="52"/>
        <v>5.2820082909252048E-26</v>
      </c>
      <c r="G357" s="41">
        <f>SUM(F$11:F357)</f>
        <v>1.0676543713528003E-25</v>
      </c>
      <c r="I357" s="1">
        <f t="shared" si="51"/>
        <v>347</v>
      </c>
      <c r="J357" s="3">
        <v>300000</v>
      </c>
      <c r="K357" s="3">
        <v>88000</v>
      </c>
      <c r="L357" s="3">
        <v>322000</v>
      </c>
      <c r="M357" s="30">
        <f t="shared" si="53"/>
        <v>2</v>
      </c>
      <c r="N357" s="1" t="str">
        <f t="shared" si="54"/>
        <v/>
      </c>
      <c r="O357" s="1" t="str">
        <f t="shared" si="55"/>
        <v/>
      </c>
    </row>
    <row r="358" spans="1:15" x14ac:dyDescent="0.25">
      <c r="A358" s="1">
        <f t="shared" si="50"/>
        <v>347</v>
      </c>
      <c r="B358" s="3">
        <f t="shared" ca="1" si="57"/>
        <v>108500</v>
      </c>
      <c r="C358" s="26">
        <f t="shared" ca="1" si="58"/>
        <v>0.57255011076937179</v>
      </c>
      <c r="D358" s="26" t="str">
        <f t="shared" ca="1" si="56"/>
        <v>Win</v>
      </c>
      <c r="E358" s="3">
        <f t="shared" ca="1" si="59"/>
        <v>500</v>
      </c>
      <c r="F358" s="42">
        <f t="shared" si="52"/>
        <v>1.03614717717769E-25</v>
      </c>
      <c r="G358" s="41">
        <f>SUM(F$11:F358)</f>
        <v>2.1038015485304906E-25</v>
      </c>
      <c r="I358" s="1">
        <f t="shared" si="51"/>
        <v>348</v>
      </c>
      <c r="J358" s="3">
        <v>272000</v>
      </c>
      <c r="K358" s="3">
        <v>98000</v>
      </c>
      <c r="L358" s="3">
        <v>272000</v>
      </c>
      <c r="M358" s="30">
        <f t="shared" si="53"/>
        <v>1.7200000000000002</v>
      </c>
      <c r="N358" s="1" t="str">
        <f t="shared" si="54"/>
        <v/>
      </c>
      <c r="O358" s="1" t="str">
        <f t="shared" si="55"/>
        <v/>
      </c>
    </row>
    <row r="359" spans="1:15" x14ac:dyDescent="0.25">
      <c r="A359" s="1">
        <f t="shared" si="50"/>
        <v>348</v>
      </c>
      <c r="B359" s="3">
        <f t="shared" ca="1" si="57"/>
        <v>108000</v>
      </c>
      <c r="C359" s="26">
        <f t="shared" ca="1" si="58"/>
        <v>0.46800024510883709</v>
      </c>
      <c r="D359" s="26" t="str">
        <f t="shared" ca="1" si="56"/>
        <v>Lose</v>
      </c>
      <c r="E359" s="3">
        <f t="shared" ca="1" si="59"/>
        <v>-500</v>
      </c>
      <c r="F359" s="42">
        <f t="shared" si="52"/>
        <v>2.0236224162296757E-25</v>
      </c>
      <c r="G359" s="41">
        <f>SUM(F$11:F359)</f>
        <v>4.1274239647601661E-25</v>
      </c>
      <c r="I359" s="1">
        <f t="shared" si="51"/>
        <v>349</v>
      </c>
      <c r="J359" s="3">
        <v>356000</v>
      </c>
      <c r="K359" s="3">
        <v>100000</v>
      </c>
      <c r="L359" s="3">
        <v>356000</v>
      </c>
      <c r="M359" s="30">
        <f t="shared" si="53"/>
        <v>2.56</v>
      </c>
      <c r="N359" s="1" t="str">
        <f t="shared" si="54"/>
        <v/>
      </c>
      <c r="O359" s="1" t="str">
        <f t="shared" si="55"/>
        <v/>
      </c>
    </row>
    <row r="360" spans="1:15" x14ac:dyDescent="0.25">
      <c r="A360" s="1">
        <f t="shared" si="50"/>
        <v>349</v>
      </c>
      <c r="B360" s="3">
        <f t="shared" ca="1" si="57"/>
        <v>108500</v>
      </c>
      <c r="C360" s="26">
        <f t="shared" ca="1" si="58"/>
        <v>0.75823069600817705</v>
      </c>
      <c r="D360" s="26" t="str">
        <f t="shared" ca="1" si="56"/>
        <v>Win</v>
      </c>
      <c r="E360" s="3">
        <f t="shared" ca="1" si="59"/>
        <v>500</v>
      </c>
      <c r="F360" s="42">
        <f t="shared" si="52"/>
        <v>3.9348279389783936E-25</v>
      </c>
      <c r="G360" s="41">
        <f>SUM(F$11:F360)</f>
        <v>8.0622519037385602E-25</v>
      </c>
      <c r="I360" s="1">
        <f t="shared" si="51"/>
        <v>350</v>
      </c>
      <c r="J360" s="3">
        <v>316000</v>
      </c>
      <c r="K360" s="3">
        <v>92000</v>
      </c>
      <c r="L360" s="3">
        <v>316000</v>
      </c>
      <c r="M360" s="30">
        <f t="shared" si="53"/>
        <v>2.16</v>
      </c>
      <c r="N360" s="1" t="str">
        <f t="shared" si="54"/>
        <v/>
      </c>
      <c r="O360" s="1" t="str">
        <f t="shared" si="55"/>
        <v/>
      </c>
    </row>
    <row r="361" spans="1:15" x14ac:dyDescent="0.25">
      <c r="A361" s="1">
        <f t="shared" si="50"/>
        <v>350</v>
      </c>
      <c r="B361" s="3">
        <f t="shared" ca="1" si="57"/>
        <v>108000</v>
      </c>
      <c r="C361" s="26">
        <f t="shared" ca="1" si="58"/>
        <v>4.0701567055109744E-2</v>
      </c>
      <c r="D361" s="26" t="str">
        <f t="shared" ca="1" si="56"/>
        <v>Lose</v>
      </c>
      <c r="E361" s="3">
        <f t="shared" ca="1" si="59"/>
        <v>-500</v>
      </c>
      <c r="F361" s="42">
        <f t="shared" si="52"/>
        <v>7.617505679418065E-25</v>
      </c>
      <c r="G361" s="41">
        <f>SUM(F$11:F361)</f>
        <v>1.5679757583156625E-24</v>
      </c>
      <c r="I361" s="1">
        <f t="shared" si="51"/>
        <v>351</v>
      </c>
      <c r="J361" s="3">
        <v>300000</v>
      </c>
      <c r="K361" s="3">
        <v>80000</v>
      </c>
      <c r="L361" s="3">
        <v>302000</v>
      </c>
      <c r="M361" s="30">
        <f t="shared" si="53"/>
        <v>2</v>
      </c>
      <c r="N361" s="1" t="str">
        <f t="shared" si="54"/>
        <v/>
      </c>
      <c r="O361" s="1" t="str">
        <f t="shared" si="55"/>
        <v/>
      </c>
    </row>
    <row r="362" spans="1:15" x14ac:dyDescent="0.25">
      <c r="A362" s="1">
        <f t="shared" si="50"/>
        <v>351</v>
      </c>
      <c r="B362" s="3">
        <f t="shared" ca="1" si="57"/>
        <v>108500</v>
      </c>
      <c r="C362" s="26">
        <f t="shared" ca="1" si="58"/>
        <v>0.64418479689472652</v>
      </c>
      <c r="D362" s="26" t="str">
        <f t="shared" ca="1" si="56"/>
        <v>Win</v>
      </c>
      <c r="E362" s="3">
        <f t="shared" ca="1" si="59"/>
        <v>500</v>
      </c>
      <c r="F362" s="42">
        <f t="shared" si="52"/>
        <v>1.4682267182551974E-24</v>
      </c>
      <c r="G362" s="41">
        <f>SUM(F$11:F362)</f>
        <v>3.0362024765708601E-24</v>
      </c>
      <c r="I362" s="1">
        <f t="shared" si="51"/>
        <v>352</v>
      </c>
      <c r="J362" s="3">
        <v>236000</v>
      </c>
      <c r="K362" s="3">
        <v>78000</v>
      </c>
      <c r="L362" s="3">
        <v>254000</v>
      </c>
      <c r="M362" s="30">
        <f t="shared" si="53"/>
        <v>1.3599999999999999</v>
      </c>
      <c r="N362" s="1" t="str">
        <f t="shared" si="54"/>
        <v/>
      </c>
      <c r="O362" s="1" t="str">
        <f t="shared" si="55"/>
        <v/>
      </c>
    </row>
    <row r="363" spans="1:15" x14ac:dyDescent="0.25">
      <c r="A363" s="1">
        <f t="shared" si="50"/>
        <v>352</v>
      </c>
      <c r="B363" s="3">
        <f t="shared" ca="1" si="57"/>
        <v>108000</v>
      </c>
      <c r="C363" s="26">
        <f t="shared" ca="1" si="58"/>
        <v>0.20813296188809571</v>
      </c>
      <c r="D363" s="26" t="str">
        <f t="shared" ca="1" si="56"/>
        <v>Lose</v>
      </c>
      <c r="E363" s="3">
        <f t="shared" ca="1" si="59"/>
        <v>-500</v>
      </c>
      <c r="F363" s="42">
        <f t="shared" si="52"/>
        <v>2.8175345632843506E-24</v>
      </c>
      <c r="G363" s="41">
        <f>SUM(F$11:F363)</f>
        <v>5.8537370398552107E-24</v>
      </c>
      <c r="I363" s="1">
        <f t="shared" si="51"/>
        <v>353</v>
      </c>
      <c r="J363" s="3">
        <v>308000</v>
      </c>
      <c r="K363" s="3">
        <v>98000</v>
      </c>
      <c r="L363" s="3">
        <v>308000</v>
      </c>
      <c r="M363" s="30">
        <f t="shared" si="53"/>
        <v>2.08</v>
      </c>
      <c r="N363" s="1" t="str">
        <f t="shared" si="54"/>
        <v/>
      </c>
      <c r="O363" s="1" t="str">
        <f t="shared" si="55"/>
        <v/>
      </c>
    </row>
    <row r="364" spans="1:15" x14ac:dyDescent="0.25">
      <c r="A364" s="1">
        <f t="shared" si="50"/>
        <v>353</v>
      </c>
      <c r="B364" s="3">
        <f t="shared" ca="1" si="57"/>
        <v>107500</v>
      </c>
      <c r="C364" s="26">
        <f t="shared" ca="1" si="58"/>
        <v>0.13565056689415278</v>
      </c>
      <c r="D364" s="26" t="str">
        <f t="shared" ca="1" si="56"/>
        <v>Lose</v>
      </c>
      <c r="E364" s="3">
        <f t="shared" ca="1" si="59"/>
        <v>-500</v>
      </c>
      <c r="F364" s="42">
        <f t="shared" si="52"/>
        <v>5.3832388418467188E-24</v>
      </c>
      <c r="G364" s="41">
        <f>SUM(F$11:F364)</f>
        <v>1.123697588170193E-23</v>
      </c>
      <c r="I364" s="1">
        <f t="shared" si="51"/>
        <v>354</v>
      </c>
      <c r="J364" s="3">
        <v>268000</v>
      </c>
      <c r="K364" s="3">
        <v>96000</v>
      </c>
      <c r="L364" s="3">
        <v>276000</v>
      </c>
      <c r="M364" s="30">
        <f t="shared" si="53"/>
        <v>1.6800000000000002</v>
      </c>
      <c r="N364" s="1" t="str">
        <f t="shared" si="54"/>
        <v/>
      </c>
      <c r="O364" s="1" t="str">
        <f t="shared" si="55"/>
        <v/>
      </c>
    </row>
    <row r="365" spans="1:15" x14ac:dyDescent="0.25">
      <c r="A365" s="1">
        <f t="shared" si="50"/>
        <v>354</v>
      </c>
      <c r="B365" s="3">
        <f t="shared" ca="1" si="57"/>
        <v>108000</v>
      </c>
      <c r="C365" s="26">
        <f t="shared" ca="1" si="58"/>
        <v>0.9294311835149045</v>
      </c>
      <c r="D365" s="26" t="str">
        <f t="shared" ca="1" si="56"/>
        <v>Win</v>
      </c>
      <c r="E365" s="3">
        <f t="shared" ca="1" si="59"/>
        <v>500</v>
      </c>
      <c r="F365" s="42">
        <f t="shared" si="52"/>
        <v>1.0240443448888535E-23</v>
      </c>
      <c r="G365" s="41">
        <f>SUM(F$11:F365)</f>
        <v>2.1477419330590465E-23</v>
      </c>
      <c r="I365" s="1">
        <f t="shared" si="51"/>
        <v>355</v>
      </c>
      <c r="J365" s="3">
        <v>408000</v>
      </c>
      <c r="K365" s="3">
        <v>100000</v>
      </c>
      <c r="L365" s="3">
        <v>424000</v>
      </c>
      <c r="M365" s="30">
        <f t="shared" si="53"/>
        <v>3.08</v>
      </c>
      <c r="N365" s="1" t="str">
        <f t="shared" si="54"/>
        <v/>
      </c>
      <c r="O365" s="1" t="str">
        <f t="shared" si="55"/>
        <v/>
      </c>
    </row>
    <row r="366" spans="1:15" x14ac:dyDescent="0.25">
      <c r="A366" s="1">
        <f t="shared" si="50"/>
        <v>355</v>
      </c>
      <c r="B366" s="3">
        <f t="shared" ca="1" si="57"/>
        <v>108500</v>
      </c>
      <c r="C366" s="26">
        <f t="shared" ca="1" si="58"/>
        <v>0.71653201644422337</v>
      </c>
      <c r="D366" s="26" t="str">
        <f t="shared" ca="1" si="56"/>
        <v>Win</v>
      </c>
      <c r="E366" s="3">
        <f t="shared" ca="1" si="59"/>
        <v>500</v>
      </c>
      <c r="F366" s="42">
        <f t="shared" si="52"/>
        <v>1.9395323361142654E-23</v>
      </c>
      <c r="G366" s="41">
        <f>SUM(F$11:F366)</f>
        <v>4.0872742691733121E-23</v>
      </c>
      <c r="I366" s="1">
        <f t="shared" si="51"/>
        <v>356</v>
      </c>
      <c r="J366" s="3">
        <v>308000</v>
      </c>
      <c r="K366" s="3">
        <v>92000</v>
      </c>
      <c r="L366" s="3">
        <v>308000</v>
      </c>
      <c r="M366" s="30">
        <f t="shared" si="53"/>
        <v>2.08</v>
      </c>
      <c r="N366" s="1" t="str">
        <f t="shared" si="54"/>
        <v/>
      </c>
      <c r="O366" s="1" t="str">
        <f t="shared" si="55"/>
        <v/>
      </c>
    </row>
    <row r="367" spans="1:15" x14ac:dyDescent="0.25">
      <c r="A367" s="1">
        <f t="shared" si="50"/>
        <v>356</v>
      </c>
      <c r="B367" s="3">
        <f t="shared" ca="1" si="57"/>
        <v>108000</v>
      </c>
      <c r="C367" s="26">
        <f t="shared" ca="1" si="58"/>
        <v>0.44034880366815454</v>
      </c>
      <c r="D367" s="26" t="str">
        <f t="shared" ca="1" si="56"/>
        <v>Lose</v>
      </c>
      <c r="E367" s="3">
        <f t="shared" ca="1" si="59"/>
        <v>-500</v>
      </c>
      <c r="F367" s="42">
        <f t="shared" si="52"/>
        <v>3.6574705455445784E-23</v>
      </c>
      <c r="G367" s="41">
        <f>SUM(F$11:F367)</f>
        <v>7.7447448147178905E-23</v>
      </c>
      <c r="I367" s="1">
        <f t="shared" si="51"/>
        <v>357</v>
      </c>
      <c r="J367" s="3">
        <v>300000</v>
      </c>
      <c r="K367" s="3">
        <v>96000</v>
      </c>
      <c r="L367" s="3">
        <v>304000</v>
      </c>
      <c r="M367" s="30">
        <f t="shared" si="53"/>
        <v>2</v>
      </c>
      <c r="N367" s="1" t="str">
        <f t="shared" si="54"/>
        <v/>
      </c>
      <c r="O367" s="1" t="str">
        <f t="shared" si="55"/>
        <v/>
      </c>
    </row>
    <row r="368" spans="1:15" x14ac:dyDescent="0.25">
      <c r="A368" s="1">
        <f t="shared" si="50"/>
        <v>357</v>
      </c>
      <c r="B368" s="3">
        <f t="shared" ca="1" si="57"/>
        <v>107500</v>
      </c>
      <c r="C368" s="26">
        <f t="shared" ca="1" si="58"/>
        <v>0.33244578161553706</v>
      </c>
      <c r="D368" s="26" t="str">
        <f t="shared" ca="1" si="56"/>
        <v>Lose</v>
      </c>
      <c r="E368" s="3">
        <f t="shared" ca="1" si="59"/>
        <v>-500</v>
      </c>
      <c r="F368" s="42">
        <f t="shared" si="52"/>
        <v>6.8670875548996663E-23</v>
      </c>
      <c r="G368" s="41">
        <f>SUM(F$11:F368)</f>
        <v>1.4611832369617557E-22</v>
      </c>
      <c r="I368" s="1">
        <f t="shared" si="51"/>
        <v>358</v>
      </c>
      <c r="J368" s="3">
        <v>312000</v>
      </c>
      <c r="K368" s="3">
        <v>100000</v>
      </c>
      <c r="L368" s="3">
        <v>316000</v>
      </c>
      <c r="M368" s="30">
        <f t="shared" si="53"/>
        <v>2.12</v>
      </c>
      <c r="N368" s="1" t="str">
        <f t="shared" si="54"/>
        <v/>
      </c>
      <c r="O368" s="1" t="str">
        <f t="shared" si="55"/>
        <v/>
      </c>
    </row>
    <row r="369" spans="1:15" x14ac:dyDescent="0.25">
      <c r="A369" s="1">
        <f t="shared" si="50"/>
        <v>358</v>
      </c>
      <c r="B369" s="3">
        <f t="shared" ca="1" si="57"/>
        <v>108000</v>
      </c>
      <c r="C369" s="26">
        <f t="shared" ca="1" si="58"/>
        <v>0.84543186011369786</v>
      </c>
      <c r="D369" s="26" t="str">
        <f t="shared" ca="1" si="56"/>
        <v>Win</v>
      </c>
      <c r="E369" s="3">
        <f t="shared" ca="1" si="59"/>
        <v>500</v>
      </c>
      <c r="F369" s="42">
        <f t="shared" si="52"/>
        <v>1.2837327681440212E-22</v>
      </c>
      <c r="G369" s="41">
        <f>SUM(F$11:F369)</f>
        <v>2.7449160051057771E-22</v>
      </c>
      <c r="I369" s="1">
        <f t="shared" si="51"/>
        <v>359</v>
      </c>
      <c r="J369" s="3">
        <v>340000</v>
      </c>
      <c r="K369" s="3">
        <v>50000</v>
      </c>
      <c r="L369" s="3">
        <v>342000</v>
      </c>
      <c r="M369" s="30">
        <f t="shared" si="53"/>
        <v>2.4</v>
      </c>
      <c r="N369" s="1" t="str">
        <f t="shared" si="54"/>
        <v/>
      </c>
      <c r="O369" s="1" t="str">
        <f t="shared" si="55"/>
        <v/>
      </c>
    </row>
    <row r="370" spans="1:15" x14ac:dyDescent="0.25">
      <c r="A370" s="1">
        <f t="shared" si="50"/>
        <v>359</v>
      </c>
      <c r="B370" s="3">
        <f t="shared" ca="1" si="57"/>
        <v>107500</v>
      </c>
      <c r="C370" s="26">
        <f t="shared" ca="1" si="58"/>
        <v>0.33775910146626364</v>
      </c>
      <c r="D370" s="26" t="str">
        <f t="shared" ca="1" si="56"/>
        <v>Lose</v>
      </c>
      <c r="E370" s="3">
        <f t="shared" ca="1" si="59"/>
        <v>-500</v>
      </c>
      <c r="F370" s="42">
        <f t="shared" si="52"/>
        <v>2.3894024384385564E-22</v>
      </c>
      <c r="G370" s="41">
        <f>SUM(F$11:F370)</f>
        <v>5.134318443544333E-22</v>
      </c>
      <c r="I370" s="1">
        <f t="shared" si="51"/>
        <v>360</v>
      </c>
      <c r="J370" s="3">
        <v>272000</v>
      </c>
      <c r="K370" s="3">
        <v>94000</v>
      </c>
      <c r="L370" s="3">
        <v>272000</v>
      </c>
      <c r="M370" s="30">
        <f t="shared" si="53"/>
        <v>1.7200000000000002</v>
      </c>
      <c r="N370" s="1" t="str">
        <f t="shared" si="54"/>
        <v/>
      </c>
      <c r="O370" s="1" t="str">
        <f t="shared" si="55"/>
        <v/>
      </c>
    </row>
    <row r="371" spans="1:15" x14ac:dyDescent="0.25">
      <c r="A371" s="1">
        <f t="shared" si="50"/>
        <v>360</v>
      </c>
      <c r="B371" s="3">
        <f t="shared" ca="1" si="57"/>
        <v>108000</v>
      </c>
      <c r="C371" s="26">
        <f t="shared" ca="1" si="58"/>
        <v>0.66520430225117111</v>
      </c>
      <c r="D371" s="26" t="str">
        <f t="shared" ca="1" si="56"/>
        <v>Win</v>
      </c>
      <c r="E371" s="3">
        <f t="shared" ca="1" si="59"/>
        <v>500</v>
      </c>
      <c r="F371" s="42">
        <f t="shared" si="52"/>
        <v>4.4281153693308325E-22</v>
      </c>
      <c r="G371" s="41">
        <f>SUM(F$11:F371)</f>
        <v>9.5624338128751655E-22</v>
      </c>
      <c r="I371" s="1">
        <f t="shared" si="51"/>
        <v>361</v>
      </c>
      <c r="J371" s="3">
        <v>268000</v>
      </c>
      <c r="K371" s="3">
        <v>90000</v>
      </c>
      <c r="L371" s="3">
        <v>292000</v>
      </c>
      <c r="M371" s="30">
        <f t="shared" si="53"/>
        <v>1.6800000000000002</v>
      </c>
      <c r="N371" s="1" t="str">
        <f t="shared" si="54"/>
        <v/>
      </c>
      <c r="O371" s="1" t="str">
        <f t="shared" si="55"/>
        <v/>
      </c>
    </row>
    <row r="372" spans="1:15" x14ac:dyDescent="0.25">
      <c r="A372" s="1">
        <f t="shared" si="50"/>
        <v>361</v>
      </c>
      <c r="B372" s="3">
        <f t="shared" ca="1" si="57"/>
        <v>107500</v>
      </c>
      <c r="C372" s="26">
        <f t="shared" ca="1" si="58"/>
        <v>0.15633477004771268</v>
      </c>
      <c r="D372" s="26" t="str">
        <f t="shared" ca="1" si="56"/>
        <v>Lose</v>
      </c>
      <c r="E372" s="3">
        <f t="shared" ca="1" si="59"/>
        <v>-500</v>
      </c>
      <c r="F372" s="42">
        <f t="shared" si="52"/>
        <v>8.1708228647724399E-22</v>
      </c>
      <c r="G372" s="41">
        <f>SUM(F$11:F372)</f>
        <v>1.7733256677647604E-21</v>
      </c>
      <c r="I372" s="1">
        <f t="shared" si="51"/>
        <v>362</v>
      </c>
      <c r="J372" s="3">
        <v>340000</v>
      </c>
      <c r="K372" s="3">
        <v>84000</v>
      </c>
      <c r="L372" s="3">
        <v>340000</v>
      </c>
      <c r="M372" s="30">
        <f t="shared" si="53"/>
        <v>2.4</v>
      </c>
      <c r="N372" s="1" t="str">
        <f t="shared" si="54"/>
        <v/>
      </c>
      <c r="O372" s="1" t="str">
        <f t="shared" si="55"/>
        <v/>
      </c>
    </row>
    <row r="373" spans="1:15" x14ac:dyDescent="0.25">
      <c r="A373" s="1">
        <f t="shared" si="50"/>
        <v>362</v>
      </c>
      <c r="B373" s="3">
        <f t="shared" ca="1" si="57"/>
        <v>107000</v>
      </c>
      <c r="C373" s="26">
        <f t="shared" ca="1" si="58"/>
        <v>9.7492668818454531E-2</v>
      </c>
      <c r="D373" s="26" t="str">
        <f t="shared" ca="1" si="56"/>
        <v>Lose</v>
      </c>
      <c r="E373" s="3">
        <f t="shared" ca="1" si="59"/>
        <v>-500</v>
      </c>
      <c r="F373" s="42">
        <f t="shared" si="52"/>
        <v>1.5011779588457704E-21</v>
      </c>
      <c r="G373" s="41">
        <f>SUM(F$11:F373)</f>
        <v>3.2745036266105305E-21</v>
      </c>
      <c r="I373" s="1">
        <f t="shared" si="51"/>
        <v>363</v>
      </c>
      <c r="J373" s="3">
        <v>224000</v>
      </c>
      <c r="K373" s="3">
        <v>76000</v>
      </c>
      <c r="L373" s="3">
        <v>242000</v>
      </c>
      <c r="M373" s="30">
        <f t="shared" si="53"/>
        <v>1.2400000000000002</v>
      </c>
      <c r="N373" s="1" t="str">
        <f t="shared" si="54"/>
        <v/>
      </c>
      <c r="O373" s="1" t="str">
        <f t="shared" si="55"/>
        <v/>
      </c>
    </row>
    <row r="374" spans="1:15" x14ac:dyDescent="0.25">
      <c r="A374" s="1">
        <f t="shared" si="50"/>
        <v>363</v>
      </c>
      <c r="B374" s="3">
        <f t="shared" ca="1" si="57"/>
        <v>106500</v>
      </c>
      <c r="C374" s="26">
        <f t="shared" ca="1" si="58"/>
        <v>9.6799779069918102E-2</v>
      </c>
      <c r="D374" s="26" t="str">
        <f t="shared" ca="1" si="56"/>
        <v>Lose</v>
      </c>
      <c r="E374" s="3">
        <f t="shared" ca="1" si="59"/>
        <v>-500</v>
      </c>
      <c r="F374" s="42">
        <f t="shared" si="52"/>
        <v>2.746125171469248E-21</v>
      </c>
      <c r="G374" s="41">
        <f>SUM(F$11:F374)</f>
        <v>6.0206287980797785E-21</v>
      </c>
      <c r="I374" s="1">
        <f t="shared" si="51"/>
        <v>364</v>
      </c>
      <c r="J374" s="3">
        <v>308000</v>
      </c>
      <c r="K374" s="3">
        <v>82000</v>
      </c>
      <c r="L374" s="3">
        <v>316000</v>
      </c>
      <c r="M374" s="30">
        <f t="shared" si="53"/>
        <v>2.08</v>
      </c>
      <c r="N374" s="1" t="str">
        <f t="shared" si="54"/>
        <v/>
      </c>
      <c r="O374" s="1" t="str">
        <f t="shared" si="55"/>
        <v/>
      </c>
    </row>
    <row r="375" spans="1:15" x14ac:dyDescent="0.25">
      <c r="A375" s="1">
        <f t="shared" si="50"/>
        <v>364</v>
      </c>
      <c r="B375" s="3">
        <f t="shared" ca="1" si="57"/>
        <v>107000</v>
      </c>
      <c r="C375" s="26">
        <f t="shared" ca="1" si="58"/>
        <v>0.69093928907925783</v>
      </c>
      <c r="D375" s="26" t="str">
        <f t="shared" ca="1" si="56"/>
        <v>Win</v>
      </c>
      <c r="E375" s="3">
        <f t="shared" ca="1" si="59"/>
        <v>500</v>
      </c>
      <c r="F375" s="42">
        <f t="shared" si="52"/>
        <v>5.001870848033185E-21</v>
      </c>
      <c r="G375" s="41">
        <f>SUM(F$11:F375)</f>
        <v>1.1022499646112964E-20</v>
      </c>
      <c r="I375" s="1">
        <f t="shared" si="51"/>
        <v>365</v>
      </c>
      <c r="J375" s="3">
        <v>348000</v>
      </c>
      <c r="K375" s="3">
        <v>84000</v>
      </c>
      <c r="L375" s="3">
        <v>354000</v>
      </c>
      <c r="M375" s="30">
        <f t="shared" si="53"/>
        <v>2.48</v>
      </c>
      <c r="N375" s="1" t="str">
        <f t="shared" si="54"/>
        <v/>
      </c>
      <c r="O375" s="1" t="str">
        <f t="shared" si="55"/>
        <v/>
      </c>
    </row>
    <row r="376" spans="1:15" x14ac:dyDescent="0.25">
      <c r="A376" s="1">
        <f t="shared" si="50"/>
        <v>365</v>
      </c>
      <c r="B376" s="3">
        <f t="shared" ca="1" si="57"/>
        <v>107500</v>
      </c>
      <c r="C376" s="26">
        <f t="shared" ca="1" si="58"/>
        <v>0.74914049164541463</v>
      </c>
      <c r="D376" s="26" t="str">
        <f t="shared" ca="1" si="56"/>
        <v>Win</v>
      </c>
      <c r="E376" s="3">
        <f t="shared" ca="1" si="59"/>
        <v>500</v>
      </c>
      <c r="F376" s="42">
        <f t="shared" si="52"/>
        <v>9.0713269682310682E-21</v>
      </c>
      <c r="G376" s="41">
        <f>SUM(F$11:F376)</f>
        <v>2.0093826614344032E-20</v>
      </c>
      <c r="I376" s="1">
        <f t="shared" si="51"/>
        <v>366</v>
      </c>
      <c r="J376" s="3">
        <v>228000</v>
      </c>
      <c r="K376" s="3">
        <v>90000</v>
      </c>
      <c r="L376" s="3">
        <v>242000</v>
      </c>
      <c r="M376" s="30">
        <f t="shared" si="53"/>
        <v>1.2799999999999998</v>
      </c>
      <c r="N376" s="1" t="str">
        <f t="shared" si="54"/>
        <v/>
      </c>
      <c r="O376" s="1" t="str">
        <f t="shared" si="55"/>
        <v/>
      </c>
    </row>
    <row r="377" spans="1:15" x14ac:dyDescent="0.25">
      <c r="A377" s="1">
        <f t="shared" si="50"/>
        <v>366</v>
      </c>
      <c r="B377" s="3">
        <f t="shared" ca="1" si="57"/>
        <v>108000</v>
      </c>
      <c r="C377" s="26">
        <f t="shared" ca="1" si="58"/>
        <v>0.6642647820873202</v>
      </c>
      <c r="D377" s="26" t="str">
        <f t="shared" ca="1" si="56"/>
        <v>Win</v>
      </c>
      <c r="E377" s="3">
        <f t="shared" ca="1" si="59"/>
        <v>500</v>
      </c>
      <c r="F377" s="42">
        <f t="shared" si="52"/>
        <v>1.6380892375719921E-20</v>
      </c>
      <c r="G377" s="41">
        <f>SUM(F$11:F377)</f>
        <v>3.6474718990063954E-20</v>
      </c>
      <c r="I377" s="1">
        <f t="shared" si="51"/>
        <v>367</v>
      </c>
      <c r="J377" s="3">
        <v>440000</v>
      </c>
      <c r="K377" s="3">
        <v>100000</v>
      </c>
      <c r="L377" s="3">
        <v>444000</v>
      </c>
      <c r="M377" s="30">
        <f t="shared" si="53"/>
        <v>3.4000000000000004</v>
      </c>
      <c r="N377" s="1" t="str">
        <f t="shared" si="54"/>
        <v/>
      </c>
      <c r="O377" s="1" t="str">
        <f t="shared" si="55"/>
        <v/>
      </c>
    </row>
    <row r="378" spans="1:15" x14ac:dyDescent="0.25">
      <c r="A378" s="1">
        <f t="shared" si="50"/>
        <v>367</v>
      </c>
      <c r="B378" s="3">
        <f t="shared" ca="1" si="57"/>
        <v>108500</v>
      </c>
      <c r="C378" s="26">
        <f t="shared" ca="1" si="58"/>
        <v>0.88400186505901812</v>
      </c>
      <c r="D378" s="26" t="str">
        <f t="shared" ca="1" si="56"/>
        <v>Win</v>
      </c>
      <c r="E378" s="3">
        <f t="shared" ca="1" si="59"/>
        <v>500</v>
      </c>
      <c r="F378" s="42">
        <f t="shared" si="52"/>
        <v>2.9453360066535781E-20</v>
      </c>
      <c r="G378" s="41">
        <f>SUM(F$11:F378)</f>
        <v>6.5928079056599734E-20</v>
      </c>
      <c r="I378" s="1">
        <f t="shared" si="51"/>
        <v>368</v>
      </c>
      <c r="J378" s="3">
        <v>328000</v>
      </c>
      <c r="K378" s="3">
        <v>100000</v>
      </c>
      <c r="L378" s="3">
        <v>344000</v>
      </c>
      <c r="M378" s="30">
        <f t="shared" si="53"/>
        <v>2.2799999999999998</v>
      </c>
      <c r="N378" s="1" t="str">
        <f t="shared" si="54"/>
        <v/>
      </c>
      <c r="O378" s="1" t="str">
        <f t="shared" si="55"/>
        <v/>
      </c>
    </row>
    <row r="379" spans="1:15" x14ac:dyDescent="0.25">
      <c r="A379" s="1">
        <f t="shared" si="50"/>
        <v>368</v>
      </c>
      <c r="B379" s="3">
        <f t="shared" ca="1" si="57"/>
        <v>109000</v>
      </c>
      <c r="C379" s="26">
        <f t="shared" ca="1" si="58"/>
        <v>0.91115181951943047</v>
      </c>
      <c r="D379" s="26" t="str">
        <f t="shared" ca="1" si="56"/>
        <v>Win</v>
      </c>
      <c r="E379" s="3">
        <f t="shared" ca="1" si="59"/>
        <v>500</v>
      </c>
      <c r="F379" s="42">
        <f t="shared" si="52"/>
        <v>5.2730857532609142E-20</v>
      </c>
      <c r="G379" s="41">
        <f>SUM(F$11:F379)</f>
        <v>1.1865893658920886E-19</v>
      </c>
      <c r="I379" s="1">
        <f t="shared" si="51"/>
        <v>369</v>
      </c>
      <c r="J379" s="3">
        <v>260000</v>
      </c>
      <c r="K379" s="3">
        <v>76000</v>
      </c>
      <c r="L379" s="3">
        <v>270000</v>
      </c>
      <c r="M379" s="30">
        <f t="shared" si="53"/>
        <v>1.6</v>
      </c>
      <c r="N379" s="1" t="str">
        <f t="shared" si="54"/>
        <v/>
      </c>
      <c r="O379" s="1" t="str">
        <f t="shared" si="55"/>
        <v/>
      </c>
    </row>
    <row r="380" spans="1:15" x14ac:dyDescent="0.25">
      <c r="A380" s="1">
        <f t="shared" si="50"/>
        <v>369</v>
      </c>
      <c r="B380" s="3">
        <f t="shared" ca="1" si="57"/>
        <v>108500</v>
      </c>
      <c r="C380" s="26">
        <f t="shared" ca="1" si="58"/>
        <v>7.4526308942977737E-2</v>
      </c>
      <c r="D380" s="26" t="str">
        <f t="shared" ca="1" si="56"/>
        <v>Lose</v>
      </c>
      <c r="E380" s="3">
        <f t="shared" ca="1" si="59"/>
        <v>-500</v>
      </c>
      <c r="F380" s="42">
        <f t="shared" si="52"/>
        <v>9.400038714622976E-20</v>
      </c>
      <c r="G380" s="41">
        <f>SUM(F$11:F380)</f>
        <v>2.1265932373543862E-19</v>
      </c>
      <c r="I380" s="1">
        <f t="shared" si="51"/>
        <v>370</v>
      </c>
      <c r="J380" s="3">
        <v>252000</v>
      </c>
      <c r="K380" s="3">
        <v>96000</v>
      </c>
      <c r="L380" s="3">
        <v>256000</v>
      </c>
      <c r="M380" s="30">
        <f t="shared" si="53"/>
        <v>1.52</v>
      </c>
      <c r="N380" s="1" t="str">
        <f t="shared" si="54"/>
        <v/>
      </c>
      <c r="O380" s="1" t="str">
        <f t="shared" si="55"/>
        <v/>
      </c>
    </row>
    <row r="381" spans="1:15" x14ac:dyDescent="0.25">
      <c r="A381" s="1">
        <f t="shared" si="50"/>
        <v>370</v>
      </c>
      <c r="B381" s="3">
        <f t="shared" ca="1" si="57"/>
        <v>109000</v>
      </c>
      <c r="C381" s="26">
        <f t="shared" ca="1" si="58"/>
        <v>0.65360230363825567</v>
      </c>
      <c r="D381" s="26" t="str">
        <f t="shared" ca="1" si="56"/>
        <v>Win</v>
      </c>
      <c r="E381" s="3">
        <f t="shared" ca="1" si="59"/>
        <v>500</v>
      </c>
      <c r="F381" s="42">
        <f t="shared" si="52"/>
        <v>1.6685198338405615E-19</v>
      </c>
      <c r="G381" s="41">
        <f>SUM(F$11:F381)</f>
        <v>3.795113071194948E-19</v>
      </c>
      <c r="I381" s="1">
        <f t="shared" si="51"/>
        <v>371</v>
      </c>
      <c r="J381" s="3">
        <v>352000</v>
      </c>
      <c r="K381" s="3">
        <v>96000</v>
      </c>
      <c r="L381" s="3">
        <v>354000</v>
      </c>
      <c r="M381" s="30">
        <f t="shared" si="53"/>
        <v>2.52</v>
      </c>
      <c r="N381" s="1" t="str">
        <f t="shared" si="54"/>
        <v/>
      </c>
      <c r="O381" s="1" t="str">
        <f t="shared" si="55"/>
        <v/>
      </c>
    </row>
    <row r="382" spans="1:15" x14ac:dyDescent="0.25">
      <c r="A382" s="1">
        <f t="shared" si="50"/>
        <v>371</v>
      </c>
      <c r="B382" s="3">
        <f t="shared" ca="1" si="57"/>
        <v>108500</v>
      </c>
      <c r="C382" s="26">
        <f t="shared" ca="1" si="58"/>
        <v>0.30218663577360583</v>
      </c>
      <c r="D382" s="26" t="str">
        <f t="shared" ca="1" si="56"/>
        <v>Lose</v>
      </c>
      <c r="E382" s="3">
        <f t="shared" ca="1" si="59"/>
        <v>-500</v>
      </c>
      <c r="F382" s="42">
        <f t="shared" si="52"/>
        <v>2.9489819165683887E-19</v>
      </c>
      <c r="G382" s="41">
        <f>SUM(F$11:F382)</f>
        <v>6.7440949877633367E-19</v>
      </c>
      <c r="I382" s="1">
        <f t="shared" si="51"/>
        <v>372</v>
      </c>
      <c r="J382" s="3">
        <v>368000</v>
      </c>
      <c r="K382" s="3">
        <v>100000</v>
      </c>
      <c r="L382" s="3">
        <v>374000</v>
      </c>
      <c r="M382" s="30">
        <f t="shared" si="53"/>
        <v>2.68</v>
      </c>
      <c r="N382" s="1" t="str">
        <f t="shared" si="54"/>
        <v/>
      </c>
      <c r="O382" s="1" t="str">
        <f t="shared" si="55"/>
        <v/>
      </c>
    </row>
    <row r="383" spans="1:15" x14ac:dyDescent="0.25">
      <c r="A383" s="1">
        <f t="shared" si="50"/>
        <v>372</v>
      </c>
      <c r="B383" s="3">
        <f t="shared" ca="1" si="57"/>
        <v>108000</v>
      </c>
      <c r="C383" s="26">
        <f t="shared" ca="1" si="58"/>
        <v>6.2753414072502567E-2</v>
      </c>
      <c r="D383" s="26" t="str">
        <f t="shared" ca="1" si="56"/>
        <v>Lose</v>
      </c>
      <c r="E383" s="3">
        <f t="shared" ca="1" si="59"/>
        <v>-500</v>
      </c>
      <c r="F383" s="42">
        <f t="shared" si="52"/>
        <v>5.1898393077461685E-19</v>
      </c>
      <c r="G383" s="41">
        <f>SUM(F$11:F383)</f>
        <v>1.1933934295509504E-18</v>
      </c>
      <c r="I383" s="1">
        <f t="shared" si="51"/>
        <v>373</v>
      </c>
      <c r="J383" s="3">
        <v>220000</v>
      </c>
      <c r="K383" s="3">
        <v>98000</v>
      </c>
      <c r="L383" s="3">
        <v>234000</v>
      </c>
      <c r="M383" s="30">
        <f t="shared" si="53"/>
        <v>1.2000000000000002</v>
      </c>
      <c r="N383" s="1" t="str">
        <f t="shared" si="54"/>
        <v/>
      </c>
      <c r="O383" s="1" t="str">
        <f t="shared" si="55"/>
        <v/>
      </c>
    </row>
    <row r="384" spans="1:15" x14ac:dyDescent="0.25">
      <c r="A384" s="1">
        <f t="shared" si="50"/>
        <v>373</v>
      </c>
      <c r="B384" s="3">
        <f t="shared" ca="1" si="57"/>
        <v>107500</v>
      </c>
      <c r="C384" s="26">
        <f t="shared" ca="1" si="58"/>
        <v>0.41358242241024101</v>
      </c>
      <c r="D384" s="26" t="str">
        <f t="shared" ca="1" si="56"/>
        <v>Lose</v>
      </c>
      <c r="E384" s="3">
        <f t="shared" ca="1" si="59"/>
        <v>-500</v>
      </c>
      <c r="F384" s="42">
        <f t="shared" si="52"/>
        <v>9.0944998275698743E-19</v>
      </c>
      <c r="G384" s="41">
        <f>SUM(F$11:F384)</f>
        <v>2.102843412307938E-18</v>
      </c>
      <c r="I384" s="1">
        <f t="shared" si="51"/>
        <v>374</v>
      </c>
      <c r="J384" s="3">
        <v>296000</v>
      </c>
      <c r="K384" s="3">
        <v>96000</v>
      </c>
      <c r="L384" s="3">
        <v>300000</v>
      </c>
      <c r="M384" s="30">
        <f t="shared" si="53"/>
        <v>1.96</v>
      </c>
      <c r="N384" s="1" t="str">
        <f t="shared" si="54"/>
        <v/>
      </c>
      <c r="O384" s="1" t="str">
        <f t="shared" si="55"/>
        <v/>
      </c>
    </row>
    <row r="385" spans="1:15" x14ac:dyDescent="0.25">
      <c r="A385" s="1">
        <f t="shared" si="50"/>
        <v>374</v>
      </c>
      <c r="B385" s="3">
        <f t="shared" ca="1" si="57"/>
        <v>108000</v>
      </c>
      <c r="C385" s="26">
        <f t="shared" ca="1" si="58"/>
        <v>0.59433375321119042</v>
      </c>
      <c r="D385" s="26" t="str">
        <f t="shared" ca="1" si="56"/>
        <v>Win</v>
      </c>
      <c r="E385" s="3">
        <f t="shared" ca="1" si="59"/>
        <v>500</v>
      </c>
      <c r="F385" s="42">
        <f t="shared" si="52"/>
        <v>1.5868974188923241E-18</v>
      </c>
      <c r="G385" s="41">
        <f>SUM(F$11:F385)</f>
        <v>3.689740831200262E-18</v>
      </c>
      <c r="I385" s="1">
        <f t="shared" si="51"/>
        <v>375</v>
      </c>
      <c r="J385" s="3">
        <v>196000</v>
      </c>
      <c r="K385" s="3">
        <v>84000</v>
      </c>
      <c r="L385" s="3">
        <v>204000</v>
      </c>
      <c r="M385" s="30">
        <f t="shared" si="53"/>
        <v>0.96</v>
      </c>
      <c r="N385" s="1" t="str">
        <f t="shared" si="54"/>
        <v/>
      </c>
      <c r="O385" s="1" t="str">
        <f t="shared" si="55"/>
        <v/>
      </c>
    </row>
    <row r="386" spans="1:15" x14ac:dyDescent="0.25">
      <c r="A386" s="1">
        <f t="shared" si="50"/>
        <v>375</v>
      </c>
      <c r="B386" s="3">
        <f t="shared" ca="1" si="57"/>
        <v>107500</v>
      </c>
      <c r="C386" s="26">
        <f t="shared" ca="1" si="58"/>
        <v>0.47878961138226273</v>
      </c>
      <c r="D386" s="26" t="str">
        <f t="shared" ca="1" si="56"/>
        <v>Lose</v>
      </c>
      <c r="E386" s="3">
        <f t="shared" ca="1" si="59"/>
        <v>-500</v>
      </c>
      <c r="F386" s="42">
        <f t="shared" si="52"/>
        <v>2.7571856868329859E-18</v>
      </c>
      <c r="G386" s="41">
        <f>SUM(F$11:F386)</f>
        <v>6.4469265180332479E-18</v>
      </c>
      <c r="I386" s="1">
        <f t="shared" si="51"/>
        <v>376</v>
      </c>
      <c r="J386" s="3">
        <v>312000</v>
      </c>
      <c r="K386" s="3">
        <v>98000</v>
      </c>
      <c r="L386" s="3">
        <v>326000</v>
      </c>
      <c r="M386" s="30">
        <f t="shared" si="53"/>
        <v>2.12</v>
      </c>
      <c r="N386" s="1" t="str">
        <f t="shared" si="54"/>
        <v/>
      </c>
      <c r="O386" s="1" t="str">
        <f t="shared" si="55"/>
        <v/>
      </c>
    </row>
    <row r="387" spans="1:15" x14ac:dyDescent="0.25">
      <c r="A387" s="1">
        <f t="shared" si="50"/>
        <v>376</v>
      </c>
      <c r="B387" s="3">
        <f t="shared" ca="1" si="57"/>
        <v>108000</v>
      </c>
      <c r="C387" s="26">
        <f t="shared" ca="1" si="58"/>
        <v>0.5681260149477847</v>
      </c>
      <c r="D387" s="26" t="str">
        <f t="shared" ca="1" si="56"/>
        <v>Win</v>
      </c>
      <c r="E387" s="3">
        <f t="shared" ca="1" si="59"/>
        <v>500</v>
      </c>
      <c r="F387" s="42">
        <f t="shared" si="52"/>
        <v>4.7701527229592254E-18</v>
      </c>
      <c r="G387" s="41">
        <f>SUM(F$11:F387)</f>
        <v>1.1217079240992473E-17</v>
      </c>
      <c r="I387" s="1">
        <f t="shared" si="51"/>
        <v>377</v>
      </c>
      <c r="J387" s="3">
        <v>320000</v>
      </c>
      <c r="K387" s="3">
        <v>88000</v>
      </c>
      <c r="L387" s="3">
        <v>334000</v>
      </c>
      <c r="M387" s="30">
        <f t="shared" si="53"/>
        <v>2.2000000000000002</v>
      </c>
      <c r="N387" s="1" t="str">
        <f t="shared" si="54"/>
        <v/>
      </c>
      <c r="O387" s="1" t="str">
        <f t="shared" si="55"/>
        <v/>
      </c>
    </row>
    <row r="388" spans="1:15" x14ac:dyDescent="0.25">
      <c r="A388" s="1">
        <f t="shared" si="50"/>
        <v>377</v>
      </c>
      <c r="B388" s="3">
        <f t="shared" ca="1" si="57"/>
        <v>107500</v>
      </c>
      <c r="C388" s="26">
        <f t="shared" ca="1" si="58"/>
        <v>5.8167596774955865E-2</v>
      </c>
      <c r="D388" s="26" t="str">
        <f t="shared" ca="1" si="56"/>
        <v>Lose</v>
      </c>
      <c r="E388" s="3">
        <f t="shared" ca="1" si="59"/>
        <v>-500</v>
      </c>
      <c r="F388" s="42">
        <f t="shared" si="52"/>
        <v>8.2176874495456026E-18</v>
      </c>
      <c r="G388" s="41">
        <f>SUM(F$11:F388)</f>
        <v>1.9434766690538076E-17</v>
      </c>
      <c r="I388" s="1">
        <f t="shared" si="51"/>
        <v>378</v>
      </c>
      <c r="J388" s="3">
        <v>292000</v>
      </c>
      <c r="K388" s="3">
        <v>98000</v>
      </c>
      <c r="L388" s="3">
        <v>332000</v>
      </c>
      <c r="M388" s="30">
        <f t="shared" si="53"/>
        <v>1.92</v>
      </c>
      <c r="N388" s="1" t="str">
        <f t="shared" si="54"/>
        <v/>
      </c>
      <c r="O388" s="1" t="str">
        <f t="shared" si="55"/>
        <v/>
      </c>
    </row>
    <row r="389" spans="1:15" x14ac:dyDescent="0.25">
      <c r="A389" s="1">
        <f t="shared" ref="A389:A452" si="60">A388+1</f>
        <v>378</v>
      </c>
      <c r="B389" s="3">
        <f t="shared" ca="1" si="57"/>
        <v>107000</v>
      </c>
      <c r="C389" s="26">
        <f t="shared" ca="1" si="58"/>
        <v>0.46660757220159532</v>
      </c>
      <c r="D389" s="26" t="str">
        <f t="shared" ca="1" si="56"/>
        <v>Lose</v>
      </c>
      <c r="E389" s="3">
        <f t="shared" ca="1" si="59"/>
        <v>-500</v>
      </c>
      <c r="F389" s="42">
        <f t="shared" si="52"/>
        <v>1.4096781305172347E-17</v>
      </c>
      <c r="G389" s="41">
        <f>SUM(F$11:F389)</f>
        <v>3.3531547995710423E-17</v>
      </c>
      <c r="I389" s="1">
        <f t="shared" si="51"/>
        <v>379</v>
      </c>
      <c r="J389" s="3">
        <v>312000</v>
      </c>
      <c r="K389" s="3">
        <v>100000</v>
      </c>
      <c r="L389" s="3">
        <v>314000</v>
      </c>
      <c r="M389" s="30">
        <f t="shared" si="53"/>
        <v>2.12</v>
      </c>
      <c r="N389" s="1" t="str">
        <f t="shared" si="54"/>
        <v/>
      </c>
      <c r="O389" s="1" t="str">
        <f t="shared" si="55"/>
        <v/>
      </c>
    </row>
    <row r="390" spans="1:15" x14ac:dyDescent="0.25">
      <c r="A390" s="1">
        <f t="shared" si="60"/>
        <v>379</v>
      </c>
      <c r="B390" s="3">
        <f t="shared" ca="1" si="57"/>
        <v>106500</v>
      </c>
      <c r="C390" s="26">
        <f t="shared" ca="1" si="58"/>
        <v>8.1382483986304988E-2</v>
      </c>
      <c r="D390" s="26" t="str">
        <f t="shared" ca="1" si="56"/>
        <v>Lose</v>
      </c>
      <c r="E390" s="3">
        <f t="shared" ca="1" si="59"/>
        <v>-500</v>
      </c>
      <c r="F390" s="42">
        <f t="shared" si="52"/>
        <v>2.4079376262058071E-17</v>
      </c>
      <c r="G390" s="41">
        <f>SUM(F$11:F390)</f>
        <v>5.7610924257768497E-17</v>
      </c>
      <c r="I390" s="1">
        <f t="shared" si="51"/>
        <v>380</v>
      </c>
      <c r="J390" s="3">
        <v>328000</v>
      </c>
      <c r="K390" s="3">
        <v>100000</v>
      </c>
      <c r="L390" s="3">
        <v>346000</v>
      </c>
      <c r="M390" s="30">
        <f t="shared" si="53"/>
        <v>2.2799999999999998</v>
      </c>
      <c r="N390" s="1" t="str">
        <f t="shared" si="54"/>
        <v/>
      </c>
      <c r="O390" s="1" t="str">
        <f t="shared" si="55"/>
        <v/>
      </c>
    </row>
    <row r="391" spans="1:15" x14ac:dyDescent="0.25">
      <c r="A391" s="1">
        <f t="shared" si="60"/>
        <v>380</v>
      </c>
      <c r="B391" s="3">
        <f t="shared" ca="1" si="57"/>
        <v>107000</v>
      </c>
      <c r="C391" s="26">
        <f t="shared" ca="1" si="58"/>
        <v>0.51134108476549234</v>
      </c>
      <c r="D391" s="26" t="str">
        <f t="shared" ca="1" si="56"/>
        <v>Win</v>
      </c>
      <c r="E391" s="3">
        <f t="shared" ca="1" si="59"/>
        <v>500</v>
      </c>
      <c r="F391" s="42">
        <f t="shared" si="52"/>
        <v>4.0956924038434951E-17</v>
      </c>
      <c r="G391" s="41">
        <f>SUM(F$11:F391)</f>
        <v>9.8567848296203448E-17</v>
      </c>
      <c r="I391" s="1">
        <f t="shared" ref="I391:I454" si="61">I390+1</f>
        <v>381</v>
      </c>
      <c r="J391" s="3">
        <v>324000</v>
      </c>
      <c r="K391" s="3">
        <v>80000</v>
      </c>
      <c r="L391" s="3">
        <v>346000</v>
      </c>
      <c r="M391" s="30">
        <f t="shared" si="53"/>
        <v>2.2400000000000002</v>
      </c>
      <c r="N391" s="1" t="str">
        <f t="shared" si="54"/>
        <v/>
      </c>
      <c r="O391" s="1" t="str">
        <f t="shared" si="55"/>
        <v/>
      </c>
    </row>
    <row r="392" spans="1:15" x14ac:dyDescent="0.25">
      <c r="A392" s="1">
        <f t="shared" si="60"/>
        <v>381</v>
      </c>
      <c r="B392" s="3">
        <f t="shared" ca="1" si="57"/>
        <v>106500</v>
      </c>
      <c r="C392" s="26">
        <f t="shared" ca="1" si="58"/>
        <v>0.39334666500747029</v>
      </c>
      <c r="D392" s="26" t="str">
        <f t="shared" ca="1" si="56"/>
        <v>Lose</v>
      </c>
      <c r="E392" s="3">
        <f t="shared" ca="1" si="59"/>
        <v>-500</v>
      </c>
      <c r="F392" s="42">
        <f t="shared" si="52"/>
        <v>6.9369432647451228E-17</v>
      </c>
      <c r="G392" s="41">
        <f>SUM(F$11:F392)</f>
        <v>1.6793728094365466E-16</v>
      </c>
      <c r="I392" s="1">
        <f t="shared" si="61"/>
        <v>382</v>
      </c>
      <c r="J392" s="3">
        <v>336000</v>
      </c>
      <c r="K392" s="3">
        <v>96000</v>
      </c>
      <c r="L392" s="3">
        <v>336000</v>
      </c>
      <c r="M392" s="30">
        <f t="shared" si="53"/>
        <v>2.36</v>
      </c>
      <c r="N392" s="1" t="str">
        <f t="shared" si="54"/>
        <v/>
      </c>
      <c r="O392" s="1" t="str">
        <f t="shared" si="55"/>
        <v/>
      </c>
    </row>
    <row r="393" spans="1:15" x14ac:dyDescent="0.25">
      <c r="A393" s="1">
        <f t="shared" si="60"/>
        <v>382</v>
      </c>
      <c r="B393" s="3">
        <f t="shared" ca="1" si="57"/>
        <v>106000</v>
      </c>
      <c r="C393" s="26">
        <f t="shared" ca="1" si="58"/>
        <v>0.22754545719887709</v>
      </c>
      <c r="D393" s="26" t="str">
        <f t="shared" ca="1" si="56"/>
        <v>Lose</v>
      </c>
      <c r="E393" s="3">
        <f t="shared" ca="1" si="59"/>
        <v>-500</v>
      </c>
      <c r="F393" s="42">
        <f t="shared" si="52"/>
        <v>1.1699559884856652E-16</v>
      </c>
      <c r="G393" s="41">
        <f>SUM(F$11:F393)</f>
        <v>2.8493287979222119E-16</v>
      </c>
      <c r="I393" s="1">
        <f t="shared" si="61"/>
        <v>383</v>
      </c>
      <c r="J393" s="3">
        <v>376000</v>
      </c>
      <c r="K393" s="3">
        <v>96000</v>
      </c>
      <c r="L393" s="3">
        <v>380000</v>
      </c>
      <c r="M393" s="30">
        <f t="shared" si="53"/>
        <v>2.76</v>
      </c>
      <c r="N393" s="1" t="str">
        <f t="shared" si="54"/>
        <v/>
      </c>
      <c r="O393" s="1" t="str">
        <f t="shared" si="55"/>
        <v/>
      </c>
    </row>
    <row r="394" spans="1:15" x14ac:dyDescent="0.25">
      <c r="A394" s="1">
        <f t="shared" si="60"/>
        <v>383</v>
      </c>
      <c r="B394" s="3">
        <f t="shared" ca="1" si="57"/>
        <v>105500</v>
      </c>
      <c r="C394" s="26">
        <f t="shared" ca="1" si="58"/>
        <v>0.21917723615859752</v>
      </c>
      <c r="D394" s="26" t="str">
        <f t="shared" ca="1" si="56"/>
        <v>Lose</v>
      </c>
      <c r="E394" s="3">
        <f t="shared" ca="1" si="59"/>
        <v>-500</v>
      </c>
      <c r="F394" s="42">
        <f t="shared" si="52"/>
        <v>1.964867738322055E-16</v>
      </c>
      <c r="G394" s="41">
        <f>SUM(F$11:F394)</f>
        <v>4.8141965362442666E-16</v>
      </c>
      <c r="I394" s="1">
        <f t="shared" si="61"/>
        <v>384</v>
      </c>
      <c r="J394" s="3">
        <v>384000</v>
      </c>
      <c r="K394" s="3">
        <v>100000</v>
      </c>
      <c r="L394" s="3">
        <v>390000</v>
      </c>
      <c r="M394" s="30">
        <f t="shared" si="53"/>
        <v>2.84</v>
      </c>
      <c r="N394" s="1" t="str">
        <f t="shared" si="54"/>
        <v/>
      </c>
      <c r="O394" s="1" t="str">
        <f t="shared" si="55"/>
        <v/>
      </c>
    </row>
    <row r="395" spans="1:15" x14ac:dyDescent="0.25">
      <c r="A395" s="1">
        <f t="shared" si="60"/>
        <v>384</v>
      </c>
      <c r="B395" s="3">
        <f t="shared" ca="1" si="57"/>
        <v>106000</v>
      </c>
      <c r="C395" s="26">
        <f t="shared" ca="1" si="58"/>
        <v>0.807596310785067</v>
      </c>
      <c r="D395" s="26" t="str">
        <f t="shared" ca="1" si="56"/>
        <v>Win</v>
      </c>
      <c r="E395" s="3">
        <f t="shared" ca="1" si="59"/>
        <v>500</v>
      </c>
      <c r="F395" s="42">
        <f t="shared" si="52"/>
        <v>3.2859530783260329E-16</v>
      </c>
      <c r="G395" s="41">
        <f>SUM(F$11:F395)</f>
        <v>8.1001496145702995E-16</v>
      </c>
      <c r="I395" s="1">
        <f t="shared" si="61"/>
        <v>385</v>
      </c>
      <c r="J395" s="3">
        <v>280000</v>
      </c>
      <c r="K395" s="3">
        <v>72000</v>
      </c>
      <c r="L395" s="3">
        <v>282000</v>
      </c>
      <c r="M395" s="30">
        <f t="shared" si="53"/>
        <v>1.7999999999999998</v>
      </c>
      <c r="N395" s="1" t="str">
        <f t="shared" si="54"/>
        <v/>
      </c>
      <c r="O395" s="1" t="str">
        <f t="shared" si="55"/>
        <v/>
      </c>
    </row>
    <row r="396" spans="1:15" x14ac:dyDescent="0.25">
      <c r="A396" s="1">
        <f t="shared" si="60"/>
        <v>385</v>
      </c>
      <c r="B396" s="3">
        <f t="shared" ca="1" si="57"/>
        <v>105500</v>
      </c>
      <c r="C396" s="26">
        <f t="shared" ca="1" si="58"/>
        <v>0.35898504040018708</v>
      </c>
      <c r="D396" s="26" t="str">
        <f t="shared" ca="1" si="56"/>
        <v>Lose</v>
      </c>
      <c r="E396" s="3">
        <f t="shared" ca="1" si="59"/>
        <v>-500</v>
      </c>
      <c r="F396" s="42">
        <f t="shared" ref="F396:F459" si="62">_xlfn.BINOM.DIST(A396,$A$1011,$B$1,FALSE)</f>
        <v>5.4721177794163958E-16</v>
      </c>
      <c r="G396" s="41">
        <f>SUM(F$11:F396)</f>
        <v>1.3572267393986694E-15</v>
      </c>
      <c r="I396" s="1">
        <f t="shared" si="61"/>
        <v>386</v>
      </c>
      <c r="J396" s="3">
        <v>352000</v>
      </c>
      <c r="K396" s="3">
        <v>96000</v>
      </c>
      <c r="L396" s="3">
        <v>358000</v>
      </c>
      <c r="M396" s="30">
        <f t="shared" ref="M396:M459" si="63">J396/$B$3-1</f>
        <v>2.52</v>
      </c>
      <c r="N396" s="1" t="str">
        <f t="shared" ref="N396:N459" si="64">IF(K396&lt;=0,1,"")</f>
        <v/>
      </c>
      <c r="O396" s="1" t="str">
        <f t="shared" ref="O396:O459" si="65">IF(J396&lt;=0,1,"")</f>
        <v/>
      </c>
    </row>
    <row r="397" spans="1:15" x14ac:dyDescent="0.25">
      <c r="A397" s="1">
        <f t="shared" si="60"/>
        <v>386</v>
      </c>
      <c r="B397" s="3">
        <f t="shared" ca="1" si="57"/>
        <v>105000</v>
      </c>
      <c r="C397" s="26">
        <f t="shared" ca="1" si="58"/>
        <v>0.19763981826699351</v>
      </c>
      <c r="D397" s="26" t="str">
        <f t="shared" ref="D397:D460" ca="1" si="66">IF(C397&gt;$B$2,"Win","Lose")</f>
        <v>Lose</v>
      </c>
      <c r="E397" s="3">
        <f t="shared" ca="1" si="59"/>
        <v>-500</v>
      </c>
      <c r="F397" s="42">
        <f t="shared" si="62"/>
        <v>9.0743879745896782E-16</v>
      </c>
      <c r="G397" s="41">
        <f>SUM(F$11:F397)</f>
        <v>2.2646655368576371E-15</v>
      </c>
      <c r="I397" s="1">
        <f t="shared" si="61"/>
        <v>387</v>
      </c>
      <c r="J397" s="3">
        <v>344000</v>
      </c>
      <c r="K397" s="3">
        <v>96000</v>
      </c>
      <c r="L397" s="3">
        <v>348000</v>
      </c>
      <c r="M397" s="30">
        <f t="shared" si="63"/>
        <v>2.44</v>
      </c>
      <c r="N397" s="1" t="str">
        <f t="shared" si="64"/>
        <v/>
      </c>
      <c r="O397" s="1" t="str">
        <f t="shared" si="65"/>
        <v/>
      </c>
    </row>
    <row r="398" spans="1:15" x14ac:dyDescent="0.25">
      <c r="A398" s="1">
        <f t="shared" si="60"/>
        <v>387</v>
      </c>
      <c r="B398" s="3">
        <f t="shared" ref="B398:B461" ca="1" si="67">B397+E398</f>
        <v>104500</v>
      </c>
      <c r="C398" s="26">
        <f t="shared" ref="C398:C461" ca="1" si="68">RAND()</f>
        <v>0.22586700901587253</v>
      </c>
      <c r="D398" s="26" t="str">
        <f t="shared" ca="1" si="66"/>
        <v>Lose</v>
      </c>
      <c r="E398" s="3">
        <f t="shared" ref="E398:E461" ca="1" si="69">IF(D398="Win",$B$4,-$B$4)</f>
        <v>-500</v>
      </c>
      <c r="F398" s="42">
        <f t="shared" si="62"/>
        <v>1.4984727365728446E-15</v>
      </c>
      <c r="G398" s="41">
        <f>SUM(F$11:F398)</f>
        <v>3.7631382734304817E-15</v>
      </c>
      <c r="I398" s="1">
        <f t="shared" si="61"/>
        <v>388</v>
      </c>
      <c r="J398" s="3">
        <v>352000</v>
      </c>
      <c r="K398" s="3">
        <v>96000</v>
      </c>
      <c r="L398" s="3">
        <v>358000</v>
      </c>
      <c r="M398" s="30">
        <f t="shared" si="63"/>
        <v>2.52</v>
      </c>
      <c r="N398" s="1" t="str">
        <f t="shared" si="64"/>
        <v/>
      </c>
      <c r="O398" s="1" t="str">
        <f t="shared" si="65"/>
        <v/>
      </c>
    </row>
    <row r="399" spans="1:15" x14ac:dyDescent="0.25">
      <c r="A399" s="1">
        <f t="shared" si="60"/>
        <v>388</v>
      </c>
      <c r="B399" s="3">
        <f t="shared" ca="1" si="67"/>
        <v>105000</v>
      </c>
      <c r="C399" s="26">
        <f t="shared" ca="1" si="68"/>
        <v>0.50525870732641553</v>
      </c>
      <c r="D399" s="26" t="str">
        <f t="shared" ca="1" si="66"/>
        <v>Win</v>
      </c>
      <c r="E399" s="3">
        <f t="shared" ca="1" si="69"/>
        <v>500</v>
      </c>
      <c r="F399" s="42">
        <f t="shared" si="62"/>
        <v>2.4640623376538721E-15</v>
      </c>
      <c r="G399" s="41">
        <f>SUM(F$11:F399)</f>
        <v>6.2272006110843538E-15</v>
      </c>
      <c r="I399" s="1">
        <f t="shared" si="61"/>
        <v>389</v>
      </c>
      <c r="J399" s="3">
        <v>328000</v>
      </c>
      <c r="K399" s="3">
        <v>92000</v>
      </c>
      <c r="L399" s="3">
        <v>332000</v>
      </c>
      <c r="M399" s="30">
        <f t="shared" si="63"/>
        <v>2.2799999999999998</v>
      </c>
      <c r="N399" s="1" t="str">
        <f t="shared" si="64"/>
        <v/>
      </c>
      <c r="O399" s="1" t="str">
        <f t="shared" si="65"/>
        <v/>
      </c>
    </row>
    <row r="400" spans="1:15" x14ac:dyDescent="0.25">
      <c r="A400" s="1">
        <f t="shared" si="60"/>
        <v>389</v>
      </c>
      <c r="B400" s="3">
        <f t="shared" ca="1" si="67"/>
        <v>104500</v>
      </c>
      <c r="C400" s="26">
        <f t="shared" ca="1" si="68"/>
        <v>0.19561802073020962</v>
      </c>
      <c r="D400" s="26" t="str">
        <f t="shared" ca="1" si="66"/>
        <v>Lose</v>
      </c>
      <c r="E400" s="3">
        <f t="shared" ca="1" si="69"/>
        <v>-500</v>
      </c>
      <c r="F400" s="42">
        <f t="shared" si="62"/>
        <v>4.0348519848304936E-15</v>
      </c>
      <c r="G400" s="41">
        <f>SUM(F$11:F400)</f>
        <v>1.0262052595914847E-14</v>
      </c>
      <c r="I400" s="1">
        <f t="shared" si="61"/>
        <v>390</v>
      </c>
      <c r="J400" s="3">
        <v>192000</v>
      </c>
      <c r="K400" s="3">
        <v>90000</v>
      </c>
      <c r="L400" s="3">
        <v>232000</v>
      </c>
      <c r="M400" s="30">
        <f t="shared" si="63"/>
        <v>0.91999999999999993</v>
      </c>
      <c r="N400" s="1" t="str">
        <f t="shared" si="64"/>
        <v/>
      </c>
      <c r="O400" s="1" t="str">
        <f t="shared" si="65"/>
        <v/>
      </c>
    </row>
    <row r="401" spans="1:15" x14ac:dyDescent="0.25">
      <c r="A401" s="1">
        <f t="shared" si="60"/>
        <v>390</v>
      </c>
      <c r="B401" s="3">
        <f t="shared" ca="1" si="67"/>
        <v>104000</v>
      </c>
      <c r="C401" s="26">
        <f t="shared" ca="1" si="68"/>
        <v>0.46118638557278768</v>
      </c>
      <c r="D401" s="26" t="str">
        <f t="shared" ca="1" si="66"/>
        <v>Lose</v>
      </c>
      <c r="E401" s="3">
        <f t="shared" ca="1" si="69"/>
        <v>-500</v>
      </c>
      <c r="F401" s="42">
        <f t="shared" si="62"/>
        <v>6.579279052815436E-15</v>
      </c>
      <c r="G401" s="41">
        <f>SUM(F$11:F401)</f>
        <v>1.6841331648730283E-14</v>
      </c>
      <c r="I401" s="1">
        <f t="shared" si="61"/>
        <v>391</v>
      </c>
      <c r="J401" s="3">
        <v>244000</v>
      </c>
      <c r="K401" s="3">
        <v>84000</v>
      </c>
      <c r="L401" s="3">
        <v>258000</v>
      </c>
      <c r="M401" s="30">
        <f t="shared" si="63"/>
        <v>1.44</v>
      </c>
      <c r="N401" s="1" t="str">
        <f t="shared" si="64"/>
        <v/>
      </c>
      <c r="O401" s="1" t="str">
        <f t="shared" si="65"/>
        <v/>
      </c>
    </row>
    <row r="402" spans="1:15" x14ac:dyDescent="0.25">
      <c r="A402" s="1">
        <f t="shared" si="60"/>
        <v>391</v>
      </c>
      <c r="B402" s="3">
        <f t="shared" ca="1" si="67"/>
        <v>103500</v>
      </c>
      <c r="C402" s="26">
        <f t="shared" ca="1" si="68"/>
        <v>0.40541501980727002</v>
      </c>
      <c r="D402" s="26" t="str">
        <f t="shared" ca="1" si="66"/>
        <v>Lose</v>
      </c>
      <c r="E402" s="3">
        <f t="shared" ca="1" si="69"/>
        <v>-500</v>
      </c>
      <c r="F402" s="42">
        <f t="shared" si="62"/>
        <v>1.0683301390108489E-14</v>
      </c>
      <c r="G402" s="41">
        <f>SUM(F$11:F402)</f>
        <v>2.7524633038838773E-14</v>
      </c>
      <c r="I402" s="1">
        <f t="shared" si="61"/>
        <v>392</v>
      </c>
      <c r="J402" s="3">
        <v>236000</v>
      </c>
      <c r="K402" s="3">
        <v>100000</v>
      </c>
      <c r="L402" s="3">
        <v>240000</v>
      </c>
      <c r="M402" s="30">
        <f t="shared" si="63"/>
        <v>1.3599999999999999</v>
      </c>
      <c r="N402" s="1" t="str">
        <f t="shared" si="64"/>
        <v/>
      </c>
      <c r="O402" s="1" t="str">
        <f t="shared" si="65"/>
        <v/>
      </c>
    </row>
    <row r="403" spans="1:15" x14ac:dyDescent="0.25">
      <c r="A403" s="1">
        <f t="shared" si="60"/>
        <v>392</v>
      </c>
      <c r="B403" s="3">
        <f t="shared" ca="1" si="67"/>
        <v>103000</v>
      </c>
      <c r="C403" s="26">
        <f t="shared" ca="1" si="68"/>
        <v>0.44814152376643479</v>
      </c>
      <c r="D403" s="26" t="str">
        <f t="shared" ca="1" si="66"/>
        <v>Lose</v>
      </c>
      <c r="E403" s="3">
        <f t="shared" ca="1" si="69"/>
        <v>-500</v>
      </c>
      <c r="F403" s="42">
        <f t="shared" si="62"/>
        <v>1.7274711467897724E-14</v>
      </c>
      <c r="G403" s="41">
        <f>SUM(F$11:F403)</f>
        <v>4.4799344506736497E-14</v>
      </c>
      <c r="I403" s="1">
        <f t="shared" si="61"/>
        <v>393</v>
      </c>
      <c r="J403" s="3">
        <v>268000</v>
      </c>
      <c r="K403" s="3">
        <v>100000</v>
      </c>
      <c r="L403" s="3">
        <v>270000</v>
      </c>
      <c r="M403" s="30">
        <f t="shared" si="63"/>
        <v>1.6800000000000002</v>
      </c>
      <c r="N403" s="1" t="str">
        <f t="shared" si="64"/>
        <v/>
      </c>
      <c r="O403" s="1" t="str">
        <f t="shared" si="65"/>
        <v/>
      </c>
    </row>
    <row r="404" spans="1:15" x14ac:dyDescent="0.25">
      <c r="A404" s="1">
        <f t="shared" si="60"/>
        <v>393</v>
      </c>
      <c r="B404" s="3">
        <f t="shared" ca="1" si="67"/>
        <v>102500</v>
      </c>
      <c r="C404" s="26">
        <f t="shared" ca="1" si="68"/>
        <v>0.26396384432612874</v>
      </c>
      <c r="D404" s="26" t="str">
        <f t="shared" ca="1" si="66"/>
        <v>Lose</v>
      </c>
      <c r="E404" s="3">
        <f t="shared" ca="1" si="69"/>
        <v>-500</v>
      </c>
      <c r="F404" s="42">
        <f t="shared" si="62"/>
        <v>2.7816080033056141E-14</v>
      </c>
      <c r="G404" s="41">
        <f>SUM(F$11:F404)</f>
        <v>7.2615424539792641E-14</v>
      </c>
      <c r="I404" s="1">
        <f t="shared" si="61"/>
        <v>394</v>
      </c>
      <c r="J404" s="3">
        <v>316000</v>
      </c>
      <c r="K404" s="3">
        <v>100000</v>
      </c>
      <c r="L404" s="3">
        <v>324000</v>
      </c>
      <c r="M404" s="30">
        <f t="shared" si="63"/>
        <v>2.16</v>
      </c>
      <c r="N404" s="1" t="str">
        <f t="shared" si="64"/>
        <v/>
      </c>
      <c r="O404" s="1" t="str">
        <f t="shared" si="65"/>
        <v/>
      </c>
    </row>
    <row r="405" spans="1:15" x14ac:dyDescent="0.25">
      <c r="A405" s="1">
        <f t="shared" si="60"/>
        <v>394</v>
      </c>
      <c r="B405" s="3">
        <f t="shared" ca="1" si="67"/>
        <v>103000</v>
      </c>
      <c r="C405" s="26">
        <f t="shared" ca="1" si="68"/>
        <v>0.66484737690341722</v>
      </c>
      <c r="D405" s="26" t="str">
        <f t="shared" ca="1" si="66"/>
        <v>Win</v>
      </c>
      <c r="E405" s="3">
        <f t="shared" ca="1" si="69"/>
        <v>500</v>
      </c>
      <c r="F405" s="42">
        <f t="shared" si="62"/>
        <v>4.4602837956248222E-14</v>
      </c>
      <c r="G405" s="41">
        <f>SUM(F$11:F405)</f>
        <v>1.1721826249604086E-13</v>
      </c>
      <c r="I405" s="1">
        <f t="shared" si="61"/>
        <v>395</v>
      </c>
      <c r="J405" s="3">
        <v>308000</v>
      </c>
      <c r="K405" s="3">
        <v>86000</v>
      </c>
      <c r="L405" s="3">
        <v>308000</v>
      </c>
      <c r="M405" s="30">
        <f t="shared" si="63"/>
        <v>2.08</v>
      </c>
      <c r="N405" s="1" t="str">
        <f t="shared" si="64"/>
        <v/>
      </c>
      <c r="O405" s="1" t="str">
        <f t="shared" si="65"/>
        <v/>
      </c>
    </row>
    <row r="406" spans="1:15" x14ac:dyDescent="0.25">
      <c r="A406" s="1">
        <f t="shared" si="60"/>
        <v>395</v>
      </c>
      <c r="B406" s="3">
        <f t="shared" ca="1" si="67"/>
        <v>102500</v>
      </c>
      <c r="C406" s="26">
        <f t="shared" ca="1" si="68"/>
        <v>0.16840997390737489</v>
      </c>
      <c r="D406" s="26" t="str">
        <f t="shared" ca="1" si="66"/>
        <v>Lose</v>
      </c>
      <c r="E406" s="3">
        <f t="shared" ca="1" si="69"/>
        <v>-500</v>
      </c>
      <c r="F406" s="42">
        <f t="shared" si="62"/>
        <v>7.1221664163050104E-14</v>
      </c>
      <c r="G406" s="41">
        <f>SUM(F$11:F406)</f>
        <v>1.8843992665909097E-13</v>
      </c>
      <c r="I406" s="1">
        <f t="shared" si="61"/>
        <v>396</v>
      </c>
      <c r="J406" s="3">
        <v>276000</v>
      </c>
      <c r="K406" s="3">
        <v>98000</v>
      </c>
      <c r="L406" s="3">
        <v>284000</v>
      </c>
      <c r="M406" s="30">
        <f t="shared" si="63"/>
        <v>1.7599999999999998</v>
      </c>
      <c r="N406" s="1" t="str">
        <f t="shared" si="64"/>
        <v/>
      </c>
      <c r="O406" s="1" t="str">
        <f t="shared" si="65"/>
        <v/>
      </c>
    </row>
    <row r="407" spans="1:15" x14ac:dyDescent="0.25">
      <c r="A407" s="1">
        <f t="shared" si="60"/>
        <v>396</v>
      </c>
      <c r="B407" s="3">
        <f t="shared" ca="1" si="67"/>
        <v>102000</v>
      </c>
      <c r="C407" s="26">
        <f t="shared" ca="1" si="68"/>
        <v>0.19120444026471684</v>
      </c>
      <c r="D407" s="26" t="str">
        <f t="shared" ca="1" si="66"/>
        <v>Lose</v>
      </c>
      <c r="E407" s="3">
        <f t="shared" ca="1" si="69"/>
        <v>-500</v>
      </c>
      <c r="F407" s="42">
        <f t="shared" si="62"/>
        <v>1.1325213604158196E-13</v>
      </c>
      <c r="G407" s="41">
        <f>SUM(F$11:F407)</f>
        <v>3.0169206270067291E-13</v>
      </c>
      <c r="I407" s="1">
        <f t="shared" si="61"/>
        <v>397</v>
      </c>
      <c r="J407" s="3">
        <v>264000</v>
      </c>
      <c r="K407" s="3">
        <v>88000</v>
      </c>
      <c r="L407" s="3">
        <v>270000</v>
      </c>
      <c r="M407" s="30">
        <f t="shared" si="63"/>
        <v>1.6400000000000001</v>
      </c>
      <c r="N407" s="1" t="str">
        <f t="shared" si="64"/>
        <v/>
      </c>
      <c r="O407" s="1" t="str">
        <f t="shared" si="65"/>
        <v/>
      </c>
    </row>
    <row r="408" spans="1:15" x14ac:dyDescent="0.25">
      <c r="A408" s="1">
        <f t="shared" si="60"/>
        <v>397</v>
      </c>
      <c r="B408" s="3">
        <f t="shared" ca="1" si="67"/>
        <v>101500</v>
      </c>
      <c r="C408" s="26">
        <f t="shared" ca="1" si="68"/>
        <v>0.12829163071570626</v>
      </c>
      <c r="D408" s="26" t="str">
        <f t="shared" ca="1" si="66"/>
        <v>Lose</v>
      </c>
      <c r="E408" s="3">
        <f t="shared" ca="1" si="69"/>
        <v>-500</v>
      </c>
      <c r="F408" s="42">
        <f t="shared" si="62"/>
        <v>1.7933577333187365E-13</v>
      </c>
      <c r="G408" s="41">
        <f>SUM(F$11:F408)</f>
        <v>4.8102783603254654E-13</v>
      </c>
      <c r="I408" s="1">
        <f t="shared" si="61"/>
        <v>398</v>
      </c>
      <c r="J408" s="3">
        <v>288000</v>
      </c>
      <c r="K408" s="3">
        <v>90000</v>
      </c>
      <c r="L408" s="3">
        <v>302000</v>
      </c>
      <c r="M408" s="30">
        <f t="shared" si="63"/>
        <v>1.88</v>
      </c>
      <c r="N408" s="1" t="str">
        <f t="shared" si="64"/>
        <v/>
      </c>
      <c r="O408" s="1" t="str">
        <f t="shared" si="65"/>
        <v/>
      </c>
    </row>
    <row r="409" spans="1:15" x14ac:dyDescent="0.25">
      <c r="A409" s="1">
        <f t="shared" si="60"/>
        <v>398</v>
      </c>
      <c r="B409" s="3">
        <f t="shared" ca="1" si="67"/>
        <v>101000</v>
      </c>
      <c r="C409" s="26">
        <f t="shared" ca="1" si="68"/>
        <v>0.47183591749795295</v>
      </c>
      <c r="D409" s="26" t="str">
        <f t="shared" ca="1" si="66"/>
        <v>Lose</v>
      </c>
      <c r="E409" s="3">
        <f t="shared" ca="1" si="69"/>
        <v>-500</v>
      </c>
      <c r="F409" s="42">
        <f t="shared" si="62"/>
        <v>2.8279730475207833E-13</v>
      </c>
      <c r="G409" s="41">
        <f>SUM(F$11:F409)</f>
        <v>7.6382514078462487E-13</v>
      </c>
      <c r="I409" s="1">
        <f t="shared" si="61"/>
        <v>399</v>
      </c>
      <c r="J409" s="3">
        <v>340000</v>
      </c>
      <c r="K409" s="3">
        <v>100000</v>
      </c>
      <c r="L409" s="3">
        <v>352000</v>
      </c>
      <c r="M409" s="30">
        <f t="shared" si="63"/>
        <v>2.4</v>
      </c>
      <c r="N409" s="1" t="str">
        <f t="shared" si="64"/>
        <v/>
      </c>
      <c r="O409" s="1" t="str">
        <f t="shared" si="65"/>
        <v/>
      </c>
    </row>
    <row r="410" spans="1:15" x14ac:dyDescent="0.25">
      <c r="A410" s="1">
        <f t="shared" si="60"/>
        <v>399</v>
      </c>
      <c r="B410" s="3">
        <f t="shared" ca="1" si="67"/>
        <v>101500</v>
      </c>
      <c r="C410" s="26">
        <f t="shared" ca="1" si="68"/>
        <v>0.92582865301839889</v>
      </c>
      <c r="D410" s="26" t="str">
        <f t="shared" ca="1" si="66"/>
        <v>Win</v>
      </c>
      <c r="E410" s="3">
        <f t="shared" ca="1" si="69"/>
        <v>500</v>
      </c>
      <c r="F410" s="42">
        <f t="shared" si="62"/>
        <v>4.4409200810692564E-13</v>
      </c>
      <c r="G410" s="41">
        <f>SUM(F$11:F410)</f>
        <v>1.2079171488915505E-12</v>
      </c>
      <c r="I410" s="1">
        <f t="shared" si="61"/>
        <v>400</v>
      </c>
      <c r="J410" s="3">
        <v>208000</v>
      </c>
      <c r="K410" s="3">
        <v>88000</v>
      </c>
      <c r="L410" s="3">
        <v>240000</v>
      </c>
      <c r="M410" s="30">
        <f t="shared" si="63"/>
        <v>1.08</v>
      </c>
      <c r="N410" s="1" t="str">
        <f t="shared" si="64"/>
        <v/>
      </c>
      <c r="O410" s="1" t="str">
        <f t="shared" si="65"/>
        <v/>
      </c>
    </row>
    <row r="411" spans="1:15" x14ac:dyDescent="0.25">
      <c r="A411" s="1">
        <f t="shared" si="60"/>
        <v>400</v>
      </c>
      <c r="B411" s="3">
        <f t="shared" ca="1" si="67"/>
        <v>102000</v>
      </c>
      <c r="C411" s="26">
        <f t="shared" ca="1" si="68"/>
        <v>0.59508372883007954</v>
      </c>
      <c r="D411" s="26" t="str">
        <f t="shared" ca="1" si="66"/>
        <v>Win</v>
      </c>
      <c r="E411" s="3">
        <f t="shared" ca="1" si="69"/>
        <v>500</v>
      </c>
      <c r="F411" s="42">
        <f t="shared" si="62"/>
        <v>6.9448286431047563E-13</v>
      </c>
      <c r="G411" s="41">
        <f>SUM(F$11:F411)</f>
        <v>1.902400013202026E-12</v>
      </c>
      <c r="I411" s="1">
        <f t="shared" si="61"/>
        <v>401</v>
      </c>
      <c r="J411" s="3">
        <v>328000</v>
      </c>
      <c r="K411" s="3">
        <v>92000</v>
      </c>
      <c r="L411" s="3">
        <v>338000</v>
      </c>
      <c r="M411" s="30">
        <f t="shared" si="63"/>
        <v>2.2799999999999998</v>
      </c>
      <c r="N411" s="1" t="str">
        <f t="shared" si="64"/>
        <v/>
      </c>
      <c r="O411" s="1" t="str">
        <f t="shared" si="65"/>
        <v/>
      </c>
    </row>
    <row r="412" spans="1:15" x14ac:dyDescent="0.25">
      <c r="A412" s="1">
        <f t="shared" si="60"/>
        <v>401</v>
      </c>
      <c r="B412" s="3">
        <f t="shared" ca="1" si="67"/>
        <v>102500</v>
      </c>
      <c r="C412" s="26">
        <f t="shared" ca="1" si="68"/>
        <v>0.91966071779375869</v>
      </c>
      <c r="D412" s="26" t="str">
        <f t="shared" ca="1" si="66"/>
        <v>Win</v>
      </c>
      <c r="E412" s="3">
        <f t="shared" ca="1" si="69"/>
        <v>500</v>
      </c>
      <c r="F412" s="42">
        <f t="shared" si="62"/>
        <v>1.0815398059901568E-12</v>
      </c>
      <c r="G412" s="41">
        <f>SUM(F$11:F412)</f>
        <v>2.9839398191921826E-12</v>
      </c>
      <c r="I412" s="1">
        <f t="shared" si="61"/>
        <v>402</v>
      </c>
      <c r="J412" s="3">
        <v>216000</v>
      </c>
      <c r="K412" s="3">
        <v>82000</v>
      </c>
      <c r="L412" s="3">
        <v>216000</v>
      </c>
      <c r="M412" s="30">
        <f t="shared" si="63"/>
        <v>1.1600000000000001</v>
      </c>
      <c r="N412" s="1" t="str">
        <f t="shared" si="64"/>
        <v/>
      </c>
      <c r="O412" s="1" t="str">
        <f t="shared" si="65"/>
        <v/>
      </c>
    </row>
    <row r="413" spans="1:15" x14ac:dyDescent="0.25">
      <c r="A413" s="1">
        <f t="shared" si="60"/>
        <v>402</v>
      </c>
      <c r="B413" s="3">
        <f t="shared" ca="1" si="67"/>
        <v>102000</v>
      </c>
      <c r="C413" s="26">
        <f t="shared" ca="1" si="68"/>
        <v>0.30810168187478226</v>
      </c>
      <c r="D413" s="26" t="str">
        <f t="shared" ca="1" si="66"/>
        <v>Lose</v>
      </c>
      <c r="E413" s="3">
        <f t="shared" ca="1" si="69"/>
        <v>-500</v>
      </c>
      <c r="F413" s="42">
        <f t="shared" si="62"/>
        <v>1.6773255931157308E-12</v>
      </c>
      <c r="G413" s="41">
        <f>SUM(F$11:F413)</f>
        <v>4.6612654123079129E-12</v>
      </c>
      <c r="I413" s="1">
        <f t="shared" si="61"/>
        <v>403</v>
      </c>
      <c r="J413" s="3">
        <v>352000</v>
      </c>
      <c r="K413" s="3">
        <v>94000</v>
      </c>
      <c r="L413" s="3">
        <v>366000</v>
      </c>
      <c r="M413" s="30">
        <f t="shared" si="63"/>
        <v>2.52</v>
      </c>
      <c r="N413" s="1" t="str">
        <f t="shared" si="64"/>
        <v/>
      </c>
      <c r="O413" s="1" t="str">
        <f t="shared" si="65"/>
        <v/>
      </c>
    </row>
    <row r="414" spans="1:15" x14ac:dyDescent="0.25">
      <c r="A414" s="1">
        <f t="shared" si="60"/>
        <v>403</v>
      </c>
      <c r="B414" s="3">
        <f t="shared" ca="1" si="67"/>
        <v>102500</v>
      </c>
      <c r="C414" s="26">
        <f t="shared" ca="1" si="68"/>
        <v>0.55912376482556314</v>
      </c>
      <c r="D414" s="26" t="str">
        <f t="shared" ca="1" si="66"/>
        <v>Win</v>
      </c>
      <c r="E414" s="3">
        <f t="shared" ca="1" si="69"/>
        <v>500</v>
      </c>
      <c r="F414" s="42">
        <f t="shared" si="62"/>
        <v>2.5905239245881957E-12</v>
      </c>
      <c r="G414" s="41">
        <f>SUM(F$11:F414)</f>
        <v>7.2517893368961082E-12</v>
      </c>
      <c r="I414" s="1">
        <f t="shared" si="61"/>
        <v>404</v>
      </c>
      <c r="J414" s="3">
        <v>344000</v>
      </c>
      <c r="K414" s="3">
        <v>98000</v>
      </c>
      <c r="L414" s="3">
        <v>344000</v>
      </c>
      <c r="M414" s="30">
        <f t="shared" si="63"/>
        <v>2.44</v>
      </c>
      <c r="N414" s="1" t="str">
        <f t="shared" si="64"/>
        <v/>
      </c>
      <c r="O414" s="1" t="str">
        <f t="shared" si="65"/>
        <v/>
      </c>
    </row>
    <row r="415" spans="1:15" x14ac:dyDescent="0.25">
      <c r="A415" s="1">
        <f t="shared" si="60"/>
        <v>404</v>
      </c>
      <c r="B415" s="3">
        <f t="shared" ca="1" si="67"/>
        <v>102000</v>
      </c>
      <c r="C415" s="26">
        <f t="shared" ca="1" si="68"/>
        <v>0.40524292463872302</v>
      </c>
      <c r="D415" s="26" t="str">
        <f t="shared" ca="1" si="66"/>
        <v>Lose</v>
      </c>
      <c r="E415" s="3">
        <f t="shared" ca="1" si="69"/>
        <v>-500</v>
      </c>
      <c r="F415" s="42">
        <f t="shared" si="62"/>
        <v>3.9843242034722285E-12</v>
      </c>
      <c r="G415" s="41">
        <f>SUM(F$11:F415)</f>
        <v>1.1236113540368337E-11</v>
      </c>
      <c r="I415" s="1">
        <f t="shared" si="61"/>
        <v>405</v>
      </c>
      <c r="J415" s="3">
        <v>364000</v>
      </c>
      <c r="K415" s="3">
        <v>86000</v>
      </c>
      <c r="L415" s="3">
        <v>364000</v>
      </c>
      <c r="M415" s="30">
        <f t="shared" si="63"/>
        <v>2.64</v>
      </c>
      <c r="N415" s="1" t="str">
        <f t="shared" si="64"/>
        <v/>
      </c>
      <c r="O415" s="1" t="str">
        <f t="shared" si="65"/>
        <v/>
      </c>
    </row>
    <row r="416" spans="1:15" x14ac:dyDescent="0.25">
      <c r="A416" s="1">
        <f t="shared" si="60"/>
        <v>405</v>
      </c>
      <c r="B416" s="3">
        <f t="shared" ca="1" si="67"/>
        <v>101500</v>
      </c>
      <c r="C416" s="26">
        <f t="shared" ca="1" si="68"/>
        <v>0.29027629954031631</v>
      </c>
      <c r="D416" s="26" t="str">
        <f t="shared" ca="1" si="66"/>
        <v>Lose</v>
      </c>
      <c r="E416" s="3">
        <f t="shared" ca="1" si="69"/>
        <v>-500</v>
      </c>
      <c r="F416" s="42">
        <f t="shared" si="62"/>
        <v>6.1026716295663298E-12</v>
      </c>
      <c r="G416" s="41">
        <f>SUM(F$11:F416)</f>
        <v>1.7338785169934665E-11</v>
      </c>
      <c r="I416" s="1">
        <f t="shared" si="61"/>
        <v>406</v>
      </c>
      <c r="J416" s="3">
        <v>272000</v>
      </c>
      <c r="K416" s="3">
        <v>96000</v>
      </c>
      <c r="L416" s="3">
        <v>274000</v>
      </c>
      <c r="M416" s="30">
        <f t="shared" si="63"/>
        <v>1.7200000000000002</v>
      </c>
      <c r="N416" s="1" t="str">
        <f t="shared" si="64"/>
        <v/>
      </c>
      <c r="O416" s="1" t="str">
        <f t="shared" si="65"/>
        <v/>
      </c>
    </row>
    <row r="417" spans="1:15" x14ac:dyDescent="0.25">
      <c r="A417" s="1">
        <f t="shared" si="60"/>
        <v>406</v>
      </c>
      <c r="B417" s="3">
        <f t="shared" ca="1" si="67"/>
        <v>102000</v>
      </c>
      <c r="C417" s="26">
        <f t="shared" ca="1" si="68"/>
        <v>0.78843387780431373</v>
      </c>
      <c r="D417" s="26" t="str">
        <f t="shared" ca="1" si="66"/>
        <v>Win</v>
      </c>
      <c r="E417" s="3">
        <f t="shared" ca="1" si="69"/>
        <v>500</v>
      </c>
      <c r="F417" s="42">
        <f t="shared" si="62"/>
        <v>9.3086141851406239E-12</v>
      </c>
      <c r="G417" s="41">
        <f>SUM(F$11:F417)</f>
        <v>2.6647399355075289E-11</v>
      </c>
      <c r="I417" s="1">
        <f t="shared" si="61"/>
        <v>407</v>
      </c>
      <c r="J417" s="3">
        <v>324000</v>
      </c>
      <c r="K417" s="3">
        <v>80000</v>
      </c>
      <c r="L417" s="3">
        <v>332000</v>
      </c>
      <c r="M417" s="30">
        <f t="shared" si="63"/>
        <v>2.2400000000000002</v>
      </c>
      <c r="N417" s="1" t="str">
        <f t="shared" si="64"/>
        <v/>
      </c>
      <c r="O417" s="1" t="str">
        <f t="shared" si="65"/>
        <v/>
      </c>
    </row>
    <row r="418" spans="1:15" x14ac:dyDescent="0.25">
      <c r="A418" s="1">
        <f t="shared" si="60"/>
        <v>407</v>
      </c>
      <c r="B418" s="3">
        <f t="shared" ca="1" si="67"/>
        <v>102500</v>
      </c>
      <c r="C418" s="26">
        <f t="shared" ca="1" si="68"/>
        <v>0.93788799113909793</v>
      </c>
      <c r="D418" s="26" t="str">
        <f t="shared" ca="1" si="66"/>
        <v>Win</v>
      </c>
      <c r="E418" s="3">
        <f t="shared" ca="1" si="69"/>
        <v>500</v>
      </c>
      <c r="F418" s="42">
        <f t="shared" si="62"/>
        <v>1.414005706887884E-11</v>
      </c>
      <c r="G418" s="41">
        <f>SUM(F$11:F418)</f>
        <v>4.078745642395413E-11</v>
      </c>
      <c r="I418" s="1">
        <f t="shared" si="61"/>
        <v>408</v>
      </c>
      <c r="J418" s="3">
        <v>264000</v>
      </c>
      <c r="K418" s="3">
        <v>96000</v>
      </c>
      <c r="L418" s="3">
        <v>266000</v>
      </c>
      <c r="M418" s="30">
        <f t="shared" si="63"/>
        <v>1.6400000000000001</v>
      </c>
      <c r="N418" s="1" t="str">
        <f t="shared" si="64"/>
        <v/>
      </c>
      <c r="O418" s="1" t="str">
        <f t="shared" si="65"/>
        <v/>
      </c>
    </row>
    <row r="419" spans="1:15" x14ac:dyDescent="0.25">
      <c r="A419" s="1">
        <f t="shared" si="60"/>
        <v>408</v>
      </c>
      <c r="B419" s="3">
        <f t="shared" ca="1" si="67"/>
        <v>103000</v>
      </c>
      <c r="C419" s="26">
        <f t="shared" ca="1" si="68"/>
        <v>0.90999829971910928</v>
      </c>
      <c r="D419" s="26" t="str">
        <f t="shared" ca="1" si="66"/>
        <v>Win</v>
      </c>
      <c r="E419" s="3">
        <f t="shared" ca="1" si="69"/>
        <v>500</v>
      </c>
      <c r="F419" s="42">
        <f t="shared" si="62"/>
        <v>2.1390443474094704E-11</v>
      </c>
      <c r="G419" s="41">
        <f>SUM(F$11:F419)</f>
        <v>6.2177899898048841E-11</v>
      </c>
      <c r="I419" s="1">
        <f t="shared" si="61"/>
        <v>409</v>
      </c>
      <c r="J419" s="3">
        <v>352000</v>
      </c>
      <c r="K419" s="3">
        <v>72000</v>
      </c>
      <c r="L419" s="3">
        <v>362000</v>
      </c>
      <c r="M419" s="30">
        <f t="shared" si="63"/>
        <v>2.52</v>
      </c>
      <c r="N419" s="1" t="str">
        <f t="shared" si="64"/>
        <v/>
      </c>
      <c r="O419" s="1" t="str">
        <f t="shared" si="65"/>
        <v/>
      </c>
    </row>
    <row r="420" spans="1:15" x14ac:dyDescent="0.25">
      <c r="A420" s="1">
        <f t="shared" si="60"/>
        <v>409</v>
      </c>
      <c r="B420" s="3">
        <f t="shared" ca="1" si="67"/>
        <v>103500</v>
      </c>
      <c r="C420" s="26">
        <f t="shared" ca="1" si="68"/>
        <v>0.92290163648897161</v>
      </c>
      <c r="D420" s="26" t="str">
        <f t="shared" ca="1" si="66"/>
        <v>Win</v>
      </c>
      <c r="E420" s="3">
        <f t="shared" ca="1" si="69"/>
        <v>500</v>
      </c>
      <c r="F420" s="42">
        <f t="shared" si="62"/>
        <v>3.2224952316245076E-11</v>
      </c>
      <c r="G420" s="41">
        <f>SUM(F$11:F420)</f>
        <v>9.4402852214293917E-11</v>
      </c>
      <c r="I420" s="1">
        <f t="shared" si="61"/>
        <v>410</v>
      </c>
      <c r="J420" s="3">
        <v>280000</v>
      </c>
      <c r="K420" s="3">
        <v>96000</v>
      </c>
      <c r="L420" s="3">
        <v>298000</v>
      </c>
      <c r="M420" s="30">
        <f t="shared" si="63"/>
        <v>1.7999999999999998</v>
      </c>
      <c r="N420" s="1" t="str">
        <f t="shared" si="64"/>
        <v/>
      </c>
      <c r="O420" s="1" t="str">
        <f t="shared" si="65"/>
        <v/>
      </c>
    </row>
    <row r="421" spans="1:15" x14ac:dyDescent="0.25">
      <c r="A421" s="1">
        <f t="shared" si="60"/>
        <v>410</v>
      </c>
      <c r="B421" s="3">
        <f t="shared" ca="1" si="67"/>
        <v>103000</v>
      </c>
      <c r="C421" s="26">
        <f t="shared" ca="1" si="68"/>
        <v>0.1799018957603461</v>
      </c>
      <c r="D421" s="26" t="str">
        <f t="shared" ca="1" si="66"/>
        <v>Lose</v>
      </c>
      <c r="E421" s="3">
        <f t="shared" ca="1" si="69"/>
        <v>-500</v>
      </c>
      <c r="F421" s="42">
        <f t="shared" si="62"/>
        <v>4.8347052651266054E-11</v>
      </c>
      <c r="G421" s="41">
        <f>SUM(F$11:F421)</f>
        <v>1.4274990486555998E-10</v>
      </c>
      <c r="I421" s="1">
        <f t="shared" si="61"/>
        <v>411</v>
      </c>
      <c r="J421" s="3">
        <v>196000</v>
      </c>
      <c r="K421" s="3">
        <v>88000</v>
      </c>
      <c r="L421" s="3">
        <v>198000</v>
      </c>
      <c r="M421" s="30">
        <f t="shared" si="63"/>
        <v>0.96</v>
      </c>
      <c r="N421" s="1" t="str">
        <f t="shared" si="64"/>
        <v/>
      </c>
      <c r="O421" s="1" t="str">
        <f t="shared" si="65"/>
        <v/>
      </c>
    </row>
    <row r="422" spans="1:15" x14ac:dyDescent="0.25">
      <c r="A422" s="1">
        <f t="shared" si="60"/>
        <v>411</v>
      </c>
      <c r="B422" s="3">
        <f t="shared" ca="1" si="67"/>
        <v>103500</v>
      </c>
      <c r="C422" s="26">
        <f t="shared" ca="1" si="68"/>
        <v>0.53811493628062212</v>
      </c>
      <c r="D422" s="26" t="str">
        <f t="shared" ca="1" si="66"/>
        <v>Win</v>
      </c>
      <c r="E422" s="3">
        <f t="shared" ca="1" si="69"/>
        <v>500</v>
      </c>
      <c r="F422" s="42">
        <f t="shared" si="62"/>
        <v>7.2236099820079297E-11</v>
      </c>
      <c r="G422" s="41">
        <f>SUM(F$11:F422)</f>
        <v>2.1498600468563928E-10</v>
      </c>
      <c r="I422" s="1">
        <f t="shared" si="61"/>
        <v>412</v>
      </c>
      <c r="J422" s="3">
        <v>436000</v>
      </c>
      <c r="K422" s="3">
        <v>96000</v>
      </c>
      <c r="L422" s="3">
        <v>442000</v>
      </c>
      <c r="M422" s="30">
        <f t="shared" si="63"/>
        <v>3.3600000000000003</v>
      </c>
      <c r="N422" s="1" t="str">
        <f t="shared" si="64"/>
        <v/>
      </c>
      <c r="O422" s="1" t="str">
        <f t="shared" si="65"/>
        <v/>
      </c>
    </row>
    <row r="423" spans="1:15" x14ac:dyDescent="0.25">
      <c r="A423" s="1">
        <f t="shared" si="60"/>
        <v>412</v>
      </c>
      <c r="B423" s="3">
        <f t="shared" ca="1" si="67"/>
        <v>103000</v>
      </c>
      <c r="C423" s="26">
        <f t="shared" ca="1" si="68"/>
        <v>9.4710298238638524E-2</v>
      </c>
      <c r="D423" s="26" t="str">
        <f t="shared" ca="1" si="66"/>
        <v>Lose</v>
      </c>
      <c r="E423" s="3">
        <f t="shared" ca="1" si="69"/>
        <v>-500</v>
      </c>
      <c r="F423" s="42">
        <f t="shared" si="62"/>
        <v>1.0748465437365733E-10</v>
      </c>
      <c r="G423" s="41">
        <f>SUM(F$11:F423)</f>
        <v>3.2247065905929662E-10</v>
      </c>
      <c r="I423" s="1">
        <f t="shared" si="61"/>
        <v>413</v>
      </c>
      <c r="J423" s="3">
        <v>204000</v>
      </c>
      <c r="K423" s="3">
        <v>94000</v>
      </c>
      <c r="L423" s="3">
        <v>208000</v>
      </c>
      <c r="M423" s="30">
        <f t="shared" si="63"/>
        <v>1.04</v>
      </c>
      <c r="N423" s="1" t="str">
        <f t="shared" si="64"/>
        <v/>
      </c>
      <c r="O423" s="1" t="str">
        <f t="shared" si="65"/>
        <v/>
      </c>
    </row>
    <row r="424" spans="1:15" x14ac:dyDescent="0.25">
      <c r="A424" s="1">
        <f t="shared" si="60"/>
        <v>413</v>
      </c>
      <c r="B424" s="3">
        <f t="shared" ca="1" si="67"/>
        <v>103500</v>
      </c>
      <c r="C424" s="26">
        <f t="shared" ca="1" si="68"/>
        <v>0.71101464819429794</v>
      </c>
      <c r="D424" s="26" t="str">
        <f t="shared" ca="1" si="66"/>
        <v>Win</v>
      </c>
      <c r="E424" s="3">
        <f t="shared" ca="1" si="69"/>
        <v>500</v>
      </c>
      <c r="F424" s="42">
        <f t="shared" si="62"/>
        <v>1.5927508105733056E-10</v>
      </c>
      <c r="G424" s="41">
        <f>SUM(F$11:F424)</f>
        <v>4.8174574011662715E-10</v>
      </c>
      <c r="I424" s="1">
        <f t="shared" si="61"/>
        <v>414</v>
      </c>
      <c r="J424" s="3">
        <v>344000</v>
      </c>
      <c r="K424" s="3">
        <v>96000</v>
      </c>
      <c r="L424" s="3">
        <v>344000</v>
      </c>
      <c r="M424" s="30">
        <f t="shared" si="63"/>
        <v>2.44</v>
      </c>
      <c r="N424" s="1" t="str">
        <f t="shared" si="64"/>
        <v/>
      </c>
      <c r="O424" s="1" t="str">
        <f t="shared" si="65"/>
        <v/>
      </c>
    </row>
    <row r="425" spans="1:15" x14ac:dyDescent="0.25">
      <c r="A425" s="1">
        <f t="shared" si="60"/>
        <v>414</v>
      </c>
      <c r="B425" s="3">
        <f t="shared" ca="1" si="67"/>
        <v>103000</v>
      </c>
      <c r="C425" s="26">
        <f t="shared" ca="1" si="68"/>
        <v>0.45340734524794624</v>
      </c>
      <c r="D425" s="26" t="str">
        <f t="shared" ca="1" si="66"/>
        <v>Lose</v>
      </c>
      <c r="E425" s="3">
        <f t="shared" ca="1" si="69"/>
        <v>-500</v>
      </c>
      <c r="F425" s="42">
        <f t="shared" si="62"/>
        <v>2.3504969445003348E-10</v>
      </c>
      <c r="G425" s="41">
        <f>SUM(F$11:F425)</f>
        <v>7.1679543456666063E-10</v>
      </c>
      <c r="I425" s="1">
        <f t="shared" si="61"/>
        <v>415</v>
      </c>
      <c r="J425" s="3">
        <v>260000</v>
      </c>
      <c r="K425" s="3">
        <v>100000</v>
      </c>
      <c r="L425" s="3">
        <v>270000</v>
      </c>
      <c r="M425" s="30">
        <f t="shared" si="63"/>
        <v>1.6</v>
      </c>
      <c r="N425" s="1" t="str">
        <f t="shared" si="64"/>
        <v/>
      </c>
      <c r="O425" s="1" t="str">
        <f t="shared" si="65"/>
        <v/>
      </c>
    </row>
    <row r="426" spans="1:15" x14ac:dyDescent="0.25">
      <c r="A426" s="1">
        <f t="shared" si="60"/>
        <v>415</v>
      </c>
      <c r="B426" s="3">
        <f t="shared" ca="1" si="67"/>
        <v>103500</v>
      </c>
      <c r="C426" s="26">
        <f t="shared" ca="1" si="68"/>
        <v>0.95210930642323433</v>
      </c>
      <c r="D426" s="26" t="str">
        <f t="shared" ca="1" si="66"/>
        <v>Win</v>
      </c>
      <c r="E426" s="3">
        <f t="shared" ca="1" si="69"/>
        <v>500</v>
      </c>
      <c r="F426" s="42">
        <f t="shared" si="62"/>
        <v>3.454484961068953E-10</v>
      </c>
      <c r="G426" s="41">
        <f>SUM(F$11:F426)</f>
        <v>1.062243930673556E-9</v>
      </c>
      <c r="I426" s="1">
        <f t="shared" si="61"/>
        <v>416</v>
      </c>
      <c r="J426" s="3">
        <v>320000</v>
      </c>
      <c r="K426" s="3">
        <v>98000</v>
      </c>
      <c r="L426" s="3">
        <v>322000</v>
      </c>
      <c r="M426" s="30">
        <f t="shared" si="63"/>
        <v>2.2000000000000002</v>
      </c>
      <c r="N426" s="1" t="str">
        <f t="shared" si="64"/>
        <v/>
      </c>
      <c r="O426" s="1" t="str">
        <f t="shared" si="65"/>
        <v/>
      </c>
    </row>
    <row r="427" spans="1:15" x14ac:dyDescent="0.25">
      <c r="A427" s="1">
        <f t="shared" si="60"/>
        <v>416</v>
      </c>
      <c r="B427" s="3">
        <f t="shared" ca="1" si="67"/>
        <v>103000</v>
      </c>
      <c r="C427" s="26">
        <f t="shared" ca="1" si="68"/>
        <v>0.14060470240794976</v>
      </c>
      <c r="D427" s="26" t="str">
        <f t="shared" ca="1" si="66"/>
        <v>Lose</v>
      </c>
      <c r="E427" s="3">
        <f t="shared" ca="1" si="69"/>
        <v>-500</v>
      </c>
      <c r="F427" s="42">
        <f t="shared" si="62"/>
        <v>5.0561498632991612E-10</v>
      </c>
      <c r="G427" s="41">
        <f>SUM(F$11:F427)</f>
        <v>1.5678589170034722E-9</v>
      </c>
      <c r="I427" s="1">
        <f t="shared" si="61"/>
        <v>417</v>
      </c>
      <c r="J427" s="3">
        <v>384000</v>
      </c>
      <c r="K427" s="3">
        <v>94000</v>
      </c>
      <c r="L427" s="3">
        <v>392000</v>
      </c>
      <c r="M427" s="30">
        <f t="shared" si="63"/>
        <v>2.84</v>
      </c>
      <c r="N427" s="1" t="str">
        <f t="shared" si="64"/>
        <v/>
      </c>
      <c r="O427" s="1" t="str">
        <f t="shared" si="65"/>
        <v/>
      </c>
    </row>
    <row r="428" spans="1:15" x14ac:dyDescent="0.25">
      <c r="A428" s="1">
        <f t="shared" si="60"/>
        <v>417</v>
      </c>
      <c r="B428" s="3">
        <f t="shared" ca="1" si="67"/>
        <v>102500</v>
      </c>
      <c r="C428" s="26">
        <f t="shared" ca="1" si="68"/>
        <v>0.14441885838725566</v>
      </c>
      <c r="D428" s="26" t="str">
        <f t="shared" ca="1" si="66"/>
        <v>Lose</v>
      </c>
      <c r="E428" s="3">
        <f t="shared" ca="1" si="69"/>
        <v>-500</v>
      </c>
      <c r="F428" s="42">
        <f t="shared" si="62"/>
        <v>7.3700566499537983E-10</v>
      </c>
      <c r="G428" s="41">
        <f>SUM(F$11:F428)</f>
        <v>2.3048645819988521E-9</v>
      </c>
      <c r="I428" s="1">
        <f t="shared" si="61"/>
        <v>418</v>
      </c>
      <c r="J428" s="3">
        <v>324000</v>
      </c>
      <c r="K428" s="3">
        <v>90000</v>
      </c>
      <c r="L428" s="3">
        <v>338000</v>
      </c>
      <c r="M428" s="30">
        <f t="shared" si="63"/>
        <v>2.2400000000000002</v>
      </c>
      <c r="N428" s="1" t="str">
        <f t="shared" si="64"/>
        <v/>
      </c>
      <c r="O428" s="1" t="str">
        <f t="shared" si="65"/>
        <v/>
      </c>
    </row>
    <row r="429" spans="1:15" x14ac:dyDescent="0.25">
      <c r="A429" s="1">
        <f t="shared" si="60"/>
        <v>418</v>
      </c>
      <c r="B429" s="3">
        <f t="shared" ca="1" si="67"/>
        <v>103000</v>
      </c>
      <c r="C429" s="26">
        <f t="shared" ca="1" si="68"/>
        <v>0.58923413925984514</v>
      </c>
      <c r="D429" s="26" t="str">
        <f t="shared" ca="1" si="66"/>
        <v>Win</v>
      </c>
      <c r="E429" s="3">
        <f t="shared" ca="1" si="69"/>
        <v>500</v>
      </c>
      <c r="F429" s="42">
        <f t="shared" si="62"/>
        <v>1.0698852376383073E-9</v>
      </c>
      <c r="G429" s="41">
        <f>SUM(F$11:F429)</f>
        <v>3.3747498196371595E-9</v>
      </c>
      <c r="I429" s="1">
        <f t="shared" si="61"/>
        <v>419</v>
      </c>
      <c r="J429" s="3">
        <v>372000</v>
      </c>
      <c r="K429" s="3">
        <v>88000</v>
      </c>
      <c r="L429" s="3">
        <v>374000</v>
      </c>
      <c r="M429" s="30">
        <f t="shared" si="63"/>
        <v>2.72</v>
      </c>
      <c r="N429" s="1" t="str">
        <f t="shared" si="64"/>
        <v/>
      </c>
      <c r="O429" s="1" t="str">
        <f t="shared" si="65"/>
        <v/>
      </c>
    </row>
    <row r="430" spans="1:15" x14ac:dyDescent="0.25">
      <c r="A430" s="1">
        <f t="shared" si="60"/>
        <v>419</v>
      </c>
      <c r="B430" s="3">
        <f t="shared" ca="1" si="67"/>
        <v>102500</v>
      </c>
      <c r="C430" s="26">
        <f t="shared" ca="1" si="68"/>
        <v>5.6285416941941557E-2</v>
      </c>
      <c r="D430" s="26" t="str">
        <f t="shared" ca="1" si="66"/>
        <v>Lose</v>
      </c>
      <c r="E430" s="3">
        <f t="shared" ca="1" si="69"/>
        <v>-500</v>
      </c>
      <c r="F430" s="42">
        <f t="shared" si="62"/>
        <v>1.5467504565574009E-9</v>
      </c>
      <c r="G430" s="41">
        <f>SUM(F$11:F430)</f>
        <v>4.9215002761945606E-9</v>
      </c>
      <c r="I430" s="1">
        <f t="shared" si="61"/>
        <v>420</v>
      </c>
      <c r="J430" s="3">
        <v>204000</v>
      </c>
      <c r="K430" s="3">
        <v>90000</v>
      </c>
      <c r="L430" s="3">
        <v>232000</v>
      </c>
      <c r="M430" s="30">
        <f t="shared" si="63"/>
        <v>1.04</v>
      </c>
      <c r="N430" s="1" t="str">
        <f t="shared" si="64"/>
        <v/>
      </c>
      <c r="O430" s="1" t="str">
        <f t="shared" si="65"/>
        <v/>
      </c>
    </row>
    <row r="431" spans="1:15" x14ac:dyDescent="0.25">
      <c r="A431" s="1">
        <f t="shared" si="60"/>
        <v>420</v>
      </c>
      <c r="B431" s="3">
        <f t="shared" ca="1" si="67"/>
        <v>102000</v>
      </c>
      <c r="C431" s="26">
        <f t="shared" ca="1" si="68"/>
        <v>4.8309224407235174E-2</v>
      </c>
      <c r="D431" s="26" t="str">
        <f t="shared" ca="1" si="66"/>
        <v>Lose</v>
      </c>
      <c r="E431" s="3">
        <f t="shared" ca="1" si="69"/>
        <v>-500</v>
      </c>
      <c r="F431" s="42">
        <f t="shared" si="62"/>
        <v>2.2270049940841649E-9</v>
      </c>
      <c r="G431" s="41">
        <f>SUM(F$11:F431)</f>
        <v>7.1485052702787251E-9</v>
      </c>
      <c r="I431" s="1">
        <f t="shared" si="61"/>
        <v>421</v>
      </c>
      <c r="J431" s="3">
        <v>348000</v>
      </c>
      <c r="K431" s="3">
        <v>98000</v>
      </c>
      <c r="L431" s="3">
        <v>348000</v>
      </c>
      <c r="M431" s="30">
        <f t="shared" si="63"/>
        <v>2.48</v>
      </c>
      <c r="N431" s="1" t="str">
        <f t="shared" si="64"/>
        <v/>
      </c>
      <c r="O431" s="1" t="str">
        <f t="shared" si="65"/>
        <v/>
      </c>
    </row>
    <row r="432" spans="1:15" x14ac:dyDescent="0.25">
      <c r="A432" s="1">
        <f t="shared" si="60"/>
        <v>421</v>
      </c>
      <c r="B432" s="3">
        <f t="shared" ca="1" si="67"/>
        <v>101500</v>
      </c>
      <c r="C432" s="26">
        <f t="shared" ca="1" si="68"/>
        <v>0.40652987153036146</v>
      </c>
      <c r="D432" s="26" t="str">
        <f t="shared" ca="1" si="66"/>
        <v>Lose</v>
      </c>
      <c r="E432" s="3">
        <f t="shared" ca="1" si="69"/>
        <v>-500</v>
      </c>
      <c r="F432" s="42">
        <f t="shared" si="62"/>
        <v>3.1933107627615967E-9</v>
      </c>
      <c r="G432" s="41">
        <f>SUM(F$11:F432)</f>
        <v>1.0341816033040322E-8</v>
      </c>
      <c r="I432" s="1">
        <f t="shared" si="61"/>
        <v>422</v>
      </c>
      <c r="J432" s="3">
        <v>268000</v>
      </c>
      <c r="K432" s="3">
        <v>94000</v>
      </c>
      <c r="L432" s="3">
        <v>272000</v>
      </c>
      <c r="M432" s="30">
        <f t="shared" si="63"/>
        <v>1.6800000000000002</v>
      </c>
      <c r="N432" s="1" t="str">
        <f t="shared" si="64"/>
        <v/>
      </c>
      <c r="O432" s="1" t="str">
        <f t="shared" si="65"/>
        <v/>
      </c>
    </row>
    <row r="433" spans="1:15" x14ac:dyDescent="0.25">
      <c r="A433" s="1">
        <f t="shared" si="60"/>
        <v>422</v>
      </c>
      <c r="B433" s="3">
        <f t="shared" ca="1" si="67"/>
        <v>101000</v>
      </c>
      <c r="C433" s="26">
        <f t="shared" ca="1" si="68"/>
        <v>0.29531690192170512</v>
      </c>
      <c r="D433" s="26" t="str">
        <f t="shared" ca="1" si="66"/>
        <v>Lose</v>
      </c>
      <c r="E433" s="3">
        <f t="shared" ca="1" si="69"/>
        <v>-500</v>
      </c>
      <c r="F433" s="42">
        <f t="shared" si="62"/>
        <v>4.5601737843886078E-9</v>
      </c>
      <c r="G433" s="41">
        <f>SUM(F$11:F433)</f>
        <v>1.4901989817428931E-8</v>
      </c>
      <c r="I433" s="1">
        <f t="shared" si="61"/>
        <v>423</v>
      </c>
      <c r="J433" s="3">
        <v>288000</v>
      </c>
      <c r="K433" s="3">
        <v>92000</v>
      </c>
      <c r="L433" s="3">
        <v>288000</v>
      </c>
      <c r="M433" s="30">
        <f t="shared" si="63"/>
        <v>1.88</v>
      </c>
      <c r="N433" s="1" t="str">
        <f t="shared" si="64"/>
        <v/>
      </c>
      <c r="O433" s="1" t="str">
        <f t="shared" si="65"/>
        <v/>
      </c>
    </row>
    <row r="434" spans="1:15" x14ac:dyDescent="0.25">
      <c r="A434" s="1">
        <f t="shared" si="60"/>
        <v>423</v>
      </c>
      <c r="B434" s="3">
        <f t="shared" ca="1" si="67"/>
        <v>100500</v>
      </c>
      <c r="C434" s="26">
        <f t="shared" ca="1" si="68"/>
        <v>0.2059658078919141</v>
      </c>
      <c r="D434" s="26" t="str">
        <f t="shared" ca="1" si="66"/>
        <v>Lose</v>
      </c>
      <c r="E434" s="3">
        <f t="shared" ca="1" si="69"/>
        <v>-500</v>
      </c>
      <c r="F434" s="42">
        <f t="shared" si="62"/>
        <v>6.4854924888409866E-9</v>
      </c>
      <c r="G434" s="41">
        <f>SUM(F$11:F434)</f>
        <v>2.1387482306269918E-8</v>
      </c>
      <c r="I434" s="1">
        <f t="shared" si="61"/>
        <v>424</v>
      </c>
      <c r="J434" s="3">
        <v>388000</v>
      </c>
      <c r="K434" s="3">
        <v>98000</v>
      </c>
      <c r="L434" s="3">
        <v>408000</v>
      </c>
      <c r="M434" s="30">
        <f t="shared" si="63"/>
        <v>2.88</v>
      </c>
      <c r="N434" s="1" t="str">
        <f t="shared" si="64"/>
        <v/>
      </c>
      <c r="O434" s="1" t="str">
        <f t="shared" si="65"/>
        <v/>
      </c>
    </row>
    <row r="435" spans="1:15" x14ac:dyDescent="0.25">
      <c r="A435" s="1">
        <f t="shared" si="60"/>
        <v>424</v>
      </c>
      <c r="B435" s="3">
        <f t="shared" ca="1" si="67"/>
        <v>101000</v>
      </c>
      <c r="C435" s="26">
        <f t="shared" ca="1" si="68"/>
        <v>0.84687973667581062</v>
      </c>
      <c r="D435" s="26" t="str">
        <f t="shared" ca="1" si="66"/>
        <v>Win</v>
      </c>
      <c r="E435" s="3">
        <f t="shared" ca="1" si="69"/>
        <v>500</v>
      </c>
      <c r="F435" s="42">
        <f t="shared" si="62"/>
        <v>9.1860121038277362E-9</v>
      </c>
      <c r="G435" s="41">
        <f>SUM(F$11:F435)</f>
        <v>3.0573494410097656E-8</v>
      </c>
      <c r="I435" s="1">
        <f t="shared" si="61"/>
        <v>425</v>
      </c>
      <c r="J435" s="3">
        <v>332000</v>
      </c>
      <c r="K435" s="3">
        <v>98000</v>
      </c>
      <c r="L435" s="3">
        <v>336000</v>
      </c>
      <c r="M435" s="30">
        <f t="shared" si="63"/>
        <v>2.3199999999999998</v>
      </c>
      <c r="N435" s="1" t="str">
        <f t="shared" si="64"/>
        <v/>
      </c>
      <c r="O435" s="1" t="str">
        <f t="shared" si="65"/>
        <v/>
      </c>
    </row>
    <row r="436" spans="1:15" x14ac:dyDescent="0.25">
      <c r="A436" s="1">
        <f t="shared" si="60"/>
        <v>425</v>
      </c>
      <c r="B436" s="3">
        <f t="shared" ca="1" si="67"/>
        <v>100500</v>
      </c>
      <c r="C436" s="26">
        <f t="shared" ca="1" si="68"/>
        <v>0.24615571743797837</v>
      </c>
      <c r="D436" s="26" t="str">
        <f t="shared" ca="1" si="66"/>
        <v>Lose</v>
      </c>
      <c r="E436" s="3">
        <f t="shared" ca="1" si="69"/>
        <v>-500</v>
      </c>
      <c r="F436" s="42">
        <f t="shared" si="62"/>
        <v>1.2957901155439872E-8</v>
      </c>
      <c r="G436" s="41">
        <f>SUM(F$11:F436)</f>
        <v>4.3531395565537526E-8</v>
      </c>
      <c r="I436" s="1">
        <f t="shared" si="61"/>
        <v>426</v>
      </c>
      <c r="J436" s="3">
        <v>292000</v>
      </c>
      <c r="K436" s="3">
        <v>98000</v>
      </c>
      <c r="L436" s="3">
        <v>310000</v>
      </c>
      <c r="M436" s="30">
        <f t="shared" si="63"/>
        <v>1.92</v>
      </c>
      <c r="N436" s="1" t="str">
        <f t="shared" si="64"/>
        <v/>
      </c>
      <c r="O436" s="1" t="str">
        <f t="shared" si="65"/>
        <v/>
      </c>
    </row>
    <row r="437" spans="1:15" x14ac:dyDescent="0.25">
      <c r="A437" s="1">
        <f t="shared" si="60"/>
        <v>426</v>
      </c>
      <c r="B437" s="3">
        <f t="shared" ca="1" si="67"/>
        <v>101000</v>
      </c>
      <c r="C437" s="26">
        <f t="shared" ca="1" si="68"/>
        <v>0.92307659798220187</v>
      </c>
      <c r="D437" s="26" t="str">
        <f t="shared" ca="1" si="66"/>
        <v>Win</v>
      </c>
      <c r="E437" s="3">
        <f t="shared" ca="1" si="69"/>
        <v>500</v>
      </c>
      <c r="F437" s="42">
        <f t="shared" si="62"/>
        <v>1.8204007443867285E-8</v>
      </c>
      <c r="G437" s="41">
        <f>SUM(F$11:F437)</f>
        <v>6.1735403009404815E-8</v>
      </c>
      <c r="I437" s="1">
        <f t="shared" si="61"/>
        <v>427</v>
      </c>
      <c r="J437" s="3">
        <v>316000</v>
      </c>
      <c r="K437" s="3">
        <v>100000</v>
      </c>
      <c r="L437" s="3">
        <v>322000</v>
      </c>
      <c r="M437" s="30">
        <f t="shared" si="63"/>
        <v>2.16</v>
      </c>
      <c r="N437" s="1" t="str">
        <f t="shared" si="64"/>
        <v/>
      </c>
      <c r="O437" s="1" t="str">
        <f t="shared" si="65"/>
        <v/>
      </c>
    </row>
    <row r="438" spans="1:15" x14ac:dyDescent="0.25">
      <c r="A438" s="1">
        <f t="shared" si="60"/>
        <v>427</v>
      </c>
      <c r="B438" s="3">
        <f t="shared" ca="1" si="67"/>
        <v>101500</v>
      </c>
      <c r="C438" s="26">
        <f t="shared" ca="1" si="68"/>
        <v>0.51246114872283355</v>
      </c>
      <c r="D438" s="26" t="str">
        <f t="shared" ca="1" si="66"/>
        <v>Win</v>
      </c>
      <c r="E438" s="3">
        <f t="shared" ca="1" si="69"/>
        <v>500</v>
      </c>
      <c r="F438" s="42">
        <f t="shared" si="62"/>
        <v>2.5469775553780863E-8</v>
      </c>
      <c r="G438" s="41">
        <f>SUM(F$11:F438)</f>
        <v>8.7205178563185671E-8</v>
      </c>
      <c r="I438" s="1">
        <f t="shared" si="61"/>
        <v>428</v>
      </c>
      <c r="J438" s="3">
        <v>352000</v>
      </c>
      <c r="K438" s="3">
        <v>70000</v>
      </c>
      <c r="L438" s="3">
        <v>352000</v>
      </c>
      <c r="M438" s="30">
        <f t="shared" si="63"/>
        <v>2.52</v>
      </c>
      <c r="N438" s="1" t="str">
        <f t="shared" si="64"/>
        <v/>
      </c>
      <c r="O438" s="1" t="str">
        <f t="shared" si="65"/>
        <v/>
      </c>
    </row>
    <row r="439" spans="1:15" x14ac:dyDescent="0.25">
      <c r="A439" s="1">
        <f t="shared" si="60"/>
        <v>428</v>
      </c>
      <c r="B439" s="3">
        <f t="shared" ca="1" si="67"/>
        <v>102000</v>
      </c>
      <c r="C439" s="26">
        <f t="shared" ca="1" si="68"/>
        <v>0.60202137108883436</v>
      </c>
      <c r="D439" s="26" t="str">
        <f t="shared" ca="1" si="66"/>
        <v>Win</v>
      </c>
      <c r="E439" s="3">
        <f t="shared" ca="1" si="69"/>
        <v>500</v>
      </c>
      <c r="F439" s="42">
        <f t="shared" si="62"/>
        <v>3.5490332395964307E-8</v>
      </c>
      <c r="G439" s="41">
        <f>SUM(F$11:F439)</f>
        <v>1.2269551095914999E-7</v>
      </c>
      <c r="I439" s="1">
        <f t="shared" si="61"/>
        <v>429</v>
      </c>
      <c r="J439" s="3">
        <v>312000</v>
      </c>
      <c r="K439" s="3">
        <v>100000</v>
      </c>
      <c r="L439" s="3">
        <v>328000</v>
      </c>
      <c r="M439" s="30">
        <f t="shared" si="63"/>
        <v>2.12</v>
      </c>
      <c r="N439" s="1" t="str">
        <f t="shared" si="64"/>
        <v/>
      </c>
      <c r="O439" s="1" t="str">
        <f t="shared" si="65"/>
        <v/>
      </c>
    </row>
    <row r="440" spans="1:15" x14ac:dyDescent="0.25">
      <c r="A440" s="1">
        <f t="shared" si="60"/>
        <v>429</v>
      </c>
      <c r="B440" s="3">
        <f t="shared" ca="1" si="67"/>
        <v>102500</v>
      </c>
      <c r="C440" s="26">
        <f t="shared" ca="1" si="68"/>
        <v>0.66275853764892778</v>
      </c>
      <c r="D440" s="26" t="str">
        <f t="shared" ca="1" si="66"/>
        <v>Win</v>
      </c>
      <c r="E440" s="3">
        <f t="shared" ca="1" si="69"/>
        <v>500</v>
      </c>
      <c r="F440" s="42">
        <f t="shared" si="62"/>
        <v>4.9251889855622421E-8</v>
      </c>
      <c r="G440" s="41">
        <f>SUM(F$11:F440)</f>
        <v>1.7194740081477242E-7</v>
      </c>
      <c r="I440" s="1">
        <f t="shared" si="61"/>
        <v>430</v>
      </c>
      <c r="J440" s="3">
        <v>316000</v>
      </c>
      <c r="K440" s="3">
        <v>72000</v>
      </c>
      <c r="L440" s="3">
        <v>320000</v>
      </c>
      <c r="M440" s="30">
        <f t="shared" si="63"/>
        <v>2.16</v>
      </c>
      <c r="N440" s="1" t="str">
        <f t="shared" si="64"/>
        <v/>
      </c>
      <c r="O440" s="1" t="str">
        <f t="shared" si="65"/>
        <v/>
      </c>
    </row>
    <row r="441" spans="1:15" x14ac:dyDescent="0.25">
      <c r="A441" s="1">
        <f t="shared" si="60"/>
        <v>430</v>
      </c>
      <c r="B441" s="3">
        <f t="shared" ca="1" si="67"/>
        <v>103000</v>
      </c>
      <c r="C441" s="26">
        <f t="shared" ca="1" si="68"/>
        <v>0.97657102683052521</v>
      </c>
      <c r="D441" s="26" t="str">
        <f t="shared" ca="1" si="66"/>
        <v>Win</v>
      </c>
      <c r="E441" s="3">
        <f t="shared" ca="1" si="69"/>
        <v>500</v>
      </c>
      <c r="F441" s="42">
        <f t="shared" si="62"/>
        <v>6.8071394612511164E-8</v>
      </c>
      <c r="G441" s="41">
        <f>SUM(F$11:F441)</f>
        <v>2.4001879542728357E-7</v>
      </c>
      <c r="I441" s="1">
        <f t="shared" si="61"/>
        <v>431</v>
      </c>
      <c r="J441" s="3">
        <v>452000</v>
      </c>
      <c r="K441" s="3">
        <v>98000</v>
      </c>
      <c r="L441" s="3">
        <v>452000</v>
      </c>
      <c r="M441" s="30">
        <f t="shared" si="63"/>
        <v>3.5199999999999996</v>
      </c>
      <c r="N441" s="1" t="str">
        <f t="shared" si="64"/>
        <v/>
      </c>
      <c r="O441" s="1" t="str">
        <f t="shared" si="65"/>
        <v/>
      </c>
    </row>
    <row r="442" spans="1:15" x14ac:dyDescent="0.25">
      <c r="A442" s="1">
        <f t="shared" si="60"/>
        <v>431</v>
      </c>
      <c r="B442" s="3">
        <f t="shared" ca="1" si="67"/>
        <v>103500</v>
      </c>
      <c r="C442" s="26">
        <f t="shared" ca="1" si="68"/>
        <v>0.56933996033393708</v>
      </c>
      <c r="D442" s="26" t="str">
        <f t="shared" ca="1" si="66"/>
        <v>Win</v>
      </c>
      <c r="E442" s="3">
        <f t="shared" ca="1" si="69"/>
        <v>500</v>
      </c>
      <c r="F442" s="42">
        <f t="shared" si="62"/>
        <v>9.3699296433813667E-8</v>
      </c>
      <c r="G442" s="41">
        <f>SUM(F$11:F442)</f>
        <v>3.3371809186109725E-7</v>
      </c>
      <c r="I442" s="1">
        <f t="shared" si="61"/>
        <v>432</v>
      </c>
      <c r="J442" s="3">
        <v>252000</v>
      </c>
      <c r="K442" s="3">
        <v>66000</v>
      </c>
      <c r="L442" s="3">
        <v>252000</v>
      </c>
      <c r="M442" s="30">
        <f t="shared" si="63"/>
        <v>1.52</v>
      </c>
      <c r="N442" s="1" t="str">
        <f t="shared" si="64"/>
        <v/>
      </c>
      <c r="O442" s="1" t="str">
        <f t="shared" si="65"/>
        <v/>
      </c>
    </row>
    <row r="443" spans="1:15" x14ac:dyDescent="0.25">
      <c r="A443" s="1">
        <f t="shared" si="60"/>
        <v>432</v>
      </c>
      <c r="B443" s="3">
        <f t="shared" ca="1" si="67"/>
        <v>103000</v>
      </c>
      <c r="C443" s="26">
        <f t="shared" ca="1" si="68"/>
        <v>0.36961568593779848</v>
      </c>
      <c r="D443" s="26" t="str">
        <f t="shared" ca="1" si="66"/>
        <v>Lose</v>
      </c>
      <c r="E443" s="3">
        <f t="shared" ca="1" si="69"/>
        <v>-500</v>
      </c>
      <c r="F443" s="42">
        <f t="shared" si="62"/>
        <v>1.2845143061285072E-7</v>
      </c>
      <c r="G443" s="41">
        <f>SUM(F$11:F443)</f>
        <v>4.6216952247394794E-7</v>
      </c>
      <c r="I443" s="1">
        <f t="shared" si="61"/>
        <v>433</v>
      </c>
      <c r="J443" s="3">
        <v>300000</v>
      </c>
      <c r="K443" s="3">
        <v>84000</v>
      </c>
      <c r="L443" s="3">
        <v>308000</v>
      </c>
      <c r="M443" s="30">
        <f t="shared" si="63"/>
        <v>2</v>
      </c>
      <c r="N443" s="1" t="str">
        <f t="shared" si="64"/>
        <v/>
      </c>
      <c r="O443" s="1" t="str">
        <f t="shared" si="65"/>
        <v/>
      </c>
    </row>
    <row r="444" spans="1:15" x14ac:dyDescent="0.25">
      <c r="A444" s="1">
        <f t="shared" si="60"/>
        <v>433</v>
      </c>
      <c r="B444" s="3">
        <f t="shared" ca="1" si="67"/>
        <v>102500</v>
      </c>
      <c r="C444" s="26">
        <f t="shared" ca="1" si="68"/>
        <v>8.1391318010374136E-2</v>
      </c>
      <c r="D444" s="26" t="str">
        <f t="shared" ca="1" si="66"/>
        <v>Lose</v>
      </c>
      <c r="E444" s="3">
        <f t="shared" ca="1" si="69"/>
        <v>-500</v>
      </c>
      <c r="F444" s="42">
        <f t="shared" si="62"/>
        <v>1.7537734090555031E-7</v>
      </c>
      <c r="G444" s="41">
        <f>SUM(F$11:F444)</f>
        <v>6.3754686337949828E-7</v>
      </c>
      <c r="I444" s="1">
        <f t="shared" si="61"/>
        <v>434</v>
      </c>
      <c r="J444" s="3">
        <v>320000</v>
      </c>
      <c r="K444" s="3">
        <v>94000</v>
      </c>
      <c r="L444" s="3">
        <v>346000</v>
      </c>
      <c r="M444" s="30">
        <f t="shared" si="63"/>
        <v>2.2000000000000002</v>
      </c>
      <c r="N444" s="1" t="str">
        <f t="shared" si="64"/>
        <v/>
      </c>
      <c r="O444" s="1" t="str">
        <f t="shared" si="65"/>
        <v/>
      </c>
    </row>
    <row r="445" spans="1:15" x14ac:dyDescent="0.25">
      <c r="A445" s="1">
        <f t="shared" si="60"/>
        <v>434</v>
      </c>
      <c r="B445" s="3">
        <f t="shared" ca="1" si="67"/>
        <v>103000</v>
      </c>
      <c r="C445" s="26">
        <f t="shared" ca="1" si="68"/>
        <v>0.53184327759851213</v>
      </c>
      <c r="D445" s="26" t="str">
        <f t="shared" ca="1" si="66"/>
        <v>Win</v>
      </c>
      <c r="E445" s="3">
        <f t="shared" ca="1" si="69"/>
        <v>500</v>
      </c>
      <c r="F445" s="42">
        <f t="shared" si="62"/>
        <v>2.3847392866386302E-7</v>
      </c>
      <c r="G445" s="41">
        <f>SUM(F$11:F445)</f>
        <v>8.760207920433613E-7</v>
      </c>
      <c r="I445" s="1">
        <f t="shared" si="61"/>
        <v>435</v>
      </c>
      <c r="J445" s="3">
        <v>320000</v>
      </c>
      <c r="K445" s="3">
        <v>90000</v>
      </c>
      <c r="L445" s="3">
        <v>322000</v>
      </c>
      <c r="M445" s="30">
        <f t="shared" si="63"/>
        <v>2.2000000000000002</v>
      </c>
      <c r="N445" s="1" t="str">
        <f t="shared" si="64"/>
        <v/>
      </c>
      <c r="O445" s="1" t="str">
        <f t="shared" si="65"/>
        <v/>
      </c>
    </row>
    <row r="446" spans="1:15" x14ac:dyDescent="0.25">
      <c r="A446" s="1">
        <f t="shared" si="60"/>
        <v>435</v>
      </c>
      <c r="B446" s="3">
        <f t="shared" ca="1" si="67"/>
        <v>103500</v>
      </c>
      <c r="C446" s="26">
        <f t="shared" ca="1" si="68"/>
        <v>0.64860471697484745</v>
      </c>
      <c r="D446" s="26" t="str">
        <f t="shared" ca="1" si="66"/>
        <v>Win</v>
      </c>
      <c r="E446" s="3">
        <f t="shared" ca="1" si="69"/>
        <v>500</v>
      </c>
      <c r="F446" s="42">
        <f t="shared" si="62"/>
        <v>3.229551219709713E-7</v>
      </c>
      <c r="G446" s="41">
        <f>SUM(F$11:F446)</f>
        <v>1.1989759140143326E-6</v>
      </c>
      <c r="I446" s="1">
        <f t="shared" si="61"/>
        <v>436</v>
      </c>
      <c r="J446" s="3">
        <v>336000</v>
      </c>
      <c r="K446" s="3">
        <v>100000</v>
      </c>
      <c r="L446" s="3">
        <v>338000</v>
      </c>
      <c r="M446" s="30">
        <f t="shared" si="63"/>
        <v>2.36</v>
      </c>
      <c r="N446" s="1" t="str">
        <f t="shared" si="64"/>
        <v/>
      </c>
      <c r="O446" s="1" t="str">
        <f t="shared" si="65"/>
        <v/>
      </c>
    </row>
    <row r="447" spans="1:15" x14ac:dyDescent="0.25">
      <c r="A447" s="1">
        <f t="shared" si="60"/>
        <v>436</v>
      </c>
      <c r="B447" s="3">
        <f t="shared" ca="1" si="67"/>
        <v>104000</v>
      </c>
      <c r="C447" s="26">
        <f t="shared" ca="1" si="68"/>
        <v>0.81146419324353247</v>
      </c>
      <c r="D447" s="26" t="str">
        <f t="shared" ca="1" si="66"/>
        <v>Win</v>
      </c>
      <c r="E447" s="3">
        <f t="shared" ca="1" si="69"/>
        <v>500</v>
      </c>
      <c r="F447" s="42">
        <f t="shared" si="62"/>
        <v>4.3559033137958562E-7</v>
      </c>
      <c r="G447" s="41">
        <f>SUM(F$11:F447)</f>
        <v>1.6345662453939182E-6</v>
      </c>
      <c r="I447" s="1">
        <f t="shared" si="61"/>
        <v>437</v>
      </c>
      <c r="J447" s="3">
        <v>296000</v>
      </c>
      <c r="K447" s="3">
        <v>98000</v>
      </c>
      <c r="L447" s="3">
        <v>306000</v>
      </c>
      <c r="M447" s="30">
        <f t="shared" si="63"/>
        <v>1.96</v>
      </c>
      <c r="N447" s="1" t="str">
        <f t="shared" si="64"/>
        <v/>
      </c>
      <c r="O447" s="1" t="str">
        <f t="shared" si="65"/>
        <v/>
      </c>
    </row>
    <row r="448" spans="1:15" x14ac:dyDescent="0.25">
      <c r="A448" s="1">
        <f t="shared" si="60"/>
        <v>437</v>
      </c>
      <c r="B448" s="3">
        <f t="shared" ca="1" si="67"/>
        <v>103500</v>
      </c>
      <c r="C448" s="26">
        <f t="shared" ca="1" si="68"/>
        <v>1.9784808164270085E-2</v>
      </c>
      <c r="D448" s="26" t="str">
        <f t="shared" ca="1" si="66"/>
        <v>Lose</v>
      </c>
      <c r="E448" s="3">
        <f t="shared" ca="1" si="69"/>
        <v>-500</v>
      </c>
      <c r="F448" s="42">
        <f t="shared" si="62"/>
        <v>5.8512680576295852E-7</v>
      </c>
      <c r="G448" s="41">
        <f>SUM(F$11:F448)</f>
        <v>2.2196930511568769E-6</v>
      </c>
      <c r="I448" s="1">
        <f t="shared" si="61"/>
        <v>438</v>
      </c>
      <c r="J448" s="3">
        <v>284000</v>
      </c>
      <c r="K448" s="3">
        <v>100000</v>
      </c>
      <c r="L448" s="3">
        <v>286000</v>
      </c>
      <c r="M448" s="30">
        <f t="shared" si="63"/>
        <v>1.8399999999999999</v>
      </c>
      <c r="N448" s="1" t="str">
        <f t="shared" si="64"/>
        <v/>
      </c>
      <c r="O448" s="1" t="str">
        <f t="shared" si="65"/>
        <v/>
      </c>
    </row>
    <row r="449" spans="1:15" x14ac:dyDescent="0.25">
      <c r="A449" s="1">
        <f t="shared" si="60"/>
        <v>438</v>
      </c>
      <c r="B449" s="3">
        <f t="shared" ca="1" si="67"/>
        <v>103000</v>
      </c>
      <c r="C449" s="26">
        <f t="shared" ca="1" si="68"/>
        <v>0.15836055585908115</v>
      </c>
      <c r="D449" s="26" t="str">
        <f t="shared" ca="1" si="66"/>
        <v>Lose</v>
      </c>
      <c r="E449" s="3">
        <f t="shared" ca="1" si="69"/>
        <v>-500</v>
      </c>
      <c r="F449" s="42">
        <f t="shared" si="62"/>
        <v>7.8281362286237538E-7</v>
      </c>
      <c r="G449" s="41">
        <f>SUM(F$11:F449)</f>
        <v>3.0025066740192521E-6</v>
      </c>
      <c r="I449" s="1">
        <f t="shared" si="61"/>
        <v>439</v>
      </c>
      <c r="J449" s="3">
        <v>340000</v>
      </c>
      <c r="K449" s="3">
        <v>92000</v>
      </c>
      <c r="L449" s="3">
        <v>346000</v>
      </c>
      <c r="M449" s="30">
        <f t="shared" si="63"/>
        <v>2.4</v>
      </c>
      <c r="N449" s="1" t="str">
        <f t="shared" si="64"/>
        <v/>
      </c>
      <c r="O449" s="1" t="str">
        <f t="shared" si="65"/>
        <v/>
      </c>
    </row>
    <row r="450" spans="1:15" x14ac:dyDescent="0.25">
      <c r="A450" s="1">
        <f t="shared" si="60"/>
        <v>439</v>
      </c>
      <c r="B450" s="3">
        <f t="shared" ca="1" si="67"/>
        <v>103500</v>
      </c>
      <c r="C450" s="26">
        <f t="shared" ca="1" si="68"/>
        <v>0.49532776701504833</v>
      </c>
      <c r="D450" s="26" t="str">
        <f t="shared" ca="1" si="66"/>
        <v>Win</v>
      </c>
      <c r="E450" s="3">
        <f t="shared" ca="1" si="69"/>
        <v>500</v>
      </c>
      <c r="F450" s="42">
        <f t="shared" si="62"/>
        <v>1.0430479316852242E-6</v>
      </c>
      <c r="G450" s="41">
        <f>SUM(F$11:F450)</f>
        <v>4.0455546057044767E-6</v>
      </c>
      <c r="I450" s="1">
        <f t="shared" si="61"/>
        <v>440</v>
      </c>
      <c r="J450" s="3">
        <v>376000</v>
      </c>
      <c r="K450" s="3">
        <v>96000</v>
      </c>
      <c r="L450" s="3">
        <v>376000</v>
      </c>
      <c r="M450" s="30">
        <f t="shared" si="63"/>
        <v>2.76</v>
      </c>
      <c r="N450" s="1" t="str">
        <f t="shared" si="64"/>
        <v/>
      </c>
      <c r="O450" s="1" t="str">
        <f t="shared" si="65"/>
        <v/>
      </c>
    </row>
    <row r="451" spans="1:15" x14ac:dyDescent="0.25">
      <c r="A451" s="1">
        <f t="shared" si="60"/>
        <v>440</v>
      </c>
      <c r="B451" s="3">
        <f t="shared" ca="1" si="67"/>
        <v>103000</v>
      </c>
      <c r="C451" s="26">
        <f t="shared" ca="1" si="68"/>
        <v>0.46764975433555545</v>
      </c>
      <c r="D451" s="26" t="str">
        <f t="shared" ca="1" si="66"/>
        <v>Lose</v>
      </c>
      <c r="E451" s="3">
        <f t="shared" ca="1" si="69"/>
        <v>-500</v>
      </c>
      <c r="F451" s="42">
        <f t="shared" si="62"/>
        <v>1.3841671787312674E-6</v>
      </c>
      <c r="G451" s="41">
        <f>SUM(F$11:F451)</f>
        <v>5.4297217844357444E-6</v>
      </c>
      <c r="I451" s="1">
        <f t="shared" si="61"/>
        <v>441</v>
      </c>
      <c r="J451" s="3">
        <v>356000</v>
      </c>
      <c r="K451" s="3">
        <v>88000</v>
      </c>
      <c r="L451" s="3">
        <v>356000</v>
      </c>
      <c r="M451" s="30">
        <f t="shared" si="63"/>
        <v>2.56</v>
      </c>
      <c r="N451" s="1" t="str">
        <f t="shared" si="64"/>
        <v/>
      </c>
      <c r="O451" s="1" t="str">
        <f t="shared" si="65"/>
        <v/>
      </c>
    </row>
    <row r="452" spans="1:15" x14ac:dyDescent="0.25">
      <c r="A452" s="1">
        <f t="shared" si="60"/>
        <v>441</v>
      </c>
      <c r="B452" s="3">
        <f t="shared" ca="1" si="67"/>
        <v>103500</v>
      </c>
      <c r="C452" s="26">
        <f t="shared" ca="1" si="68"/>
        <v>0.73355029949621742</v>
      </c>
      <c r="D452" s="26" t="str">
        <f t="shared" ca="1" si="66"/>
        <v>Win</v>
      </c>
      <c r="E452" s="3">
        <f t="shared" ca="1" si="69"/>
        <v>500</v>
      </c>
      <c r="F452" s="42">
        <f t="shared" si="62"/>
        <v>1.8294143470111904E-6</v>
      </c>
      <c r="G452" s="41">
        <f>SUM(F$11:F452)</f>
        <v>7.2591361314469348E-6</v>
      </c>
      <c r="I452" s="1">
        <f t="shared" si="61"/>
        <v>442</v>
      </c>
      <c r="J452" s="3">
        <v>340000</v>
      </c>
      <c r="K452" s="3">
        <v>90000</v>
      </c>
      <c r="L452" s="3">
        <v>348000</v>
      </c>
      <c r="M452" s="30">
        <f t="shared" si="63"/>
        <v>2.4</v>
      </c>
      <c r="N452" s="1" t="str">
        <f t="shared" si="64"/>
        <v/>
      </c>
      <c r="O452" s="1" t="str">
        <f t="shared" si="65"/>
        <v/>
      </c>
    </row>
    <row r="453" spans="1:15" x14ac:dyDescent="0.25">
      <c r="A453" s="1">
        <f t="shared" ref="A453:A516" si="70">A452+1</f>
        <v>442</v>
      </c>
      <c r="B453" s="3">
        <f t="shared" ca="1" si="67"/>
        <v>103000</v>
      </c>
      <c r="C453" s="26">
        <f t="shared" ca="1" si="68"/>
        <v>0.43083018649692328</v>
      </c>
      <c r="D453" s="26" t="str">
        <f t="shared" ca="1" si="66"/>
        <v>Lose</v>
      </c>
      <c r="E453" s="3">
        <f t="shared" ca="1" si="69"/>
        <v>-500</v>
      </c>
      <c r="F453" s="42">
        <f t="shared" si="62"/>
        <v>2.4081066404535182E-6</v>
      </c>
      <c r="G453" s="41">
        <f>SUM(F$11:F453)</f>
        <v>9.6672427719004534E-6</v>
      </c>
      <c r="I453" s="1">
        <f t="shared" si="61"/>
        <v>443</v>
      </c>
      <c r="J453" s="3">
        <v>292000</v>
      </c>
      <c r="K453" s="3">
        <v>100000</v>
      </c>
      <c r="L453" s="3">
        <v>294000</v>
      </c>
      <c r="M453" s="30">
        <f t="shared" si="63"/>
        <v>1.92</v>
      </c>
      <c r="N453" s="1" t="str">
        <f t="shared" si="64"/>
        <v/>
      </c>
      <c r="O453" s="1" t="str">
        <f t="shared" si="65"/>
        <v/>
      </c>
    </row>
    <row r="454" spans="1:15" x14ac:dyDescent="0.25">
      <c r="A454" s="1">
        <f t="shared" si="70"/>
        <v>443</v>
      </c>
      <c r="B454" s="3">
        <f t="shared" ca="1" si="67"/>
        <v>103500</v>
      </c>
      <c r="C454" s="26">
        <f t="shared" ca="1" si="68"/>
        <v>0.94322499534565341</v>
      </c>
      <c r="D454" s="26" t="str">
        <f t="shared" ca="1" si="66"/>
        <v>Win</v>
      </c>
      <c r="E454" s="3">
        <f t="shared" ca="1" si="69"/>
        <v>500</v>
      </c>
      <c r="F454" s="42">
        <f t="shared" si="62"/>
        <v>3.1570414508695592E-6</v>
      </c>
      <c r="G454" s="41">
        <f>SUM(F$11:F454)</f>
        <v>1.2824284222770012E-5</v>
      </c>
      <c r="I454" s="1">
        <f t="shared" si="61"/>
        <v>444</v>
      </c>
      <c r="J454" s="3">
        <v>320000</v>
      </c>
      <c r="K454" s="3">
        <v>96000</v>
      </c>
      <c r="L454" s="3">
        <v>326000</v>
      </c>
      <c r="M454" s="30">
        <f t="shared" si="63"/>
        <v>2.2000000000000002</v>
      </c>
      <c r="N454" s="1" t="str">
        <f t="shared" si="64"/>
        <v/>
      </c>
      <c r="O454" s="1" t="str">
        <f t="shared" si="65"/>
        <v/>
      </c>
    </row>
    <row r="455" spans="1:15" x14ac:dyDescent="0.25">
      <c r="A455" s="1">
        <f t="shared" si="70"/>
        <v>444</v>
      </c>
      <c r="B455" s="3">
        <f t="shared" ca="1" si="67"/>
        <v>104000</v>
      </c>
      <c r="C455" s="26">
        <f t="shared" ca="1" si="68"/>
        <v>0.87399950772768975</v>
      </c>
      <c r="D455" s="26" t="str">
        <f t="shared" ca="1" si="66"/>
        <v>Win</v>
      </c>
      <c r="E455" s="3">
        <f t="shared" ca="1" si="69"/>
        <v>500</v>
      </c>
      <c r="F455" s="42">
        <f t="shared" si="62"/>
        <v>4.1221767096365268E-6</v>
      </c>
      <c r="G455" s="41">
        <f>SUM(F$11:F455)</f>
        <v>1.6946460932406538E-5</v>
      </c>
      <c r="I455" s="1">
        <f t="shared" ref="I455:I510" si="71">I454+1</f>
        <v>445</v>
      </c>
      <c r="J455" s="3">
        <v>244000</v>
      </c>
      <c r="K455" s="3">
        <v>80000</v>
      </c>
      <c r="L455" s="3">
        <v>244000</v>
      </c>
      <c r="M455" s="30">
        <f t="shared" si="63"/>
        <v>1.44</v>
      </c>
      <c r="N455" s="1" t="str">
        <f t="shared" si="64"/>
        <v/>
      </c>
      <c r="O455" s="1" t="str">
        <f t="shared" si="65"/>
        <v/>
      </c>
    </row>
    <row r="456" spans="1:15" x14ac:dyDescent="0.25">
      <c r="A456" s="1">
        <f t="shared" si="70"/>
        <v>445</v>
      </c>
      <c r="B456" s="3">
        <f t="shared" ca="1" si="67"/>
        <v>104500</v>
      </c>
      <c r="C456" s="26">
        <f t="shared" ca="1" si="68"/>
        <v>0.65507071356412205</v>
      </c>
      <c r="D456" s="26" t="str">
        <f t="shared" ca="1" si="66"/>
        <v>Win</v>
      </c>
      <c r="E456" s="3">
        <f t="shared" ca="1" si="69"/>
        <v>500</v>
      </c>
      <c r="F456" s="42">
        <f t="shared" si="62"/>
        <v>5.3606256720226267E-6</v>
      </c>
      <c r="G456" s="41">
        <f>SUM(F$11:F456)</f>
        <v>2.2307086604429166E-5</v>
      </c>
      <c r="I456" s="1">
        <f t="shared" si="71"/>
        <v>446</v>
      </c>
      <c r="J456" s="3">
        <v>400000</v>
      </c>
      <c r="K456" s="3">
        <v>100000</v>
      </c>
      <c r="L456" s="3">
        <v>400000</v>
      </c>
      <c r="M456" s="30">
        <f t="shared" si="63"/>
        <v>3</v>
      </c>
      <c r="N456" s="1" t="str">
        <f t="shared" si="64"/>
        <v/>
      </c>
      <c r="O456" s="1" t="str">
        <f t="shared" si="65"/>
        <v/>
      </c>
    </row>
    <row r="457" spans="1:15" x14ac:dyDescent="0.25">
      <c r="A457" s="1">
        <f t="shared" si="70"/>
        <v>446</v>
      </c>
      <c r="B457" s="3">
        <f t="shared" ca="1" si="67"/>
        <v>104000</v>
      </c>
      <c r="C457" s="26">
        <f t="shared" ca="1" si="68"/>
        <v>0.17586886146549918</v>
      </c>
      <c r="D457" s="26" t="str">
        <f t="shared" ca="1" si="66"/>
        <v>Lose</v>
      </c>
      <c r="E457" s="3">
        <f t="shared" ca="1" si="69"/>
        <v>-500</v>
      </c>
      <c r="F457" s="42">
        <f t="shared" si="62"/>
        <v>6.9430085863732102E-6</v>
      </c>
      <c r="G457" s="41">
        <f>SUM(F$11:F457)</f>
        <v>2.9250095190802377E-5</v>
      </c>
      <c r="I457" s="1">
        <f t="shared" si="71"/>
        <v>447</v>
      </c>
      <c r="J457" s="3">
        <v>284000</v>
      </c>
      <c r="K457" s="3">
        <v>52000</v>
      </c>
      <c r="L457" s="3">
        <v>288000</v>
      </c>
      <c r="M457" s="30">
        <f t="shared" si="63"/>
        <v>1.8399999999999999</v>
      </c>
      <c r="N457" s="1" t="str">
        <f t="shared" si="64"/>
        <v/>
      </c>
      <c r="O457" s="1" t="str">
        <f t="shared" si="65"/>
        <v/>
      </c>
    </row>
    <row r="458" spans="1:15" x14ac:dyDescent="0.25">
      <c r="A458" s="1">
        <f t="shared" si="70"/>
        <v>447</v>
      </c>
      <c r="B458" s="3">
        <f t="shared" ca="1" si="67"/>
        <v>104500</v>
      </c>
      <c r="C458" s="26">
        <f t="shared" ca="1" si="68"/>
        <v>0.60431625393121835</v>
      </c>
      <c r="D458" s="26" t="str">
        <f t="shared" ca="1" si="66"/>
        <v>Win</v>
      </c>
      <c r="E458" s="3">
        <f t="shared" ca="1" si="69"/>
        <v>500</v>
      </c>
      <c r="F458" s="42">
        <f t="shared" si="62"/>
        <v>8.9562052960502592E-6</v>
      </c>
      <c r="G458" s="41">
        <f>SUM(F$11:F458)</f>
        <v>3.8206300486852638E-5</v>
      </c>
      <c r="I458" s="1">
        <f t="shared" si="71"/>
        <v>448</v>
      </c>
      <c r="J458" s="3">
        <v>292000</v>
      </c>
      <c r="K458" s="3">
        <v>96000</v>
      </c>
      <c r="L458" s="3">
        <v>296000</v>
      </c>
      <c r="M458" s="30">
        <f t="shared" si="63"/>
        <v>1.92</v>
      </c>
      <c r="N458" s="1" t="str">
        <f t="shared" si="64"/>
        <v/>
      </c>
      <c r="O458" s="1" t="str">
        <f t="shared" si="65"/>
        <v/>
      </c>
    </row>
    <row r="459" spans="1:15" x14ac:dyDescent="0.25">
      <c r="A459" s="1">
        <f t="shared" si="70"/>
        <v>448</v>
      </c>
      <c r="B459" s="3">
        <f t="shared" ca="1" si="67"/>
        <v>105000</v>
      </c>
      <c r="C459" s="26">
        <f t="shared" ca="1" si="68"/>
        <v>0.96401906716310604</v>
      </c>
      <c r="D459" s="26" t="str">
        <f t="shared" ca="1" si="66"/>
        <v>Win</v>
      </c>
      <c r="E459" s="3">
        <f t="shared" ca="1" si="69"/>
        <v>500</v>
      </c>
      <c r="F459" s="42">
        <f t="shared" si="62"/>
        <v>1.1506553296488055E-5</v>
      </c>
      <c r="G459" s="41">
        <f>SUM(F$11:F459)</f>
        <v>4.9712853783340692E-5</v>
      </c>
      <c r="I459" s="1">
        <f t="shared" si="71"/>
        <v>449</v>
      </c>
      <c r="J459" s="3">
        <v>240000</v>
      </c>
      <c r="K459" s="3">
        <v>96000</v>
      </c>
      <c r="L459" s="3">
        <v>254000</v>
      </c>
      <c r="M459" s="30">
        <f t="shared" si="63"/>
        <v>1.4</v>
      </c>
      <c r="N459" s="1" t="str">
        <f t="shared" si="64"/>
        <v/>
      </c>
      <c r="O459" s="1" t="str">
        <f t="shared" si="65"/>
        <v/>
      </c>
    </row>
    <row r="460" spans="1:15" x14ac:dyDescent="0.25">
      <c r="A460" s="1">
        <f t="shared" si="70"/>
        <v>449</v>
      </c>
      <c r="B460" s="3">
        <f t="shared" ca="1" si="67"/>
        <v>105500</v>
      </c>
      <c r="C460" s="26">
        <f t="shared" ca="1" si="68"/>
        <v>0.57814269708484789</v>
      </c>
      <c r="D460" s="26" t="str">
        <f t="shared" ca="1" si="66"/>
        <v>Win</v>
      </c>
      <c r="E460" s="3">
        <f t="shared" ca="1" si="69"/>
        <v>500</v>
      </c>
      <c r="F460" s="42">
        <f t="shared" ref="F460:F523" si="72">_xlfn.BINOM.DIST(A460,$A$1011,$B$1,FALSE)</f>
        <v>1.4723534766725872E-5</v>
      </c>
      <c r="G460" s="41">
        <f>SUM(F$11:F460)</f>
        <v>6.443638855006657E-5</v>
      </c>
      <c r="I460" s="1">
        <f t="shared" si="71"/>
        <v>450</v>
      </c>
      <c r="J460" s="3">
        <v>124000</v>
      </c>
      <c r="K460" s="3">
        <v>56000</v>
      </c>
      <c r="L460" s="3">
        <v>138000</v>
      </c>
      <c r="M460" s="30">
        <f t="shared" ref="M460:M510" si="73">J460/$B$3-1</f>
        <v>0.24</v>
      </c>
      <c r="N460" s="1" t="str">
        <f t="shared" ref="N460:N510" si="74">IF(K460&lt;=0,1,"")</f>
        <v/>
      </c>
      <c r="O460" s="1" t="str">
        <f t="shared" ref="O460:O510" si="75">IF(J460&lt;=0,1,"")</f>
        <v/>
      </c>
    </row>
    <row r="461" spans="1:15" x14ac:dyDescent="0.25">
      <c r="A461" s="1">
        <f t="shared" si="70"/>
        <v>450</v>
      </c>
      <c r="B461" s="3">
        <f t="shared" ca="1" si="67"/>
        <v>106000</v>
      </c>
      <c r="C461" s="26">
        <f t="shared" ca="1" si="68"/>
        <v>0.5095881918208921</v>
      </c>
      <c r="D461" s="26" t="str">
        <f t="shared" ref="D461:D524" ca="1" si="76">IF(C461&gt;$B$2,"Win","Lose")</f>
        <v>Win</v>
      </c>
      <c r="E461" s="3">
        <f t="shared" ca="1" si="69"/>
        <v>500</v>
      </c>
      <c r="F461" s="42">
        <f t="shared" si="72"/>
        <v>1.8763993219036584E-5</v>
      </c>
      <c r="G461" s="41">
        <f>SUM(F$11:F461)</f>
        <v>8.320038176910315E-5</v>
      </c>
      <c r="I461" s="1">
        <f t="shared" si="71"/>
        <v>451</v>
      </c>
      <c r="J461" s="3">
        <v>280000</v>
      </c>
      <c r="K461" s="3">
        <v>90000</v>
      </c>
      <c r="L461" s="3">
        <v>284000</v>
      </c>
      <c r="M461" s="30">
        <f t="shared" si="73"/>
        <v>1.7999999999999998</v>
      </c>
      <c r="N461" s="1" t="str">
        <f t="shared" si="74"/>
        <v/>
      </c>
      <c r="O461" s="1" t="str">
        <f t="shared" si="75"/>
        <v/>
      </c>
    </row>
    <row r="462" spans="1:15" x14ac:dyDescent="0.25">
      <c r="A462" s="1">
        <f t="shared" si="70"/>
        <v>451</v>
      </c>
      <c r="B462" s="3">
        <f t="shared" ref="B462:B525" ca="1" si="77">B461+E462</f>
        <v>106500</v>
      </c>
      <c r="C462" s="26">
        <f t="shared" ref="C462:C525" ca="1" si="78">RAND()</f>
        <v>0.83610662493616084</v>
      </c>
      <c r="D462" s="26" t="str">
        <f t="shared" ca="1" si="76"/>
        <v>Win</v>
      </c>
      <c r="E462" s="3">
        <f t="shared" ref="E462:E525" ca="1" si="79">IF(D462="Win",$B$4,-$B$4)</f>
        <v>500</v>
      </c>
      <c r="F462" s="42">
        <f t="shared" si="72"/>
        <v>2.3816915235711136E-5</v>
      </c>
      <c r="G462" s="41">
        <f>SUM(F$11:F462)</f>
        <v>1.0701729700481429E-4</v>
      </c>
      <c r="I462" s="1">
        <f t="shared" si="71"/>
        <v>452</v>
      </c>
      <c r="J462" s="3">
        <v>296000</v>
      </c>
      <c r="K462" s="3">
        <v>92000</v>
      </c>
      <c r="L462" s="3">
        <v>302000</v>
      </c>
      <c r="M462" s="30">
        <f t="shared" si="73"/>
        <v>1.96</v>
      </c>
      <c r="N462" s="1" t="str">
        <f t="shared" si="74"/>
        <v/>
      </c>
      <c r="O462" s="1" t="str">
        <f t="shared" si="75"/>
        <v/>
      </c>
    </row>
    <row r="463" spans="1:15" x14ac:dyDescent="0.25">
      <c r="A463" s="1">
        <f t="shared" si="70"/>
        <v>452</v>
      </c>
      <c r="B463" s="3">
        <f t="shared" ca="1" si="77"/>
        <v>107000</v>
      </c>
      <c r="C463" s="26">
        <f t="shared" ca="1" si="78"/>
        <v>0.95496824422748738</v>
      </c>
      <c r="D463" s="26" t="str">
        <f t="shared" ca="1" si="76"/>
        <v>Win</v>
      </c>
      <c r="E463" s="3">
        <f t="shared" ca="1" si="79"/>
        <v>500</v>
      </c>
      <c r="F463" s="42">
        <f t="shared" si="72"/>
        <v>3.0108804843989358E-5</v>
      </c>
      <c r="G463" s="41">
        <f>SUM(F$11:F463)</f>
        <v>1.3712610184880364E-4</v>
      </c>
      <c r="I463" s="1">
        <f t="shared" si="71"/>
        <v>453</v>
      </c>
      <c r="J463" s="3">
        <v>304000</v>
      </c>
      <c r="K463" s="3">
        <v>98000</v>
      </c>
      <c r="L463" s="3">
        <v>306000</v>
      </c>
      <c r="M463" s="30">
        <f t="shared" si="73"/>
        <v>2.04</v>
      </c>
      <c r="N463" s="1" t="str">
        <f t="shared" si="74"/>
        <v/>
      </c>
      <c r="O463" s="1" t="str">
        <f t="shared" si="75"/>
        <v/>
      </c>
    </row>
    <row r="464" spans="1:15" x14ac:dyDescent="0.25">
      <c r="A464" s="1">
        <f t="shared" si="70"/>
        <v>453</v>
      </c>
      <c r="B464" s="3">
        <f t="shared" ca="1" si="77"/>
        <v>107500</v>
      </c>
      <c r="C464" s="26">
        <f t="shared" ca="1" si="78"/>
        <v>0.61826425316719513</v>
      </c>
      <c r="D464" s="26" t="str">
        <f t="shared" ca="1" si="76"/>
        <v>Win</v>
      </c>
      <c r="E464" s="3">
        <f t="shared" ca="1" si="79"/>
        <v>500</v>
      </c>
      <c r="F464" s="42">
        <f t="shared" si="72"/>
        <v>3.7909666972104763E-5</v>
      </c>
      <c r="G464" s="41">
        <f>SUM(F$11:F464)</f>
        <v>1.7503576882090839E-4</v>
      </c>
      <c r="I464" s="1">
        <f t="shared" si="71"/>
        <v>454</v>
      </c>
      <c r="J464" s="3">
        <v>172000</v>
      </c>
      <c r="K464" s="3">
        <v>100000</v>
      </c>
      <c r="L464" s="3">
        <v>212000</v>
      </c>
      <c r="M464" s="30">
        <f t="shared" si="73"/>
        <v>0.72</v>
      </c>
      <c r="N464" s="1" t="str">
        <f t="shared" si="74"/>
        <v/>
      </c>
      <c r="O464" s="1" t="str">
        <f t="shared" si="75"/>
        <v/>
      </c>
    </row>
    <row r="465" spans="1:15" x14ac:dyDescent="0.25">
      <c r="A465" s="1">
        <f t="shared" si="70"/>
        <v>454</v>
      </c>
      <c r="B465" s="3">
        <f t="shared" ca="1" si="77"/>
        <v>108000</v>
      </c>
      <c r="C465" s="26">
        <f t="shared" ca="1" si="78"/>
        <v>0.80514692731080528</v>
      </c>
      <c r="D465" s="26" t="str">
        <f t="shared" ca="1" si="76"/>
        <v>Win</v>
      </c>
      <c r="E465" s="3">
        <f t="shared" ca="1" si="79"/>
        <v>500</v>
      </c>
      <c r="F465" s="42">
        <f t="shared" si="72"/>
        <v>4.7539601704612493E-5</v>
      </c>
      <c r="G465" s="41">
        <f>SUM(F$11:F465)</f>
        <v>2.2257537052552089E-4</v>
      </c>
      <c r="I465" s="1">
        <f t="shared" si="71"/>
        <v>455</v>
      </c>
      <c r="J465" s="3">
        <v>316000</v>
      </c>
      <c r="K465" s="3">
        <v>100000</v>
      </c>
      <c r="L465" s="3">
        <v>330000</v>
      </c>
      <c r="M465" s="30">
        <f t="shared" si="73"/>
        <v>2.16</v>
      </c>
      <c r="N465" s="1" t="str">
        <f t="shared" si="74"/>
        <v/>
      </c>
      <c r="O465" s="1" t="str">
        <f t="shared" si="75"/>
        <v/>
      </c>
    </row>
    <row r="466" spans="1:15" x14ac:dyDescent="0.25">
      <c r="A466" s="1">
        <f t="shared" si="70"/>
        <v>455</v>
      </c>
      <c r="B466" s="3">
        <f t="shared" ca="1" si="77"/>
        <v>108500</v>
      </c>
      <c r="C466" s="26">
        <f t="shared" ca="1" si="78"/>
        <v>0.94125176733722282</v>
      </c>
      <c r="D466" s="26" t="str">
        <f t="shared" ca="1" si="76"/>
        <v>Win</v>
      </c>
      <c r="E466" s="3">
        <f t="shared" ca="1" si="79"/>
        <v>500</v>
      </c>
      <c r="F466" s="42">
        <f t="shared" si="72"/>
        <v>5.9375992333107829E-5</v>
      </c>
      <c r="G466" s="41">
        <f>SUM(F$11:F466)</f>
        <v>2.8195136285862874E-4</v>
      </c>
      <c r="I466" s="1">
        <f t="shared" si="71"/>
        <v>456</v>
      </c>
      <c r="J466" s="3">
        <v>216000</v>
      </c>
      <c r="K466" s="3">
        <v>82000</v>
      </c>
      <c r="L466" s="3">
        <v>218000</v>
      </c>
      <c r="M466" s="30">
        <f t="shared" si="73"/>
        <v>1.1600000000000001</v>
      </c>
      <c r="N466" s="1" t="str">
        <f t="shared" si="74"/>
        <v/>
      </c>
      <c r="O466" s="1" t="str">
        <f t="shared" si="75"/>
        <v/>
      </c>
    </row>
    <row r="467" spans="1:15" x14ac:dyDescent="0.25">
      <c r="A467" s="1">
        <f t="shared" si="70"/>
        <v>456</v>
      </c>
      <c r="B467" s="3">
        <f t="shared" ca="1" si="77"/>
        <v>108000</v>
      </c>
      <c r="C467" s="26">
        <f t="shared" ca="1" si="78"/>
        <v>0.35932866592903634</v>
      </c>
      <c r="D467" s="26" t="str">
        <f t="shared" ca="1" si="76"/>
        <v>Lose</v>
      </c>
      <c r="E467" s="3">
        <f t="shared" ca="1" si="79"/>
        <v>-500</v>
      </c>
      <c r="F467" s="42">
        <f t="shared" si="72"/>
        <v>7.3861247175918652E-5</v>
      </c>
      <c r="G467" s="41">
        <f>SUM(F$11:F467)</f>
        <v>3.558126100345474E-4</v>
      </c>
      <c r="I467" s="1">
        <f t="shared" si="71"/>
        <v>457</v>
      </c>
      <c r="J467" s="3">
        <v>144000</v>
      </c>
      <c r="K467" s="3">
        <v>92000</v>
      </c>
      <c r="L467" s="3">
        <v>156000</v>
      </c>
      <c r="M467" s="30">
        <f t="shared" si="73"/>
        <v>0.43999999999999995</v>
      </c>
      <c r="N467" s="1" t="str">
        <f t="shared" si="74"/>
        <v/>
      </c>
      <c r="O467" s="1" t="str">
        <f t="shared" si="75"/>
        <v/>
      </c>
    </row>
    <row r="468" spans="1:15" x14ac:dyDescent="0.25">
      <c r="A468" s="1">
        <f t="shared" si="70"/>
        <v>457</v>
      </c>
      <c r="B468" s="3">
        <f t="shared" ca="1" si="77"/>
        <v>108500</v>
      </c>
      <c r="C468" s="26">
        <f t="shared" ca="1" si="78"/>
        <v>0.64550515726317825</v>
      </c>
      <c r="D468" s="26" t="str">
        <f t="shared" ca="1" si="76"/>
        <v>Win</v>
      </c>
      <c r="E468" s="3">
        <f t="shared" ca="1" si="79"/>
        <v>500</v>
      </c>
      <c r="F468" s="42">
        <f t="shared" si="72"/>
        <v>9.1511027626878282E-5</v>
      </c>
      <c r="G468" s="41">
        <f>SUM(F$11:F468)</f>
        <v>4.4732363766142568E-4</v>
      </c>
      <c r="I468" s="1">
        <f t="shared" si="71"/>
        <v>458</v>
      </c>
      <c r="J468" s="3">
        <v>276000</v>
      </c>
      <c r="K468" s="3">
        <v>70000</v>
      </c>
      <c r="L468" s="3">
        <v>282000</v>
      </c>
      <c r="M468" s="30">
        <f t="shared" si="73"/>
        <v>1.7599999999999998</v>
      </c>
      <c r="N468" s="1" t="str">
        <f t="shared" si="74"/>
        <v/>
      </c>
      <c r="O468" s="1" t="str">
        <f t="shared" si="75"/>
        <v/>
      </c>
    </row>
    <row r="469" spans="1:15" x14ac:dyDescent="0.25">
      <c r="A469" s="1">
        <f t="shared" si="70"/>
        <v>458</v>
      </c>
      <c r="B469" s="3">
        <f t="shared" ca="1" si="77"/>
        <v>108000</v>
      </c>
      <c r="C469" s="26">
        <f t="shared" ca="1" si="78"/>
        <v>8.661039299876061E-2</v>
      </c>
      <c r="D469" s="26" t="str">
        <f t="shared" ca="1" si="76"/>
        <v>Lose</v>
      </c>
      <c r="E469" s="3">
        <f t="shared" ca="1" si="79"/>
        <v>-500</v>
      </c>
      <c r="F469" s="42">
        <f t="shared" si="72"/>
        <v>1.1292286284961873E-4</v>
      </c>
      <c r="G469" s="41">
        <f>SUM(F$11:F469)</f>
        <v>5.6024650051104442E-4</v>
      </c>
      <c r="I469" s="1">
        <f t="shared" si="71"/>
        <v>459</v>
      </c>
      <c r="J469" s="3">
        <v>208000</v>
      </c>
      <c r="K469" s="3">
        <v>78000</v>
      </c>
      <c r="L469" s="3">
        <v>218000</v>
      </c>
      <c r="M469" s="30">
        <f t="shared" si="73"/>
        <v>1.08</v>
      </c>
      <c r="N469" s="1" t="str">
        <f t="shared" si="74"/>
        <v/>
      </c>
      <c r="O469" s="1" t="str">
        <f t="shared" si="75"/>
        <v/>
      </c>
    </row>
    <row r="470" spans="1:15" x14ac:dyDescent="0.25">
      <c r="A470" s="1">
        <f t="shared" si="70"/>
        <v>459</v>
      </c>
      <c r="B470" s="3">
        <f t="shared" ca="1" si="77"/>
        <v>108500</v>
      </c>
      <c r="C470" s="26">
        <f t="shared" ca="1" si="78"/>
        <v>0.99944090962645193</v>
      </c>
      <c r="D470" s="26" t="str">
        <f t="shared" ca="1" si="76"/>
        <v>Win</v>
      </c>
      <c r="E470" s="3">
        <f t="shared" ca="1" si="79"/>
        <v>500</v>
      </c>
      <c r="F470" s="42">
        <f t="shared" si="72"/>
        <v>1.3878501511223042E-4</v>
      </c>
      <c r="G470" s="41">
        <f>SUM(F$11:F470)</f>
        <v>6.9903151562327489E-4</v>
      </c>
      <c r="I470" s="1">
        <f t="shared" si="71"/>
        <v>460</v>
      </c>
      <c r="J470" s="3">
        <v>348000</v>
      </c>
      <c r="K470" s="3">
        <v>100000</v>
      </c>
      <c r="L470" s="3">
        <v>350000</v>
      </c>
      <c r="M470" s="30">
        <f t="shared" si="73"/>
        <v>2.48</v>
      </c>
      <c r="N470" s="1" t="str">
        <f t="shared" si="74"/>
        <v/>
      </c>
      <c r="O470" s="1" t="str">
        <f t="shared" si="75"/>
        <v/>
      </c>
    </row>
    <row r="471" spans="1:15" x14ac:dyDescent="0.25">
      <c r="A471" s="1">
        <f t="shared" si="70"/>
        <v>460</v>
      </c>
      <c r="B471" s="3">
        <f t="shared" ca="1" si="77"/>
        <v>108000</v>
      </c>
      <c r="C471" s="26">
        <f t="shared" ca="1" si="78"/>
        <v>0.46050805403657935</v>
      </c>
      <c r="D471" s="26" t="str">
        <f t="shared" ca="1" si="76"/>
        <v>Lose</v>
      </c>
      <c r="E471" s="3">
        <f t="shared" ca="1" si="79"/>
        <v>-500</v>
      </c>
      <c r="F471" s="42">
        <f t="shared" si="72"/>
        <v>1.6988541934168352E-4</v>
      </c>
      <c r="G471" s="41">
        <f>SUM(F$11:F471)</f>
        <v>8.6891693496495839E-4</v>
      </c>
      <c r="I471" s="1">
        <f t="shared" si="71"/>
        <v>461</v>
      </c>
      <c r="J471" s="3">
        <v>244000</v>
      </c>
      <c r="K471" s="3">
        <v>64000</v>
      </c>
      <c r="L471" s="3">
        <v>256000</v>
      </c>
      <c r="M471" s="30">
        <f t="shared" si="73"/>
        <v>1.44</v>
      </c>
      <c r="N471" s="1" t="str">
        <f t="shared" si="74"/>
        <v/>
      </c>
      <c r="O471" s="1" t="str">
        <f t="shared" si="75"/>
        <v/>
      </c>
    </row>
    <row r="472" spans="1:15" x14ac:dyDescent="0.25">
      <c r="A472" s="1">
        <f t="shared" si="70"/>
        <v>461</v>
      </c>
      <c r="B472" s="3">
        <f t="shared" ca="1" si="77"/>
        <v>108500</v>
      </c>
      <c r="C472" s="26">
        <f t="shared" ca="1" si="78"/>
        <v>0.87684403424876611</v>
      </c>
      <c r="D472" s="26" t="str">
        <f t="shared" ca="1" si="76"/>
        <v>Win</v>
      </c>
      <c r="E472" s="3">
        <f t="shared" ca="1" si="79"/>
        <v>500</v>
      </c>
      <c r="F472" s="42">
        <f t="shared" si="72"/>
        <v>2.0712047672185585E-4</v>
      </c>
      <c r="G472" s="41">
        <f>SUM(F$11:F472)</f>
        <v>1.0760374116868142E-3</v>
      </c>
      <c r="I472" s="1">
        <f t="shared" si="71"/>
        <v>462</v>
      </c>
      <c r="J472" s="3">
        <v>312000</v>
      </c>
      <c r="K472" s="3">
        <v>100000</v>
      </c>
      <c r="L472" s="3">
        <v>320000</v>
      </c>
      <c r="M472" s="30">
        <f t="shared" si="73"/>
        <v>2.12</v>
      </c>
      <c r="N472" s="1" t="str">
        <f t="shared" si="74"/>
        <v/>
      </c>
      <c r="O472" s="1" t="str">
        <f t="shared" si="75"/>
        <v/>
      </c>
    </row>
    <row r="473" spans="1:15" x14ac:dyDescent="0.25">
      <c r="A473" s="1">
        <f t="shared" si="70"/>
        <v>462</v>
      </c>
      <c r="B473" s="3">
        <f t="shared" ca="1" si="77"/>
        <v>108000</v>
      </c>
      <c r="C473" s="26">
        <f t="shared" ca="1" si="78"/>
        <v>0.42496804178916869</v>
      </c>
      <c r="D473" s="26" t="str">
        <f t="shared" ca="1" si="76"/>
        <v>Lose</v>
      </c>
      <c r="E473" s="3">
        <f t="shared" ca="1" si="79"/>
        <v>-500</v>
      </c>
      <c r="F473" s="42">
        <f t="shared" si="72"/>
        <v>2.5150343601939429E-4</v>
      </c>
      <c r="G473" s="41">
        <f>SUM(F$11:F473)</f>
        <v>1.3275408477062085E-3</v>
      </c>
      <c r="I473" s="1">
        <f t="shared" si="71"/>
        <v>463</v>
      </c>
      <c r="J473" s="3">
        <v>420000</v>
      </c>
      <c r="K473" s="3">
        <v>92000</v>
      </c>
      <c r="L473" s="3">
        <v>420000</v>
      </c>
      <c r="M473" s="30">
        <f t="shared" si="73"/>
        <v>3.2</v>
      </c>
      <c r="N473" s="1" t="str">
        <f t="shared" si="74"/>
        <v/>
      </c>
      <c r="O473" s="1" t="str">
        <f t="shared" si="75"/>
        <v/>
      </c>
    </row>
    <row r="474" spans="1:15" x14ac:dyDescent="0.25">
      <c r="A474" s="1">
        <f t="shared" si="70"/>
        <v>463</v>
      </c>
      <c r="B474" s="3">
        <f t="shared" ca="1" si="77"/>
        <v>107500</v>
      </c>
      <c r="C474" s="26">
        <f t="shared" ca="1" si="78"/>
        <v>0.29775378109069073</v>
      </c>
      <c r="D474" s="26" t="str">
        <f t="shared" ca="1" si="76"/>
        <v>Lose</v>
      </c>
      <c r="E474" s="3">
        <f t="shared" ca="1" si="79"/>
        <v>-500</v>
      </c>
      <c r="F474" s="42">
        <f t="shared" si="72"/>
        <v>3.0417204908097774E-4</v>
      </c>
      <c r="G474" s="41">
        <f>SUM(F$11:F474)</f>
        <v>1.6317128967871862E-3</v>
      </c>
      <c r="I474" s="1">
        <f t="shared" si="71"/>
        <v>464</v>
      </c>
      <c r="J474" s="3">
        <v>248000</v>
      </c>
      <c r="K474" s="3">
        <v>94000</v>
      </c>
      <c r="L474" s="3">
        <v>252000</v>
      </c>
      <c r="M474" s="30">
        <f t="shared" si="73"/>
        <v>1.48</v>
      </c>
      <c r="N474" s="1" t="str">
        <f t="shared" si="74"/>
        <v/>
      </c>
      <c r="O474" s="1" t="str">
        <f t="shared" si="75"/>
        <v/>
      </c>
    </row>
    <row r="475" spans="1:15" x14ac:dyDescent="0.25">
      <c r="A475" s="1">
        <f t="shared" si="70"/>
        <v>464</v>
      </c>
      <c r="B475" s="3">
        <f t="shared" ca="1" si="77"/>
        <v>107000</v>
      </c>
      <c r="C475" s="26">
        <f t="shared" ca="1" si="78"/>
        <v>0.42594996147714359</v>
      </c>
      <c r="D475" s="26" t="str">
        <f t="shared" ca="1" si="76"/>
        <v>Lose</v>
      </c>
      <c r="E475" s="3">
        <f t="shared" ca="1" si="79"/>
        <v>-500</v>
      </c>
      <c r="F475" s="42">
        <f t="shared" si="72"/>
        <v>3.6639514022610399E-4</v>
      </c>
      <c r="G475" s="41">
        <f>SUM(F$11:F475)</f>
        <v>1.9981080370132902E-3</v>
      </c>
      <c r="I475" s="1">
        <f t="shared" si="71"/>
        <v>465</v>
      </c>
      <c r="J475" s="3">
        <v>296000</v>
      </c>
      <c r="K475" s="3">
        <v>98000</v>
      </c>
      <c r="L475" s="3">
        <v>298000</v>
      </c>
      <c r="M475" s="30">
        <f t="shared" si="73"/>
        <v>1.96</v>
      </c>
      <c r="N475" s="1" t="str">
        <f t="shared" si="74"/>
        <v/>
      </c>
      <c r="O475" s="1" t="str">
        <f t="shared" si="75"/>
        <v/>
      </c>
    </row>
    <row r="476" spans="1:15" x14ac:dyDescent="0.25">
      <c r="A476" s="1">
        <f t="shared" si="70"/>
        <v>465</v>
      </c>
      <c r="B476" s="3">
        <f t="shared" ca="1" si="77"/>
        <v>106500</v>
      </c>
      <c r="C476" s="26">
        <f t="shared" ca="1" si="78"/>
        <v>5.4703829248250457E-2</v>
      </c>
      <c r="D476" s="26" t="str">
        <f t="shared" ca="1" si="76"/>
        <v>Lose</v>
      </c>
      <c r="E476" s="3">
        <f t="shared" ca="1" si="79"/>
        <v>-500</v>
      </c>
      <c r="F476" s="42">
        <f t="shared" si="72"/>
        <v>4.395776850217608E-4</v>
      </c>
      <c r="G476" s="41">
        <f>SUM(F$11:F476)</f>
        <v>2.4376857220350509E-3</v>
      </c>
      <c r="I476" s="1">
        <f t="shared" si="71"/>
        <v>466</v>
      </c>
      <c r="J476" s="3">
        <v>308000</v>
      </c>
      <c r="K476" s="3">
        <v>66000</v>
      </c>
      <c r="L476" s="3">
        <v>316000</v>
      </c>
      <c r="M476" s="30">
        <f t="shared" si="73"/>
        <v>2.08</v>
      </c>
      <c r="N476" s="1" t="str">
        <f t="shared" si="74"/>
        <v/>
      </c>
      <c r="O476" s="1" t="str">
        <f t="shared" si="75"/>
        <v/>
      </c>
    </row>
    <row r="477" spans="1:15" x14ac:dyDescent="0.25">
      <c r="A477" s="1">
        <f t="shared" si="70"/>
        <v>466</v>
      </c>
      <c r="B477" s="3">
        <f t="shared" ca="1" si="77"/>
        <v>106000</v>
      </c>
      <c r="C477" s="26">
        <f t="shared" ca="1" si="78"/>
        <v>0.27059617275323378</v>
      </c>
      <c r="D477" s="26" t="str">
        <f t="shared" ca="1" si="76"/>
        <v>Lose</v>
      </c>
      <c r="E477" s="3">
        <f t="shared" ca="1" si="79"/>
        <v>-500</v>
      </c>
      <c r="F477" s="42">
        <f t="shared" si="72"/>
        <v>5.2526395444595119E-4</v>
      </c>
      <c r="G477" s="41">
        <f>SUM(F$11:F477)</f>
        <v>2.9629496764810022E-3</v>
      </c>
      <c r="I477" s="1">
        <f t="shared" si="71"/>
        <v>467</v>
      </c>
      <c r="J477" s="3">
        <v>348000</v>
      </c>
      <c r="K477" s="3">
        <v>94000</v>
      </c>
      <c r="L477" s="3">
        <v>352000</v>
      </c>
      <c r="M477" s="30">
        <f t="shared" si="73"/>
        <v>2.48</v>
      </c>
      <c r="N477" s="1" t="str">
        <f t="shared" si="74"/>
        <v/>
      </c>
      <c r="O477" s="1" t="str">
        <f t="shared" si="75"/>
        <v/>
      </c>
    </row>
    <row r="478" spans="1:15" x14ac:dyDescent="0.25">
      <c r="A478" s="1">
        <f t="shared" si="70"/>
        <v>467</v>
      </c>
      <c r="B478" s="3">
        <f t="shared" ca="1" si="77"/>
        <v>105500</v>
      </c>
      <c r="C478" s="26">
        <f t="shared" ca="1" si="78"/>
        <v>6.0764589638084288E-2</v>
      </c>
      <c r="D478" s="26" t="str">
        <f t="shared" ca="1" si="76"/>
        <v>Lose</v>
      </c>
      <c r="E478" s="3">
        <f t="shared" ca="1" si="79"/>
        <v>-500</v>
      </c>
      <c r="F478" s="42">
        <f t="shared" si="72"/>
        <v>6.2513824827955221E-4</v>
      </c>
      <c r="G478" s="41">
        <f>SUM(F$11:F478)</f>
        <v>3.5880879247605544E-3</v>
      </c>
      <c r="I478" s="1">
        <f t="shared" si="71"/>
        <v>468</v>
      </c>
      <c r="J478" s="3">
        <v>296000</v>
      </c>
      <c r="K478" s="3">
        <v>84000</v>
      </c>
      <c r="L478" s="3">
        <v>310000</v>
      </c>
      <c r="M478" s="30">
        <f t="shared" si="73"/>
        <v>1.96</v>
      </c>
      <c r="N478" s="1" t="str">
        <f t="shared" si="74"/>
        <v/>
      </c>
      <c r="O478" s="1" t="str">
        <f t="shared" si="75"/>
        <v/>
      </c>
    </row>
    <row r="479" spans="1:15" x14ac:dyDescent="0.25">
      <c r="A479" s="1">
        <f t="shared" si="70"/>
        <v>468</v>
      </c>
      <c r="B479" s="3">
        <f t="shared" ca="1" si="77"/>
        <v>105000</v>
      </c>
      <c r="C479" s="26">
        <f t="shared" ca="1" si="78"/>
        <v>0.13404499096826494</v>
      </c>
      <c r="D479" s="26" t="str">
        <f t="shared" ca="1" si="76"/>
        <v>Lose</v>
      </c>
      <c r="E479" s="3">
        <f t="shared" ca="1" si="79"/>
        <v>-500</v>
      </c>
      <c r="F479" s="42">
        <f t="shared" si="72"/>
        <v>7.4102271947422708E-4</v>
      </c>
      <c r="G479" s="41">
        <f>SUM(F$11:F479)</f>
        <v>4.3291106442347816E-3</v>
      </c>
      <c r="I479" s="1">
        <f t="shared" si="71"/>
        <v>469</v>
      </c>
      <c r="J479" s="3">
        <v>240000</v>
      </c>
      <c r="K479" s="3">
        <v>90000</v>
      </c>
      <c r="L479" s="3">
        <v>240000</v>
      </c>
      <c r="M479" s="30">
        <f t="shared" si="73"/>
        <v>1.4</v>
      </c>
      <c r="N479" s="1" t="str">
        <f t="shared" si="74"/>
        <v/>
      </c>
      <c r="O479" s="1" t="str">
        <f t="shared" si="75"/>
        <v/>
      </c>
    </row>
    <row r="480" spans="1:15" x14ac:dyDescent="0.25">
      <c r="A480" s="1">
        <f t="shared" si="70"/>
        <v>469</v>
      </c>
      <c r="B480" s="3">
        <f t="shared" ca="1" si="77"/>
        <v>105500</v>
      </c>
      <c r="C480" s="26">
        <f t="shared" ca="1" si="78"/>
        <v>0.69337795212980913</v>
      </c>
      <c r="D480" s="26" t="str">
        <f t="shared" ca="1" si="76"/>
        <v>Win</v>
      </c>
      <c r="E480" s="3">
        <f t="shared" ca="1" si="79"/>
        <v>500</v>
      </c>
      <c r="F480" s="42">
        <f t="shared" si="72"/>
        <v>8.7487178211455708E-4</v>
      </c>
      <c r="G480" s="41">
        <f>SUM(F$11:F480)</f>
        <v>5.2039824263493389E-3</v>
      </c>
      <c r="I480" s="1">
        <f t="shared" si="71"/>
        <v>470</v>
      </c>
      <c r="J480" s="3">
        <v>352000</v>
      </c>
      <c r="K480" s="3">
        <v>88000</v>
      </c>
      <c r="L480" s="3">
        <v>356000</v>
      </c>
      <c r="M480" s="30">
        <f t="shared" si="73"/>
        <v>2.52</v>
      </c>
      <c r="N480" s="1" t="str">
        <f t="shared" si="74"/>
        <v/>
      </c>
      <c r="O480" s="1" t="str">
        <f t="shared" si="75"/>
        <v/>
      </c>
    </row>
    <row r="481" spans="1:15" x14ac:dyDescent="0.25">
      <c r="A481" s="1">
        <f t="shared" si="70"/>
        <v>470</v>
      </c>
      <c r="B481" s="3">
        <f t="shared" ca="1" si="77"/>
        <v>106000</v>
      </c>
      <c r="C481" s="26">
        <f t="shared" ca="1" si="78"/>
        <v>0.87288158749189138</v>
      </c>
      <c r="D481" s="26" t="str">
        <f t="shared" ca="1" si="76"/>
        <v>Win</v>
      </c>
      <c r="E481" s="3">
        <f t="shared" ca="1" si="79"/>
        <v>500</v>
      </c>
      <c r="F481" s="42">
        <f t="shared" si="72"/>
        <v>1.028762602320647E-3</v>
      </c>
      <c r="G481" s="41">
        <f>SUM(F$11:F481)</f>
        <v>6.2327450286699861E-3</v>
      </c>
      <c r="I481" s="1">
        <f t="shared" si="71"/>
        <v>471</v>
      </c>
      <c r="J481" s="3">
        <v>280000</v>
      </c>
      <c r="K481" s="3">
        <v>36000</v>
      </c>
      <c r="L481" s="3">
        <v>280000</v>
      </c>
      <c r="M481" s="30">
        <f t="shared" si="73"/>
        <v>1.7999999999999998</v>
      </c>
      <c r="N481" s="1" t="str">
        <f t="shared" si="74"/>
        <v/>
      </c>
      <c r="O481" s="1" t="str">
        <f t="shared" si="75"/>
        <v/>
      </c>
    </row>
    <row r="482" spans="1:15" x14ac:dyDescent="0.25">
      <c r="A482" s="1">
        <f t="shared" si="70"/>
        <v>471</v>
      </c>
      <c r="B482" s="3">
        <f t="shared" ca="1" si="77"/>
        <v>105500</v>
      </c>
      <c r="C482" s="26">
        <f t="shared" ca="1" si="78"/>
        <v>1.8041894304737904E-2</v>
      </c>
      <c r="D482" s="26" t="str">
        <f t="shared" ca="1" si="76"/>
        <v>Lose</v>
      </c>
      <c r="E482" s="3">
        <f t="shared" ca="1" si="79"/>
        <v>-500</v>
      </c>
      <c r="F482" s="42">
        <f t="shared" si="72"/>
        <v>1.2048811967904547E-3</v>
      </c>
      <c r="G482" s="41">
        <f>SUM(F$11:F482)</f>
        <v>7.4376262254604412E-3</v>
      </c>
      <c r="I482" s="1">
        <f t="shared" si="71"/>
        <v>472</v>
      </c>
      <c r="J482" s="3">
        <v>324000</v>
      </c>
      <c r="K482" s="3">
        <v>92000</v>
      </c>
      <c r="L482" s="3">
        <v>328000</v>
      </c>
      <c r="M482" s="30">
        <f t="shared" si="73"/>
        <v>2.2400000000000002</v>
      </c>
      <c r="N482" s="1" t="str">
        <f t="shared" si="74"/>
        <v/>
      </c>
      <c r="O482" s="1" t="str">
        <f t="shared" si="75"/>
        <v/>
      </c>
    </row>
    <row r="483" spans="1:15" x14ac:dyDescent="0.25">
      <c r="A483" s="1">
        <f t="shared" si="70"/>
        <v>472</v>
      </c>
      <c r="B483" s="3">
        <f t="shared" ca="1" si="77"/>
        <v>105000</v>
      </c>
      <c r="C483" s="26">
        <f t="shared" ca="1" si="78"/>
        <v>0.36684428178556128</v>
      </c>
      <c r="D483" s="26" t="str">
        <f t="shared" ca="1" si="76"/>
        <v>Lose</v>
      </c>
      <c r="E483" s="3">
        <f t="shared" ca="1" si="79"/>
        <v>-500</v>
      </c>
      <c r="F483" s="42">
        <f t="shared" si="72"/>
        <v>1.4055037101439805E-3</v>
      </c>
      <c r="G483" s="41">
        <f>SUM(F$11:F483)</f>
        <v>8.843129935604422E-3</v>
      </c>
      <c r="I483" s="1">
        <f t="shared" si="71"/>
        <v>473</v>
      </c>
      <c r="J483" s="3">
        <v>404000</v>
      </c>
      <c r="K483" s="3">
        <v>92000</v>
      </c>
      <c r="L483" s="3">
        <v>406000</v>
      </c>
      <c r="M483" s="30">
        <f t="shared" si="73"/>
        <v>3.04</v>
      </c>
      <c r="N483" s="1" t="str">
        <f t="shared" si="74"/>
        <v/>
      </c>
      <c r="O483" s="1" t="str">
        <f t="shared" si="75"/>
        <v/>
      </c>
    </row>
    <row r="484" spans="1:15" x14ac:dyDescent="0.25">
      <c r="A484" s="1">
        <f t="shared" si="70"/>
        <v>473</v>
      </c>
      <c r="B484" s="3">
        <f t="shared" ca="1" si="77"/>
        <v>105500</v>
      </c>
      <c r="C484" s="26">
        <f t="shared" ca="1" si="78"/>
        <v>0.94990959525696084</v>
      </c>
      <c r="D484" s="26" t="str">
        <f t="shared" ca="1" si="76"/>
        <v>Win</v>
      </c>
      <c r="E484" s="3">
        <f t="shared" ca="1" si="79"/>
        <v>500</v>
      </c>
      <c r="F484" s="42">
        <f t="shared" si="72"/>
        <v>1.632972511833148E-3</v>
      </c>
      <c r="G484" s="41">
        <f>SUM(F$11:F484)</f>
        <v>1.0476102447437571E-2</v>
      </c>
      <c r="I484" s="1">
        <f t="shared" si="71"/>
        <v>474</v>
      </c>
      <c r="J484" s="3">
        <v>348000</v>
      </c>
      <c r="K484" s="3">
        <v>88000</v>
      </c>
      <c r="L484" s="3">
        <v>350000</v>
      </c>
      <c r="M484" s="30">
        <f t="shared" si="73"/>
        <v>2.48</v>
      </c>
      <c r="N484" s="1" t="str">
        <f t="shared" si="74"/>
        <v/>
      </c>
      <c r="O484" s="1" t="str">
        <f t="shared" si="75"/>
        <v/>
      </c>
    </row>
    <row r="485" spans="1:15" x14ac:dyDescent="0.25">
      <c r="A485" s="1">
        <f t="shared" si="70"/>
        <v>474</v>
      </c>
      <c r="B485" s="3">
        <f t="shared" ca="1" si="77"/>
        <v>106000</v>
      </c>
      <c r="C485" s="26">
        <f t="shared" ca="1" si="78"/>
        <v>0.9897662034358351</v>
      </c>
      <c r="D485" s="26" t="str">
        <f t="shared" ca="1" si="76"/>
        <v>Win</v>
      </c>
      <c r="E485" s="3">
        <f t="shared" ca="1" si="79"/>
        <v>500</v>
      </c>
      <c r="F485" s="42">
        <f t="shared" si="72"/>
        <v>1.8896668475217411E-3</v>
      </c>
      <c r="G485" s="41">
        <f>SUM(F$11:F485)</f>
        <v>1.2365769294959313E-2</v>
      </c>
      <c r="I485" s="1">
        <f t="shared" si="71"/>
        <v>475</v>
      </c>
      <c r="J485" s="3">
        <v>304000</v>
      </c>
      <c r="K485" s="3">
        <v>82000</v>
      </c>
      <c r="L485" s="3">
        <v>308000</v>
      </c>
      <c r="M485" s="30">
        <f t="shared" si="73"/>
        <v>2.04</v>
      </c>
      <c r="N485" s="1" t="str">
        <f t="shared" si="74"/>
        <v/>
      </c>
      <c r="O485" s="1" t="str">
        <f t="shared" si="75"/>
        <v/>
      </c>
    </row>
    <row r="486" spans="1:15" x14ac:dyDescent="0.25">
      <c r="A486" s="1">
        <f t="shared" si="70"/>
        <v>475</v>
      </c>
      <c r="B486" s="3">
        <f t="shared" ca="1" si="77"/>
        <v>105500</v>
      </c>
      <c r="C486" s="26">
        <f t="shared" ca="1" si="78"/>
        <v>2.8916184678275503E-2</v>
      </c>
      <c r="D486" s="26" t="str">
        <f t="shared" ca="1" si="76"/>
        <v>Lose</v>
      </c>
      <c r="E486" s="3">
        <f t="shared" ca="1" si="79"/>
        <v>-500</v>
      </c>
      <c r="F486" s="42">
        <f t="shared" si="72"/>
        <v>2.1779678991027964E-3</v>
      </c>
      <c r="G486" s="41">
        <f>SUM(F$11:F486)</f>
        <v>1.4543737194062109E-2</v>
      </c>
      <c r="I486" s="1">
        <f t="shared" si="71"/>
        <v>476</v>
      </c>
      <c r="J486" s="3">
        <v>128000</v>
      </c>
      <c r="K486" s="3">
        <v>26000</v>
      </c>
      <c r="L486" s="3">
        <v>136000</v>
      </c>
      <c r="M486" s="30">
        <f t="shared" si="73"/>
        <v>0.28000000000000003</v>
      </c>
      <c r="N486" s="1" t="str">
        <f t="shared" si="74"/>
        <v/>
      </c>
      <c r="O486" s="1" t="str">
        <f t="shared" si="75"/>
        <v/>
      </c>
    </row>
    <row r="487" spans="1:15" x14ac:dyDescent="0.25">
      <c r="A487" s="1">
        <f t="shared" si="70"/>
        <v>476</v>
      </c>
      <c r="B487" s="3">
        <f t="shared" ca="1" si="77"/>
        <v>105000</v>
      </c>
      <c r="C487" s="26">
        <f t="shared" ca="1" si="78"/>
        <v>4.8954976149799934E-2</v>
      </c>
      <c r="D487" s="26" t="str">
        <f t="shared" ca="1" si="76"/>
        <v>Lose</v>
      </c>
      <c r="E487" s="3">
        <f t="shared" ca="1" si="79"/>
        <v>-500</v>
      </c>
      <c r="F487" s="42">
        <f t="shared" si="72"/>
        <v>2.5002182515210776E-3</v>
      </c>
      <c r="G487" s="41">
        <f>SUM(F$11:F487)</f>
        <v>1.7043955445583188E-2</v>
      </c>
      <c r="I487" s="1">
        <f t="shared" si="71"/>
        <v>477</v>
      </c>
      <c r="J487" s="3">
        <v>252000</v>
      </c>
      <c r="K487" s="3">
        <v>78000</v>
      </c>
      <c r="L487" s="3">
        <v>266000</v>
      </c>
      <c r="M487" s="30">
        <f t="shared" si="73"/>
        <v>1.52</v>
      </c>
      <c r="N487" s="1" t="str">
        <f t="shared" si="74"/>
        <v/>
      </c>
      <c r="O487" s="1" t="str">
        <f t="shared" si="75"/>
        <v/>
      </c>
    </row>
    <row r="488" spans="1:15" x14ac:dyDescent="0.25">
      <c r="A488" s="1">
        <f t="shared" si="70"/>
        <v>477</v>
      </c>
      <c r="B488" s="3">
        <f t="shared" ca="1" si="77"/>
        <v>104500</v>
      </c>
      <c r="C488" s="26">
        <f t="shared" ca="1" si="78"/>
        <v>0.29578087056438573</v>
      </c>
      <c r="D488" s="26" t="str">
        <f t="shared" ca="1" si="76"/>
        <v>Lose</v>
      </c>
      <c r="E488" s="3">
        <f t="shared" ca="1" si="79"/>
        <v>-500</v>
      </c>
      <c r="F488" s="42">
        <f t="shared" si="72"/>
        <v>2.8586759317866472E-3</v>
      </c>
      <c r="G488" s="41">
        <f>SUM(F$11:F488)</f>
        <v>1.9902631377369834E-2</v>
      </c>
      <c r="I488" s="1">
        <f t="shared" si="71"/>
        <v>478</v>
      </c>
      <c r="J488" s="3">
        <v>280000</v>
      </c>
      <c r="K488" s="3">
        <v>98000</v>
      </c>
      <c r="L488" s="3">
        <v>288000</v>
      </c>
      <c r="M488" s="30">
        <f t="shared" si="73"/>
        <v>1.7999999999999998</v>
      </c>
      <c r="N488" s="1" t="str">
        <f t="shared" si="74"/>
        <v/>
      </c>
      <c r="O488" s="1" t="str">
        <f t="shared" si="75"/>
        <v/>
      </c>
    </row>
    <row r="489" spans="1:15" x14ac:dyDescent="0.25">
      <c r="A489" s="1">
        <f t="shared" si="70"/>
        <v>478</v>
      </c>
      <c r="B489" s="3">
        <f t="shared" ca="1" si="77"/>
        <v>104000</v>
      </c>
      <c r="C489" s="26">
        <f t="shared" ca="1" si="78"/>
        <v>2.5124182927945604E-2</v>
      </c>
      <c r="D489" s="26" t="str">
        <f t="shared" ca="1" si="76"/>
        <v>Lose</v>
      </c>
      <c r="E489" s="3">
        <f t="shared" ca="1" si="79"/>
        <v>-500</v>
      </c>
      <c r="F489" s="42">
        <f t="shared" si="72"/>
        <v>3.2554633732621288E-3</v>
      </c>
      <c r="G489" s="41">
        <f>SUM(F$11:F489)</f>
        <v>2.3158094750631963E-2</v>
      </c>
      <c r="I489" s="1">
        <f t="shared" si="71"/>
        <v>479</v>
      </c>
      <c r="J489" s="3">
        <v>228000</v>
      </c>
      <c r="K489" s="3">
        <v>76000</v>
      </c>
      <c r="L489" s="3">
        <v>248000</v>
      </c>
      <c r="M489" s="30">
        <f t="shared" si="73"/>
        <v>1.2799999999999998</v>
      </c>
      <c r="N489" s="1" t="str">
        <f t="shared" si="74"/>
        <v/>
      </c>
      <c r="O489" s="1" t="str">
        <f t="shared" si="75"/>
        <v/>
      </c>
    </row>
    <row r="490" spans="1:15" x14ac:dyDescent="0.25">
      <c r="A490" s="1">
        <f t="shared" si="70"/>
        <v>479</v>
      </c>
      <c r="B490" s="3">
        <f t="shared" ca="1" si="77"/>
        <v>103500</v>
      </c>
      <c r="C490" s="26">
        <f t="shared" ca="1" si="78"/>
        <v>6.1737295777478329E-2</v>
      </c>
      <c r="D490" s="26" t="str">
        <f t="shared" ca="1" si="76"/>
        <v>Lose</v>
      </c>
      <c r="E490" s="3">
        <f t="shared" ca="1" si="79"/>
        <v>-500</v>
      </c>
      <c r="F490" s="42">
        <f t="shared" si="72"/>
        <v>3.6925118624252891E-3</v>
      </c>
      <c r="G490" s="41">
        <f>SUM(F$11:F490)</f>
        <v>2.6850606613057253E-2</v>
      </c>
      <c r="I490" s="1">
        <f t="shared" si="71"/>
        <v>480</v>
      </c>
      <c r="J490" s="3">
        <v>216000</v>
      </c>
      <c r="K490" s="3">
        <v>98000</v>
      </c>
      <c r="L490" s="3">
        <v>218000</v>
      </c>
      <c r="M490" s="30">
        <f t="shared" si="73"/>
        <v>1.1600000000000001</v>
      </c>
      <c r="N490" s="1" t="str">
        <f t="shared" si="74"/>
        <v/>
      </c>
      <c r="O490" s="1" t="str">
        <f t="shared" si="75"/>
        <v/>
      </c>
    </row>
    <row r="491" spans="1:15" x14ac:dyDescent="0.25">
      <c r="A491" s="1">
        <f t="shared" si="70"/>
        <v>480</v>
      </c>
      <c r="B491" s="3">
        <f t="shared" ca="1" si="77"/>
        <v>104000</v>
      </c>
      <c r="C491" s="26">
        <f t="shared" ca="1" si="78"/>
        <v>0.89634619367233725</v>
      </c>
      <c r="D491" s="26" t="str">
        <f t="shared" ca="1" si="76"/>
        <v>Win</v>
      </c>
      <c r="E491" s="3">
        <f t="shared" ca="1" si="79"/>
        <v>500</v>
      </c>
      <c r="F491" s="42">
        <f t="shared" si="72"/>
        <v>4.1715022404975478E-3</v>
      </c>
      <c r="G491" s="41">
        <f>SUM(F$11:F491)</f>
        <v>3.1022108853554803E-2</v>
      </c>
      <c r="I491" s="1">
        <f t="shared" si="71"/>
        <v>481</v>
      </c>
      <c r="J491" s="3">
        <v>428000</v>
      </c>
      <c r="K491" s="3">
        <v>82000</v>
      </c>
      <c r="L491" s="3">
        <v>430000</v>
      </c>
      <c r="M491" s="30">
        <f t="shared" si="73"/>
        <v>3.2800000000000002</v>
      </c>
      <c r="N491" s="1" t="str">
        <f t="shared" si="74"/>
        <v/>
      </c>
      <c r="O491" s="1" t="str">
        <f t="shared" si="75"/>
        <v/>
      </c>
    </row>
    <row r="492" spans="1:15" x14ac:dyDescent="0.25">
      <c r="A492" s="1">
        <f t="shared" si="70"/>
        <v>481</v>
      </c>
      <c r="B492" s="3">
        <f t="shared" ca="1" si="77"/>
        <v>103500</v>
      </c>
      <c r="C492" s="26">
        <f t="shared" ca="1" si="78"/>
        <v>0.20171787785616124</v>
      </c>
      <c r="D492" s="26" t="str">
        <f t="shared" ca="1" si="76"/>
        <v>Lose</v>
      </c>
      <c r="E492" s="3">
        <f t="shared" ca="1" si="79"/>
        <v>-500</v>
      </c>
      <c r="F492" s="42">
        <f t="shared" si="72"/>
        <v>4.6938028519663486E-3</v>
      </c>
      <c r="G492" s="41">
        <f>SUM(F$11:F492)</f>
        <v>3.5715911705521151E-2</v>
      </c>
      <c r="I492" s="1">
        <f t="shared" si="71"/>
        <v>482</v>
      </c>
      <c r="J492" s="3">
        <v>324000</v>
      </c>
      <c r="K492" s="3">
        <v>96000</v>
      </c>
      <c r="L492" s="3">
        <v>328000</v>
      </c>
      <c r="M492" s="30">
        <f t="shared" si="73"/>
        <v>2.2400000000000002</v>
      </c>
      <c r="N492" s="1" t="str">
        <f t="shared" si="74"/>
        <v/>
      </c>
      <c r="O492" s="1" t="str">
        <f t="shared" si="75"/>
        <v/>
      </c>
    </row>
    <row r="493" spans="1:15" x14ac:dyDescent="0.25">
      <c r="A493" s="1">
        <f t="shared" si="70"/>
        <v>482</v>
      </c>
      <c r="B493" s="3">
        <f t="shared" ca="1" si="77"/>
        <v>104000</v>
      </c>
      <c r="C493" s="26">
        <f t="shared" ca="1" si="78"/>
        <v>0.812544480391997</v>
      </c>
      <c r="D493" s="26" t="str">
        <f t="shared" ca="1" si="76"/>
        <v>Win</v>
      </c>
      <c r="E493" s="3">
        <f t="shared" ca="1" si="79"/>
        <v>500</v>
      </c>
      <c r="F493" s="42">
        <f t="shared" si="72"/>
        <v>5.2604059483740027E-3</v>
      </c>
      <c r="G493" s="41">
        <f>SUM(F$11:F493)</f>
        <v>4.0976317653895152E-2</v>
      </c>
      <c r="I493" s="1">
        <f t="shared" si="71"/>
        <v>483</v>
      </c>
      <c r="J493" s="3">
        <v>164000</v>
      </c>
      <c r="K493" s="3">
        <v>84000</v>
      </c>
      <c r="L493" s="3">
        <v>186000</v>
      </c>
      <c r="M493" s="30">
        <f t="shared" si="73"/>
        <v>0.6399999999999999</v>
      </c>
      <c r="N493" s="1" t="str">
        <f t="shared" si="74"/>
        <v/>
      </c>
      <c r="O493" s="1" t="str">
        <f t="shared" si="75"/>
        <v/>
      </c>
    </row>
    <row r="494" spans="1:15" x14ac:dyDescent="0.25">
      <c r="A494" s="1">
        <f t="shared" si="70"/>
        <v>483</v>
      </c>
      <c r="B494" s="3">
        <f t="shared" ca="1" si="77"/>
        <v>104500</v>
      </c>
      <c r="C494" s="26">
        <f t="shared" ca="1" si="78"/>
        <v>0.52979239538009359</v>
      </c>
      <c r="D494" s="26" t="str">
        <f t="shared" ca="1" si="76"/>
        <v>Win</v>
      </c>
      <c r="E494" s="3">
        <f t="shared" ca="1" si="79"/>
        <v>500</v>
      </c>
      <c r="F494" s="42">
        <f t="shared" si="72"/>
        <v>5.8718639601193353E-3</v>
      </c>
      <c r="G494" s="41">
        <f>SUM(F$11:F494)</f>
        <v>4.6848181614014488E-2</v>
      </c>
      <c r="I494" s="1">
        <f t="shared" si="71"/>
        <v>484</v>
      </c>
      <c r="J494" s="3">
        <v>364000</v>
      </c>
      <c r="K494" s="3">
        <v>100000</v>
      </c>
      <c r="L494" s="3">
        <v>368000</v>
      </c>
      <c r="M494" s="30">
        <f t="shared" si="73"/>
        <v>2.64</v>
      </c>
      <c r="N494" s="1" t="str">
        <f t="shared" si="74"/>
        <v/>
      </c>
      <c r="O494" s="1" t="str">
        <f t="shared" si="75"/>
        <v/>
      </c>
    </row>
    <row r="495" spans="1:15" x14ac:dyDescent="0.25">
      <c r="A495" s="1">
        <f t="shared" si="70"/>
        <v>484</v>
      </c>
      <c r="B495" s="3">
        <f t="shared" ca="1" si="77"/>
        <v>104000</v>
      </c>
      <c r="C495" s="26">
        <f t="shared" ca="1" si="78"/>
        <v>0.37239363407978265</v>
      </c>
      <c r="D495" s="26" t="str">
        <f t="shared" ca="1" si="76"/>
        <v>Lose</v>
      </c>
      <c r="E495" s="3">
        <f t="shared" ca="1" si="79"/>
        <v>-500</v>
      </c>
      <c r="F495" s="42">
        <f t="shared" si="72"/>
        <v>6.5282272320992887E-3</v>
      </c>
      <c r="G495" s="41">
        <f>SUM(F$11:F495)</f>
        <v>5.3376408846113776E-2</v>
      </c>
      <c r="I495" s="1">
        <f t="shared" si="71"/>
        <v>485</v>
      </c>
      <c r="J495" s="3">
        <v>452000</v>
      </c>
      <c r="K495" s="3">
        <v>100000</v>
      </c>
      <c r="L495" s="3">
        <v>456000</v>
      </c>
      <c r="M495" s="30">
        <f t="shared" si="73"/>
        <v>3.5199999999999996</v>
      </c>
      <c r="N495" s="1" t="str">
        <f t="shared" si="74"/>
        <v/>
      </c>
      <c r="O495" s="1" t="str">
        <f t="shared" si="75"/>
        <v/>
      </c>
    </row>
    <row r="496" spans="1:15" x14ac:dyDescent="0.25">
      <c r="A496" s="1">
        <f t="shared" si="70"/>
        <v>485</v>
      </c>
      <c r="B496" s="3">
        <f t="shared" ca="1" si="77"/>
        <v>103500</v>
      </c>
      <c r="C496" s="26">
        <f t="shared" ca="1" si="78"/>
        <v>0.14996535902123598</v>
      </c>
      <c r="D496" s="26" t="str">
        <f t="shared" ca="1" si="76"/>
        <v>Lose</v>
      </c>
      <c r="E496" s="3">
        <f t="shared" ca="1" si="79"/>
        <v>-500</v>
      </c>
      <c r="F496" s="42">
        <f t="shared" si="72"/>
        <v>7.2289849711729215E-3</v>
      </c>
      <c r="G496" s="41">
        <f>SUM(F$11:F496)</f>
        <v>6.0605393817286697E-2</v>
      </c>
      <c r="I496" s="1">
        <f t="shared" si="71"/>
        <v>486</v>
      </c>
      <c r="J496" s="3">
        <v>288000</v>
      </c>
      <c r="K496" s="3">
        <v>100000</v>
      </c>
      <c r="L496" s="3">
        <v>298000</v>
      </c>
      <c r="M496" s="30">
        <f t="shared" si="73"/>
        <v>1.88</v>
      </c>
      <c r="N496" s="1" t="str">
        <f t="shared" si="74"/>
        <v/>
      </c>
      <c r="O496" s="1" t="str">
        <f t="shared" si="75"/>
        <v/>
      </c>
    </row>
    <row r="497" spans="1:15" x14ac:dyDescent="0.25">
      <c r="A497" s="1">
        <f t="shared" si="70"/>
        <v>486</v>
      </c>
      <c r="B497" s="3">
        <f t="shared" ca="1" si="77"/>
        <v>104000</v>
      </c>
      <c r="C497" s="26">
        <f t="shared" ca="1" si="78"/>
        <v>0.65164645265394194</v>
      </c>
      <c r="D497" s="26" t="str">
        <f t="shared" ca="1" si="76"/>
        <v>Win</v>
      </c>
      <c r="E497" s="3">
        <f t="shared" ca="1" si="79"/>
        <v>500</v>
      </c>
      <c r="F497" s="42">
        <f t="shared" si="72"/>
        <v>7.9730112651321614E-3</v>
      </c>
      <c r="G497" s="41">
        <f>SUM(F$11:F497)</f>
        <v>6.8578405082418858E-2</v>
      </c>
      <c r="I497" s="1">
        <f t="shared" si="71"/>
        <v>487</v>
      </c>
      <c r="J497" s="3">
        <v>268000</v>
      </c>
      <c r="K497" s="3">
        <v>66000</v>
      </c>
      <c r="L497" s="3">
        <v>272000</v>
      </c>
      <c r="M497" s="30">
        <f t="shared" si="73"/>
        <v>1.6800000000000002</v>
      </c>
      <c r="N497" s="1" t="str">
        <f t="shared" si="74"/>
        <v/>
      </c>
      <c r="O497" s="1" t="str">
        <f t="shared" si="75"/>
        <v/>
      </c>
    </row>
    <row r="498" spans="1:15" x14ac:dyDescent="0.25">
      <c r="A498" s="1">
        <f t="shared" si="70"/>
        <v>487</v>
      </c>
      <c r="B498" s="3">
        <f t="shared" ca="1" si="77"/>
        <v>104500</v>
      </c>
      <c r="C498" s="26">
        <f t="shared" ca="1" si="78"/>
        <v>0.69498543562217618</v>
      </c>
      <c r="D498" s="26" t="str">
        <f t="shared" ca="1" si="76"/>
        <v>Win</v>
      </c>
      <c r="E498" s="3">
        <f t="shared" ca="1" si="79"/>
        <v>500</v>
      </c>
      <c r="F498" s="42">
        <f t="shared" si="72"/>
        <v>8.758518095133604E-3</v>
      </c>
      <c r="G498" s="41">
        <f>SUM(F$11:F498)</f>
        <v>7.7336923177552461E-2</v>
      </c>
      <c r="I498" s="1">
        <f t="shared" si="71"/>
        <v>488</v>
      </c>
      <c r="J498" s="3">
        <v>316000</v>
      </c>
      <c r="K498" s="3">
        <v>100000</v>
      </c>
      <c r="L498" s="3">
        <v>320000</v>
      </c>
      <c r="M498" s="30">
        <f t="shared" si="73"/>
        <v>2.16</v>
      </c>
      <c r="N498" s="1" t="str">
        <f t="shared" si="74"/>
        <v/>
      </c>
      <c r="O498" s="1" t="str">
        <f t="shared" si="75"/>
        <v/>
      </c>
    </row>
    <row r="499" spans="1:15" x14ac:dyDescent="0.25">
      <c r="A499" s="1">
        <f t="shared" si="70"/>
        <v>488</v>
      </c>
      <c r="B499" s="3">
        <f t="shared" ca="1" si="77"/>
        <v>104000</v>
      </c>
      <c r="C499" s="26">
        <f t="shared" ca="1" si="78"/>
        <v>0.13969880954655123</v>
      </c>
      <c r="D499" s="26" t="str">
        <f t="shared" ca="1" si="76"/>
        <v>Lose</v>
      </c>
      <c r="E499" s="3">
        <f t="shared" ca="1" si="79"/>
        <v>-500</v>
      </c>
      <c r="F499" s="42">
        <f t="shared" si="72"/>
        <v>9.5830172684418756E-3</v>
      </c>
      <c r="G499" s="41">
        <f>SUM(F$11:F499)</f>
        <v>8.691994044599434E-2</v>
      </c>
      <c r="I499" s="1">
        <f t="shared" si="71"/>
        <v>489</v>
      </c>
      <c r="J499" s="3">
        <v>264000</v>
      </c>
      <c r="K499" s="3">
        <v>100000</v>
      </c>
      <c r="L499" s="3">
        <v>280000</v>
      </c>
      <c r="M499" s="30">
        <f t="shared" si="73"/>
        <v>1.6400000000000001</v>
      </c>
      <c r="N499" s="1" t="str">
        <f t="shared" si="74"/>
        <v/>
      </c>
      <c r="O499" s="1" t="str">
        <f t="shared" si="75"/>
        <v/>
      </c>
    </row>
    <row r="500" spans="1:15" x14ac:dyDescent="0.25">
      <c r="A500" s="1">
        <f t="shared" si="70"/>
        <v>489</v>
      </c>
      <c r="B500" s="3">
        <f t="shared" ca="1" si="77"/>
        <v>104500</v>
      </c>
      <c r="C500" s="26">
        <f t="shared" ca="1" si="78"/>
        <v>0.56164414371251237</v>
      </c>
      <c r="D500" s="26" t="str">
        <f t="shared" ca="1" si="76"/>
        <v>Win</v>
      </c>
      <c r="E500" s="3">
        <f t="shared" ca="1" si="79"/>
        <v>500</v>
      </c>
      <c r="F500" s="42">
        <f t="shared" si="72"/>
        <v>1.0443293139416237E-2</v>
      </c>
      <c r="G500" s="41">
        <f>SUM(F$11:F500)</f>
        <v>9.7363233585410575E-2</v>
      </c>
      <c r="I500" s="1">
        <f t="shared" si="71"/>
        <v>490</v>
      </c>
      <c r="J500" s="3">
        <v>232000</v>
      </c>
      <c r="K500" s="3">
        <v>98000</v>
      </c>
      <c r="L500" s="3">
        <v>256000</v>
      </c>
      <c r="M500" s="30">
        <f t="shared" si="73"/>
        <v>1.3199999999999998</v>
      </c>
      <c r="N500" s="1" t="str">
        <f t="shared" si="74"/>
        <v/>
      </c>
      <c r="O500" s="1" t="str">
        <f t="shared" si="75"/>
        <v/>
      </c>
    </row>
    <row r="501" spans="1:15" x14ac:dyDescent="0.25">
      <c r="A501" s="1">
        <f t="shared" si="70"/>
        <v>490</v>
      </c>
      <c r="B501" s="3">
        <f t="shared" ca="1" si="77"/>
        <v>105000</v>
      </c>
      <c r="C501" s="26">
        <f t="shared" ca="1" si="78"/>
        <v>0.58518357170138291</v>
      </c>
      <c r="D501" s="26" t="str">
        <f t="shared" ca="1" si="76"/>
        <v>Win</v>
      </c>
      <c r="E501" s="3">
        <f t="shared" ca="1" si="79"/>
        <v>500</v>
      </c>
      <c r="F501" s="42">
        <f t="shared" si="72"/>
        <v>1.1335387859488904E-2</v>
      </c>
      <c r="G501" s="41">
        <f>SUM(F$11:F501)</f>
        <v>0.10869862144489947</v>
      </c>
      <c r="I501" s="1">
        <f t="shared" si="71"/>
        <v>491</v>
      </c>
      <c r="J501" s="3">
        <v>308000</v>
      </c>
      <c r="K501" s="3">
        <v>96000</v>
      </c>
      <c r="L501" s="3">
        <v>312000</v>
      </c>
      <c r="M501" s="30">
        <f t="shared" si="73"/>
        <v>2.08</v>
      </c>
      <c r="N501" s="1" t="str">
        <f t="shared" si="74"/>
        <v/>
      </c>
      <c r="O501" s="1" t="str">
        <f t="shared" si="75"/>
        <v/>
      </c>
    </row>
    <row r="502" spans="1:15" x14ac:dyDescent="0.25">
      <c r="A502" s="1">
        <f t="shared" si="70"/>
        <v>491</v>
      </c>
      <c r="B502" s="3">
        <f t="shared" ca="1" si="77"/>
        <v>104500</v>
      </c>
      <c r="C502" s="26">
        <f t="shared" ca="1" si="78"/>
        <v>0.38823233383794331</v>
      </c>
      <c r="D502" s="26" t="str">
        <f t="shared" ca="1" si="76"/>
        <v>Lose</v>
      </c>
      <c r="E502" s="3">
        <f t="shared" ca="1" si="79"/>
        <v>-500</v>
      </c>
      <c r="F502" s="42">
        <f t="shared" si="72"/>
        <v>1.2254600699335236E-2</v>
      </c>
      <c r="G502" s="41">
        <f>SUM(F$11:F502)</f>
        <v>0.12095322214423471</v>
      </c>
      <c r="I502" s="1">
        <f t="shared" si="71"/>
        <v>492</v>
      </c>
      <c r="J502" s="3">
        <v>252000</v>
      </c>
      <c r="K502" s="3">
        <v>80000</v>
      </c>
      <c r="L502" s="3">
        <v>268000</v>
      </c>
      <c r="M502" s="30">
        <f t="shared" si="73"/>
        <v>1.52</v>
      </c>
      <c r="N502" s="1" t="str">
        <f t="shared" si="74"/>
        <v/>
      </c>
      <c r="O502" s="1" t="str">
        <f t="shared" si="75"/>
        <v/>
      </c>
    </row>
    <row r="503" spans="1:15" x14ac:dyDescent="0.25">
      <c r="A503" s="1">
        <f t="shared" si="70"/>
        <v>492</v>
      </c>
      <c r="B503" s="3">
        <f t="shared" ca="1" si="77"/>
        <v>105000</v>
      </c>
      <c r="C503" s="26">
        <f t="shared" ca="1" si="78"/>
        <v>0.5162561274637476</v>
      </c>
      <c r="D503" s="26" t="str">
        <f t="shared" ca="1" si="76"/>
        <v>Win</v>
      </c>
      <c r="E503" s="3">
        <f t="shared" ca="1" si="79"/>
        <v>500</v>
      </c>
      <c r="F503" s="42">
        <f t="shared" si="72"/>
        <v>1.3195502719182108E-2</v>
      </c>
      <c r="G503" s="41">
        <f>SUM(F$11:F503)</f>
        <v>0.13414872486341681</v>
      </c>
      <c r="I503" s="1">
        <f t="shared" si="71"/>
        <v>493</v>
      </c>
      <c r="J503" s="3">
        <v>276000</v>
      </c>
      <c r="K503" s="3">
        <v>80000</v>
      </c>
      <c r="L503" s="3">
        <v>280000</v>
      </c>
      <c r="M503" s="30">
        <f t="shared" si="73"/>
        <v>1.7599999999999998</v>
      </c>
      <c r="N503" s="1" t="str">
        <f t="shared" si="74"/>
        <v/>
      </c>
      <c r="O503" s="1" t="str">
        <f t="shared" si="75"/>
        <v/>
      </c>
    </row>
    <row r="504" spans="1:15" x14ac:dyDescent="0.25">
      <c r="A504" s="1">
        <f t="shared" si="70"/>
        <v>493</v>
      </c>
      <c r="B504" s="3">
        <f t="shared" ca="1" si="77"/>
        <v>105500</v>
      </c>
      <c r="C504" s="26">
        <f t="shared" ca="1" si="78"/>
        <v>0.61407667978370972</v>
      </c>
      <c r="D504" s="26" t="str">
        <f t="shared" ca="1" si="76"/>
        <v>Win</v>
      </c>
      <c r="E504" s="3">
        <f t="shared" ca="1" si="79"/>
        <v>500</v>
      </c>
      <c r="F504" s="42">
        <f t="shared" si="72"/>
        <v>1.4151967729791378E-2</v>
      </c>
      <c r="G504" s="41">
        <f>SUM(F$11:F504)</f>
        <v>0.14830069259320819</v>
      </c>
      <c r="I504" s="1">
        <f t="shared" si="71"/>
        <v>494</v>
      </c>
      <c r="J504" s="3">
        <v>360000</v>
      </c>
      <c r="K504" s="3">
        <v>100000</v>
      </c>
      <c r="L504" s="3">
        <v>378000</v>
      </c>
      <c r="M504" s="30">
        <f t="shared" si="73"/>
        <v>2.6</v>
      </c>
      <c r="N504" s="1" t="str">
        <f t="shared" si="74"/>
        <v/>
      </c>
      <c r="O504" s="1" t="str">
        <f t="shared" si="75"/>
        <v/>
      </c>
    </row>
    <row r="505" spans="1:15" x14ac:dyDescent="0.25">
      <c r="A505" s="1">
        <f t="shared" si="70"/>
        <v>494</v>
      </c>
      <c r="B505" s="3">
        <f t="shared" ca="1" si="77"/>
        <v>105000</v>
      </c>
      <c r="C505" s="26">
        <f t="shared" ca="1" si="78"/>
        <v>4.9164595842433378E-2</v>
      </c>
      <c r="D505" s="26" t="str">
        <f t="shared" ca="1" si="76"/>
        <v>Lose</v>
      </c>
      <c r="E505" s="3">
        <f t="shared" ca="1" si="79"/>
        <v>-500</v>
      </c>
      <c r="F505" s="42">
        <f t="shared" si="72"/>
        <v>1.5117220093746036E-2</v>
      </c>
      <c r="G505" s="41">
        <f>SUM(F$11:F505)</f>
        <v>0.16341791268695421</v>
      </c>
      <c r="I505" s="1">
        <f t="shared" si="71"/>
        <v>495</v>
      </c>
      <c r="J505" s="3">
        <v>260000</v>
      </c>
      <c r="K505" s="3">
        <v>96000</v>
      </c>
      <c r="L505" s="3">
        <v>262000</v>
      </c>
      <c r="M505" s="30">
        <f t="shared" si="73"/>
        <v>1.6</v>
      </c>
      <c r="N505" s="1" t="str">
        <f t="shared" si="74"/>
        <v/>
      </c>
      <c r="O505" s="1" t="str">
        <f t="shared" si="75"/>
        <v/>
      </c>
    </row>
    <row r="506" spans="1:15" x14ac:dyDescent="0.25">
      <c r="A506" s="1">
        <f t="shared" si="70"/>
        <v>495</v>
      </c>
      <c r="B506" s="3">
        <f t="shared" ca="1" si="77"/>
        <v>104500</v>
      </c>
      <c r="C506" s="26">
        <f t="shared" ca="1" si="78"/>
        <v>2.7866250992828356E-2</v>
      </c>
      <c r="D506" s="26" t="str">
        <f t="shared" ca="1" si="76"/>
        <v>Lose</v>
      </c>
      <c r="E506" s="3">
        <f t="shared" ca="1" si="79"/>
        <v>-500</v>
      </c>
      <c r="F506" s="42">
        <f t="shared" si="72"/>
        <v>1.6083899473890276E-2</v>
      </c>
      <c r="G506" s="41">
        <f>SUM(F$11:F506)</f>
        <v>0.17950181216084449</v>
      </c>
      <c r="I506" s="1">
        <f t="shared" si="71"/>
        <v>496</v>
      </c>
      <c r="J506" s="3">
        <v>340000</v>
      </c>
      <c r="K506" s="3">
        <v>90000</v>
      </c>
      <c r="L506" s="3">
        <v>344000</v>
      </c>
      <c r="M506" s="30">
        <f t="shared" si="73"/>
        <v>2.4</v>
      </c>
      <c r="N506" s="1" t="str">
        <f t="shared" si="74"/>
        <v/>
      </c>
      <c r="O506" s="1" t="str">
        <f t="shared" si="75"/>
        <v/>
      </c>
    </row>
    <row r="507" spans="1:15" x14ac:dyDescent="0.25">
      <c r="A507" s="1">
        <f t="shared" si="70"/>
        <v>496</v>
      </c>
      <c r="B507" s="3">
        <f t="shared" ca="1" si="77"/>
        <v>104000</v>
      </c>
      <c r="C507" s="26">
        <f t="shared" ca="1" si="78"/>
        <v>0.26859829315545503</v>
      </c>
      <c r="D507" s="26" t="str">
        <f t="shared" ca="1" si="76"/>
        <v>Lose</v>
      </c>
      <c r="E507" s="3">
        <f t="shared" ca="1" si="79"/>
        <v>-500</v>
      </c>
      <c r="F507" s="42">
        <f t="shared" si="72"/>
        <v>1.7044142155614114E-2</v>
      </c>
      <c r="G507" s="41">
        <f>SUM(F$11:F507)</f>
        <v>0.1965459543164586</v>
      </c>
      <c r="I507" s="1">
        <f t="shared" si="71"/>
        <v>497</v>
      </c>
      <c r="J507" s="3">
        <v>288000</v>
      </c>
      <c r="K507" s="3">
        <v>90000</v>
      </c>
      <c r="L507" s="3">
        <v>288000</v>
      </c>
      <c r="M507" s="30">
        <f t="shared" si="73"/>
        <v>1.88</v>
      </c>
      <c r="N507" s="1" t="str">
        <f t="shared" si="74"/>
        <v/>
      </c>
      <c r="O507" s="1" t="str">
        <f t="shared" si="75"/>
        <v/>
      </c>
    </row>
    <row r="508" spans="1:15" x14ac:dyDescent="0.25">
      <c r="A508" s="1">
        <f t="shared" si="70"/>
        <v>497</v>
      </c>
      <c r="B508" s="3">
        <f t="shared" ca="1" si="77"/>
        <v>104500</v>
      </c>
      <c r="C508" s="26">
        <f t="shared" ca="1" si="78"/>
        <v>0.96376360824797613</v>
      </c>
      <c r="D508" s="26" t="str">
        <f t="shared" ca="1" si="76"/>
        <v>Win</v>
      </c>
      <c r="E508" s="3">
        <f t="shared" ca="1" si="79"/>
        <v>500</v>
      </c>
      <c r="F508" s="42">
        <f t="shared" si="72"/>
        <v>1.7989678067092531E-2</v>
      </c>
      <c r="G508" s="41">
        <f>SUM(F$11:F508)</f>
        <v>0.21453563238355114</v>
      </c>
      <c r="I508" s="1">
        <f t="shared" si="71"/>
        <v>498</v>
      </c>
      <c r="J508" s="3">
        <v>356000</v>
      </c>
      <c r="K508" s="3">
        <v>96000</v>
      </c>
      <c r="L508" s="3">
        <v>376000</v>
      </c>
      <c r="M508" s="30">
        <f t="shared" si="73"/>
        <v>2.56</v>
      </c>
      <c r="N508" s="1" t="str">
        <f t="shared" si="74"/>
        <v/>
      </c>
      <c r="O508" s="1" t="str">
        <f t="shared" si="75"/>
        <v/>
      </c>
    </row>
    <row r="509" spans="1:15" x14ac:dyDescent="0.25">
      <c r="A509" s="1">
        <f t="shared" si="70"/>
        <v>498</v>
      </c>
      <c r="B509" s="3">
        <f t="shared" ca="1" si="77"/>
        <v>104000</v>
      </c>
      <c r="C509" s="26">
        <f t="shared" ca="1" si="78"/>
        <v>0.22811854474123039</v>
      </c>
      <c r="D509" s="26" t="str">
        <f t="shared" ca="1" si="76"/>
        <v>Lose</v>
      </c>
      <c r="E509" s="3">
        <f t="shared" ca="1" si="79"/>
        <v>-500</v>
      </c>
      <c r="F509" s="42">
        <f t="shared" si="72"/>
        <v>1.8911942113561397E-2</v>
      </c>
      <c r="G509" s="41">
        <f>SUM(F$11:F509)</f>
        <v>0.23344757449711254</v>
      </c>
      <c r="I509" s="1">
        <f t="shared" si="71"/>
        <v>499</v>
      </c>
      <c r="J509" s="3">
        <v>208000</v>
      </c>
      <c r="K509" s="3">
        <v>72000</v>
      </c>
      <c r="L509" s="3">
        <v>210000</v>
      </c>
      <c r="M509" s="30">
        <f t="shared" si="73"/>
        <v>1.08</v>
      </c>
      <c r="N509" s="1" t="str">
        <f t="shared" si="74"/>
        <v/>
      </c>
      <c r="O509" s="1" t="str">
        <f t="shared" si="75"/>
        <v/>
      </c>
    </row>
    <row r="510" spans="1:15" x14ac:dyDescent="0.25">
      <c r="A510" s="1">
        <f t="shared" si="70"/>
        <v>499</v>
      </c>
      <c r="B510" s="3">
        <f t="shared" ca="1" si="77"/>
        <v>104500</v>
      </c>
      <c r="C510" s="26">
        <f t="shared" ca="1" si="78"/>
        <v>0.72150539565250382</v>
      </c>
      <c r="D510" s="26" t="str">
        <f t="shared" ca="1" si="76"/>
        <v>Win</v>
      </c>
      <c r="E510" s="3">
        <f t="shared" ca="1" si="79"/>
        <v>500</v>
      </c>
      <c r="F510" s="42">
        <f t="shared" si="72"/>
        <v>1.9802197946562485E-2</v>
      </c>
      <c r="G510" s="41">
        <f>SUM(F$11:F510)</f>
        <v>0.25324977244367503</v>
      </c>
      <c r="I510" s="1">
        <f t="shared" si="71"/>
        <v>500</v>
      </c>
      <c r="J510" s="3">
        <v>280000</v>
      </c>
      <c r="K510" s="3">
        <v>98000</v>
      </c>
      <c r="L510" s="3">
        <v>280000</v>
      </c>
      <c r="M510" s="30">
        <f t="shared" si="73"/>
        <v>1.7999999999999998</v>
      </c>
      <c r="N510" s="1" t="str">
        <f t="shared" si="74"/>
        <v/>
      </c>
      <c r="O510" s="1" t="str">
        <f t="shared" si="75"/>
        <v/>
      </c>
    </row>
    <row r="511" spans="1:15" x14ac:dyDescent="0.25">
      <c r="A511" s="1">
        <f t="shared" si="70"/>
        <v>500</v>
      </c>
      <c r="B511" s="3">
        <f t="shared" ca="1" si="77"/>
        <v>105000</v>
      </c>
      <c r="C511" s="26">
        <f t="shared" ca="1" si="78"/>
        <v>0.63471281908684207</v>
      </c>
      <c r="D511" s="26" t="str">
        <f t="shared" ca="1" si="76"/>
        <v>Win</v>
      </c>
      <c r="E511" s="3">
        <f t="shared" ca="1" si="79"/>
        <v>500</v>
      </c>
      <c r="F511" s="42">
        <f t="shared" si="72"/>
        <v>2.065167182582113E-2</v>
      </c>
      <c r="G511" s="41">
        <f>SUM(F$11:F511)</f>
        <v>0.27390144426949614</v>
      </c>
    </row>
    <row r="512" spans="1:15" x14ac:dyDescent="0.25">
      <c r="A512" s="1">
        <f t="shared" si="70"/>
        <v>501</v>
      </c>
      <c r="B512" s="3">
        <f t="shared" ca="1" si="77"/>
        <v>105500</v>
      </c>
      <c r="C512" s="26">
        <f t="shared" ca="1" si="78"/>
        <v>0.63361705394842804</v>
      </c>
      <c r="D512" s="26" t="str">
        <f t="shared" ca="1" si="76"/>
        <v>Win</v>
      </c>
      <c r="E512" s="3">
        <f t="shared" ca="1" si="79"/>
        <v>500</v>
      </c>
      <c r="F512" s="42">
        <f t="shared" si="72"/>
        <v>2.1451693818829214E-2</v>
      </c>
      <c r="G512" s="41">
        <f>SUM(F$11:F512)</f>
        <v>0.29535313808832536</v>
      </c>
    </row>
    <row r="513" spans="1:7" x14ac:dyDescent="0.25">
      <c r="A513" s="1">
        <f t="shared" si="70"/>
        <v>502</v>
      </c>
      <c r="B513" s="3">
        <f t="shared" ca="1" si="77"/>
        <v>105000</v>
      </c>
      <c r="C513" s="26">
        <f t="shared" ca="1" si="78"/>
        <v>0.46730856078132976</v>
      </c>
      <c r="D513" s="26" t="str">
        <f t="shared" ca="1" si="76"/>
        <v>Lose</v>
      </c>
      <c r="E513" s="3">
        <f t="shared" ca="1" si="79"/>
        <v>-500</v>
      </c>
      <c r="F513" s="42">
        <f t="shared" si="72"/>
        <v>2.219384323910013E-2</v>
      </c>
      <c r="G513" s="41">
        <f>SUM(F$11:F513)</f>
        <v>0.31754698132742548</v>
      </c>
    </row>
    <row r="514" spans="1:7" x14ac:dyDescent="0.25">
      <c r="A514" s="1">
        <f t="shared" si="70"/>
        <v>503</v>
      </c>
      <c r="B514" s="3">
        <f t="shared" ca="1" si="77"/>
        <v>105500</v>
      </c>
      <c r="C514" s="26">
        <f t="shared" ca="1" si="78"/>
        <v>0.51747173170197158</v>
      </c>
      <c r="D514" s="26" t="str">
        <f t="shared" ca="1" si="76"/>
        <v>Win</v>
      </c>
      <c r="E514" s="3">
        <f t="shared" ca="1" si="79"/>
        <v>500</v>
      </c>
      <c r="F514" s="42">
        <f t="shared" si="72"/>
        <v>2.2870094964363413E-2</v>
      </c>
      <c r="G514" s="41">
        <f>SUM(F$11:F514)</f>
        <v>0.34041707629178891</v>
      </c>
    </row>
    <row r="515" spans="1:7" x14ac:dyDescent="0.25">
      <c r="A515" s="1">
        <f t="shared" si="70"/>
        <v>504</v>
      </c>
      <c r="B515" s="3">
        <f t="shared" ca="1" si="77"/>
        <v>106000</v>
      </c>
      <c r="C515" s="26">
        <f t="shared" ca="1" si="78"/>
        <v>0.99426123284611112</v>
      </c>
      <c r="D515" s="26" t="str">
        <f t="shared" ca="1" si="76"/>
        <v>Win</v>
      </c>
      <c r="E515" s="3">
        <f t="shared" ca="1" si="79"/>
        <v>500</v>
      </c>
      <c r="F515" s="42">
        <f t="shared" si="72"/>
        <v>2.3472963113934191E-2</v>
      </c>
      <c r="G515" s="41">
        <f>SUM(F$11:F515)</f>
        <v>0.36389003940572312</v>
      </c>
    </row>
    <row r="516" spans="1:7" x14ac:dyDescent="0.25">
      <c r="A516" s="1">
        <f t="shared" si="70"/>
        <v>505</v>
      </c>
      <c r="B516" s="3">
        <f t="shared" ca="1" si="77"/>
        <v>106500</v>
      </c>
      <c r="C516" s="26">
        <f t="shared" ca="1" si="78"/>
        <v>0.71453180541389505</v>
      </c>
      <c r="D516" s="26" t="str">
        <f t="shared" ca="1" si="76"/>
        <v>Win</v>
      </c>
      <c r="E516" s="3">
        <f t="shared" ca="1" si="79"/>
        <v>500</v>
      </c>
      <c r="F516" s="42">
        <f t="shared" si="72"/>
        <v>2.3995638510005229E-2</v>
      </c>
      <c r="G516" s="41">
        <f>SUM(F$11:F516)</f>
        <v>0.38788567791572837</v>
      </c>
    </row>
    <row r="517" spans="1:7" x14ac:dyDescent="0.25">
      <c r="A517" s="1">
        <f t="shared" ref="A517:A580" si="80">A516+1</f>
        <v>506</v>
      </c>
      <c r="B517" s="3">
        <f t="shared" ca="1" si="77"/>
        <v>106000</v>
      </c>
      <c r="C517" s="26">
        <f t="shared" ca="1" si="78"/>
        <v>4.1265767891127569E-2</v>
      </c>
      <c r="D517" s="26" t="str">
        <f t="shared" ca="1" si="76"/>
        <v>Lose</v>
      </c>
      <c r="E517" s="3">
        <f t="shared" ca="1" si="79"/>
        <v>-500</v>
      </c>
      <c r="F517" s="42">
        <f t="shared" si="72"/>
        <v>2.443211640659361E-2</v>
      </c>
      <c r="G517" s="41">
        <f>SUM(F$11:F517)</f>
        <v>0.41231779432232196</v>
      </c>
    </row>
    <row r="518" spans="1:7" x14ac:dyDescent="0.25">
      <c r="A518" s="1">
        <f t="shared" si="80"/>
        <v>507</v>
      </c>
      <c r="B518" s="3">
        <f t="shared" ca="1" si="77"/>
        <v>106500</v>
      </c>
      <c r="C518" s="26">
        <f t="shared" ca="1" si="78"/>
        <v>0.96683092782914182</v>
      </c>
      <c r="D518" s="26" t="str">
        <f t="shared" ca="1" si="76"/>
        <v>Win</v>
      </c>
      <c r="E518" s="3">
        <f t="shared" ca="1" si="79"/>
        <v>500</v>
      </c>
      <c r="F518" s="42">
        <f t="shared" si="72"/>
        <v>2.4777311143892432E-2</v>
      </c>
      <c r="G518" s="41">
        <f>SUM(F$11:F518)</f>
        <v>0.43709510546621438</v>
      </c>
    </row>
    <row r="519" spans="1:7" x14ac:dyDescent="0.25">
      <c r="A519" s="1">
        <f t="shared" si="80"/>
        <v>508</v>
      </c>
      <c r="B519" s="3">
        <f t="shared" ca="1" si="77"/>
        <v>106000</v>
      </c>
      <c r="C519" s="26">
        <f t="shared" ca="1" si="78"/>
        <v>0.31795107933715483</v>
      </c>
      <c r="D519" s="26" t="str">
        <f t="shared" ca="1" si="76"/>
        <v>Lose</v>
      </c>
      <c r="E519" s="3">
        <f t="shared" ca="1" si="79"/>
        <v>-500</v>
      </c>
      <c r="F519" s="42">
        <f t="shared" si="72"/>
        <v>2.5027154671817757E-2</v>
      </c>
      <c r="G519" s="41">
        <f>SUM(F$11:F519)</f>
        <v>0.46212226013803215</v>
      </c>
    </row>
    <row r="520" spans="1:7" x14ac:dyDescent="0.25">
      <c r="A520" s="1">
        <f t="shared" si="80"/>
        <v>509</v>
      </c>
      <c r="B520" s="3">
        <f t="shared" ca="1" si="77"/>
        <v>105500</v>
      </c>
      <c r="C520" s="26">
        <f t="shared" ca="1" si="78"/>
        <v>0.34338625664904676</v>
      </c>
      <c r="D520" s="26" t="str">
        <f t="shared" ca="1" si="76"/>
        <v>Lose</v>
      </c>
      <c r="E520" s="3">
        <f t="shared" ca="1" si="79"/>
        <v>-500</v>
      </c>
      <c r="F520" s="42">
        <f t="shared" si="72"/>
        <v>2.5178676277023811E-2</v>
      </c>
      <c r="G520" s="41">
        <f>SUM(F$11:F520)</f>
        <v>0.48730093641505595</v>
      </c>
    </row>
    <row r="521" spans="1:7" x14ac:dyDescent="0.25">
      <c r="A521" s="1">
        <f t="shared" si="80"/>
        <v>510</v>
      </c>
      <c r="B521" s="3">
        <f t="shared" ca="1" si="77"/>
        <v>105000</v>
      </c>
      <c r="C521" s="26">
        <f t="shared" ca="1" si="78"/>
        <v>2.1536080424417015E-2</v>
      </c>
      <c r="D521" s="26" t="str">
        <f t="shared" ca="1" si="76"/>
        <v>Lose</v>
      </c>
      <c r="E521" s="3">
        <f t="shared" ca="1" si="79"/>
        <v>-500</v>
      </c>
      <c r="F521" s="42">
        <f t="shared" si="72"/>
        <v>2.5230061330650394E-2</v>
      </c>
      <c r="G521" s="41">
        <f>SUM(F$11:F521)</f>
        <v>0.51253099774570632</v>
      </c>
    </row>
    <row r="522" spans="1:7" x14ac:dyDescent="0.25">
      <c r="A522" s="1">
        <f t="shared" si="80"/>
        <v>511</v>
      </c>
      <c r="B522" s="3">
        <f t="shared" ca="1" si="77"/>
        <v>105500</v>
      </c>
      <c r="C522" s="26">
        <f t="shared" ca="1" si="78"/>
        <v>0.63176243830117529</v>
      </c>
      <c r="D522" s="26" t="str">
        <f t="shared" ca="1" si="76"/>
        <v>Win</v>
      </c>
      <c r="E522" s="3">
        <f t="shared" ca="1" si="79"/>
        <v>500</v>
      </c>
      <c r="F522" s="42">
        <f t="shared" si="72"/>
        <v>2.5180687433721524E-2</v>
      </c>
      <c r="G522" s="41">
        <f>SUM(F$11:F522)</f>
        <v>0.5377116851794278</v>
      </c>
    </row>
    <row r="523" spans="1:7" x14ac:dyDescent="0.25">
      <c r="A523" s="1">
        <f t="shared" si="80"/>
        <v>512</v>
      </c>
      <c r="B523" s="3">
        <f t="shared" ca="1" si="77"/>
        <v>106000</v>
      </c>
      <c r="C523" s="26">
        <f t="shared" ca="1" si="78"/>
        <v>0.73137603352982894</v>
      </c>
      <c r="D523" s="26" t="str">
        <f t="shared" ca="1" si="76"/>
        <v>Win</v>
      </c>
      <c r="E523" s="3">
        <f t="shared" ca="1" si="79"/>
        <v>500</v>
      </c>
      <c r="F523" s="42">
        <f t="shared" si="72"/>
        <v>2.5031136954304093E-2</v>
      </c>
      <c r="G523" s="41">
        <f>SUM(F$11:F523)</f>
        <v>0.56274282213373195</v>
      </c>
    </row>
    <row r="524" spans="1:7" x14ac:dyDescent="0.25">
      <c r="A524" s="1">
        <f t="shared" si="80"/>
        <v>513</v>
      </c>
      <c r="B524" s="3">
        <f t="shared" ca="1" si="77"/>
        <v>105500</v>
      </c>
      <c r="C524" s="26">
        <f t="shared" ca="1" si="78"/>
        <v>0.40982938655114964</v>
      </c>
      <c r="D524" s="26" t="str">
        <f t="shared" ca="1" si="76"/>
        <v>Lose</v>
      </c>
      <c r="E524" s="3">
        <f t="shared" ca="1" si="79"/>
        <v>-500</v>
      </c>
      <c r="F524" s="42">
        <f t="shared" ref="F524:F587" si="81">_xlfn.BINOM.DIST(A524,$A$1011,$B$1,FALSE)</f>
        <v>2.4783185603640862E-2</v>
      </c>
      <c r="G524" s="41">
        <f>SUM(F$11:F524)</f>
        <v>0.58752600773737285</v>
      </c>
    </row>
    <row r="525" spans="1:7" x14ac:dyDescent="0.25">
      <c r="A525" s="1">
        <f t="shared" si="80"/>
        <v>514</v>
      </c>
      <c r="B525" s="3">
        <f t="shared" ca="1" si="77"/>
        <v>105000</v>
      </c>
      <c r="C525" s="26">
        <f t="shared" ca="1" si="78"/>
        <v>0.43105180120683995</v>
      </c>
      <c r="D525" s="26" t="str">
        <f t="shared" ref="D525:D588" ca="1" si="82">IF(C525&gt;$B$2,"Win","Lose")</f>
        <v>Lose</v>
      </c>
      <c r="E525" s="3">
        <f t="shared" ca="1" si="79"/>
        <v>-500</v>
      </c>
      <c r="F525" s="42">
        <f t="shared" si="81"/>
        <v>2.4439767364314604E-2</v>
      </c>
      <c r="G525" s="41">
        <f>SUM(F$11:F525)</f>
        <v>0.61196577510168748</v>
      </c>
    </row>
    <row r="526" spans="1:7" x14ac:dyDescent="0.25">
      <c r="A526" s="1">
        <f t="shared" si="80"/>
        <v>515</v>
      </c>
      <c r="B526" s="3">
        <f t="shared" ref="B526:B589" ca="1" si="83">B525+E526</f>
        <v>105500</v>
      </c>
      <c r="C526" s="26">
        <f t="shared" ref="C526:C589" ca="1" si="84">RAND()</f>
        <v>0.93284185138543452</v>
      </c>
      <c r="D526" s="26" t="str">
        <f t="shared" ca="1" si="82"/>
        <v>Win</v>
      </c>
      <c r="E526" s="3">
        <f t="shared" ref="E526:E589" ca="1" si="85">IF(D526="Win",$B$4,-$B$4)</f>
        <v>500</v>
      </c>
      <c r="F526" s="42">
        <f t="shared" si="81"/>
        <v>2.4004916738335727E-2</v>
      </c>
      <c r="G526" s="41">
        <f>SUM(F$11:F526)</f>
        <v>0.63597069184002319</v>
      </c>
    </row>
    <row r="527" spans="1:7" x14ac:dyDescent="0.25">
      <c r="A527" s="1">
        <f t="shared" si="80"/>
        <v>516</v>
      </c>
      <c r="B527" s="3">
        <f t="shared" ca="1" si="83"/>
        <v>106000</v>
      </c>
      <c r="C527" s="26">
        <f t="shared" ca="1" si="84"/>
        <v>0.94511184304789642</v>
      </c>
      <c r="D527" s="26" t="str">
        <f t="shared" ca="1" si="82"/>
        <v>Win</v>
      </c>
      <c r="E527" s="3">
        <f t="shared" ca="1" si="85"/>
        <v>500</v>
      </c>
      <c r="F527" s="42">
        <f t="shared" si="81"/>
        <v>2.3483689903604402E-2</v>
      </c>
      <c r="G527" s="41">
        <f>SUM(F$11:F527)</f>
        <v>0.65945438174362758</v>
      </c>
    </row>
    <row r="528" spans="1:7" x14ac:dyDescent="0.25">
      <c r="A528" s="1">
        <f t="shared" si="80"/>
        <v>517</v>
      </c>
      <c r="B528" s="3">
        <f t="shared" ca="1" si="83"/>
        <v>105500</v>
      </c>
      <c r="C528" s="26">
        <f t="shared" ca="1" si="84"/>
        <v>0.36163422757859109</v>
      </c>
      <c r="D528" s="26" t="str">
        <f t="shared" ca="1" si="82"/>
        <v>Lose</v>
      </c>
      <c r="E528" s="3">
        <f t="shared" ca="1" si="85"/>
        <v>-500</v>
      </c>
      <c r="F528" s="42">
        <f t="shared" si="81"/>
        <v>2.2882066931692702E-2</v>
      </c>
      <c r="G528" s="41">
        <f>SUM(F$11:F528)</f>
        <v>0.68233644867532028</v>
      </c>
    </row>
    <row r="529" spans="1:7" x14ac:dyDescent="0.25">
      <c r="A529" s="1">
        <f t="shared" si="80"/>
        <v>518</v>
      </c>
      <c r="B529" s="3">
        <f t="shared" ca="1" si="83"/>
        <v>106000</v>
      </c>
      <c r="C529" s="26">
        <f t="shared" ca="1" si="84"/>
        <v>0.84881031626966341</v>
      </c>
      <c r="D529" s="26" t="str">
        <f t="shared" ca="1" si="82"/>
        <v>Win</v>
      </c>
      <c r="E529" s="3">
        <f t="shared" ca="1" si="85"/>
        <v>500</v>
      </c>
      <c r="F529" s="42">
        <f t="shared" si="81"/>
        <v>2.2206837708942821E-2</v>
      </c>
      <c r="G529" s="41">
        <f>SUM(F$11:F529)</f>
        <v>0.70454328638426311</v>
      </c>
    </row>
    <row r="530" spans="1:7" x14ac:dyDescent="0.25">
      <c r="A530" s="1">
        <f t="shared" si="80"/>
        <v>519</v>
      </c>
      <c r="B530" s="3">
        <f t="shared" ca="1" si="83"/>
        <v>105500</v>
      </c>
      <c r="C530" s="26">
        <f t="shared" ca="1" si="84"/>
        <v>0.13059963800590157</v>
      </c>
      <c r="D530" s="26" t="str">
        <f t="shared" ca="1" si="82"/>
        <v>Lose</v>
      </c>
      <c r="E530" s="3">
        <f t="shared" ca="1" si="85"/>
        <v>-500</v>
      </c>
      <c r="F530" s="42">
        <f t="shared" si="81"/>
        <v>2.1465474600339523E-2</v>
      </c>
      <c r="G530" s="41">
        <f>SUM(F$11:F530)</f>
        <v>0.72600876098460265</v>
      </c>
    </row>
    <row r="531" spans="1:7" x14ac:dyDescent="0.25">
      <c r="A531" s="1">
        <f t="shared" si="80"/>
        <v>520</v>
      </c>
      <c r="B531" s="3">
        <f t="shared" ca="1" si="83"/>
        <v>105000</v>
      </c>
      <c r="C531" s="26">
        <f t="shared" ca="1" si="84"/>
        <v>0.20689017588405845</v>
      </c>
      <c r="D531" s="26" t="str">
        <f t="shared" ca="1" si="82"/>
        <v>Lose</v>
      </c>
      <c r="E531" s="3">
        <f t="shared" ca="1" si="85"/>
        <v>-500</v>
      </c>
      <c r="F531" s="42">
        <f t="shared" si="81"/>
        <v>2.0665995189204336E-2</v>
      </c>
      <c r="G531" s="41">
        <f>SUM(F$11:F531)</f>
        <v>0.74667475617380696</v>
      </c>
    </row>
    <row r="532" spans="1:7" x14ac:dyDescent="0.25">
      <c r="A532" s="1">
        <f t="shared" si="80"/>
        <v>521</v>
      </c>
      <c r="B532" s="3">
        <f t="shared" ca="1" si="83"/>
        <v>104500</v>
      </c>
      <c r="C532" s="26">
        <f t="shared" ca="1" si="84"/>
        <v>6.8224503206424036E-2</v>
      </c>
      <c r="D532" s="26" t="str">
        <f t="shared" ca="1" si="82"/>
        <v>Lose</v>
      </c>
      <c r="E532" s="3">
        <f t="shared" ca="1" si="85"/>
        <v>-500</v>
      </c>
      <c r="F532" s="42">
        <f t="shared" si="81"/>
        <v>1.9816818607533496E-2</v>
      </c>
      <c r="G532" s="41">
        <f>SUM(F$11:F532)</f>
        <v>0.76649157478134045</v>
      </c>
    </row>
    <row r="533" spans="1:7" x14ac:dyDescent="0.25">
      <c r="A533" s="1">
        <f t="shared" si="80"/>
        <v>522</v>
      </c>
      <c r="B533" s="3">
        <f t="shared" ca="1" si="83"/>
        <v>105000</v>
      </c>
      <c r="C533" s="26">
        <f t="shared" ca="1" si="84"/>
        <v>0.64161392194648148</v>
      </c>
      <c r="D533" s="26" t="str">
        <f t="shared" ca="1" si="82"/>
        <v>Win</v>
      </c>
      <c r="E533" s="3">
        <f t="shared" ca="1" si="85"/>
        <v>500</v>
      </c>
      <c r="F533" s="42">
        <f t="shared" si="81"/>
        <v>1.8926619038370302E-2</v>
      </c>
      <c r="G533" s="41">
        <f>SUM(F$11:F533)</f>
        <v>0.78541819381971079</v>
      </c>
    </row>
    <row r="534" spans="1:7" x14ac:dyDescent="0.25">
      <c r="A534" s="1">
        <f t="shared" si="80"/>
        <v>523</v>
      </c>
      <c r="B534" s="3">
        <f t="shared" ca="1" si="83"/>
        <v>104500</v>
      </c>
      <c r="C534" s="26">
        <f t="shared" ca="1" si="84"/>
        <v>0.18160763535172597</v>
      </c>
      <c r="D534" s="26" t="str">
        <f t="shared" ca="1" si="82"/>
        <v>Lose</v>
      </c>
      <c r="E534" s="3">
        <f t="shared" ca="1" si="85"/>
        <v>-500</v>
      </c>
      <c r="F534" s="42">
        <f t="shared" si="81"/>
        <v>1.8004179924196818E-2</v>
      </c>
      <c r="G534" s="41">
        <f>SUM(F$11:F534)</f>
        <v>0.80342237374390757</v>
      </c>
    </row>
    <row r="535" spans="1:7" x14ac:dyDescent="0.25">
      <c r="A535" s="1">
        <f t="shared" si="80"/>
        <v>524</v>
      </c>
      <c r="B535" s="3">
        <f t="shared" ca="1" si="83"/>
        <v>104000</v>
      </c>
      <c r="C535" s="26">
        <f t="shared" ca="1" si="84"/>
        <v>0.14810623341404483</v>
      </c>
      <c r="D535" s="26" t="str">
        <f t="shared" ca="1" si="82"/>
        <v>Lose</v>
      </c>
      <c r="E535" s="3">
        <f t="shared" ca="1" si="85"/>
        <v>-500</v>
      </c>
      <c r="F535" s="42">
        <f t="shared" si="81"/>
        <v>1.7058252259539473E-2</v>
      </c>
      <c r="G535" s="41">
        <f>SUM(F$11:F535)</f>
        <v>0.82048062600344707</v>
      </c>
    </row>
    <row r="536" spans="1:7" x14ac:dyDescent="0.25">
      <c r="A536" s="1">
        <f t="shared" si="80"/>
        <v>525</v>
      </c>
      <c r="B536" s="3">
        <f t="shared" ca="1" si="83"/>
        <v>104500</v>
      </c>
      <c r="C536" s="26">
        <f t="shared" ca="1" si="84"/>
        <v>0.51867956727963382</v>
      </c>
      <c r="D536" s="26" t="str">
        <f t="shared" ca="1" si="82"/>
        <v>Win</v>
      </c>
      <c r="E536" s="3">
        <f t="shared" ca="1" si="85"/>
        <v>500</v>
      </c>
      <c r="F536" s="42">
        <f t="shared" si="81"/>
        <v>1.6097420091451136E-2</v>
      </c>
      <c r="G536" s="41">
        <f>SUM(F$11:F536)</f>
        <v>0.83657804609489816</v>
      </c>
    </row>
    <row r="537" spans="1:7" x14ac:dyDescent="0.25">
      <c r="A537" s="1">
        <f t="shared" si="80"/>
        <v>526</v>
      </c>
      <c r="B537" s="3">
        <f t="shared" ca="1" si="83"/>
        <v>104000</v>
      </c>
      <c r="C537" s="26">
        <f t="shared" ca="1" si="84"/>
        <v>0.4720710525499513</v>
      </c>
      <c r="D537" s="26" t="str">
        <f t="shared" ca="1" si="82"/>
        <v>Lose</v>
      </c>
      <c r="E537" s="3">
        <f t="shared" ca="1" si="85"/>
        <v>-500</v>
      </c>
      <c r="F537" s="42">
        <f t="shared" si="81"/>
        <v>1.5129976011306093E-2</v>
      </c>
      <c r="G537" s="41">
        <f>SUM(F$11:F537)</f>
        <v>0.85170802210620422</v>
      </c>
    </row>
    <row r="538" spans="1:7" x14ac:dyDescent="0.25">
      <c r="A538" s="1">
        <f t="shared" si="80"/>
        <v>527</v>
      </c>
      <c r="B538" s="3">
        <f t="shared" ca="1" si="83"/>
        <v>104500</v>
      </c>
      <c r="C538" s="26">
        <f t="shared" ca="1" si="84"/>
        <v>0.71463447626391619</v>
      </c>
      <c r="D538" s="26" t="str">
        <f t="shared" ca="1" si="82"/>
        <v>Win</v>
      </c>
      <c r="E538" s="3">
        <f t="shared" ca="1" si="85"/>
        <v>500</v>
      </c>
      <c r="F538" s="42">
        <f t="shared" si="81"/>
        <v>1.4163809011242524E-2</v>
      </c>
      <c r="G538" s="41">
        <f>SUM(F$11:F538)</f>
        <v>0.8658718311174467</v>
      </c>
    </row>
    <row r="539" spans="1:7" x14ac:dyDescent="0.25">
      <c r="A539" s="1">
        <f t="shared" si="80"/>
        <v>528</v>
      </c>
      <c r="B539" s="3">
        <f t="shared" ca="1" si="83"/>
        <v>105000</v>
      </c>
      <c r="C539" s="26">
        <f t="shared" ca="1" si="84"/>
        <v>0.91789202300514527</v>
      </c>
      <c r="D539" s="26" t="str">
        <f t="shared" ca="1" si="82"/>
        <v>Win</v>
      </c>
      <c r="E539" s="3">
        <f t="shared" ca="1" si="85"/>
        <v>500</v>
      </c>
      <c r="F539" s="42">
        <f t="shared" si="81"/>
        <v>1.3206306616349835E-2</v>
      </c>
      <c r="G539" s="41">
        <f>SUM(F$11:F539)</f>
        <v>0.87907813773379651</v>
      </c>
    </row>
    <row r="540" spans="1:7" x14ac:dyDescent="0.25">
      <c r="A540" s="1">
        <f t="shared" si="80"/>
        <v>529</v>
      </c>
      <c r="B540" s="3">
        <f t="shared" ca="1" si="83"/>
        <v>104500</v>
      </c>
      <c r="C540" s="26">
        <f t="shared" ca="1" si="84"/>
        <v>0.22623056967744704</v>
      </c>
      <c r="D540" s="26" t="str">
        <f t="shared" ca="1" si="82"/>
        <v>Lose</v>
      </c>
      <c r="E540" s="3">
        <f t="shared" ca="1" si="85"/>
        <v>-500</v>
      </c>
      <c r="F540" s="42">
        <f t="shared" si="81"/>
        <v>1.2264272708181491E-2</v>
      </c>
      <c r="G540" s="41">
        <f>SUM(F$11:F540)</f>
        <v>0.89134241044197804</v>
      </c>
    </row>
    <row r="541" spans="1:7" x14ac:dyDescent="0.25">
      <c r="A541" s="1">
        <f t="shared" si="80"/>
        <v>530</v>
      </c>
      <c r="B541" s="3">
        <f t="shared" ca="1" si="83"/>
        <v>105000</v>
      </c>
      <c r="C541" s="26">
        <f t="shared" ca="1" si="84"/>
        <v>0.99947960322119189</v>
      </c>
      <c r="D541" s="26" t="str">
        <f t="shared" ca="1" si="82"/>
        <v>Win</v>
      </c>
      <c r="E541" s="3">
        <f t="shared" ca="1" si="85"/>
        <v>500</v>
      </c>
      <c r="F541" s="42">
        <f t="shared" si="81"/>
        <v>1.134386194544579E-2</v>
      </c>
      <c r="G541" s="41">
        <f>SUM(F$11:F541)</f>
        <v>0.90268627238742383</v>
      </c>
    </row>
    <row r="542" spans="1:7" x14ac:dyDescent="0.25">
      <c r="A542" s="1">
        <f t="shared" si="80"/>
        <v>531</v>
      </c>
      <c r="B542" s="3">
        <f t="shared" ca="1" si="83"/>
        <v>104500</v>
      </c>
      <c r="C542" s="26">
        <f t="shared" ca="1" si="84"/>
        <v>7.3729469949602722E-2</v>
      </c>
      <c r="D542" s="26" t="str">
        <f t="shared" ca="1" si="82"/>
        <v>Lose</v>
      </c>
      <c r="E542" s="3">
        <f t="shared" ca="1" si="85"/>
        <v>-500</v>
      </c>
      <c r="F542" s="42">
        <f t="shared" si="81"/>
        <v>1.0450531182302684E-2</v>
      </c>
      <c r="G542" s="41">
        <f>SUM(F$11:F542)</f>
        <v>0.91313680356972649</v>
      </c>
    </row>
    <row r="543" spans="1:7" x14ac:dyDescent="0.25">
      <c r="A543" s="1">
        <f t="shared" si="80"/>
        <v>532</v>
      </c>
      <c r="B543" s="3">
        <f t="shared" ca="1" si="83"/>
        <v>104000</v>
      </c>
      <c r="C543" s="26">
        <f t="shared" ca="1" si="84"/>
        <v>0.47396114939341216</v>
      </c>
      <c r="D543" s="26" t="str">
        <f t="shared" ca="1" si="82"/>
        <v>Lose</v>
      </c>
      <c r="E543" s="3">
        <f t="shared" ca="1" si="85"/>
        <v>-500</v>
      </c>
      <c r="F543" s="42">
        <f t="shared" si="81"/>
        <v>9.5890078007327198E-3</v>
      </c>
      <c r="G543" s="41">
        <f>SUM(F$11:F543)</f>
        <v>0.92272581137045917</v>
      </c>
    </row>
    <row r="544" spans="1:7" x14ac:dyDescent="0.25">
      <c r="A544" s="1">
        <f t="shared" si="80"/>
        <v>533</v>
      </c>
      <c r="B544" s="3">
        <f t="shared" ca="1" si="83"/>
        <v>104500</v>
      </c>
      <c r="C544" s="26">
        <f t="shared" ca="1" si="84"/>
        <v>0.70087104625233632</v>
      </c>
      <c r="D544" s="26" t="str">
        <f t="shared" ca="1" si="82"/>
        <v>Win</v>
      </c>
      <c r="E544" s="3">
        <f t="shared" ca="1" si="85"/>
        <v>500</v>
      </c>
      <c r="F544" s="42">
        <f t="shared" si="81"/>
        <v>8.7632744261549184E-3</v>
      </c>
      <c r="G544" s="41">
        <f>SUM(F$11:F544)</f>
        <v>0.93148908579661405</v>
      </c>
    </row>
    <row r="545" spans="1:7" x14ac:dyDescent="0.25">
      <c r="A545" s="1">
        <f t="shared" si="80"/>
        <v>534</v>
      </c>
      <c r="B545" s="3">
        <f t="shared" ca="1" si="83"/>
        <v>105000</v>
      </c>
      <c r="C545" s="26">
        <f t="shared" ca="1" si="84"/>
        <v>0.70232970429096631</v>
      </c>
      <c r="D545" s="26" t="str">
        <f t="shared" ca="1" si="82"/>
        <v>Win</v>
      </c>
      <c r="E545" s="3">
        <f t="shared" ca="1" si="85"/>
        <v>500</v>
      </c>
      <c r="F545" s="42">
        <f t="shared" si="81"/>
        <v>7.9765690975973393E-3</v>
      </c>
      <c r="G545" s="41">
        <f>SUM(F$11:F545)</f>
        <v>0.93946565489421141</v>
      </c>
    </row>
    <row r="546" spans="1:7" x14ac:dyDescent="0.25">
      <c r="A546" s="1">
        <f t="shared" si="80"/>
        <v>535</v>
      </c>
      <c r="B546" s="3">
        <f t="shared" ca="1" si="83"/>
        <v>104500</v>
      </c>
      <c r="C546" s="26">
        <f t="shared" ca="1" si="84"/>
        <v>0.17166393537010061</v>
      </c>
      <c r="D546" s="26" t="str">
        <f t="shared" ca="1" si="82"/>
        <v>Lose</v>
      </c>
      <c r="E546" s="3">
        <f t="shared" ca="1" si="85"/>
        <v>-500</v>
      </c>
      <c r="F546" s="42">
        <f t="shared" si="81"/>
        <v>7.2313996251572813E-3</v>
      </c>
      <c r="G546" s="41">
        <f>SUM(F$11:F546)</f>
        <v>0.9466970545193687</v>
      </c>
    </row>
    <row r="547" spans="1:7" x14ac:dyDescent="0.25">
      <c r="A547" s="1">
        <f t="shared" si="80"/>
        <v>536</v>
      </c>
      <c r="B547" s="3">
        <f t="shared" ca="1" si="83"/>
        <v>104000</v>
      </c>
      <c r="C547" s="26">
        <f t="shared" ca="1" si="84"/>
        <v>0.10742325255887297</v>
      </c>
      <c r="D547" s="26" t="str">
        <f t="shared" ca="1" si="82"/>
        <v>Lose</v>
      </c>
      <c r="E547" s="3">
        <f t="shared" ca="1" si="85"/>
        <v>-500</v>
      </c>
      <c r="F547" s="42">
        <f t="shared" si="81"/>
        <v>6.5295705951342094E-3</v>
      </c>
      <c r="G547" s="41">
        <f>SUM(F$11:F547)</f>
        <v>0.95322662511450296</v>
      </c>
    </row>
    <row r="548" spans="1:7" x14ac:dyDescent="0.25">
      <c r="A548" s="1">
        <f t="shared" si="80"/>
        <v>537</v>
      </c>
      <c r="B548" s="3">
        <f t="shared" ca="1" si="83"/>
        <v>104500</v>
      </c>
      <c r="C548" s="26">
        <f t="shared" ca="1" si="84"/>
        <v>0.97985608344140374</v>
      </c>
      <c r="D548" s="26" t="str">
        <f t="shared" ca="1" si="82"/>
        <v>Win</v>
      </c>
      <c r="E548" s="3">
        <f t="shared" ca="1" si="85"/>
        <v>500</v>
      </c>
      <c r="F548" s="42">
        <f t="shared" si="81"/>
        <v>5.8722212808594697E-3</v>
      </c>
      <c r="G548" s="41">
        <f>SUM(F$11:F548)</f>
        <v>0.95909884639536247</v>
      </c>
    </row>
    <row r="549" spans="1:7" x14ac:dyDescent="0.25">
      <c r="A549" s="1">
        <f t="shared" si="80"/>
        <v>538</v>
      </c>
      <c r="B549" s="3">
        <f t="shared" ca="1" si="83"/>
        <v>104000</v>
      </c>
      <c r="C549" s="26">
        <f t="shared" ca="1" si="84"/>
        <v>0.18292349613535941</v>
      </c>
      <c r="D549" s="26" t="str">
        <f t="shared" ca="1" si="82"/>
        <v>Lose</v>
      </c>
      <c r="E549" s="3">
        <f t="shared" ca="1" si="85"/>
        <v>-500</v>
      </c>
      <c r="F549" s="42">
        <f t="shared" si="81"/>
        <v>5.2598725857270186E-3</v>
      </c>
      <c r="G549" s="41">
        <f>SUM(F$11:F549)</f>
        <v>0.96435871898108949</v>
      </c>
    </row>
    <row r="550" spans="1:7" x14ac:dyDescent="0.25">
      <c r="A550" s="1">
        <f t="shared" si="80"/>
        <v>539</v>
      </c>
      <c r="B550" s="3">
        <f t="shared" ca="1" si="83"/>
        <v>103500</v>
      </c>
      <c r="C550" s="26">
        <f t="shared" ca="1" si="84"/>
        <v>3.3502483181190312E-3</v>
      </c>
      <c r="D550" s="26" t="str">
        <f t="shared" ca="1" si="82"/>
        <v>Lose</v>
      </c>
      <c r="E550" s="3">
        <f t="shared" ca="1" si="85"/>
        <v>-500</v>
      </c>
      <c r="F550" s="42">
        <f t="shared" si="81"/>
        <v>4.6924810823103747E-3</v>
      </c>
      <c r="G550" s="41">
        <f>SUM(F$11:F550)</f>
        <v>0.96905120006339984</v>
      </c>
    </row>
    <row r="551" spans="1:7" x14ac:dyDescent="0.25">
      <c r="A551" s="1">
        <f t="shared" si="80"/>
        <v>540</v>
      </c>
      <c r="B551" s="3">
        <f t="shared" ca="1" si="83"/>
        <v>103000</v>
      </c>
      <c r="C551" s="26">
        <f t="shared" ca="1" si="84"/>
        <v>0.39029374862280397</v>
      </c>
      <c r="D551" s="26" t="str">
        <f t="shared" ca="1" si="82"/>
        <v>Lose</v>
      </c>
      <c r="E551" s="3">
        <f t="shared" ca="1" si="85"/>
        <v>-500</v>
      </c>
      <c r="F551" s="42">
        <f t="shared" si="81"/>
        <v>4.1694982133862303E-3</v>
      </c>
      <c r="G551" s="41">
        <f>SUM(F$11:F551)</f>
        <v>0.97322069827678603</v>
      </c>
    </row>
    <row r="552" spans="1:7" x14ac:dyDescent="0.25">
      <c r="A552" s="1">
        <f t="shared" si="80"/>
        <v>541</v>
      </c>
      <c r="B552" s="3">
        <f t="shared" ca="1" si="83"/>
        <v>102500</v>
      </c>
      <c r="C552" s="26">
        <f t="shared" ca="1" si="84"/>
        <v>9.6182832463498902E-2</v>
      </c>
      <c r="D552" s="26" t="str">
        <f t="shared" ca="1" si="82"/>
        <v>Lose</v>
      </c>
      <c r="E552" s="3">
        <f t="shared" ca="1" si="85"/>
        <v>-500</v>
      </c>
      <c r="F552" s="42">
        <f t="shared" si="81"/>
        <v>3.6899327807929732E-3</v>
      </c>
      <c r="G552" s="41">
        <f>SUM(F$11:F552)</f>
        <v>0.97691063105757903</v>
      </c>
    </row>
    <row r="553" spans="1:7" x14ac:dyDescent="0.25">
      <c r="A553" s="1">
        <f t="shared" si="80"/>
        <v>542</v>
      </c>
      <c r="B553" s="3">
        <f t="shared" ca="1" si="83"/>
        <v>102000</v>
      </c>
      <c r="C553" s="26">
        <f t="shared" ca="1" si="84"/>
        <v>6.7749966794726113E-2</v>
      </c>
      <c r="D553" s="26" t="str">
        <f t="shared" ca="1" si="82"/>
        <v>Lose</v>
      </c>
      <c r="E553" s="3">
        <f t="shared" ca="1" si="85"/>
        <v>-500</v>
      </c>
      <c r="F553" s="42">
        <f t="shared" si="81"/>
        <v>3.252414958414886E-3</v>
      </c>
      <c r="G553" s="41">
        <f>SUM(F$11:F553)</f>
        <v>0.98016304601599391</v>
      </c>
    </row>
    <row r="554" spans="1:7" x14ac:dyDescent="0.25">
      <c r="A554" s="1">
        <f t="shared" si="80"/>
        <v>543</v>
      </c>
      <c r="B554" s="3">
        <f t="shared" ca="1" si="83"/>
        <v>101500</v>
      </c>
      <c r="C554" s="26">
        <f t="shared" ca="1" si="84"/>
        <v>0.26769346668108596</v>
      </c>
      <c r="D554" s="26" t="str">
        <f t="shared" ca="1" si="82"/>
        <v>Lose</v>
      </c>
      <c r="E554" s="3">
        <f t="shared" ca="1" si="85"/>
        <v>-500</v>
      </c>
      <c r="F554" s="42">
        <f t="shared" si="81"/>
        <v>2.8552602171855027E-3</v>
      </c>
      <c r="G554" s="41">
        <f>SUM(F$11:F554)</f>
        <v>0.98301830623317943</v>
      </c>
    </row>
    <row r="555" spans="1:7" x14ac:dyDescent="0.25">
      <c r="A555" s="1">
        <f t="shared" si="80"/>
        <v>544</v>
      </c>
      <c r="B555" s="3">
        <f t="shared" ca="1" si="83"/>
        <v>101000</v>
      </c>
      <c r="C555" s="26">
        <f t="shared" ca="1" si="84"/>
        <v>0.2628092688389414</v>
      </c>
      <c r="D555" s="26" t="str">
        <f t="shared" ca="1" si="82"/>
        <v>Lose</v>
      </c>
      <c r="E555" s="3">
        <f t="shared" ca="1" si="85"/>
        <v>-500</v>
      </c>
      <c r="F555" s="42">
        <f t="shared" si="81"/>
        <v>2.4965317332661711E-3</v>
      </c>
      <c r="G555" s="41">
        <f>SUM(F$11:F555)</f>
        <v>0.98551483796644557</v>
      </c>
    </row>
    <row r="556" spans="1:7" x14ac:dyDescent="0.25">
      <c r="A556" s="1">
        <f t="shared" si="80"/>
        <v>545</v>
      </c>
      <c r="B556" s="3">
        <f t="shared" ca="1" si="83"/>
        <v>101500</v>
      </c>
      <c r="C556" s="26">
        <f t="shared" ca="1" si="84"/>
        <v>0.78301059549859819</v>
      </c>
      <c r="D556" s="26" t="str">
        <f t="shared" ca="1" si="82"/>
        <v>Win</v>
      </c>
      <c r="E556" s="3">
        <f t="shared" ca="1" si="85"/>
        <v>500</v>
      </c>
      <c r="F556" s="42">
        <f t="shared" si="81"/>
        <v>2.1741000557512881E-3</v>
      </c>
      <c r="G556" s="41">
        <f>SUM(F$11:F556)</f>
        <v>0.98768893802219682</v>
      </c>
    </row>
    <row r="557" spans="1:7" x14ac:dyDescent="0.25">
      <c r="A557" s="1">
        <f t="shared" si="80"/>
        <v>546</v>
      </c>
      <c r="B557" s="3">
        <f t="shared" ca="1" si="83"/>
        <v>101000</v>
      </c>
      <c r="C557" s="26">
        <f t="shared" ca="1" si="84"/>
        <v>0.3353743881937602</v>
      </c>
      <c r="D557" s="26" t="str">
        <f t="shared" ca="1" si="82"/>
        <v>Lose</v>
      </c>
      <c r="E557" s="3">
        <f t="shared" ca="1" si="85"/>
        <v>-500</v>
      </c>
      <c r="F557" s="42">
        <f t="shared" si="81"/>
        <v>1.8856990279475488E-3</v>
      </c>
      <c r="G557" s="41">
        <f>SUM(F$11:F557)</f>
        <v>0.98957463705014437</v>
      </c>
    </row>
    <row r="558" spans="1:7" x14ac:dyDescent="0.25">
      <c r="A558" s="1">
        <f t="shared" si="80"/>
        <v>547</v>
      </c>
      <c r="B558" s="3">
        <f t="shared" ca="1" si="83"/>
        <v>101500</v>
      </c>
      <c r="C558" s="26">
        <f t="shared" ca="1" si="84"/>
        <v>0.8568458203300815</v>
      </c>
      <c r="D558" s="26" t="str">
        <f t="shared" ca="1" si="82"/>
        <v>Win</v>
      </c>
      <c r="E558" s="3">
        <f t="shared" ca="1" si="85"/>
        <v>500</v>
      </c>
      <c r="F558" s="42">
        <f t="shared" si="81"/>
        <v>1.6289771776703003E-3</v>
      </c>
      <c r="G558" s="41">
        <f>SUM(F$11:F558)</f>
        <v>0.99120361422781467</v>
      </c>
    </row>
    <row r="559" spans="1:7" x14ac:dyDescent="0.25">
      <c r="A559" s="1">
        <f t="shared" si="80"/>
        <v>548</v>
      </c>
      <c r="B559" s="3">
        <f t="shared" ca="1" si="83"/>
        <v>102000</v>
      </c>
      <c r="C559" s="26">
        <f t="shared" ca="1" si="84"/>
        <v>0.81639956842971084</v>
      </c>
      <c r="D559" s="26" t="str">
        <f t="shared" ca="1" si="82"/>
        <v>Win</v>
      </c>
      <c r="E559" s="3">
        <f t="shared" ca="1" si="85"/>
        <v>500</v>
      </c>
      <c r="F559" s="42">
        <f t="shared" si="81"/>
        <v>1.4015440092252707E-3</v>
      </c>
      <c r="G559" s="41">
        <f>SUM(F$11:F559)</f>
        <v>0.99260515823703999</v>
      </c>
    </row>
    <row r="560" spans="1:7" x14ac:dyDescent="0.25">
      <c r="A560" s="1">
        <f t="shared" si="80"/>
        <v>549</v>
      </c>
      <c r="B560" s="3">
        <f t="shared" ca="1" si="83"/>
        <v>102500</v>
      </c>
      <c r="C560" s="26">
        <f t="shared" ca="1" si="84"/>
        <v>0.62920225254826534</v>
      </c>
      <c r="D560" s="26" t="str">
        <f t="shared" ca="1" si="82"/>
        <v>Win</v>
      </c>
      <c r="E560" s="3">
        <f t="shared" ca="1" si="85"/>
        <v>500</v>
      </c>
      <c r="F560" s="42">
        <f t="shared" si="81"/>
        <v>1.2010108360529792E-3</v>
      </c>
      <c r="G560" s="41">
        <f>SUM(F$11:F560)</f>
        <v>0.99380616907309294</v>
      </c>
    </row>
    <row r="561" spans="1:7" x14ac:dyDescent="0.25">
      <c r="A561" s="1">
        <f t="shared" si="80"/>
        <v>550</v>
      </c>
      <c r="B561" s="3">
        <f t="shared" ca="1" si="83"/>
        <v>102000</v>
      </c>
      <c r="C561" s="26">
        <f t="shared" ca="1" si="84"/>
        <v>0.13962925477931931</v>
      </c>
      <c r="D561" s="26" t="str">
        <f t="shared" ca="1" si="82"/>
        <v>Lose</v>
      </c>
      <c r="E561" s="3">
        <f t="shared" ca="1" si="85"/>
        <v>-500</v>
      </c>
      <c r="F561" s="42">
        <f t="shared" si="81"/>
        <v>1.025025982933377E-3</v>
      </c>
      <c r="G561" s="41">
        <f>SUM(F$11:F561)</f>
        <v>0.99483119505602635</v>
      </c>
    </row>
    <row r="562" spans="1:7" x14ac:dyDescent="0.25">
      <c r="A562" s="1">
        <f t="shared" si="80"/>
        <v>551</v>
      </c>
      <c r="B562" s="3">
        <f t="shared" ca="1" si="83"/>
        <v>102500</v>
      </c>
      <c r="C562" s="26">
        <f t="shared" ca="1" si="84"/>
        <v>0.8851569808238835</v>
      </c>
      <c r="D562" s="26" t="str">
        <f t="shared" ca="1" si="82"/>
        <v>Win</v>
      </c>
      <c r="E562" s="3">
        <f t="shared" ca="1" si="85"/>
        <v>500</v>
      </c>
      <c r="F562" s="42">
        <f t="shared" si="81"/>
        <v>8.7130435602507036E-4</v>
      </c>
      <c r="G562" s="41">
        <f>SUM(F$11:F562)</f>
        <v>0.99570249941205147</v>
      </c>
    </row>
    <row r="563" spans="1:7" x14ac:dyDescent="0.25">
      <c r="A563" s="1">
        <f t="shared" si="80"/>
        <v>552</v>
      </c>
      <c r="B563" s="3">
        <f t="shared" ca="1" si="83"/>
        <v>103000</v>
      </c>
      <c r="C563" s="26">
        <f t="shared" ca="1" si="84"/>
        <v>0.59581820975256428</v>
      </c>
      <c r="D563" s="26" t="str">
        <f t="shared" ca="1" si="82"/>
        <v>Win</v>
      </c>
      <c r="E563" s="3">
        <f t="shared" ca="1" si="85"/>
        <v>500</v>
      </c>
      <c r="F563" s="42">
        <f t="shared" si="81"/>
        <v>7.3765152501546706E-4</v>
      </c>
      <c r="G563" s="41">
        <f>SUM(F$11:F563)</f>
        <v>0.99644015093706695</v>
      </c>
    </row>
    <row r="564" spans="1:7" x14ac:dyDescent="0.25">
      <c r="A564" s="1">
        <f t="shared" si="80"/>
        <v>553</v>
      </c>
      <c r="B564" s="3">
        <f t="shared" ca="1" si="83"/>
        <v>103500</v>
      </c>
      <c r="C564" s="26">
        <f t="shared" ca="1" si="84"/>
        <v>0.52700412551026732</v>
      </c>
      <c r="D564" s="26" t="str">
        <f t="shared" ca="1" si="82"/>
        <v>Win</v>
      </c>
      <c r="E564" s="3">
        <f t="shared" ca="1" si="85"/>
        <v>500</v>
      </c>
      <c r="F564" s="42">
        <f t="shared" si="81"/>
        <v>6.2198258270485343E-4</v>
      </c>
      <c r="G564" s="41">
        <f>SUM(F$11:F564)</f>
        <v>0.9970621335197718</v>
      </c>
    </row>
    <row r="565" spans="1:7" x14ac:dyDescent="0.25">
      <c r="A565" s="1">
        <f t="shared" si="80"/>
        <v>554</v>
      </c>
      <c r="B565" s="3">
        <f t="shared" ca="1" si="83"/>
        <v>104000</v>
      </c>
      <c r="C565" s="26">
        <f t="shared" ca="1" si="84"/>
        <v>0.65236735172610472</v>
      </c>
      <c r="D565" s="26" t="str">
        <f t="shared" ca="1" si="82"/>
        <v>Win</v>
      </c>
      <c r="E565" s="3">
        <f t="shared" ca="1" si="85"/>
        <v>500</v>
      </c>
      <c r="F565" s="42">
        <f t="shared" si="81"/>
        <v>5.2233614300163699E-4</v>
      </c>
      <c r="G565" s="41">
        <f>SUM(F$11:F565)</f>
        <v>0.99758446966277348</v>
      </c>
    </row>
    <row r="566" spans="1:7" x14ac:dyDescent="0.25">
      <c r="A566" s="1">
        <f t="shared" si="80"/>
        <v>555</v>
      </c>
      <c r="B566" s="3">
        <f t="shared" ca="1" si="83"/>
        <v>104500</v>
      </c>
      <c r="C566" s="26">
        <f t="shared" ca="1" si="84"/>
        <v>0.98321720990089301</v>
      </c>
      <c r="D566" s="26" t="str">
        <f t="shared" ca="1" si="82"/>
        <v>Win</v>
      </c>
      <c r="E566" s="3">
        <f t="shared" ca="1" si="85"/>
        <v>500</v>
      </c>
      <c r="F566" s="42">
        <f t="shared" si="81"/>
        <v>4.3688390912723774E-4</v>
      </c>
      <c r="G566" s="41">
        <f>SUM(F$11:F566)</f>
        <v>0.99802135357190069</v>
      </c>
    </row>
    <row r="567" spans="1:7" x14ac:dyDescent="0.25">
      <c r="A567" s="1">
        <f t="shared" si="80"/>
        <v>556</v>
      </c>
      <c r="B567" s="3">
        <f t="shared" ca="1" si="83"/>
        <v>104000</v>
      </c>
      <c r="C567" s="26">
        <f t="shared" ca="1" si="84"/>
        <v>0.28917432139792554</v>
      </c>
      <c r="D567" s="26" t="str">
        <f t="shared" ca="1" si="82"/>
        <v>Lose</v>
      </c>
      <c r="E567" s="3">
        <f t="shared" ca="1" si="85"/>
        <v>-500</v>
      </c>
      <c r="F567" s="42">
        <f t="shared" si="81"/>
        <v>3.6393629120696732E-4</v>
      </c>
      <c r="G567" s="41">
        <f>SUM(F$11:F567)</f>
        <v>0.99838528986310771</v>
      </c>
    </row>
    <row r="568" spans="1:7" x14ac:dyDescent="0.25">
      <c r="A568" s="1">
        <f t="shared" si="80"/>
        <v>557</v>
      </c>
      <c r="B568" s="3">
        <f t="shared" ca="1" si="83"/>
        <v>103500</v>
      </c>
      <c r="C568" s="26">
        <f t="shared" ca="1" si="84"/>
        <v>0.14408468782209671</v>
      </c>
      <c r="D568" s="26" t="str">
        <f t="shared" ca="1" si="82"/>
        <v>Lose</v>
      </c>
      <c r="E568" s="3">
        <f t="shared" ca="1" si="85"/>
        <v>-500</v>
      </c>
      <c r="F568" s="42">
        <f t="shared" si="81"/>
        <v>3.0194457839338311E-4</v>
      </c>
      <c r="G568" s="41">
        <f>SUM(F$11:F568)</f>
        <v>0.99868723444150109</v>
      </c>
    </row>
    <row r="569" spans="1:7" x14ac:dyDescent="0.25">
      <c r="A569" s="1">
        <f t="shared" si="80"/>
        <v>558</v>
      </c>
      <c r="B569" s="3">
        <f t="shared" ca="1" si="83"/>
        <v>103000</v>
      </c>
      <c r="C569" s="26">
        <f t="shared" ca="1" si="84"/>
        <v>0.25791291074059541</v>
      </c>
      <c r="D569" s="26" t="str">
        <f t="shared" ca="1" si="82"/>
        <v>Lose</v>
      </c>
      <c r="E569" s="3">
        <f t="shared" ca="1" si="85"/>
        <v>-500</v>
      </c>
      <c r="F569" s="42">
        <f t="shared" si="81"/>
        <v>2.4950017773541405E-4</v>
      </c>
      <c r="G569" s="41">
        <f>SUM(F$11:F569)</f>
        <v>0.99893673461923649</v>
      </c>
    </row>
    <row r="570" spans="1:7" x14ac:dyDescent="0.25">
      <c r="A570" s="1">
        <f t="shared" si="80"/>
        <v>559</v>
      </c>
      <c r="B570" s="3">
        <f t="shared" ca="1" si="83"/>
        <v>103500</v>
      </c>
      <c r="C570" s="26">
        <f t="shared" ca="1" si="84"/>
        <v>0.66869304252074047</v>
      </c>
      <c r="D570" s="26" t="str">
        <f t="shared" ca="1" si="82"/>
        <v>Win</v>
      </c>
      <c r="E570" s="3">
        <f t="shared" ca="1" si="85"/>
        <v>500</v>
      </c>
      <c r="F570" s="42">
        <f t="shared" si="81"/>
        <v>2.0533142296782469E-4</v>
      </c>
      <c r="G570" s="41">
        <f>SUM(F$11:F570)</f>
        <v>0.99914206604220435</v>
      </c>
    </row>
    <row r="571" spans="1:7" x14ac:dyDescent="0.25">
      <c r="A571" s="1">
        <f t="shared" si="80"/>
        <v>560</v>
      </c>
      <c r="B571" s="3">
        <f t="shared" ca="1" si="83"/>
        <v>103000</v>
      </c>
      <c r="C571" s="26">
        <f t="shared" ca="1" si="84"/>
        <v>0.29252962650632863</v>
      </c>
      <c r="D571" s="26" t="str">
        <f t="shared" ca="1" si="82"/>
        <v>Lose</v>
      </c>
      <c r="E571" s="3">
        <f t="shared" ca="1" si="85"/>
        <v>-500</v>
      </c>
      <c r="F571" s="42">
        <f t="shared" si="81"/>
        <v>1.6829843418255535E-4</v>
      </c>
      <c r="G571" s="41">
        <f>SUM(F$11:F571)</f>
        <v>0.99931036447638688</v>
      </c>
    </row>
    <row r="572" spans="1:7" x14ac:dyDescent="0.25">
      <c r="A572" s="1">
        <f t="shared" si="80"/>
        <v>561</v>
      </c>
      <c r="B572" s="3">
        <f t="shared" ca="1" si="83"/>
        <v>103500</v>
      </c>
      <c r="C572" s="26">
        <f t="shared" ca="1" si="84"/>
        <v>0.84580422963764745</v>
      </c>
      <c r="D572" s="26" t="str">
        <f t="shared" ca="1" si="82"/>
        <v>Win</v>
      </c>
      <c r="E572" s="3">
        <f t="shared" ca="1" si="85"/>
        <v>500</v>
      </c>
      <c r="F572" s="42">
        <f t="shared" si="81"/>
        <v>1.3738647688372004E-4</v>
      </c>
      <c r="G572" s="41">
        <f>SUM(F$11:F572)</f>
        <v>0.99944775095327065</v>
      </c>
    </row>
    <row r="573" spans="1:7" x14ac:dyDescent="0.25">
      <c r="A573" s="1">
        <f t="shared" si="80"/>
        <v>562</v>
      </c>
      <c r="B573" s="3">
        <f t="shared" ca="1" si="83"/>
        <v>104000</v>
      </c>
      <c r="C573" s="26">
        <f t="shared" ca="1" si="84"/>
        <v>0.62573286963539587</v>
      </c>
      <c r="D573" s="26" t="str">
        <f t="shared" ca="1" si="82"/>
        <v>Win</v>
      </c>
      <c r="E573" s="3">
        <f t="shared" ca="1" si="85"/>
        <v>500</v>
      </c>
      <c r="F573" s="42">
        <f t="shared" si="81"/>
        <v>1.116982290271474E-4</v>
      </c>
      <c r="G573" s="41">
        <f>SUM(F$11:F573)</f>
        <v>0.99955944918229778</v>
      </c>
    </row>
    <row r="574" spans="1:7" x14ac:dyDescent="0.25">
      <c r="A574" s="1">
        <f t="shared" si="80"/>
        <v>563</v>
      </c>
      <c r="B574" s="3">
        <f t="shared" ca="1" si="83"/>
        <v>103500</v>
      </c>
      <c r="C574" s="26">
        <f t="shared" ca="1" si="84"/>
        <v>0.32158638998176503</v>
      </c>
      <c r="D574" s="26" t="str">
        <f t="shared" ca="1" si="82"/>
        <v>Lose</v>
      </c>
      <c r="E574" s="3">
        <f t="shared" ca="1" si="85"/>
        <v>-500</v>
      </c>
      <c r="F574" s="42">
        <f t="shared" si="81"/>
        <v>9.04453198973585E-5</v>
      </c>
      <c r="G574" s="41">
        <f>SUM(F$11:F574)</f>
        <v>0.9996498945021951</v>
      </c>
    </row>
    <row r="575" spans="1:7" x14ac:dyDescent="0.25">
      <c r="A575" s="1">
        <f t="shared" si="80"/>
        <v>564</v>
      </c>
      <c r="B575" s="3">
        <f t="shared" ca="1" si="83"/>
        <v>104000</v>
      </c>
      <c r="C575" s="26">
        <f t="shared" ca="1" si="84"/>
        <v>0.6106196429255889</v>
      </c>
      <c r="D575" s="26" t="str">
        <f t="shared" ca="1" si="82"/>
        <v>Win</v>
      </c>
      <c r="E575" s="3">
        <f t="shared" ca="1" si="85"/>
        <v>500</v>
      </c>
      <c r="F575" s="42">
        <f t="shared" si="81"/>
        <v>7.2939457394428567E-5</v>
      </c>
      <c r="G575" s="41">
        <f>SUM(F$11:F575)</f>
        <v>0.9997228339595895</v>
      </c>
    </row>
    <row r="576" spans="1:7" x14ac:dyDescent="0.25">
      <c r="A576" s="1">
        <f t="shared" si="80"/>
        <v>565</v>
      </c>
      <c r="B576" s="3">
        <f t="shared" ca="1" si="83"/>
        <v>104500</v>
      </c>
      <c r="C576" s="26">
        <f t="shared" ca="1" si="84"/>
        <v>0.56671589933042055</v>
      </c>
      <c r="D576" s="26" t="str">
        <f t="shared" ca="1" si="82"/>
        <v>Win</v>
      </c>
      <c r="E576" s="3">
        <f t="shared" ca="1" si="85"/>
        <v>500</v>
      </c>
      <c r="F576" s="42">
        <f t="shared" si="81"/>
        <v>5.8583412484107293E-5</v>
      </c>
      <c r="G576" s="41">
        <f>SUM(F$11:F576)</f>
        <v>0.9997814173720736</v>
      </c>
    </row>
    <row r="577" spans="1:7" x14ac:dyDescent="0.25">
      <c r="A577" s="1">
        <f t="shared" si="80"/>
        <v>566</v>
      </c>
      <c r="B577" s="3">
        <f t="shared" ca="1" si="83"/>
        <v>105000</v>
      </c>
      <c r="C577" s="26">
        <f t="shared" ca="1" si="84"/>
        <v>0.9146021998313012</v>
      </c>
      <c r="D577" s="26" t="str">
        <f t="shared" ca="1" si="82"/>
        <v>Win</v>
      </c>
      <c r="E577" s="3">
        <f t="shared" ca="1" si="85"/>
        <v>500</v>
      </c>
      <c r="F577" s="42">
        <f t="shared" si="81"/>
        <v>4.6862082857140046E-5</v>
      </c>
      <c r="G577" s="41">
        <f>SUM(F$11:F577)</f>
        <v>0.99982827945493069</v>
      </c>
    </row>
    <row r="578" spans="1:7" x14ac:dyDescent="0.25">
      <c r="A578" s="1">
        <f t="shared" si="80"/>
        <v>567</v>
      </c>
      <c r="B578" s="3">
        <f t="shared" ca="1" si="83"/>
        <v>104500</v>
      </c>
      <c r="C578" s="26">
        <f t="shared" ca="1" si="84"/>
        <v>0.21257010297828205</v>
      </c>
      <c r="D578" s="26" t="str">
        <f t="shared" ca="1" si="82"/>
        <v>Lose</v>
      </c>
      <c r="E578" s="3">
        <f t="shared" ca="1" si="85"/>
        <v>-500</v>
      </c>
      <c r="F578" s="42">
        <f t="shared" si="81"/>
        <v>3.7333813553610123E-5</v>
      </c>
      <c r="G578" s="41">
        <f>SUM(F$11:F578)</f>
        <v>0.99986561326848433</v>
      </c>
    </row>
    <row r="579" spans="1:7" x14ac:dyDescent="0.25">
      <c r="A579" s="1">
        <f t="shared" si="80"/>
        <v>568</v>
      </c>
      <c r="B579" s="3">
        <f t="shared" ca="1" si="83"/>
        <v>105000</v>
      </c>
      <c r="C579" s="26">
        <f t="shared" ca="1" si="84"/>
        <v>0.94715804043180174</v>
      </c>
      <c r="D579" s="26" t="str">
        <f t="shared" ca="1" si="82"/>
        <v>Win</v>
      </c>
      <c r="E579" s="3">
        <f t="shared" ca="1" si="85"/>
        <v>500</v>
      </c>
      <c r="F579" s="42">
        <f t="shared" si="81"/>
        <v>2.9622111407888389E-5</v>
      </c>
      <c r="G579" s="41">
        <f>SUM(F$11:F579)</f>
        <v>0.99989523537989222</v>
      </c>
    </row>
    <row r="580" spans="1:7" x14ac:dyDescent="0.25">
      <c r="A580" s="1">
        <f t="shared" si="80"/>
        <v>569</v>
      </c>
      <c r="B580" s="3">
        <f t="shared" ca="1" si="83"/>
        <v>105500</v>
      </c>
      <c r="C580" s="26">
        <f t="shared" ca="1" si="84"/>
        <v>0.50121209670139344</v>
      </c>
      <c r="D580" s="26" t="str">
        <f t="shared" ca="1" si="82"/>
        <v>Win</v>
      </c>
      <c r="E580" s="3">
        <f t="shared" ca="1" si="85"/>
        <v>500</v>
      </c>
      <c r="F580" s="42">
        <f t="shared" si="81"/>
        <v>2.3407853324436327E-5</v>
      </c>
      <c r="G580" s="41">
        <f>SUM(F$11:F580)</f>
        <v>0.99991864323321666</v>
      </c>
    </row>
    <row r="581" spans="1:7" x14ac:dyDescent="0.25">
      <c r="A581" s="1">
        <f t="shared" ref="A581:A634" si="86">A580+1</f>
        <v>570</v>
      </c>
      <c r="B581" s="3">
        <f t="shared" ca="1" si="83"/>
        <v>106000</v>
      </c>
      <c r="C581" s="26">
        <f t="shared" ca="1" si="84"/>
        <v>0.68867025832640638</v>
      </c>
      <c r="D581" s="26" t="str">
        <f t="shared" ca="1" si="82"/>
        <v>Win</v>
      </c>
      <c r="E581" s="3">
        <f t="shared" ca="1" si="85"/>
        <v>500</v>
      </c>
      <c r="F581" s="42">
        <f t="shared" si="81"/>
        <v>1.8422055994430176E-5</v>
      </c>
      <c r="G581" s="41">
        <f>SUM(F$11:F581)</f>
        <v>0.99993706528921111</v>
      </c>
    </row>
    <row r="582" spans="1:7" x14ac:dyDescent="0.25">
      <c r="A582" s="1">
        <f t="shared" si="86"/>
        <v>571</v>
      </c>
      <c r="B582" s="3">
        <f t="shared" ca="1" si="83"/>
        <v>106500</v>
      </c>
      <c r="C582" s="26">
        <f t="shared" ca="1" si="84"/>
        <v>0.61296253598593475</v>
      </c>
      <c r="D582" s="26" t="str">
        <f t="shared" ca="1" si="82"/>
        <v>Win</v>
      </c>
      <c r="E582" s="3">
        <f t="shared" ca="1" si="85"/>
        <v>500</v>
      </c>
      <c r="F582" s="42">
        <f t="shared" si="81"/>
        <v>1.443924686221297E-5</v>
      </c>
      <c r="G582" s="41">
        <f>SUM(F$11:F582)</f>
        <v>0.99995150453607329</v>
      </c>
    </row>
    <row r="583" spans="1:7" x14ac:dyDescent="0.25">
      <c r="A583" s="1">
        <f t="shared" si="86"/>
        <v>572</v>
      </c>
      <c r="B583" s="3">
        <f t="shared" ca="1" si="83"/>
        <v>106000</v>
      </c>
      <c r="C583" s="26">
        <f t="shared" ca="1" si="84"/>
        <v>0.29255222784868995</v>
      </c>
      <c r="D583" s="26" t="str">
        <f t="shared" ca="1" si="82"/>
        <v>Lose</v>
      </c>
      <c r="E583" s="3">
        <f t="shared" ca="1" si="85"/>
        <v>-500</v>
      </c>
      <c r="F583" s="42">
        <f t="shared" si="81"/>
        <v>1.1271452907747916E-5</v>
      </c>
      <c r="G583" s="41">
        <f>SUM(F$11:F583)</f>
        <v>0.99996277598898109</v>
      </c>
    </row>
    <row r="584" spans="1:7" x14ac:dyDescent="0.25">
      <c r="A584" s="1">
        <f t="shared" si="86"/>
        <v>573</v>
      </c>
      <c r="B584" s="3">
        <f t="shared" ca="1" si="83"/>
        <v>105500</v>
      </c>
      <c r="C584" s="26">
        <f t="shared" ca="1" si="84"/>
        <v>0.10573197381250243</v>
      </c>
      <c r="D584" s="26" t="str">
        <f t="shared" ca="1" si="82"/>
        <v>Lose</v>
      </c>
      <c r="E584" s="3">
        <f t="shared" ca="1" si="85"/>
        <v>-500</v>
      </c>
      <c r="F584" s="42">
        <f t="shared" si="81"/>
        <v>8.7628049318060488E-6</v>
      </c>
      <c r="G584" s="41">
        <f>SUM(F$11:F584)</f>
        <v>0.99997153879391287</v>
      </c>
    </row>
    <row r="585" spans="1:7" x14ac:dyDescent="0.25">
      <c r="A585" s="1">
        <f t="shared" si="86"/>
        <v>574</v>
      </c>
      <c r="B585" s="3">
        <f t="shared" ca="1" si="83"/>
        <v>106000</v>
      </c>
      <c r="C585" s="26">
        <f t="shared" ca="1" si="84"/>
        <v>0.63757560082891163</v>
      </c>
      <c r="D585" s="26" t="str">
        <f t="shared" ca="1" si="82"/>
        <v>Win</v>
      </c>
      <c r="E585" s="3">
        <f t="shared" ca="1" si="85"/>
        <v>500</v>
      </c>
      <c r="F585" s="42">
        <f t="shared" si="81"/>
        <v>6.7847402047905708E-6</v>
      </c>
      <c r="G585" s="41">
        <f>SUM(F$11:F585)</f>
        <v>0.99997832353411764</v>
      </c>
    </row>
    <row r="586" spans="1:7" x14ac:dyDescent="0.25">
      <c r="A586" s="1">
        <f t="shared" si="86"/>
        <v>575</v>
      </c>
      <c r="B586" s="3">
        <f t="shared" ca="1" si="83"/>
        <v>106500</v>
      </c>
      <c r="C586" s="26">
        <f t="shared" ca="1" si="84"/>
        <v>0.95215197694353892</v>
      </c>
      <c r="D586" s="26" t="str">
        <f t="shared" ca="1" si="82"/>
        <v>Win</v>
      </c>
      <c r="E586" s="3">
        <f t="shared" ca="1" si="85"/>
        <v>500</v>
      </c>
      <c r="F586" s="42">
        <f t="shared" si="81"/>
        <v>5.2317751797438553E-6</v>
      </c>
      <c r="G586" s="41">
        <f>SUM(F$11:F586)</f>
        <v>0.99998355530929739</v>
      </c>
    </row>
    <row r="587" spans="1:7" x14ac:dyDescent="0.25">
      <c r="A587" s="1">
        <f t="shared" si="86"/>
        <v>576</v>
      </c>
      <c r="B587" s="3">
        <f t="shared" ca="1" si="83"/>
        <v>106000</v>
      </c>
      <c r="C587" s="26">
        <f t="shared" ca="1" si="84"/>
        <v>0.29276959564959548</v>
      </c>
      <c r="D587" s="26" t="str">
        <f t="shared" ca="1" si="82"/>
        <v>Lose</v>
      </c>
      <c r="E587" s="3">
        <f t="shared" ca="1" si="85"/>
        <v>-500</v>
      </c>
      <c r="F587" s="42">
        <f t="shared" si="81"/>
        <v>4.0178120401412092E-6</v>
      </c>
      <c r="G587" s="41">
        <f>SUM(F$11:F587)</f>
        <v>0.99998757312133757</v>
      </c>
    </row>
    <row r="588" spans="1:7" x14ac:dyDescent="0.25">
      <c r="A588" s="1">
        <f t="shared" si="86"/>
        <v>577</v>
      </c>
      <c r="B588" s="3">
        <f t="shared" ca="1" si="83"/>
        <v>106500</v>
      </c>
      <c r="C588" s="26">
        <f t="shared" ca="1" si="84"/>
        <v>0.88072903208236197</v>
      </c>
      <c r="D588" s="26" t="str">
        <f t="shared" ca="1" si="82"/>
        <v>Win</v>
      </c>
      <c r="E588" s="3">
        <f t="shared" ca="1" si="85"/>
        <v>500</v>
      </c>
      <c r="F588" s="42">
        <f t="shared" ref="F588:F651" si="87">_xlfn.BINOM.DIST(A588,$A$1011,$B$1,FALSE)</f>
        <v>3.0729376987236808E-6</v>
      </c>
      <c r="G588" s="41">
        <f>SUM(F$11:F588)</f>
        <v>0.99999064605903631</v>
      </c>
    </row>
    <row r="589" spans="1:7" x14ac:dyDescent="0.25">
      <c r="A589" s="1">
        <f t="shared" si="86"/>
        <v>578</v>
      </c>
      <c r="B589" s="3">
        <f t="shared" ca="1" si="83"/>
        <v>107000</v>
      </c>
      <c r="C589" s="26">
        <f t="shared" ca="1" si="84"/>
        <v>0.5725914154630074</v>
      </c>
      <c r="D589" s="26" t="str">
        <f t="shared" ref="D589:D652" ca="1" si="88">IF(C589&gt;$B$2,"Win","Lose")</f>
        <v>Win</v>
      </c>
      <c r="E589" s="3">
        <f t="shared" ca="1" si="85"/>
        <v>500</v>
      </c>
      <c r="F589" s="42">
        <f t="shared" si="87"/>
        <v>2.3406710322210869E-6</v>
      </c>
      <c r="G589" s="41">
        <f>SUM(F$11:F589)</f>
        <v>0.99999298673006853</v>
      </c>
    </row>
    <row r="590" spans="1:7" x14ac:dyDescent="0.25">
      <c r="A590" s="1">
        <f t="shared" si="86"/>
        <v>579</v>
      </c>
      <c r="B590" s="3">
        <f t="shared" ref="B590:B653" ca="1" si="89">B589+E590</f>
        <v>106500</v>
      </c>
      <c r="C590" s="26">
        <f t="shared" ref="C590:C653" ca="1" si="90">RAND()</f>
        <v>2.1165607831816979E-2</v>
      </c>
      <c r="D590" s="26" t="str">
        <f t="shared" ca="1" si="88"/>
        <v>Lose</v>
      </c>
      <c r="E590" s="3">
        <f t="shared" ref="E590:E653" ca="1" si="91">IF(D590="Win",$B$4,-$B$4)</f>
        <v>-500</v>
      </c>
      <c r="F590" s="42">
        <f t="shared" si="87"/>
        <v>1.7756131950041434E-6</v>
      </c>
      <c r="G590" s="41">
        <f>SUM(F$11:F590)</f>
        <v>0.99999476234326357</v>
      </c>
    </row>
    <row r="591" spans="1:7" x14ac:dyDescent="0.25">
      <c r="A591" s="1">
        <f t="shared" si="86"/>
        <v>580</v>
      </c>
      <c r="B591" s="3">
        <f t="shared" ca="1" si="89"/>
        <v>107000</v>
      </c>
      <c r="C591" s="26">
        <f t="shared" ca="1" si="90"/>
        <v>0.94874486406899394</v>
      </c>
      <c r="D591" s="26" t="str">
        <f t="shared" ca="1" si="88"/>
        <v>Win</v>
      </c>
      <c r="E591" s="3">
        <f t="shared" ca="1" si="91"/>
        <v>500</v>
      </c>
      <c r="F591" s="42">
        <f t="shared" si="87"/>
        <v>1.3414564007717967E-6</v>
      </c>
      <c r="G591" s="41">
        <f>SUM(F$11:F591)</f>
        <v>0.9999961037996643</v>
      </c>
    </row>
    <row r="592" spans="1:7" x14ac:dyDescent="0.25">
      <c r="A592" s="1">
        <f t="shared" si="86"/>
        <v>581</v>
      </c>
      <c r="B592" s="3">
        <f t="shared" ca="1" si="89"/>
        <v>107500</v>
      </c>
      <c r="C592" s="26">
        <f t="shared" ca="1" si="90"/>
        <v>0.50048997475839685</v>
      </c>
      <c r="D592" s="26" t="str">
        <f t="shared" ca="1" si="88"/>
        <v>Win</v>
      </c>
      <c r="E592" s="3">
        <f t="shared" ca="1" si="91"/>
        <v>500</v>
      </c>
      <c r="F592" s="42">
        <f t="shared" si="87"/>
        <v>1.009308233676317E-6</v>
      </c>
      <c r="G592" s="41">
        <f>SUM(F$11:F592)</f>
        <v>0.99999711310789796</v>
      </c>
    </row>
    <row r="593" spans="1:7" x14ac:dyDescent="0.25">
      <c r="A593" s="1">
        <f t="shared" si="86"/>
        <v>582</v>
      </c>
      <c r="B593" s="3">
        <f t="shared" ca="1" si="89"/>
        <v>107000</v>
      </c>
      <c r="C593" s="26">
        <f t="shared" ca="1" si="90"/>
        <v>0.44831442390890053</v>
      </c>
      <c r="D593" s="26" t="str">
        <f t="shared" ca="1" si="88"/>
        <v>Lose</v>
      </c>
      <c r="E593" s="3">
        <f t="shared" ca="1" si="91"/>
        <v>-500</v>
      </c>
      <c r="F593" s="42">
        <f t="shared" si="87"/>
        <v>7.5629103181952972E-7</v>
      </c>
      <c r="G593" s="41">
        <f>SUM(F$11:F593)</f>
        <v>0.99999786939892976</v>
      </c>
    </row>
    <row r="594" spans="1:7" x14ac:dyDescent="0.25">
      <c r="A594" s="1">
        <f t="shared" si="86"/>
        <v>583</v>
      </c>
      <c r="B594" s="3">
        <f t="shared" ca="1" si="89"/>
        <v>107500</v>
      </c>
      <c r="C594" s="26">
        <f t="shared" ca="1" si="90"/>
        <v>0.95462005511918591</v>
      </c>
      <c r="D594" s="26" t="str">
        <f t="shared" ca="1" si="88"/>
        <v>Win</v>
      </c>
      <c r="E594" s="3">
        <f t="shared" ca="1" si="91"/>
        <v>500</v>
      </c>
      <c r="F594" s="42">
        <f t="shared" si="87"/>
        <v>5.6437890630198289E-7</v>
      </c>
      <c r="G594" s="41">
        <f>SUM(F$11:F594)</f>
        <v>0.99999843377783604</v>
      </c>
    </row>
    <row r="595" spans="1:7" x14ac:dyDescent="0.25">
      <c r="A595" s="1">
        <f t="shared" si="86"/>
        <v>584</v>
      </c>
      <c r="B595" s="3">
        <f t="shared" ca="1" si="89"/>
        <v>108000</v>
      </c>
      <c r="C595" s="26">
        <f t="shared" ca="1" si="90"/>
        <v>0.95405336488057024</v>
      </c>
      <c r="D595" s="26" t="str">
        <f t="shared" ca="1" si="88"/>
        <v>Win</v>
      </c>
      <c r="E595" s="3">
        <f t="shared" ca="1" si="91"/>
        <v>500</v>
      </c>
      <c r="F595" s="42">
        <f t="shared" si="87"/>
        <v>4.1943829327384385E-7</v>
      </c>
      <c r="G595" s="41">
        <f>SUM(F$11:F595)</f>
        <v>0.99999885321612936</v>
      </c>
    </row>
    <row r="596" spans="1:7" x14ac:dyDescent="0.25">
      <c r="A596" s="1">
        <f t="shared" si="86"/>
        <v>585</v>
      </c>
      <c r="B596" s="3">
        <f t="shared" ca="1" si="89"/>
        <v>107500</v>
      </c>
      <c r="C596" s="26">
        <f t="shared" ca="1" si="90"/>
        <v>8.7170500672923534E-2</v>
      </c>
      <c r="D596" s="26" t="str">
        <f t="shared" ca="1" si="88"/>
        <v>Lose</v>
      </c>
      <c r="E596" s="3">
        <f t="shared" ca="1" si="91"/>
        <v>-500</v>
      </c>
      <c r="F596" s="42">
        <f t="shared" si="87"/>
        <v>3.1044140345709887E-7</v>
      </c>
      <c r="G596" s="41">
        <f>SUM(F$11:F596)</f>
        <v>0.99999916365753283</v>
      </c>
    </row>
    <row r="597" spans="1:7" x14ac:dyDescent="0.25">
      <c r="A597" s="1">
        <f t="shared" si="86"/>
        <v>586</v>
      </c>
      <c r="B597" s="3">
        <f t="shared" ca="1" si="89"/>
        <v>107000</v>
      </c>
      <c r="C597" s="26">
        <f t="shared" ca="1" si="90"/>
        <v>0.21406035098680443</v>
      </c>
      <c r="D597" s="26" t="str">
        <f t="shared" ca="1" si="88"/>
        <v>Lose</v>
      </c>
      <c r="E597" s="3">
        <f t="shared" ca="1" si="91"/>
        <v>-500</v>
      </c>
      <c r="F597" s="42">
        <f t="shared" si="87"/>
        <v>2.2882539194015186E-7</v>
      </c>
      <c r="G597" s="41">
        <f>SUM(F$11:F597)</f>
        <v>0.9999993924829248</v>
      </c>
    </row>
    <row r="598" spans="1:7" x14ac:dyDescent="0.25">
      <c r="A598" s="1">
        <f t="shared" si="86"/>
        <v>587</v>
      </c>
      <c r="B598" s="3">
        <f t="shared" ca="1" si="89"/>
        <v>107500</v>
      </c>
      <c r="C598" s="26">
        <f t="shared" ca="1" si="90"/>
        <v>0.5401096273720466</v>
      </c>
      <c r="D598" s="26" t="str">
        <f t="shared" ca="1" si="88"/>
        <v>Win</v>
      </c>
      <c r="E598" s="3">
        <f t="shared" ca="1" si="91"/>
        <v>500</v>
      </c>
      <c r="F598" s="42">
        <f t="shared" si="87"/>
        <v>1.679734146446608E-7</v>
      </c>
      <c r="G598" s="41">
        <f>SUM(F$11:F598)</f>
        <v>0.99999956045633942</v>
      </c>
    </row>
    <row r="599" spans="1:7" x14ac:dyDescent="0.25">
      <c r="A599" s="1">
        <f t="shared" si="86"/>
        <v>588</v>
      </c>
      <c r="B599" s="3">
        <f t="shared" ca="1" si="89"/>
        <v>108000</v>
      </c>
      <c r="C599" s="26">
        <f t="shared" ca="1" si="90"/>
        <v>0.7609030661852042</v>
      </c>
      <c r="D599" s="26" t="str">
        <f t="shared" ca="1" si="88"/>
        <v>Win</v>
      </c>
      <c r="E599" s="3">
        <f t="shared" ca="1" si="91"/>
        <v>500</v>
      </c>
      <c r="F599" s="42">
        <f t="shared" si="87"/>
        <v>1.2279689131821872E-7</v>
      </c>
      <c r="G599" s="41">
        <f>SUM(F$11:F599)</f>
        <v>0.99999968325323074</v>
      </c>
    </row>
    <row r="600" spans="1:7" x14ac:dyDescent="0.25">
      <c r="A600" s="1">
        <f t="shared" si="86"/>
        <v>589</v>
      </c>
      <c r="B600" s="3">
        <f t="shared" ca="1" si="89"/>
        <v>107500</v>
      </c>
      <c r="C600" s="26">
        <f t="shared" ca="1" si="90"/>
        <v>4.9786557844104795E-3</v>
      </c>
      <c r="D600" s="26" t="str">
        <f t="shared" ca="1" si="88"/>
        <v>Lose</v>
      </c>
      <c r="E600" s="3">
        <f t="shared" ca="1" si="91"/>
        <v>-500</v>
      </c>
      <c r="F600" s="42">
        <f t="shared" si="87"/>
        <v>8.9401208564443295E-8</v>
      </c>
      <c r="G600" s="41">
        <f>SUM(F$11:F600)</f>
        <v>0.99999977265443929</v>
      </c>
    </row>
    <row r="601" spans="1:7" x14ac:dyDescent="0.25">
      <c r="A601" s="1">
        <f t="shared" si="86"/>
        <v>590</v>
      </c>
      <c r="B601" s="3">
        <f t="shared" ca="1" si="89"/>
        <v>107000</v>
      </c>
      <c r="C601" s="26">
        <f t="shared" ca="1" si="90"/>
        <v>0.28414202112829168</v>
      </c>
      <c r="D601" s="26" t="str">
        <f t="shared" ca="1" si="88"/>
        <v>Lose</v>
      </c>
      <c r="E601" s="3">
        <f t="shared" ca="1" si="91"/>
        <v>-500</v>
      </c>
      <c r="F601" s="42">
        <f t="shared" si="87"/>
        <v>6.4819741705959763E-8</v>
      </c>
      <c r="G601" s="41">
        <f>SUM(F$11:F601)</f>
        <v>0.99999983747418097</v>
      </c>
    </row>
    <row r="602" spans="1:7" x14ac:dyDescent="0.25">
      <c r="A602" s="1">
        <f t="shared" si="86"/>
        <v>591</v>
      </c>
      <c r="B602" s="3">
        <f t="shared" ca="1" si="89"/>
        <v>106500</v>
      </c>
      <c r="C602" s="26">
        <f t="shared" ca="1" si="90"/>
        <v>0.19934927700026284</v>
      </c>
      <c r="D602" s="26" t="str">
        <f t="shared" ca="1" si="88"/>
        <v>Lose</v>
      </c>
      <c r="E602" s="3">
        <f t="shared" ca="1" si="91"/>
        <v>-500</v>
      </c>
      <c r="F602" s="42">
        <f t="shared" si="87"/>
        <v>4.6803439313223675E-8</v>
      </c>
      <c r="G602" s="41">
        <f>SUM(F$11:F602)</f>
        <v>0.99999988427762032</v>
      </c>
    </row>
    <row r="603" spans="1:7" x14ac:dyDescent="0.25">
      <c r="A603" s="1">
        <f t="shared" si="86"/>
        <v>592</v>
      </c>
      <c r="B603" s="3">
        <f t="shared" ca="1" si="89"/>
        <v>107000</v>
      </c>
      <c r="C603" s="26">
        <f t="shared" ca="1" si="90"/>
        <v>0.85373588014722734</v>
      </c>
      <c r="D603" s="26" t="str">
        <f t="shared" ca="1" si="88"/>
        <v>Win</v>
      </c>
      <c r="E603" s="3">
        <f t="shared" ca="1" si="91"/>
        <v>500</v>
      </c>
      <c r="F603" s="42">
        <f t="shared" si="87"/>
        <v>3.3655299939137634E-8</v>
      </c>
      <c r="G603" s="41">
        <f>SUM(F$11:F603)</f>
        <v>0.99999991793292031</v>
      </c>
    </row>
    <row r="604" spans="1:7" x14ac:dyDescent="0.25">
      <c r="A604" s="1">
        <f t="shared" si="86"/>
        <v>593</v>
      </c>
      <c r="B604" s="3">
        <f t="shared" ca="1" si="89"/>
        <v>106500</v>
      </c>
      <c r="C604" s="26">
        <f t="shared" ca="1" si="90"/>
        <v>0.39968653245613761</v>
      </c>
      <c r="D604" s="26" t="str">
        <f t="shared" ca="1" si="88"/>
        <v>Lose</v>
      </c>
      <c r="E604" s="3">
        <f t="shared" ca="1" si="91"/>
        <v>-500</v>
      </c>
      <c r="F604" s="42">
        <f t="shared" si="87"/>
        <v>2.4100887260680503E-8</v>
      </c>
      <c r="G604" s="41">
        <f>SUM(F$11:F604)</f>
        <v>0.9999999420338076</v>
      </c>
    </row>
    <row r="605" spans="1:7" x14ac:dyDescent="0.25">
      <c r="A605" s="1">
        <f t="shared" si="86"/>
        <v>594</v>
      </c>
      <c r="B605" s="3">
        <f t="shared" ca="1" si="89"/>
        <v>106000</v>
      </c>
      <c r="C605" s="26">
        <f t="shared" ca="1" si="90"/>
        <v>0.1308129687750077</v>
      </c>
      <c r="D605" s="26" t="str">
        <f t="shared" ca="1" si="88"/>
        <v>Lose</v>
      </c>
      <c r="E605" s="3">
        <f t="shared" ca="1" si="91"/>
        <v>-500</v>
      </c>
      <c r="F605" s="42">
        <f t="shared" si="87"/>
        <v>1.7187594202911389E-8</v>
      </c>
      <c r="G605" s="41">
        <f>SUM(F$11:F605)</f>
        <v>0.99999995922140184</v>
      </c>
    </row>
    <row r="606" spans="1:7" x14ac:dyDescent="0.25">
      <c r="A606" s="1">
        <f t="shared" si="86"/>
        <v>595</v>
      </c>
      <c r="B606" s="3">
        <f t="shared" ca="1" si="89"/>
        <v>106500</v>
      </c>
      <c r="C606" s="26">
        <f t="shared" ca="1" si="90"/>
        <v>0.65324567926255606</v>
      </c>
      <c r="D606" s="26" t="str">
        <f t="shared" ca="1" si="88"/>
        <v>Win</v>
      </c>
      <c r="E606" s="3">
        <f t="shared" ca="1" si="91"/>
        <v>500</v>
      </c>
      <c r="F606" s="42">
        <f t="shared" si="87"/>
        <v>1.2206699556353706E-8</v>
      </c>
      <c r="G606" s="41">
        <f>SUM(F$11:F606)</f>
        <v>0.99999997142810138</v>
      </c>
    </row>
    <row r="607" spans="1:7" x14ac:dyDescent="0.25">
      <c r="A607" s="1">
        <f t="shared" si="86"/>
        <v>596</v>
      </c>
      <c r="B607" s="3">
        <f t="shared" ca="1" si="89"/>
        <v>106000</v>
      </c>
      <c r="C607" s="26">
        <f t="shared" ca="1" si="90"/>
        <v>0.36197738686538095</v>
      </c>
      <c r="D607" s="26" t="str">
        <f t="shared" ca="1" si="88"/>
        <v>Lose</v>
      </c>
      <c r="E607" s="3">
        <f t="shared" ca="1" si="91"/>
        <v>-500</v>
      </c>
      <c r="F607" s="42">
        <f t="shared" si="87"/>
        <v>8.6333851299985377E-9</v>
      </c>
      <c r="G607" s="41">
        <f>SUM(F$11:F607)</f>
        <v>0.99999998006148649</v>
      </c>
    </row>
    <row r="608" spans="1:7" x14ac:dyDescent="0.25">
      <c r="A608" s="1">
        <f t="shared" si="86"/>
        <v>597</v>
      </c>
      <c r="B608" s="3">
        <f t="shared" ca="1" si="89"/>
        <v>105500</v>
      </c>
      <c r="C608" s="26">
        <f t="shared" ca="1" si="90"/>
        <v>0.37925342333908396</v>
      </c>
      <c r="D608" s="26" t="str">
        <f t="shared" ca="1" si="88"/>
        <v>Lose</v>
      </c>
      <c r="E608" s="3">
        <f t="shared" ca="1" si="91"/>
        <v>-500</v>
      </c>
      <c r="F608" s="42">
        <f t="shared" si="87"/>
        <v>6.0808213591252895E-9</v>
      </c>
      <c r="G608" s="41">
        <f>SUM(F$11:F608)</f>
        <v>0.9999999861423079</v>
      </c>
    </row>
    <row r="609" spans="1:7" x14ac:dyDescent="0.25">
      <c r="A609" s="1">
        <f t="shared" si="86"/>
        <v>598</v>
      </c>
      <c r="B609" s="3">
        <f t="shared" ca="1" si="89"/>
        <v>105000</v>
      </c>
      <c r="C609" s="26">
        <f t="shared" ca="1" si="90"/>
        <v>0.32738909233485547</v>
      </c>
      <c r="D609" s="26" t="str">
        <f t="shared" ca="1" si="88"/>
        <v>Lose</v>
      </c>
      <c r="E609" s="3">
        <f t="shared" ca="1" si="91"/>
        <v>-500</v>
      </c>
      <c r="F609" s="42">
        <f t="shared" si="87"/>
        <v>4.2652078832195715E-9</v>
      </c>
      <c r="G609" s="41">
        <f>SUM(F$11:F609)</f>
        <v>0.99999999040751575</v>
      </c>
    </row>
    <row r="610" spans="1:7" x14ac:dyDescent="0.25">
      <c r="A610" s="1">
        <f t="shared" si="86"/>
        <v>599</v>
      </c>
      <c r="B610" s="3">
        <f t="shared" ca="1" si="89"/>
        <v>105500</v>
      </c>
      <c r="C610" s="26">
        <f t="shared" ca="1" si="90"/>
        <v>0.66357365755288977</v>
      </c>
      <c r="D610" s="26" t="str">
        <f t="shared" ca="1" si="88"/>
        <v>Win</v>
      </c>
      <c r="E610" s="3">
        <f t="shared" ca="1" si="91"/>
        <v>500</v>
      </c>
      <c r="F610" s="42">
        <f t="shared" si="87"/>
        <v>2.979295152525312E-9</v>
      </c>
      <c r="G610" s="41">
        <f>SUM(F$11:F610)</f>
        <v>0.99999999338681089</v>
      </c>
    </row>
    <row r="611" spans="1:7" x14ac:dyDescent="0.25">
      <c r="A611" s="1">
        <f t="shared" si="86"/>
        <v>600</v>
      </c>
      <c r="B611" s="3">
        <f t="shared" ca="1" si="89"/>
        <v>105000</v>
      </c>
      <c r="C611" s="26">
        <f t="shared" ca="1" si="90"/>
        <v>1.0860355751639128E-2</v>
      </c>
      <c r="D611" s="26" t="str">
        <f t="shared" ca="1" si="88"/>
        <v>Lose</v>
      </c>
      <c r="E611" s="3">
        <f t="shared" ca="1" si="91"/>
        <v>-500</v>
      </c>
      <c r="F611" s="42">
        <f t="shared" si="87"/>
        <v>2.0724341892617073E-9</v>
      </c>
      <c r="G611" s="41">
        <f>SUM(F$11:F611)</f>
        <v>0.99999999545924512</v>
      </c>
    </row>
    <row r="612" spans="1:7" x14ac:dyDescent="0.25">
      <c r="A612" s="1">
        <f t="shared" si="86"/>
        <v>601</v>
      </c>
      <c r="B612" s="3">
        <f t="shared" ca="1" si="89"/>
        <v>104500</v>
      </c>
      <c r="C612" s="26">
        <f t="shared" ca="1" si="90"/>
        <v>0.37800898453569176</v>
      </c>
      <c r="D612" s="26" t="str">
        <f t="shared" ca="1" si="88"/>
        <v>Lose</v>
      </c>
      <c r="E612" s="3">
        <f t="shared" ca="1" si="91"/>
        <v>-500</v>
      </c>
      <c r="F612" s="42">
        <f t="shared" si="87"/>
        <v>1.4356228551372971E-9</v>
      </c>
      <c r="G612" s="41">
        <f>SUM(F$11:F612)</f>
        <v>0.99999999689486796</v>
      </c>
    </row>
    <row r="613" spans="1:7" x14ac:dyDescent="0.25">
      <c r="A613" s="1">
        <f t="shared" si="86"/>
        <v>602</v>
      </c>
      <c r="B613" s="3">
        <f t="shared" ca="1" si="89"/>
        <v>105000</v>
      </c>
      <c r="C613" s="26">
        <f t="shared" ca="1" si="90"/>
        <v>0.79398889516949889</v>
      </c>
      <c r="D613" s="26" t="str">
        <f t="shared" ca="1" si="88"/>
        <v>Win</v>
      </c>
      <c r="E613" s="3">
        <f t="shared" ca="1" si="91"/>
        <v>500</v>
      </c>
      <c r="F613" s="42">
        <f t="shared" si="87"/>
        <v>9.9035492166212121E-10</v>
      </c>
      <c r="G613" s="41">
        <f>SUM(F$11:F613)</f>
        <v>0.99999999788522287</v>
      </c>
    </row>
    <row r="614" spans="1:7" x14ac:dyDescent="0.25">
      <c r="A614" s="1">
        <f t="shared" si="86"/>
        <v>603</v>
      </c>
      <c r="B614" s="3">
        <f t="shared" ca="1" si="89"/>
        <v>104500</v>
      </c>
      <c r="C614" s="26">
        <f t="shared" ca="1" si="90"/>
        <v>0.323613765018545</v>
      </c>
      <c r="D614" s="26" t="str">
        <f t="shared" ca="1" si="88"/>
        <v>Lose</v>
      </c>
      <c r="E614" s="3">
        <f t="shared" ca="1" si="91"/>
        <v>-500</v>
      </c>
      <c r="F614" s="42">
        <f t="shared" si="87"/>
        <v>6.8034738551790199E-10</v>
      </c>
      <c r="G614" s="41">
        <f>SUM(F$11:F614)</f>
        <v>0.9999999985655702</v>
      </c>
    </row>
    <row r="615" spans="1:7" x14ac:dyDescent="0.25">
      <c r="A615" s="1">
        <f t="shared" si="86"/>
        <v>604</v>
      </c>
      <c r="B615" s="3">
        <f t="shared" ca="1" si="89"/>
        <v>105000</v>
      </c>
      <c r="C615" s="26">
        <f t="shared" ca="1" si="90"/>
        <v>0.51556760980737248</v>
      </c>
      <c r="D615" s="26" t="str">
        <f t="shared" ca="1" si="88"/>
        <v>Win</v>
      </c>
      <c r="E615" s="3">
        <f t="shared" ca="1" si="91"/>
        <v>500</v>
      </c>
      <c r="F615" s="42">
        <f t="shared" si="87"/>
        <v>4.654342990465257E-10</v>
      </c>
      <c r="G615" s="41">
        <f>SUM(F$11:F615)</f>
        <v>0.99999999903100445</v>
      </c>
    </row>
    <row r="616" spans="1:7" x14ac:dyDescent="0.25">
      <c r="A616" s="1">
        <f t="shared" si="86"/>
        <v>605</v>
      </c>
      <c r="B616" s="3">
        <f t="shared" ca="1" si="89"/>
        <v>104500</v>
      </c>
      <c r="C616" s="26">
        <f t="shared" ca="1" si="90"/>
        <v>0.30869908833277659</v>
      </c>
      <c r="D616" s="26" t="str">
        <f t="shared" ca="1" si="88"/>
        <v>Lose</v>
      </c>
      <c r="E616" s="3">
        <f t="shared" ca="1" si="91"/>
        <v>-500</v>
      </c>
      <c r="F616" s="42">
        <f t="shared" si="87"/>
        <v>3.1708251319088325E-10</v>
      </c>
      <c r="G616" s="41">
        <f>SUM(F$11:F616)</f>
        <v>0.99999999934808692</v>
      </c>
    </row>
    <row r="617" spans="1:7" x14ac:dyDescent="0.25">
      <c r="A617" s="1">
        <f t="shared" si="86"/>
        <v>606</v>
      </c>
      <c r="B617" s="3">
        <f t="shared" ca="1" si="89"/>
        <v>104000</v>
      </c>
      <c r="C617" s="26">
        <f t="shared" ca="1" si="90"/>
        <v>0.13528879219729117</v>
      </c>
      <c r="D617" s="26" t="str">
        <f t="shared" ca="1" si="88"/>
        <v>Lose</v>
      </c>
      <c r="E617" s="3">
        <f t="shared" ca="1" si="91"/>
        <v>-500</v>
      </c>
      <c r="F617" s="42">
        <f t="shared" si="87"/>
        <v>2.1511508143834816E-10</v>
      </c>
      <c r="G617" s="41">
        <f>SUM(F$11:F617)</f>
        <v>0.99999999956320196</v>
      </c>
    </row>
    <row r="618" spans="1:7" x14ac:dyDescent="0.25">
      <c r="A618" s="1">
        <f t="shared" si="86"/>
        <v>607</v>
      </c>
      <c r="B618" s="3">
        <f t="shared" ca="1" si="89"/>
        <v>104500</v>
      </c>
      <c r="C618" s="26">
        <f t="shared" ca="1" si="90"/>
        <v>0.59230316201135724</v>
      </c>
      <c r="D618" s="26" t="str">
        <f t="shared" ca="1" si="88"/>
        <v>Win</v>
      </c>
      <c r="E618" s="3">
        <f t="shared" ca="1" si="91"/>
        <v>500</v>
      </c>
      <c r="F618" s="42">
        <f t="shared" si="87"/>
        <v>1.4532906722328662E-10</v>
      </c>
      <c r="G618" s="41">
        <f>SUM(F$11:F618)</f>
        <v>0.99999999970853104</v>
      </c>
    </row>
    <row r="619" spans="1:7" x14ac:dyDescent="0.25">
      <c r="A619" s="1">
        <f t="shared" si="86"/>
        <v>608</v>
      </c>
      <c r="B619" s="3">
        <f t="shared" ca="1" si="89"/>
        <v>105000</v>
      </c>
      <c r="C619" s="26">
        <f t="shared" ca="1" si="90"/>
        <v>0.94552387236950353</v>
      </c>
      <c r="D619" s="26" t="str">
        <f t="shared" ca="1" si="88"/>
        <v>Win</v>
      </c>
      <c r="E619" s="3">
        <f t="shared" ca="1" si="91"/>
        <v>500</v>
      </c>
      <c r="F619" s="42">
        <f t="shared" si="87"/>
        <v>9.7772237323989968E-11</v>
      </c>
      <c r="G619" s="41">
        <f>SUM(F$11:F619)</f>
        <v>0.99999999980630327</v>
      </c>
    </row>
    <row r="620" spans="1:7" x14ac:dyDescent="0.25">
      <c r="A620" s="1">
        <f t="shared" si="86"/>
        <v>609</v>
      </c>
      <c r="B620" s="3">
        <f t="shared" ca="1" si="89"/>
        <v>105500</v>
      </c>
      <c r="C620" s="26">
        <f t="shared" ca="1" si="90"/>
        <v>0.9548775990845304</v>
      </c>
      <c r="D620" s="26" t="str">
        <f t="shared" ca="1" si="88"/>
        <v>Win</v>
      </c>
      <c r="E620" s="3">
        <f t="shared" ca="1" si="91"/>
        <v>500</v>
      </c>
      <c r="F620" s="42">
        <f t="shared" si="87"/>
        <v>6.5502582640703146E-11</v>
      </c>
      <c r="G620" s="41">
        <f>SUM(F$11:F620)</f>
        <v>0.99999999987180588</v>
      </c>
    </row>
    <row r="621" spans="1:7" x14ac:dyDescent="0.25">
      <c r="A621" s="1">
        <f t="shared" si="86"/>
        <v>610</v>
      </c>
      <c r="B621" s="3">
        <f t="shared" ca="1" si="89"/>
        <v>106000</v>
      </c>
      <c r="C621" s="26">
        <f t="shared" ca="1" si="90"/>
        <v>0.79719270326356972</v>
      </c>
      <c r="D621" s="26" t="str">
        <f t="shared" ca="1" si="88"/>
        <v>Win</v>
      </c>
      <c r="E621" s="3">
        <f t="shared" ca="1" si="91"/>
        <v>500</v>
      </c>
      <c r="F621" s="42">
        <f t="shared" si="87"/>
        <v>4.3699799278629045E-11</v>
      </c>
      <c r="G621" s="41">
        <f>SUM(F$11:F621)</f>
        <v>0.9999999999155057</v>
      </c>
    </row>
    <row r="622" spans="1:7" x14ac:dyDescent="0.25">
      <c r="A622" s="1">
        <f t="shared" si="86"/>
        <v>611</v>
      </c>
      <c r="B622" s="3">
        <f t="shared" ca="1" si="89"/>
        <v>105500</v>
      </c>
      <c r="C622" s="26">
        <f t="shared" ca="1" si="90"/>
        <v>7.3777721022815212E-3</v>
      </c>
      <c r="D622" s="26" t="str">
        <f t="shared" ca="1" si="88"/>
        <v>Lose</v>
      </c>
      <c r="E622" s="3">
        <f t="shared" ca="1" si="91"/>
        <v>-500</v>
      </c>
      <c r="F622" s="42">
        <f t="shared" si="87"/>
        <v>2.9031998652324743E-11</v>
      </c>
      <c r="G622" s="41">
        <f>SUM(F$11:F622)</f>
        <v>0.9999999999445377</v>
      </c>
    </row>
    <row r="623" spans="1:7" x14ac:dyDescent="0.25">
      <c r="A623" s="1">
        <f t="shared" si="86"/>
        <v>612</v>
      </c>
      <c r="B623" s="3">
        <f t="shared" ca="1" si="89"/>
        <v>105000</v>
      </c>
      <c r="C623" s="26">
        <f t="shared" ca="1" si="90"/>
        <v>0.2917958147401124</v>
      </c>
      <c r="D623" s="26" t="str">
        <f t="shared" ca="1" si="88"/>
        <v>Lose</v>
      </c>
      <c r="E623" s="3">
        <f t="shared" ca="1" si="91"/>
        <v>-500</v>
      </c>
      <c r="F623" s="42">
        <f t="shared" si="87"/>
        <v>1.9206543326113144E-11</v>
      </c>
      <c r="G623" s="41">
        <f>SUM(F$11:F623)</f>
        <v>0.99999999996374422</v>
      </c>
    </row>
    <row r="624" spans="1:7" x14ac:dyDescent="0.25">
      <c r="A624" s="1">
        <f t="shared" si="86"/>
        <v>613</v>
      </c>
      <c r="B624" s="3">
        <f t="shared" ca="1" si="89"/>
        <v>104500</v>
      </c>
      <c r="C624" s="26">
        <f t="shared" ca="1" si="90"/>
        <v>0.34182954650557218</v>
      </c>
      <c r="D624" s="26" t="str">
        <f t="shared" ca="1" si="88"/>
        <v>Lose</v>
      </c>
      <c r="E624" s="3">
        <f t="shared" ca="1" si="91"/>
        <v>-500</v>
      </c>
      <c r="F624" s="42">
        <f t="shared" si="87"/>
        <v>1.2653030573529968E-11</v>
      </c>
      <c r="G624" s="41">
        <f>SUM(F$11:F624)</f>
        <v>0.99999999997639721</v>
      </c>
    </row>
    <row r="625" spans="1:7" x14ac:dyDescent="0.25">
      <c r="A625" s="1">
        <f t="shared" si="86"/>
        <v>614</v>
      </c>
      <c r="B625" s="3">
        <f t="shared" ca="1" si="89"/>
        <v>105000</v>
      </c>
      <c r="C625" s="26">
        <f t="shared" ca="1" si="90"/>
        <v>0.5706173778261584</v>
      </c>
      <c r="D625" s="26" t="str">
        <f t="shared" ca="1" si="88"/>
        <v>Win</v>
      </c>
      <c r="E625" s="3">
        <f t="shared" ca="1" si="91"/>
        <v>500</v>
      </c>
      <c r="F625" s="42">
        <f t="shared" si="87"/>
        <v>8.30063366448719E-12</v>
      </c>
      <c r="G625" s="41">
        <f>SUM(F$11:F625)</f>
        <v>0.9999999999846978</v>
      </c>
    </row>
    <row r="626" spans="1:7" x14ac:dyDescent="0.25">
      <c r="A626" s="1">
        <f t="shared" si="86"/>
        <v>615</v>
      </c>
      <c r="B626" s="3">
        <f t="shared" ca="1" si="89"/>
        <v>104500</v>
      </c>
      <c r="C626" s="26">
        <f t="shared" ca="1" si="90"/>
        <v>0.30834250368853056</v>
      </c>
      <c r="D626" s="26" t="str">
        <f t="shared" ca="1" si="88"/>
        <v>Lose</v>
      </c>
      <c r="E626" s="3">
        <f t="shared" ca="1" si="91"/>
        <v>-500</v>
      </c>
      <c r="F626" s="42">
        <f t="shared" si="87"/>
        <v>5.4224746746009462E-12</v>
      </c>
      <c r="G626" s="41">
        <f>SUM(F$11:F626)</f>
        <v>0.99999999999012024</v>
      </c>
    </row>
    <row r="627" spans="1:7" x14ac:dyDescent="0.25">
      <c r="A627" s="1">
        <f t="shared" si="86"/>
        <v>616</v>
      </c>
      <c r="B627" s="3">
        <f t="shared" ca="1" si="89"/>
        <v>105000</v>
      </c>
      <c r="C627" s="26">
        <f t="shared" ca="1" si="90"/>
        <v>0.8583502919712005</v>
      </c>
      <c r="D627" s="26" t="str">
        <f t="shared" ca="1" si="88"/>
        <v>Win</v>
      </c>
      <c r="E627" s="3">
        <f t="shared" ca="1" si="91"/>
        <v>500</v>
      </c>
      <c r="F627" s="42">
        <f t="shared" si="87"/>
        <v>3.5273751072020583E-12</v>
      </c>
      <c r="G627" s="41">
        <f>SUM(F$11:F627)</f>
        <v>0.99999999999364764</v>
      </c>
    </row>
    <row r="628" spans="1:7" x14ac:dyDescent="0.25">
      <c r="A628" s="1">
        <f t="shared" si="86"/>
        <v>617</v>
      </c>
      <c r="B628" s="3">
        <f t="shared" ca="1" si="89"/>
        <v>104500</v>
      </c>
      <c r="C628" s="26">
        <f t="shared" ca="1" si="90"/>
        <v>0.44497292428191715</v>
      </c>
      <c r="D628" s="26" t="str">
        <f t="shared" ca="1" si="88"/>
        <v>Lose</v>
      </c>
      <c r="E628" s="3">
        <f t="shared" ca="1" si="91"/>
        <v>-500</v>
      </c>
      <c r="F628" s="42">
        <f t="shared" si="87"/>
        <v>2.2849242251660524E-12</v>
      </c>
      <c r="G628" s="41">
        <f>SUM(F$11:F628)</f>
        <v>0.99999999999593259</v>
      </c>
    </row>
    <row r="629" spans="1:7" x14ac:dyDescent="0.25">
      <c r="A629" s="1">
        <f t="shared" si="86"/>
        <v>618</v>
      </c>
      <c r="B629" s="3">
        <f t="shared" ca="1" si="89"/>
        <v>104000</v>
      </c>
      <c r="C629" s="26">
        <f t="shared" ca="1" si="90"/>
        <v>0.48801711251379976</v>
      </c>
      <c r="D629" s="26" t="str">
        <f t="shared" ca="1" si="88"/>
        <v>Lose</v>
      </c>
      <c r="E629" s="3">
        <f t="shared" ca="1" si="91"/>
        <v>-500</v>
      </c>
      <c r="F629" s="42">
        <f t="shared" si="87"/>
        <v>1.4738598801323882E-12</v>
      </c>
      <c r="G629" s="41">
        <f>SUM(F$11:F629)</f>
        <v>0.99999999999740641</v>
      </c>
    </row>
    <row r="630" spans="1:7" x14ac:dyDescent="0.25">
      <c r="A630" s="1">
        <f t="shared" si="86"/>
        <v>619</v>
      </c>
      <c r="B630" s="3">
        <f t="shared" ca="1" si="89"/>
        <v>103500</v>
      </c>
      <c r="C630" s="26">
        <f t="shared" ca="1" si="90"/>
        <v>0.4395376181443178</v>
      </c>
      <c r="D630" s="26" t="str">
        <f t="shared" ca="1" si="88"/>
        <v>Lose</v>
      </c>
      <c r="E630" s="3">
        <f t="shared" ca="1" si="91"/>
        <v>-500</v>
      </c>
      <c r="F630" s="42">
        <f t="shared" si="87"/>
        <v>9.4667957484878682E-13</v>
      </c>
      <c r="G630" s="41">
        <f>SUM(F$11:F630)</f>
        <v>0.9999999999983531</v>
      </c>
    </row>
    <row r="631" spans="1:7" x14ac:dyDescent="0.25">
      <c r="A631" s="1">
        <f t="shared" si="86"/>
        <v>620</v>
      </c>
      <c r="B631" s="3">
        <f t="shared" ca="1" si="89"/>
        <v>103000</v>
      </c>
      <c r="C631" s="26">
        <f t="shared" ca="1" si="90"/>
        <v>1.1063758199095775E-3</v>
      </c>
      <c r="D631" s="26" t="str">
        <f t="shared" ca="1" si="88"/>
        <v>Lose</v>
      </c>
      <c r="E631" s="3">
        <f t="shared" ca="1" si="91"/>
        <v>-500</v>
      </c>
      <c r="F631" s="42">
        <f t="shared" si="87"/>
        <v>6.0549476033203343E-13</v>
      </c>
      <c r="G631" s="41">
        <f>SUM(F$11:F631)</f>
        <v>0.99999999999895861</v>
      </c>
    </row>
    <row r="632" spans="1:7" x14ac:dyDescent="0.25">
      <c r="A632" s="1">
        <f t="shared" si="86"/>
        <v>621</v>
      </c>
      <c r="B632" s="3">
        <f t="shared" ca="1" si="89"/>
        <v>103500</v>
      </c>
      <c r="C632" s="26">
        <f t="shared" ca="1" si="90"/>
        <v>0.79948709268218543</v>
      </c>
      <c r="D632" s="26" t="str">
        <f t="shared" ca="1" si="88"/>
        <v>Win</v>
      </c>
      <c r="E632" s="3">
        <f t="shared" ca="1" si="91"/>
        <v>500</v>
      </c>
      <c r="F632" s="42">
        <f t="shared" si="87"/>
        <v>3.8563503418562736E-13</v>
      </c>
      <c r="G632" s="41">
        <f>SUM(F$11:F632)</f>
        <v>0.99999999999934419</v>
      </c>
    </row>
    <row r="633" spans="1:7" x14ac:dyDescent="0.25">
      <c r="A633" s="1">
        <f t="shared" si="86"/>
        <v>622</v>
      </c>
      <c r="B633" s="3">
        <f t="shared" ca="1" si="89"/>
        <v>103000</v>
      </c>
      <c r="C633" s="26">
        <f t="shared" ca="1" si="90"/>
        <v>3.5254212905370674E-2</v>
      </c>
      <c r="D633" s="26" t="str">
        <f t="shared" ca="1" si="88"/>
        <v>Lose</v>
      </c>
      <c r="E633" s="3">
        <f t="shared" ca="1" si="91"/>
        <v>-500</v>
      </c>
      <c r="F633" s="42">
        <f t="shared" si="87"/>
        <v>2.4456787111274198E-13</v>
      </c>
      <c r="G633" s="41">
        <f>SUM(F$11:F633)</f>
        <v>0.99999999999958877</v>
      </c>
    </row>
    <row r="634" spans="1:7" x14ac:dyDescent="0.25">
      <c r="A634" s="1">
        <f t="shared" si="86"/>
        <v>623</v>
      </c>
      <c r="B634" s="3">
        <f t="shared" ca="1" si="89"/>
        <v>103500</v>
      </c>
      <c r="C634" s="26">
        <f t="shared" ca="1" si="90"/>
        <v>0.59252017180461947</v>
      </c>
      <c r="D634" s="26" t="str">
        <f t="shared" ca="1" si="88"/>
        <v>Win</v>
      </c>
      <c r="E634" s="3">
        <f t="shared" ca="1" si="91"/>
        <v>500</v>
      </c>
      <c r="F634" s="42">
        <f t="shared" si="87"/>
        <v>1.5444620890724246E-13</v>
      </c>
      <c r="G634" s="41">
        <f>SUM(F$11:F634)</f>
        <v>0.99999999999974321</v>
      </c>
    </row>
    <row r="635" spans="1:7" x14ac:dyDescent="0.25">
      <c r="A635" s="1">
        <f>A634+1</f>
        <v>624</v>
      </c>
      <c r="B635" s="3">
        <f t="shared" ca="1" si="89"/>
        <v>104000</v>
      </c>
      <c r="C635" s="26">
        <f t="shared" ca="1" si="90"/>
        <v>0.95578933389090748</v>
      </c>
      <c r="D635" s="26" t="str">
        <f t="shared" ca="1" si="88"/>
        <v>Win</v>
      </c>
      <c r="E635" s="3">
        <f t="shared" ca="1" si="91"/>
        <v>500</v>
      </c>
      <c r="F635" s="42">
        <f t="shared" si="87"/>
        <v>9.7119873713357082E-14</v>
      </c>
      <c r="G635" s="41">
        <f>SUM(F$11:F635)</f>
        <v>0.99999999999984035</v>
      </c>
    </row>
    <row r="636" spans="1:7" x14ac:dyDescent="0.25">
      <c r="A636" s="1">
        <f t="shared" ref="A636:A699" si="92">A635+1</f>
        <v>625</v>
      </c>
      <c r="B636" s="3">
        <f t="shared" ca="1" si="89"/>
        <v>104500</v>
      </c>
      <c r="C636" s="26">
        <f t="shared" ca="1" si="90"/>
        <v>0.70423829418586126</v>
      </c>
      <c r="D636" s="26" t="str">
        <f t="shared" ca="1" si="88"/>
        <v>Win</v>
      </c>
      <c r="E636" s="3">
        <f t="shared" ca="1" si="91"/>
        <v>500</v>
      </c>
      <c r="F636" s="42">
        <f t="shared" si="87"/>
        <v>6.0812104435178761E-14</v>
      </c>
      <c r="G636" s="41">
        <f>SUM(F$11:F636)</f>
        <v>0.99999999999990119</v>
      </c>
    </row>
    <row r="637" spans="1:7" x14ac:dyDescent="0.25">
      <c r="A637" s="1">
        <f t="shared" si="92"/>
        <v>626</v>
      </c>
      <c r="B637" s="3">
        <f t="shared" ca="1" si="89"/>
        <v>104000</v>
      </c>
      <c r="C637" s="26">
        <f t="shared" ca="1" si="90"/>
        <v>5.1590840574577523E-2</v>
      </c>
      <c r="D637" s="26" t="str">
        <f t="shared" ca="1" si="88"/>
        <v>Lose</v>
      </c>
      <c r="E637" s="3">
        <f t="shared" ca="1" si="91"/>
        <v>-500</v>
      </c>
      <c r="F637" s="42">
        <f t="shared" si="87"/>
        <v>3.7915873290825004E-14</v>
      </c>
      <c r="G637" s="41">
        <f>SUM(F$11:F637)</f>
        <v>0.99999999999993916</v>
      </c>
    </row>
    <row r="638" spans="1:7" x14ac:dyDescent="0.25">
      <c r="A638" s="1">
        <f t="shared" si="92"/>
        <v>627</v>
      </c>
      <c r="B638" s="3">
        <f t="shared" ca="1" si="89"/>
        <v>104500</v>
      </c>
      <c r="C638" s="26">
        <f t="shared" ca="1" si="90"/>
        <v>0.90399848338407685</v>
      </c>
      <c r="D638" s="26" t="str">
        <f t="shared" ca="1" si="88"/>
        <v>Win</v>
      </c>
      <c r="E638" s="3">
        <f t="shared" ca="1" si="91"/>
        <v>500</v>
      </c>
      <c r="F638" s="42">
        <f t="shared" si="87"/>
        <v>2.3539607692907536E-14</v>
      </c>
      <c r="G638" s="41">
        <f>SUM(F$11:F638)</f>
        <v>0.9999999999999627</v>
      </c>
    </row>
    <row r="639" spans="1:7" x14ac:dyDescent="0.25">
      <c r="A639" s="1">
        <f t="shared" si="92"/>
        <v>628</v>
      </c>
      <c r="B639" s="3">
        <f t="shared" ca="1" si="89"/>
        <v>104000</v>
      </c>
      <c r="C639" s="26">
        <f t="shared" ca="1" si="90"/>
        <v>0.36193037168202846</v>
      </c>
      <c r="D639" s="26" t="str">
        <f t="shared" ca="1" si="88"/>
        <v>Lose</v>
      </c>
      <c r="E639" s="3">
        <f t="shared" ca="1" si="91"/>
        <v>-500</v>
      </c>
      <c r="F639" s="42">
        <f t="shared" si="87"/>
        <v>1.4551993927667336E-14</v>
      </c>
      <c r="G639" s="41">
        <f>SUM(F$11:F639)</f>
        <v>0.99999999999997724</v>
      </c>
    </row>
    <row r="640" spans="1:7" x14ac:dyDescent="0.25">
      <c r="A640" s="1">
        <f t="shared" si="92"/>
        <v>629</v>
      </c>
      <c r="B640" s="3">
        <f t="shared" ca="1" si="89"/>
        <v>104500</v>
      </c>
      <c r="C640" s="26">
        <f t="shared" ca="1" si="90"/>
        <v>0.76628420172832468</v>
      </c>
      <c r="D640" s="26" t="str">
        <f t="shared" ca="1" si="88"/>
        <v>Win</v>
      </c>
      <c r="E640" s="3">
        <f t="shared" ca="1" si="91"/>
        <v>500</v>
      </c>
      <c r="F640" s="42">
        <f t="shared" si="87"/>
        <v>8.9575428699816758E-15</v>
      </c>
      <c r="G640" s="41">
        <f>SUM(F$11:F640)</f>
        <v>0.99999999999998623</v>
      </c>
    </row>
    <row r="641" spans="1:7" x14ac:dyDescent="0.25">
      <c r="A641" s="1">
        <f t="shared" si="92"/>
        <v>630</v>
      </c>
      <c r="B641" s="3">
        <f t="shared" ca="1" si="89"/>
        <v>104000</v>
      </c>
      <c r="C641" s="26">
        <f t="shared" ca="1" si="90"/>
        <v>0.11841351235077657</v>
      </c>
      <c r="D641" s="26" t="str">
        <f t="shared" ca="1" si="88"/>
        <v>Lose</v>
      </c>
      <c r="E641" s="3">
        <f t="shared" ca="1" si="91"/>
        <v>-500</v>
      </c>
      <c r="F641" s="42">
        <f t="shared" si="87"/>
        <v>5.4903034869750997E-15</v>
      </c>
      <c r="G641" s="41">
        <f>SUM(F$11:F641)</f>
        <v>0.99999999999999167</v>
      </c>
    </row>
    <row r="642" spans="1:7" x14ac:dyDescent="0.25">
      <c r="A642" s="1">
        <f t="shared" si="92"/>
        <v>631</v>
      </c>
      <c r="B642" s="3">
        <f t="shared" ca="1" si="89"/>
        <v>104500</v>
      </c>
      <c r="C642" s="26">
        <f t="shared" ca="1" si="90"/>
        <v>0.63872128514184123</v>
      </c>
      <c r="D642" s="26" t="str">
        <f t="shared" ca="1" si="88"/>
        <v>Win</v>
      </c>
      <c r="E642" s="3">
        <f t="shared" ca="1" si="91"/>
        <v>500</v>
      </c>
      <c r="F642" s="42">
        <f t="shared" si="87"/>
        <v>3.350756065824291E-15</v>
      </c>
      <c r="G642" s="41">
        <f>SUM(F$11:F642)</f>
        <v>0.999999999999995</v>
      </c>
    </row>
    <row r="643" spans="1:7" x14ac:dyDescent="0.25">
      <c r="A643" s="1">
        <f t="shared" si="92"/>
        <v>632</v>
      </c>
      <c r="B643" s="3">
        <f t="shared" ca="1" si="89"/>
        <v>104000</v>
      </c>
      <c r="C643" s="26">
        <f t="shared" ca="1" si="90"/>
        <v>0.35167799182659076</v>
      </c>
      <c r="D643" s="26" t="str">
        <f t="shared" ca="1" si="88"/>
        <v>Lose</v>
      </c>
      <c r="E643" s="3">
        <f t="shared" ca="1" si="91"/>
        <v>-500</v>
      </c>
      <c r="F643" s="42">
        <f t="shared" si="87"/>
        <v>2.0362270215301812E-15</v>
      </c>
      <c r="G643" s="41">
        <f>SUM(F$11:F643)</f>
        <v>0.999999999999997</v>
      </c>
    </row>
    <row r="644" spans="1:7" x14ac:dyDescent="0.25">
      <c r="A644" s="1">
        <f t="shared" si="92"/>
        <v>633</v>
      </c>
      <c r="B644" s="3">
        <f t="shared" ca="1" si="89"/>
        <v>103500</v>
      </c>
      <c r="C644" s="26">
        <f t="shared" ca="1" si="90"/>
        <v>0.44775930232663419</v>
      </c>
      <c r="D644" s="26" t="str">
        <f t="shared" ca="1" si="88"/>
        <v>Lose</v>
      </c>
      <c r="E644" s="3">
        <f t="shared" ca="1" si="91"/>
        <v>-500</v>
      </c>
      <c r="F644" s="42">
        <f t="shared" si="87"/>
        <v>1.2320955843595298E-15</v>
      </c>
      <c r="G644" s="41">
        <f>SUM(F$11:F644)</f>
        <v>0.99999999999999822</v>
      </c>
    </row>
    <row r="645" spans="1:7" x14ac:dyDescent="0.25">
      <c r="A645" s="1">
        <f t="shared" si="92"/>
        <v>634</v>
      </c>
      <c r="B645" s="3">
        <f t="shared" ca="1" si="89"/>
        <v>104000</v>
      </c>
      <c r="C645" s="26">
        <f t="shared" ca="1" si="90"/>
        <v>0.74736731877193952</v>
      </c>
      <c r="D645" s="26" t="str">
        <f t="shared" ca="1" si="88"/>
        <v>Win</v>
      </c>
      <c r="E645" s="3">
        <f t="shared" ca="1" si="91"/>
        <v>500</v>
      </c>
      <c r="F645" s="42">
        <f t="shared" si="87"/>
        <v>7.4232707952284398E-16</v>
      </c>
      <c r="G645" s="41">
        <f>SUM(F$11:F645)</f>
        <v>0.999999999999999</v>
      </c>
    </row>
    <row r="646" spans="1:7" x14ac:dyDescent="0.25">
      <c r="A646" s="1">
        <f t="shared" si="92"/>
        <v>635</v>
      </c>
      <c r="B646" s="3">
        <f t="shared" ca="1" si="89"/>
        <v>104500</v>
      </c>
      <c r="C646" s="26">
        <f t="shared" ca="1" si="90"/>
        <v>0.80801729157016422</v>
      </c>
      <c r="D646" s="26" t="str">
        <f t="shared" ca="1" si="88"/>
        <v>Win</v>
      </c>
      <c r="E646" s="3">
        <f t="shared" ca="1" si="91"/>
        <v>500</v>
      </c>
      <c r="F646" s="42">
        <f t="shared" si="87"/>
        <v>4.453246751204742E-16</v>
      </c>
      <c r="G646" s="41">
        <f>SUM(F$11:F646)</f>
        <v>0.99999999999999944</v>
      </c>
    </row>
    <row r="647" spans="1:7" x14ac:dyDescent="0.25">
      <c r="A647" s="1">
        <f t="shared" si="92"/>
        <v>636</v>
      </c>
      <c r="B647" s="3">
        <f t="shared" ca="1" si="89"/>
        <v>104000</v>
      </c>
      <c r="C647" s="26">
        <f t="shared" ca="1" si="90"/>
        <v>0.46417131075611395</v>
      </c>
      <c r="D647" s="26" t="str">
        <f t="shared" ca="1" si="88"/>
        <v>Lose</v>
      </c>
      <c r="E647" s="3">
        <f t="shared" ca="1" si="91"/>
        <v>-500</v>
      </c>
      <c r="F647" s="42">
        <f t="shared" si="87"/>
        <v>2.66003042849689E-16</v>
      </c>
      <c r="G647" s="41">
        <f>SUM(F$11:F647)</f>
        <v>0.99999999999999967</v>
      </c>
    </row>
    <row r="648" spans="1:7" x14ac:dyDescent="0.25">
      <c r="A648" s="1">
        <f t="shared" si="92"/>
        <v>637</v>
      </c>
      <c r="B648" s="3">
        <f t="shared" ca="1" si="89"/>
        <v>103500</v>
      </c>
      <c r="C648" s="26">
        <f t="shared" ca="1" si="90"/>
        <v>0.27038303406842723</v>
      </c>
      <c r="D648" s="26" t="str">
        <f t="shared" ca="1" si="88"/>
        <v>Lose</v>
      </c>
      <c r="E648" s="3">
        <f t="shared" ca="1" si="91"/>
        <v>-500</v>
      </c>
      <c r="F648" s="42">
        <f t="shared" si="87"/>
        <v>1.5820589137415513E-16</v>
      </c>
      <c r="G648" s="41">
        <f>SUM(F$11:F648)</f>
        <v>0.99999999999999978</v>
      </c>
    </row>
    <row r="649" spans="1:7" x14ac:dyDescent="0.25">
      <c r="A649" s="1">
        <f t="shared" si="92"/>
        <v>638</v>
      </c>
      <c r="B649" s="3">
        <f t="shared" ca="1" si="89"/>
        <v>103000</v>
      </c>
      <c r="C649" s="26">
        <f t="shared" ca="1" si="90"/>
        <v>0.4897172597784949</v>
      </c>
      <c r="D649" s="26" t="str">
        <f t="shared" ca="1" si="88"/>
        <v>Lose</v>
      </c>
      <c r="E649" s="3">
        <f t="shared" ca="1" si="91"/>
        <v>-500</v>
      </c>
      <c r="F649" s="42">
        <f t="shared" si="87"/>
        <v>9.3687725257812146E-17</v>
      </c>
      <c r="G649" s="41">
        <f>SUM(F$11:F649)</f>
        <v>0.99999999999999989</v>
      </c>
    </row>
    <row r="650" spans="1:7" x14ac:dyDescent="0.25">
      <c r="A650" s="1">
        <f t="shared" si="92"/>
        <v>639</v>
      </c>
      <c r="B650" s="3">
        <f t="shared" ca="1" si="89"/>
        <v>103500</v>
      </c>
      <c r="C650" s="26">
        <f t="shared" ca="1" si="90"/>
        <v>0.71273924992104276</v>
      </c>
      <c r="D650" s="26" t="str">
        <f t="shared" ca="1" si="88"/>
        <v>Win</v>
      </c>
      <c r="E650" s="3">
        <f t="shared" ca="1" si="91"/>
        <v>500</v>
      </c>
      <c r="F650" s="42">
        <f t="shared" si="87"/>
        <v>5.5241377909034176E-17</v>
      </c>
      <c r="G650" s="41">
        <f>SUM(F$11:F650)</f>
        <v>0.99999999999999989</v>
      </c>
    </row>
    <row r="651" spans="1:7" x14ac:dyDescent="0.25">
      <c r="A651" s="1">
        <f t="shared" si="92"/>
        <v>640</v>
      </c>
      <c r="B651" s="3">
        <f t="shared" ca="1" si="89"/>
        <v>104000</v>
      </c>
      <c r="C651" s="26">
        <f t="shared" ca="1" si="90"/>
        <v>0.60563238931205043</v>
      </c>
      <c r="D651" s="26" t="str">
        <f t="shared" ca="1" si="88"/>
        <v>Win</v>
      </c>
      <c r="E651" s="3">
        <f t="shared" ca="1" si="91"/>
        <v>500</v>
      </c>
      <c r="F651" s="42">
        <f t="shared" si="87"/>
        <v>3.24314097156641E-17</v>
      </c>
      <c r="G651" s="41">
        <f>SUM(F$11:F651)</f>
        <v>0.99999999999999989</v>
      </c>
    </row>
    <row r="652" spans="1:7" x14ac:dyDescent="0.25">
      <c r="A652" s="1">
        <f t="shared" si="92"/>
        <v>641</v>
      </c>
      <c r="B652" s="3">
        <f t="shared" ca="1" si="89"/>
        <v>103500</v>
      </c>
      <c r="C652" s="26">
        <f t="shared" ca="1" si="90"/>
        <v>0.29773204906523787</v>
      </c>
      <c r="D652" s="26" t="str">
        <f t="shared" ca="1" si="88"/>
        <v>Lose</v>
      </c>
      <c r="E652" s="3">
        <f t="shared" ca="1" si="91"/>
        <v>-500</v>
      </c>
      <c r="F652" s="42">
        <f t="shared" ref="F652:F715" si="93">_xlfn.BINOM.DIST(A652,$A$1011,$B$1,FALSE)</f>
        <v>1.8957645336673865E-17</v>
      </c>
      <c r="G652" s="41">
        <f>SUM(F$11:F652)</f>
        <v>0.99999999999999989</v>
      </c>
    </row>
    <row r="653" spans="1:7" x14ac:dyDescent="0.25">
      <c r="A653" s="1">
        <f t="shared" si="92"/>
        <v>642</v>
      </c>
      <c r="B653" s="3">
        <f t="shared" ca="1" si="89"/>
        <v>104000</v>
      </c>
      <c r="C653" s="26">
        <f t="shared" ca="1" si="90"/>
        <v>0.87746873164772277</v>
      </c>
      <c r="D653" s="26" t="str">
        <f t="shared" ref="D653:D716" ca="1" si="94">IF(C653&gt;$B$2,"Win","Lose")</f>
        <v>Win</v>
      </c>
      <c r="E653" s="3">
        <f t="shared" ca="1" si="91"/>
        <v>500</v>
      </c>
      <c r="F653" s="42">
        <f t="shared" si="93"/>
        <v>1.1033617155228008E-17</v>
      </c>
      <c r="G653" s="41">
        <f>SUM(F$11:F653)</f>
        <v>0.99999999999999989</v>
      </c>
    </row>
    <row r="654" spans="1:7" x14ac:dyDescent="0.25">
      <c r="A654" s="1">
        <f t="shared" si="92"/>
        <v>643</v>
      </c>
      <c r="B654" s="3">
        <f t="shared" ref="B654:B717" ca="1" si="95">B653+E654</f>
        <v>103500</v>
      </c>
      <c r="C654" s="26">
        <f t="shared" ref="C654:C717" ca="1" si="96">RAND()</f>
        <v>4.0092701890151017E-2</v>
      </c>
      <c r="D654" s="26" t="str">
        <f t="shared" ca="1" si="94"/>
        <v>Lose</v>
      </c>
      <c r="E654" s="3">
        <f t="shared" ref="E654:E717" ca="1" si="97">IF(D654="Win",$B$4,-$B$4)</f>
        <v>-500</v>
      </c>
      <c r="F654" s="42">
        <f t="shared" si="93"/>
        <v>6.393873806460716E-18</v>
      </c>
      <c r="G654" s="41">
        <f>SUM(F$11:F654)</f>
        <v>0.99999999999999989</v>
      </c>
    </row>
    <row r="655" spans="1:7" x14ac:dyDescent="0.25">
      <c r="A655" s="1">
        <f t="shared" si="92"/>
        <v>644</v>
      </c>
      <c r="B655" s="3">
        <f t="shared" ca="1" si="95"/>
        <v>103000</v>
      </c>
      <c r="C655" s="26">
        <f t="shared" ca="1" si="96"/>
        <v>0.13280191983774392</v>
      </c>
      <c r="D655" s="26" t="str">
        <f t="shared" ca="1" si="94"/>
        <v>Lose</v>
      </c>
      <c r="E655" s="3">
        <f t="shared" ca="1" si="97"/>
        <v>-500</v>
      </c>
      <c r="F655" s="42">
        <f t="shared" si="93"/>
        <v>3.6891006589628406E-18</v>
      </c>
      <c r="G655" s="41">
        <f>SUM(F$11:F655)</f>
        <v>0.99999999999999989</v>
      </c>
    </row>
    <row r="656" spans="1:7" x14ac:dyDescent="0.25">
      <c r="A656" s="1">
        <f t="shared" si="92"/>
        <v>645</v>
      </c>
      <c r="B656" s="3">
        <f t="shared" ca="1" si="95"/>
        <v>103500</v>
      </c>
      <c r="C656" s="26">
        <f t="shared" ca="1" si="96"/>
        <v>0.68138316164641854</v>
      </c>
      <c r="D656" s="26" t="str">
        <f t="shared" ca="1" si="94"/>
        <v>Win</v>
      </c>
      <c r="E656" s="3">
        <f t="shared" ca="1" si="97"/>
        <v>500</v>
      </c>
      <c r="F656" s="42">
        <f t="shared" si="93"/>
        <v>2.1192631407728394E-18</v>
      </c>
      <c r="G656" s="41">
        <f>SUM(F$11:F656)</f>
        <v>0.99999999999999989</v>
      </c>
    </row>
    <row r="657" spans="1:7" x14ac:dyDescent="0.25">
      <c r="A657" s="1">
        <f t="shared" si="92"/>
        <v>646</v>
      </c>
      <c r="B657" s="3">
        <f t="shared" ca="1" si="95"/>
        <v>104000</v>
      </c>
      <c r="C657" s="26">
        <f t="shared" ca="1" si="96"/>
        <v>0.79246654238147285</v>
      </c>
      <c r="D657" s="26" t="str">
        <f t="shared" ca="1" si="94"/>
        <v>Win</v>
      </c>
      <c r="E657" s="3">
        <f t="shared" ca="1" si="97"/>
        <v>500</v>
      </c>
      <c r="F657" s="42">
        <f t="shared" si="93"/>
        <v>1.2121456739651239E-18</v>
      </c>
      <c r="G657" s="41">
        <f>SUM(F$11:F657)</f>
        <v>0.99999999999999989</v>
      </c>
    </row>
    <row r="658" spans="1:7" x14ac:dyDescent="0.25">
      <c r="A658" s="1">
        <f t="shared" si="92"/>
        <v>647</v>
      </c>
      <c r="B658" s="3">
        <f t="shared" ca="1" si="95"/>
        <v>103500</v>
      </c>
      <c r="C658" s="26">
        <f t="shared" ca="1" si="96"/>
        <v>0.38160174953919468</v>
      </c>
      <c r="D658" s="26" t="str">
        <f t="shared" ca="1" si="94"/>
        <v>Lose</v>
      </c>
      <c r="E658" s="3">
        <f t="shared" ca="1" si="97"/>
        <v>-500</v>
      </c>
      <c r="F658" s="42">
        <f t="shared" si="93"/>
        <v>6.9028413707747581E-19</v>
      </c>
      <c r="G658" s="41">
        <f>SUM(F$11:F658)</f>
        <v>0.99999999999999989</v>
      </c>
    </row>
    <row r="659" spans="1:7" x14ac:dyDescent="0.25">
      <c r="A659" s="1">
        <f t="shared" si="92"/>
        <v>648</v>
      </c>
      <c r="B659" s="3">
        <f t="shared" ca="1" si="95"/>
        <v>103000</v>
      </c>
      <c r="C659" s="26">
        <f t="shared" ca="1" si="96"/>
        <v>0.34511717284019072</v>
      </c>
      <c r="D659" s="26" t="str">
        <f t="shared" ca="1" si="94"/>
        <v>Lose</v>
      </c>
      <c r="E659" s="3">
        <f t="shared" ca="1" si="97"/>
        <v>-500</v>
      </c>
      <c r="F659" s="42">
        <f t="shared" si="93"/>
        <v>3.9138275761544193E-19</v>
      </c>
      <c r="G659" s="41">
        <f>SUM(F$11:F659)</f>
        <v>0.99999999999999989</v>
      </c>
    </row>
    <row r="660" spans="1:7" x14ac:dyDescent="0.25">
      <c r="A660" s="1">
        <f t="shared" si="92"/>
        <v>649</v>
      </c>
      <c r="B660" s="3">
        <f t="shared" ca="1" si="95"/>
        <v>103500</v>
      </c>
      <c r="C660" s="26">
        <f t="shared" ca="1" si="96"/>
        <v>0.63118860784505837</v>
      </c>
      <c r="D660" s="26" t="str">
        <f t="shared" ca="1" si="94"/>
        <v>Win</v>
      </c>
      <c r="E660" s="3">
        <f t="shared" ca="1" si="97"/>
        <v>500</v>
      </c>
      <c r="F660" s="42">
        <f t="shared" si="93"/>
        <v>2.2093969575523913E-19</v>
      </c>
      <c r="G660" s="41">
        <f>SUM(F$11:F660)</f>
        <v>0.99999999999999989</v>
      </c>
    </row>
    <row r="661" spans="1:7" x14ac:dyDescent="0.25">
      <c r="A661" s="1">
        <f t="shared" si="92"/>
        <v>650</v>
      </c>
      <c r="B661" s="3">
        <f t="shared" ca="1" si="95"/>
        <v>104000</v>
      </c>
      <c r="C661" s="26">
        <f t="shared" ca="1" si="96"/>
        <v>0.73715575237681863</v>
      </c>
      <c r="D661" s="26" t="str">
        <f t="shared" ca="1" si="94"/>
        <v>Win</v>
      </c>
      <c r="E661" s="3">
        <f t="shared" ca="1" si="97"/>
        <v>500</v>
      </c>
      <c r="F661" s="42">
        <f t="shared" si="93"/>
        <v>1.241771269612131E-19</v>
      </c>
      <c r="G661" s="41">
        <f>SUM(F$11:F661)</f>
        <v>0.99999999999999989</v>
      </c>
    </row>
    <row r="662" spans="1:7" x14ac:dyDescent="0.25">
      <c r="A662" s="1">
        <f t="shared" si="92"/>
        <v>651</v>
      </c>
      <c r="B662" s="3">
        <f t="shared" ca="1" si="95"/>
        <v>104500</v>
      </c>
      <c r="C662" s="26">
        <f t="shared" ca="1" si="96"/>
        <v>0.94616027610593612</v>
      </c>
      <c r="D662" s="26" t="str">
        <f t="shared" ca="1" si="94"/>
        <v>Win</v>
      </c>
      <c r="E662" s="3">
        <f t="shared" ca="1" si="97"/>
        <v>500</v>
      </c>
      <c r="F662" s="42">
        <f t="shared" si="93"/>
        <v>6.9486871571448571E-20</v>
      </c>
      <c r="G662" s="41">
        <f>SUM(F$11:F662)</f>
        <v>0.99999999999999989</v>
      </c>
    </row>
    <row r="663" spans="1:7" x14ac:dyDescent="0.25">
      <c r="A663" s="1">
        <f t="shared" si="92"/>
        <v>652</v>
      </c>
      <c r="B663" s="3">
        <f t="shared" ca="1" si="95"/>
        <v>104000</v>
      </c>
      <c r="C663" s="26">
        <f t="shared" ca="1" si="96"/>
        <v>4.4127482483078739E-2</v>
      </c>
      <c r="D663" s="26" t="str">
        <f t="shared" ca="1" si="94"/>
        <v>Lose</v>
      </c>
      <c r="E663" s="3">
        <f t="shared" ca="1" si="97"/>
        <v>-500</v>
      </c>
      <c r="F663" s="42">
        <f t="shared" si="93"/>
        <v>3.8712809161769354E-20</v>
      </c>
      <c r="G663" s="41">
        <f>SUM(F$11:F663)</f>
        <v>0.99999999999999989</v>
      </c>
    </row>
    <row r="664" spans="1:7" x14ac:dyDescent="0.25">
      <c r="A664" s="1">
        <f t="shared" si="92"/>
        <v>653</v>
      </c>
      <c r="B664" s="3">
        <f t="shared" ca="1" si="95"/>
        <v>104500</v>
      </c>
      <c r="C664" s="26">
        <f t="shared" ca="1" si="96"/>
        <v>0.88275348389419594</v>
      </c>
      <c r="D664" s="26" t="str">
        <f t="shared" ca="1" si="94"/>
        <v>Win</v>
      </c>
      <c r="E664" s="3">
        <f t="shared" ca="1" si="97"/>
        <v>500</v>
      </c>
      <c r="F664" s="42">
        <f t="shared" si="93"/>
        <v>2.1473104884929107E-20</v>
      </c>
      <c r="G664" s="41">
        <f>SUM(F$11:F664)</f>
        <v>0.99999999999999989</v>
      </c>
    </row>
    <row r="665" spans="1:7" x14ac:dyDescent="0.25">
      <c r="A665" s="1">
        <f t="shared" si="92"/>
        <v>654</v>
      </c>
      <c r="B665" s="3">
        <f t="shared" ca="1" si="95"/>
        <v>104000</v>
      </c>
      <c r="C665" s="26">
        <f t="shared" ca="1" si="96"/>
        <v>0.27631996112767554</v>
      </c>
      <c r="D665" s="26" t="str">
        <f t="shared" ca="1" si="94"/>
        <v>Lose</v>
      </c>
      <c r="E665" s="3">
        <f t="shared" ca="1" si="97"/>
        <v>-500</v>
      </c>
      <c r="F665" s="42">
        <f t="shared" si="93"/>
        <v>1.1858251798932596E-20</v>
      </c>
      <c r="G665" s="41">
        <f>SUM(F$11:F665)</f>
        <v>0.99999999999999989</v>
      </c>
    </row>
    <row r="666" spans="1:7" x14ac:dyDescent="0.25">
      <c r="A666" s="1">
        <f t="shared" si="92"/>
        <v>655</v>
      </c>
      <c r="B666" s="3">
        <f t="shared" ca="1" si="95"/>
        <v>103500</v>
      </c>
      <c r="C666" s="26">
        <f t="shared" ca="1" si="96"/>
        <v>0.14632428985902246</v>
      </c>
      <c r="D666" s="26" t="str">
        <f t="shared" ca="1" si="94"/>
        <v>Lose</v>
      </c>
      <c r="E666" s="3">
        <f t="shared" ca="1" si="97"/>
        <v>-500</v>
      </c>
      <c r="F666" s="42">
        <f t="shared" si="93"/>
        <v>6.5197292800737755E-21</v>
      </c>
      <c r="G666" s="41">
        <f>SUM(F$11:F666)</f>
        <v>0.99999999999999989</v>
      </c>
    </row>
    <row r="667" spans="1:7" x14ac:dyDescent="0.25">
      <c r="A667" s="1">
        <f t="shared" si="92"/>
        <v>656</v>
      </c>
      <c r="B667" s="3">
        <f t="shared" ca="1" si="95"/>
        <v>104000</v>
      </c>
      <c r="C667" s="26">
        <f t="shared" ca="1" si="96"/>
        <v>0.62690676777580623</v>
      </c>
      <c r="D667" s="26" t="str">
        <f t="shared" ca="1" si="94"/>
        <v>Win</v>
      </c>
      <c r="E667" s="3">
        <f t="shared" ca="1" si="97"/>
        <v>500</v>
      </c>
      <c r="F667" s="42">
        <f t="shared" si="93"/>
        <v>3.5687729182085452E-21</v>
      </c>
      <c r="G667" s="41">
        <f>SUM(F$11:F667)</f>
        <v>0.99999999999999989</v>
      </c>
    </row>
    <row r="668" spans="1:7" x14ac:dyDescent="0.25">
      <c r="A668" s="1">
        <f t="shared" si="92"/>
        <v>657</v>
      </c>
      <c r="B668" s="3">
        <f t="shared" ca="1" si="95"/>
        <v>104500</v>
      </c>
      <c r="C668" s="26">
        <f t="shared" ca="1" si="96"/>
        <v>0.98929875382983357</v>
      </c>
      <c r="D668" s="26" t="str">
        <f t="shared" ca="1" si="94"/>
        <v>Win</v>
      </c>
      <c r="E668" s="3">
        <f t="shared" ca="1" si="97"/>
        <v>500</v>
      </c>
      <c r="F668" s="42">
        <f t="shared" si="93"/>
        <v>1.9448498765896801E-21</v>
      </c>
      <c r="G668" s="41">
        <f>SUM(F$11:F668)</f>
        <v>0.99999999999999989</v>
      </c>
    </row>
    <row r="669" spans="1:7" x14ac:dyDescent="0.25">
      <c r="A669" s="1">
        <f t="shared" si="92"/>
        <v>658</v>
      </c>
      <c r="B669" s="3">
        <f t="shared" ca="1" si="95"/>
        <v>105000</v>
      </c>
      <c r="C669" s="26">
        <f t="shared" ca="1" si="96"/>
        <v>0.85971114297117102</v>
      </c>
      <c r="D669" s="26" t="str">
        <f t="shared" ca="1" si="94"/>
        <v>Win</v>
      </c>
      <c r="E669" s="3">
        <f t="shared" ca="1" si="97"/>
        <v>500</v>
      </c>
      <c r="F669" s="42">
        <f t="shared" si="93"/>
        <v>1.0551845075114105E-21</v>
      </c>
      <c r="G669" s="41">
        <f>SUM(F$11:F669)</f>
        <v>0.99999999999999989</v>
      </c>
    </row>
    <row r="670" spans="1:7" x14ac:dyDescent="0.25">
      <c r="A670" s="1">
        <f t="shared" si="92"/>
        <v>659</v>
      </c>
      <c r="B670" s="3">
        <f t="shared" ca="1" si="95"/>
        <v>105500</v>
      </c>
      <c r="C670" s="26">
        <f t="shared" ca="1" si="96"/>
        <v>0.55928380493739072</v>
      </c>
      <c r="D670" s="26" t="str">
        <f t="shared" ca="1" si="94"/>
        <v>Win</v>
      </c>
      <c r="E670" s="3">
        <f t="shared" ca="1" si="97"/>
        <v>500</v>
      </c>
      <c r="F670" s="42">
        <f t="shared" si="93"/>
        <v>5.6995844600707219E-22</v>
      </c>
      <c r="G670" s="41">
        <f>SUM(F$11:F670)</f>
        <v>0.99999999999999989</v>
      </c>
    </row>
    <row r="671" spans="1:7" x14ac:dyDescent="0.25">
      <c r="A671" s="1">
        <f t="shared" si="92"/>
        <v>660</v>
      </c>
      <c r="B671" s="3">
        <f t="shared" ca="1" si="95"/>
        <v>106000</v>
      </c>
      <c r="C671" s="26">
        <f t="shared" ca="1" si="96"/>
        <v>0.67561535264404704</v>
      </c>
      <c r="D671" s="26" t="str">
        <f t="shared" ca="1" si="94"/>
        <v>Win</v>
      </c>
      <c r="E671" s="3">
        <f t="shared" ca="1" si="97"/>
        <v>500</v>
      </c>
      <c r="F671" s="42">
        <f t="shared" si="93"/>
        <v>3.064980622915627E-22</v>
      </c>
      <c r="G671" s="41">
        <f>SUM(F$11:F671)</f>
        <v>0.99999999999999989</v>
      </c>
    </row>
    <row r="672" spans="1:7" x14ac:dyDescent="0.25">
      <c r="A672" s="1">
        <f t="shared" si="92"/>
        <v>661</v>
      </c>
      <c r="B672" s="3">
        <f t="shared" ca="1" si="95"/>
        <v>106500</v>
      </c>
      <c r="C672" s="26">
        <f t="shared" ca="1" si="96"/>
        <v>0.5043136111327059</v>
      </c>
      <c r="D672" s="26" t="str">
        <f t="shared" ca="1" si="94"/>
        <v>Win</v>
      </c>
      <c r="E672" s="3">
        <f t="shared" ca="1" si="97"/>
        <v>500</v>
      </c>
      <c r="F672" s="42">
        <f t="shared" si="93"/>
        <v>1.6408893143152141E-22</v>
      </c>
      <c r="G672" s="41">
        <f>SUM(F$11:F672)</f>
        <v>0.99999999999999989</v>
      </c>
    </row>
    <row r="673" spans="1:7" x14ac:dyDescent="0.25">
      <c r="A673" s="1">
        <f t="shared" si="92"/>
        <v>662</v>
      </c>
      <c r="B673" s="3">
        <f t="shared" ca="1" si="95"/>
        <v>107000</v>
      </c>
      <c r="C673" s="26">
        <f t="shared" ca="1" si="96"/>
        <v>0.49926190349484156</v>
      </c>
      <c r="D673" s="26" t="str">
        <f t="shared" ca="1" si="94"/>
        <v>Win</v>
      </c>
      <c r="E673" s="3">
        <f t="shared" ca="1" si="97"/>
        <v>500</v>
      </c>
      <c r="F673" s="42">
        <f t="shared" si="93"/>
        <v>8.7457103875690112E-23</v>
      </c>
      <c r="G673" s="41">
        <f>SUM(F$11:F673)</f>
        <v>0.99999999999999989</v>
      </c>
    </row>
    <row r="674" spans="1:7" x14ac:dyDescent="0.25">
      <c r="A674" s="1">
        <f t="shared" si="92"/>
        <v>663</v>
      </c>
      <c r="B674" s="3">
        <f t="shared" ca="1" si="95"/>
        <v>107500</v>
      </c>
      <c r="C674" s="26">
        <f t="shared" ca="1" si="96"/>
        <v>0.54690331149872606</v>
      </c>
      <c r="D674" s="26" t="str">
        <f t="shared" ca="1" si="94"/>
        <v>Win</v>
      </c>
      <c r="E674" s="3">
        <f t="shared" ca="1" si="97"/>
        <v>500</v>
      </c>
      <c r="F674" s="42">
        <f t="shared" si="93"/>
        <v>4.640581021975314E-23</v>
      </c>
      <c r="G674" s="41">
        <f>SUM(F$11:F674)</f>
        <v>0.99999999999999989</v>
      </c>
    </row>
    <row r="675" spans="1:7" x14ac:dyDescent="0.25">
      <c r="A675" s="1">
        <f t="shared" si="92"/>
        <v>664</v>
      </c>
      <c r="B675" s="3">
        <f t="shared" ca="1" si="95"/>
        <v>108000</v>
      </c>
      <c r="C675" s="26">
        <f t="shared" ca="1" si="96"/>
        <v>0.91308668158765149</v>
      </c>
      <c r="D675" s="26" t="str">
        <f t="shared" ca="1" si="94"/>
        <v>Win</v>
      </c>
      <c r="E675" s="3">
        <f t="shared" ca="1" si="97"/>
        <v>500</v>
      </c>
      <c r="F675" s="42">
        <f t="shared" si="93"/>
        <v>2.4513666715234887E-23</v>
      </c>
      <c r="G675" s="41">
        <f>SUM(F$11:F675)</f>
        <v>0.99999999999999989</v>
      </c>
    </row>
    <row r="676" spans="1:7" x14ac:dyDescent="0.25">
      <c r="A676" s="1">
        <f t="shared" si="92"/>
        <v>665</v>
      </c>
      <c r="B676" s="3">
        <f t="shared" ca="1" si="95"/>
        <v>108500</v>
      </c>
      <c r="C676" s="26">
        <f t="shared" ca="1" si="96"/>
        <v>0.77556300304700332</v>
      </c>
      <c r="D676" s="26" t="str">
        <f t="shared" ca="1" si="94"/>
        <v>Win</v>
      </c>
      <c r="E676" s="3">
        <f t="shared" ca="1" si="97"/>
        <v>500</v>
      </c>
      <c r="F676" s="42">
        <f t="shared" si="93"/>
        <v>1.2891397662491338E-23</v>
      </c>
      <c r="G676" s="41">
        <f>SUM(F$11:F676)</f>
        <v>0.99999999999999989</v>
      </c>
    </row>
    <row r="677" spans="1:7" x14ac:dyDescent="0.25">
      <c r="A677" s="1">
        <f t="shared" si="92"/>
        <v>666</v>
      </c>
      <c r="B677" s="3">
        <f t="shared" ca="1" si="95"/>
        <v>108000</v>
      </c>
      <c r="C677" s="26">
        <f t="shared" ca="1" si="96"/>
        <v>0.16666410757313399</v>
      </c>
      <c r="D677" s="26" t="str">
        <f t="shared" ca="1" si="94"/>
        <v>Lose</v>
      </c>
      <c r="E677" s="3">
        <f t="shared" ca="1" si="97"/>
        <v>-500</v>
      </c>
      <c r="F677" s="42">
        <f t="shared" si="93"/>
        <v>6.7490816039610238E-24</v>
      </c>
      <c r="G677" s="41">
        <f>SUM(F$11:F677)</f>
        <v>0.99999999999999989</v>
      </c>
    </row>
    <row r="678" spans="1:7" x14ac:dyDescent="0.25">
      <c r="A678" s="1">
        <f t="shared" si="92"/>
        <v>667</v>
      </c>
      <c r="B678" s="3">
        <f t="shared" ca="1" si="95"/>
        <v>107500</v>
      </c>
      <c r="C678" s="26">
        <f t="shared" ca="1" si="96"/>
        <v>0.32842338182567565</v>
      </c>
      <c r="D678" s="26" t="str">
        <f t="shared" ca="1" si="94"/>
        <v>Lose</v>
      </c>
      <c r="E678" s="3">
        <f t="shared" ca="1" si="97"/>
        <v>-500</v>
      </c>
      <c r="F678" s="42">
        <f t="shared" si="93"/>
        <v>3.5175429440954425E-24</v>
      </c>
      <c r="G678" s="41">
        <f>SUM(F$11:F678)</f>
        <v>0.99999999999999989</v>
      </c>
    </row>
    <row r="679" spans="1:7" x14ac:dyDescent="0.25">
      <c r="A679" s="1">
        <f t="shared" si="92"/>
        <v>668</v>
      </c>
      <c r="B679" s="3">
        <f t="shared" ca="1" si="95"/>
        <v>107000</v>
      </c>
      <c r="C679" s="26">
        <f t="shared" ca="1" si="96"/>
        <v>0.23301084553704754</v>
      </c>
      <c r="D679" s="26" t="str">
        <f t="shared" ca="1" si="94"/>
        <v>Lose</v>
      </c>
      <c r="E679" s="3">
        <f t="shared" ca="1" si="97"/>
        <v>-500</v>
      </c>
      <c r="F679" s="42">
        <f t="shared" si="93"/>
        <v>1.8250773499807843E-24</v>
      </c>
      <c r="G679" s="41">
        <f>SUM(F$11:F679)</f>
        <v>0.99999999999999989</v>
      </c>
    </row>
    <row r="680" spans="1:7" x14ac:dyDescent="0.25">
      <c r="A680" s="1">
        <f t="shared" si="92"/>
        <v>669</v>
      </c>
      <c r="B680" s="3">
        <f t="shared" ca="1" si="95"/>
        <v>107500</v>
      </c>
      <c r="C680" s="26">
        <f t="shared" ca="1" si="96"/>
        <v>0.59361835441927691</v>
      </c>
      <c r="D680" s="26" t="str">
        <f t="shared" ca="1" si="94"/>
        <v>Win</v>
      </c>
      <c r="E680" s="3">
        <f t="shared" ca="1" si="97"/>
        <v>500</v>
      </c>
      <c r="F680" s="42">
        <f t="shared" si="93"/>
        <v>9.4268660778731319E-25</v>
      </c>
      <c r="G680" s="41">
        <f>SUM(F$11:F680)</f>
        <v>0.99999999999999989</v>
      </c>
    </row>
    <row r="681" spans="1:7" x14ac:dyDescent="0.25">
      <c r="A681" s="1">
        <f t="shared" si="92"/>
        <v>670</v>
      </c>
      <c r="B681" s="3">
        <f t="shared" ca="1" si="95"/>
        <v>107000</v>
      </c>
      <c r="C681" s="26">
        <f t="shared" ca="1" si="96"/>
        <v>0.45575667252688501</v>
      </c>
      <c r="D681" s="26" t="str">
        <f t="shared" ca="1" si="94"/>
        <v>Lose</v>
      </c>
      <c r="E681" s="3">
        <f t="shared" ca="1" si="97"/>
        <v>-500</v>
      </c>
      <c r="F681" s="42">
        <f t="shared" si="93"/>
        <v>4.8472411288631362E-25</v>
      </c>
      <c r="G681" s="41">
        <f>SUM(F$11:F681)</f>
        <v>0.99999999999999989</v>
      </c>
    </row>
    <row r="682" spans="1:7" x14ac:dyDescent="0.25">
      <c r="A682" s="1">
        <f t="shared" si="92"/>
        <v>671</v>
      </c>
      <c r="B682" s="3">
        <f t="shared" ca="1" si="95"/>
        <v>107500</v>
      </c>
      <c r="C682" s="26">
        <f t="shared" ca="1" si="96"/>
        <v>0.93840251252368623</v>
      </c>
      <c r="D682" s="26" t="str">
        <f t="shared" ca="1" si="94"/>
        <v>Win</v>
      </c>
      <c r="E682" s="3">
        <f t="shared" ca="1" si="97"/>
        <v>500</v>
      </c>
      <c r="F682" s="42">
        <f t="shared" si="93"/>
        <v>2.481190674861303E-25</v>
      </c>
      <c r="G682" s="41">
        <f>SUM(F$11:F682)</f>
        <v>0.99999999999999989</v>
      </c>
    </row>
    <row r="683" spans="1:7" x14ac:dyDescent="0.25">
      <c r="A683" s="1">
        <f t="shared" si="92"/>
        <v>672</v>
      </c>
      <c r="B683" s="3">
        <f t="shared" ca="1" si="95"/>
        <v>108000</v>
      </c>
      <c r="C683" s="26">
        <f t="shared" ca="1" si="96"/>
        <v>0.70554617457975044</v>
      </c>
      <c r="D683" s="26" t="str">
        <f t="shared" ca="1" si="94"/>
        <v>Win</v>
      </c>
      <c r="E683" s="3">
        <f t="shared" ca="1" si="97"/>
        <v>500</v>
      </c>
      <c r="F683" s="42">
        <f t="shared" si="93"/>
        <v>1.264331217611107E-25</v>
      </c>
      <c r="G683" s="41">
        <f>SUM(F$11:F683)</f>
        <v>0.99999999999999989</v>
      </c>
    </row>
    <row r="684" spans="1:7" x14ac:dyDescent="0.25">
      <c r="A684" s="1">
        <f t="shared" si="92"/>
        <v>673</v>
      </c>
      <c r="B684" s="3">
        <f t="shared" ca="1" si="95"/>
        <v>107500</v>
      </c>
      <c r="C684" s="26">
        <f t="shared" ca="1" si="96"/>
        <v>0.21262444033024175</v>
      </c>
      <c r="D684" s="26" t="str">
        <f t="shared" ca="1" si="94"/>
        <v>Lose</v>
      </c>
      <c r="E684" s="3">
        <f t="shared" ca="1" si="97"/>
        <v>-500</v>
      </c>
      <c r="F684" s="42">
        <f t="shared" si="93"/>
        <v>6.4134798824025521E-26</v>
      </c>
      <c r="G684" s="41">
        <f>SUM(F$11:F684)</f>
        <v>0.99999999999999989</v>
      </c>
    </row>
    <row r="685" spans="1:7" x14ac:dyDescent="0.25">
      <c r="A685" s="1">
        <f t="shared" si="92"/>
        <v>674</v>
      </c>
      <c r="B685" s="3">
        <f t="shared" ca="1" si="95"/>
        <v>107000</v>
      </c>
      <c r="C685" s="26">
        <f t="shared" ca="1" si="96"/>
        <v>0.12943120320176038</v>
      </c>
      <c r="D685" s="26" t="str">
        <f t="shared" ca="1" si="94"/>
        <v>Lose</v>
      </c>
      <c r="E685" s="3">
        <f t="shared" ca="1" si="97"/>
        <v>-500</v>
      </c>
      <c r="F685" s="42">
        <f t="shared" si="93"/>
        <v>3.238587900406566E-26</v>
      </c>
      <c r="G685" s="41">
        <f>SUM(F$11:F685)</f>
        <v>0.99999999999999989</v>
      </c>
    </row>
    <row r="686" spans="1:7" x14ac:dyDescent="0.25">
      <c r="A686" s="1">
        <f t="shared" si="92"/>
        <v>675</v>
      </c>
      <c r="B686" s="3">
        <f t="shared" ca="1" si="95"/>
        <v>107500</v>
      </c>
      <c r="C686" s="26">
        <f t="shared" ca="1" si="96"/>
        <v>0.60744349347253324</v>
      </c>
      <c r="D686" s="26" t="str">
        <f t="shared" ca="1" si="94"/>
        <v>Win</v>
      </c>
      <c r="E686" s="3">
        <f t="shared" ca="1" si="97"/>
        <v>500</v>
      </c>
      <c r="F686" s="42">
        <f t="shared" si="93"/>
        <v>1.6279595595512883E-26</v>
      </c>
      <c r="G686" s="41">
        <f>SUM(F$11:F686)</f>
        <v>0.99999999999999989</v>
      </c>
    </row>
    <row r="687" spans="1:7" x14ac:dyDescent="0.25">
      <c r="A687" s="1">
        <f t="shared" si="92"/>
        <v>676</v>
      </c>
      <c r="B687" s="3">
        <f t="shared" ca="1" si="95"/>
        <v>108000</v>
      </c>
      <c r="C687" s="26">
        <f t="shared" ca="1" si="96"/>
        <v>0.49584831634369209</v>
      </c>
      <c r="D687" s="26" t="str">
        <f t="shared" ca="1" si="94"/>
        <v>Win</v>
      </c>
      <c r="E687" s="3">
        <f t="shared" ca="1" si="97"/>
        <v>500</v>
      </c>
      <c r="F687" s="42">
        <f t="shared" si="93"/>
        <v>8.1461869640025968E-27</v>
      </c>
      <c r="G687" s="41">
        <f>SUM(F$11:F687)</f>
        <v>0.99999999999999989</v>
      </c>
    </row>
    <row r="688" spans="1:7" x14ac:dyDescent="0.25">
      <c r="A688" s="1">
        <f t="shared" si="92"/>
        <v>677</v>
      </c>
      <c r="B688" s="3">
        <f t="shared" ca="1" si="95"/>
        <v>107500</v>
      </c>
      <c r="C688" s="26">
        <f t="shared" ca="1" si="96"/>
        <v>0.48033937251120673</v>
      </c>
      <c r="D688" s="26" t="str">
        <f t="shared" ca="1" si="94"/>
        <v>Lose</v>
      </c>
      <c r="E688" s="3">
        <f t="shared" ca="1" si="97"/>
        <v>-500</v>
      </c>
      <c r="F688" s="42">
        <f t="shared" si="93"/>
        <v>4.0577455579288702E-27</v>
      </c>
      <c r="G688" s="41">
        <f>SUM(F$11:F688)</f>
        <v>0.99999999999999989</v>
      </c>
    </row>
    <row r="689" spans="1:7" x14ac:dyDescent="0.25">
      <c r="A689" s="1">
        <f t="shared" si="92"/>
        <v>678</v>
      </c>
      <c r="B689" s="3">
        <f t="shared" ca="1" si="95"/>
        <v>107000</v>
      </c>
      <c r="C689" s="26">
        <f t="shared" ca="1" si="96"/>
        <v>0.16364462120531043</v>
      </c>
      <c r="D689" s="26" t="str">
        <f t="shared" ca="1" si="94"/>
        <v>Lose</v>
      </c>
      <c r="E689" s="3">
        <f t="shared" ca="1" si="97"/>
        <v>-500</v>
      </c>
      <c r="F689" s="42">
        <f t="shared" si="93"/>
        <v>2.0120174154405522E-27</v>
      </c>
      <c r="G689" s="41">
        <f>SUM(F$11:F689)</f>
        <v>0.99999999999999989</v>
      </c>
    </row>
    <row r="690" spans="1:7" x14ac:dyDescent="0.25">
      <c r="A690" s="1">
        <f t="shared" si="92"/>
        <v>679</v>
      </c>
      <c r="B690" s="3">
        <f t="shared" ca="1" si="95"/>
        <v>107500</v>
      </c>
      <c r="C690" s="26">
        <f t="shared" ca="1" si="96"/>
        <v>0.57723896969317134</v>
      </c>
      <c r="D690" s="26" t="str">
        <f t="shared" ca="1" si="94"/>
        <v>Win</v>
      </c>
      <c r="E690" s="3">
        <f t="shared" ca="1" si="97"/>
        <v>500</v>
      </c>
      <c r="F690" s="42">
        <f t="shared" si="93"/>
        <v>9.9309759238869195E-28</v>
      </c>
      <c r="G690" s="41">
        <f>SUM(F$11:F690)</f>
        <v>0.99999999999999989</v>
      </c>
    </row>
    <row r="691" spans="1:7" x14ac:dyDescent="0.25">
      <c r="A691" s="1">
        <f t="shared" si="92"/>
        <v>680</v>
      </c>
      <c r="B691" s="3">
        <f t="shared" ca="1" si="95"/>
        <v>108000</v>
      </c>
      <c r="C691" s="26">
        <f t="shared" ca="1" si="96"/>
        <v>0.91762030149955565</v>
      </c>
      <c r="D691" s="26" t="str">
        <f t="shared" ca="1" si="94"/>
        <v>Win</v>
      </c>
      <c r="E691" s="3">
        <f t="shared" ca="1" si="97"/>
        <v>500</v>
      </c>
      <c r="F691" s="42">
        <f t="shared" si="93"/>
        <v>4.8793519462771534E-28</v>
      </c>
      <c r="G691" s="41">
        <f>SUM(F$11:F691)</f>
        <v>0.99999999999999989</v>
      </c>
    </row>
    <row r="692" spans="1:7" x14ac:dyDescent="0.25">
      <c r="A692" s="1">
        <f t="shared" si="92"/>
        <v>681</v>
      </c>
      <c r="B692" s="3">
        <f t="shared" ca="1" si="95"/>
        <v>107500</v>
      </c>
      <c r="C692" s="26">
        <f t="shared" ca="1" si="96"/>
        <v>5.8754507421466928E-2</v>
      </c>
      <c r="D692" s="26" t="str">
        <f t="shared" ca="1" si="94"/>
        <v>Lose</v>
      </c>
      <c r="E692" s="3">
        <f t="shared" ca="1" si="97"/>
        <v>-500</v>
      </c>
      <c r="F692" s="42">
        <f t="shared" si="93"/>
        <v>2.386377289197738E-28</v>
      </c>
      <c r="G692" s="41">
        <f>SUM(F$11:F692)</f>
        <v>0.99999999999999989</v>
      </c>
    </row>
    <row r="693" spans="1:7" x14ac:dyDescent="0.25">
      <c r="A693" s="1">
        <f t="shared" si="92"/>
        <v>682</v>
      </c>
      <c r="B693" s="3">
        <f t="shared" ca="1" si="95"/>
        <v>107000</v>
      </c>
      <c r="C693" s="26">
        <f t="shared" ca="1" si="96"/>
        <v>8.4111534102800478E-2</v>
      </c>
      <c r="D693" s="26" t="str">
        <f t="shared" ca="1" si="94"/>
        <v>Lose</v>
      </c>
      <c r="E693" s="3">
        <f t="shared" ca="1" si="97"/>
        <v>-500</v>
      </c>
      <c r="F693" s="42">
        <f t="shared" si="93"/>
        <v>1.1617682721275823E-28</v>
      </c>
      <c r="G693" s="41">
        <f>SUM(F$11:F693)</f>
        <v>0.99999999999999989</v>
      </c>
    </row>
    <row r="694" spans="1:7" x14ac:dyDescent="0.25">
      <c r="A694" s="1">
        <f t="shared" si="92"/>
        <v>683</v>
      </c>
      <c r="B694" s="3">
        <f t="shared" ca="1" si="95"/>
        <v>106500</v>
      </c>
      <c r="C694" s="26">
        <f t="shared" ca="1" si="96"/>
        <v>0.20323116374248829</v>
      </c>
      <c r="D694" s="26" t="str">
        <f t="shared" ca="1" si="94"/>
        <v>Lose</v>
      </c>
      <c r="E694" s="3">
        <f t="shared" ca="1" si="97"/>
        <v>-500</v>
      </c>
      <c r="F694" s="42">
        <f t="shared" si="93"/>
        <v>5.6298914863494195E-29</v>
      </c>
      <c r="G694" s="41">
        <f>SUM(F$11:F694)</f>
        <v>0.99999999999999989</v>
      </c>
    </row>
    <row r="695" spans="1:7" x14ac:dyDescent="0.25">
      <c r="A695" s="1">
        <f t="shared" si="92"/>
        <v>684</v>
      </c>
      <c r="B695" s="3">
        <f t="shared" ca="1" si="95"/>
        <v>106000</v>
      </c>
      <c r="C695" s="26">
        <f t="shared" ca="1" si="96"/>
        <v>0.33183911997643079</v>
      </c>
      <c r="D695" s="26" t="str">
        <f t="shared" ca="1" si="94"/>
        <v>Lose</v>
      </c>
      <c r="E695" s="3">
        <f t="shared" ca="1" si="97"/>
        <v>-500</v>
      </c>
      <c r="F695" s="42">
        <f t="shared" si="93"/>
        <v>2.7156717883938625E-29</v>
      </c>
      <c r="G695" s="41">
        <f>SUM(F$11:F695)</f>
        <v>0.99999999999999989</v>
      </c>
    </row>
    <row r="696" spans="1:7" x14ac:dyDescent="0.25">
      <c r="A696" s="1">
        <f t="shared" si="92"/>
        <v>685</v>
      </c>
      <c r="B696" s="3">
        <f t="shared" ca="1" si="95"/>
        <v>106500</v>
      </c>
      <c r="C696" s="26">
        <f t="shared" ca="1" si="96"/>
        <v>0.84367159999186481</v>
      </c>
      <c r="D696" s="26" t="str">
        <f t="shared" ca="1" si="94"/>
        <v>Win</v>
      </c>
      <c r="E696" s="3">
        <f t="shared" ca="1" si="97"/>
        <v>500</v>
      </c>
      <c r="F696" s="42">
        <f t="shared" si="93"/>
        <v>1.3039108160808481E-29</v>
      </c>
      <c r="G696" s="41">
        <f>SUM(F$11:F696)</f>
        <v>0.99999999999999989</v>
      </c>
    </row>
    <row r="697" spans="1:7" x14ac:dyDescent="0.25">
      <c r="A697" s="1">
        <f t="shared" si="92"/>
        <v>686</v>
      </c>
      <c r="B697" s="3">
        <f t="shared" ca="1" si="95"/>
        <v>106000</v>
      </c>
      <c r="C697" s="26">
        <f t="shared" ca="1" si="96"/>
        <v>0.44520212283031091</v>
      </c>
      <c r="D697" s="26" t="str">
        <f t="shared" ca="1" si="94"/>
        <v>Lose</v>
      </c>
      <c r="E697" s="3">
        <f t="shared" ca="1" si="97"/>
        <v>-500</v>
      </c>
      <c r="F697" s="42">
        <f t="shared" si="93"/>
        <v>6.2317270364546981E-30</v>
      </c>
      <c r="G697" s="41">
        <f>SUM(F$11:F697)</f>
        <v>0.99999999999999989</v>
      </c>
    </row>
    <row r="698" spans="1:7" x14ac:dyDescent="0.25">
      <c r="A698" s="1">
        <f t="shared" si="92"/>
        <v>687</v>
      </c>
      <c r="B698" s="3">
        <f t="shared" ca="1" si="95"/>
        <v>105500</v>
      </c>
      <c r="C698" s="26">
        <f t="shared" ca="1" si="96"/>
        <v>0.11427257991811368</v>
      </c>
      <c r="D698" s="26" t="str">
        <f t="shared" ca="1" si="94"/>
        <v>Lose</v>
      </c>
      <c r="E698" s="3">
        <f t="shared" ca="1" si="97"/>
        <v>-500</v>
      </c>
      <c r="F698" s="42">
        <f t="shared" si="93"/>
        <v>2.9645271295424223E-30</v>
      </c>
      <c r="G698" s="41">
        <f>SUM(F$11:F698)</f>
        <v>0.99999999999999989</v>
      </c>
    </row>
    <row r="699" spans="1:7" x14ac:dyDescent="0.25">
      <c r="A699" s="1">
        <f t="shared" si="92"/>
        <v>688</v>
      </c>
      <c r="B699" s="3">
        <f t="shared" ca="1" si="95"/>
        <v>105000</v>
      </c>
      <c r="C699" s="26">
        <f t="shared" ca="1" si="96"/>
        <v>0.46661449562166379</v>
      </c>
      <c r="D699" s="26" t="str">
        <f t="shared" ca="1" si="94"/>
        <v>Lose</v>
      </c>
      <c r="E699" s="3">
        <f t="shared" ca="1" si="97"/>
        <v>-500</v>
      </c>
      <c r="F699" s="42">
        <f t="shared" si="93"/>
        <v>1.4037359565996671E-30</v>
      </c>
      <c r="G699" s="41">
        <f>SUM(F$11:F699)</f>
        <v>0.99999999999999989</v>
      </c>
    </row>
    <row r="700" spans="1:7" x14ac:dyDescent="0.25">
      <c r="A700" s="1">
        <f t="shared" ref="A700:A763" si="98">A699+1</f>
        <v>689</v>
      </c>
      <c r="B700" s="3">
        <f t="shared" ca="1" si="95"/>
        <v>104500</v>
      </c>
      <c r="C700" s="26">
        <f t="shared" ca="1" si="96"/>
        <v>9.4175630018884071E-2</v>
      </c>
      <c r="D700" s="26" t="str">
        <f t="shared" ca="1" si="94"/>
        <v>Lose</v>
      </c>
      <c r="E700" s="3">
        <f t="shared" ca="1" si="97"/>
        <v>-500</v>
      </c>
      <c r="F700" s="42">
        <f t="shared" si="93"/>
        <v>6.6159908004542246E-31</v>
      </c>
      <c r="G700" s="41">
        <f>SUM(F$11:F700)</f>
        <v>0.99999999999999989</v>
      </c>
    </row>
    <row r="701" spans="1:7" x14ac:dyDescent="0.25">
      <c r="A701" s="1">
        <f t="shared" si="98"/>
        <v>690</v>
      </c>
      <c r="B701" s="3">
        <f t="shared" ca="1" si="95"/>
        <v>105000</v>
      </c>
      <c r="C701" s="26">
        <f t="shared" ca="1" si="96"/>
        <v>0.98592209800522301</v>
      </c>
      <c r="D701" s="26" t="str">
        <f t="shared" ca="1" si="94"/>
        <v>Win</v>
      </c>
      <c r="E701" s="3">
        <f t="shared" ca="1" si="97"/>
        <v>500</v>
      </c>
      <c r="F701" s="42">
        <f t="shared" si="93"/>
        <v>3.1037039362910524E-31</v>
      </c>
      <c r="G701" s="41">
        <f>SUM(F$11:F701)</f>
        <v>0.99999999999999989</v>
      </c>
    </row>
    <row r="702" spans="1:7" x14ac:dyDescent="0.25">
      <c r="A702" s="1">
        <f t="shared" si="98"/>
        <v>691</v>
      </c>
      <c r="B702" s="3">
        <f t="shared" ca="1" si="95"/>
        <v>105500</v>
      </c>
      <c r="C702" s="26">
        <f t="shared" ca="1" si="96"/>
        <v>0.77386433991288583</v>
      </c>
      <c r="D702" s="26" t="str">
        <f t="shared" ca="1" si="94"/>
        <v>Win</v>
      </c>
      <c r="E702" s="3">
        <f t="shared" ca="1" si="97"/>
        <v>500</v>
      </c>
      <c r="F702" s="42">
        <f t="shared" si="93"/>
        <v>1.4492323823138378E-31</v>
      </c>
      <c r="G702" s="41">
        <f>SUM(F$11:F702)</f>
        <v>0.99999999999999989</v>
      </c>
    </row>
    <row r="703" spans="1:7" x14ac:dyDescent="0.25">
      <c r="A703" s="1">
        <f t="shared" si="98"/>
        <v>692</v>
      </c>
      <c r="B703" s="3">
        <f t="shared" ca="1" si="95"/>
        <v>106000</v>
      </c>
      <c r="C703" s="26">
        <f t="shared" ca="1" si="96"/>
        <v>0.61552150738325029</v>
      </c>
      <c r="D703" s="26" t="str">
        <f t="shared" ca="1" si="94"/>
        <v>Win</v>
      </c>
      <c r="E703" s="3">
        <f t="shared" ca="1" si="97"/>
        <v>500</v>
      </c>
      <c r="F703" s="42">
        <f t="shared" si="93"/>
        <v>6.7354173389415722E-32</v>
      </c>
      <c r="G703" s="41">
        <f>SUM(F$11:F703)</f>
        <v>0.99999999999999989</v>
      </c>
    </row>
    <row r="704" spans="1:7" x14ac:dyDescent="0.25">
      <c r="A704" s="1">
        <f t="shared" si="98"/>
        <v>693</v>
      </c>
      <c r="B704" s="3">
        <f t="shared" ca="1" si="95"/>
        <v>106500</v>
      </c>
      <c r="C704" s="26">
        <f t="shared" ca="1" si="96"/>
        <v>0.52446859782168975</v>
      </c>
      <c r="D704" s="26" t="str">
        <f t="shared" ca="1" si="94"/>
        <v>Win</v>
      </c>
      <c r="E704" s="3">
        <f t="shared" ca="1" si="97"/>
        <v>500</v>
      </c>
      <c r="F704" s="42">
        <f t="shared" si="93"/>
        <v>3.1157032588302361E-32</v>
      </c>
      <c r="G704" s="41">
        <f>SUM(F$11:F704)</f>
        <v>0.99999999999999989</v>
      </c>
    </row>
    <row r="705" spans="1:7" x14ac:dyDescent="0.25">
      <c r="A705" s="1">
        <f t="shared" si="98"/>
        <v>694</v>
      </c>
      <c r="B705" s="3">
        <f t="shared" ca="1" si="95"/>
        <v>106000</v>
      </c>
      <c r="C705" s="26">
        <f t="shared" ca="1" si="96"/>
        <v>0.35360371526226908</v>
      </c>
      <c r="D705" s="26" t="str">
        <f t="shared" ca="1" si="94"/>
        <v>Lose</v>
      </c>
      <c r="E705" s="3">
        <f t="shared" ca="1" si="97"/>
        <v>-500</v>
      </c>
      <c r="F705" s="42">
        <f t="shared" si="93"/>
        <v>1.4345281986562047E-32</v>
      </c>
      <c r="G705" s="41">
        <f>SUM(F$11:F705)</f>
        <v>0.99999999999999989</v>
      </c>
    </row>
    <row r="706" spans="1:7" x14ac:dyDescent="0.25">
      <c r="A706" s="1">
        <f t="shared" si="98"/>
        <v>695</v>
      </c>
      <c r="B706" s="3">
        <f t="shared" ca="1" si="95"/>
        <v>106500</v>
      </c>
      <c r="C706" s="26">
        <f t="shared" ca="1" si="96"/>
        <v>0.50418539618792746</v>
      </c>
      <c r="D706" s="26" t="str">
        <f t="shared" ca="1" si="94"/>
        <v>Win</v>
      </c>
      <c r="E706" s="3">
        <f t="shared" ca="1" si="97"/>
        <v>500</v>
      </c>
      <c r="F706" s="42">
        <f t="shared" si="93"/>
        <v>6.5738502622899955E-33</v>
      </c>
      <c r="G706" s="41">
        <f>SUM(F$11:F706)</f>
        <v>0.99999999999999989</v>
      </c>
    </row>
    <row r="707" spans="1:7" x14ac:dyDescent="0.25">
      <c r="A707" s="1">
        <f t="shared" si="98"/>
        <v>696</v>
      </c>
      <c r="B707" s="3">
        <f t="shared" ca="1" si="95"/>
        <v>106000</v>
      </c>
      <c r="C707" s="26">
        <f t="shared" ca="1" si="96"/>
        <v>0.16951094939901923</v>
      </c>
      <c r="D707" s="26" t="str">
        <f t="shared" ca="1" si="94"/>
        <v>Lose</v>
      </c>
      <c r="E707" s="3">
        <f t="shared" ca="1" si="97"/>
        <v>-500</v>
      </c>
      <c r="F707" s="42">
        <f t="shared" si="93"/>
        <v>2.9983650255078772E-33</v>
      </c>
      <c r="G707" s="41">
        <f>SUM(F$11:F707)</f>
        <v>0.99999999999999989</v>
      </c>
    </row>
    <row r="708" spans="1:7" x14ac:dyDescent="0.25">
      <c r="A708" s="1">
        <f t="shared" si="98"/>
        <v>697</v>
      </c>
      <c r="B708" s="3">
        <f t="shared" ca="1" si="95"/>
        <v>106500</v>
      </c>
      <c r="C708" s="26">
        <f t="shared" ca="1" si="96"/>
        <v>0.99916007686249775</v>
      </c>
      <c r="D708" s="26" t="str">
        <f t="shared" ca="1" si="94"/>
        <v>Win</v>
      </c>
      <c r="E708" s="3">
        <f t="shared" ca="1" si="97"/>
        <v>500</v>
      </c>
      <c r="F708" s="42">
        <f t="shared" si="93"/>
        <v>1.361129369469044E-33</v>
      </c>
      <c r="G708" s="41">
        <f>SUM(F$11:F708)</f>
        <v>0.99999999999999989</v>
      </c>
    </row>
    <row r="709" spans="1:7" x14ac:dyDescent="0.25">
      <c r="A709" s="1">
        <f t="shared" si="98"/>
        <v>698</v>
      </c>
      <c r="B709" s="3">
        <f t="shared" ca="1" si="95"/>
        <v>107000</v>
      </c>
      <c r="C709" s="26">
        <f t="shared" ca="1" si="96"/>
        <v>0.60687180726117995</v>
      </c>
      <c r="D709" s="26" t="str">
        <f t="shared" ca="1" si="94"/>
        <v>Win</v>
      </c>
      <c r="E709" s="3">
        <f t="shared" ca="1" si="97"/>
        <v>500</v>
      </c>
      <c r="F709" s="42">
        <f t="shared" si="93"/>
        <v>6.1497959611732483E-34</v>
      </c>
      <c r="G709" s="41">
        <f>SUM(F$11:F709)</f>
        <v>0.99999999999999989</v>
      </c>
    </row>
    <row r="710" spans="1:7" x14ac:dyDescent="0.25">
      <c r="A710" s="1">
        <f t="shared" si="98"/>
        <v>699</v>
      </c>
      <c r="B710" s="3">
        <f t="shared" ca="1" si="95"/>
        <v>107500</v>
      </c>
      <c r="C710" s="26">
        <f t="shared" ca="1" si="96"/>
        <v>0.56417278276607608</v>
      </c>
      <c r="D710" s="26" t="str">
        <f t="shared" ca="1" si="94"/>
        <v>Win</v>
      </c>
      <c r="E710" s="3">
        <f t="shared" ca="1" si="97"/>
        <v>500</v>
      </c>
      <c r="F710" s="42">
        <f t="shared" si="93"/>
        <v>2.76544210078503E-34</v>
      </c>
      <c r="G710" s="41">
        <f>SUM(F$11:F710)</f>
        <v>0.99999999999999989</v>
      </c>
    </row>
    <row r="711" spans="1:7" x14ac:dyDescent="0.25">
      <c r="A711" s="1">
        <f t="shared" si="98"/>
        <v>700</v>
      </c>
      <c r="B711" s="3">
        <f t="shared" ca="1" si="95"/>
        <v>108000</v>
      </c>
      <c r="C711" s="26">
        <f t="shared" ca="1" si="96"/>
        <v>0.96139592333657031</v>
      </c>
      <c r="D711" s="26" t="str">
        <f t="shared" ca="1" si="94"/>
        <v>Win</v>
      </c>
      <c r="E711" s="3">
        <f t="shared" ca="1" si="97"/>
        <v>500</v>
      </c>
      <c r="F711" s="42">
        <f t="shared" si="93"/>
        <v>1.2376764340860431E-34</v>
      </c>
      <c r="G711" s="41">
        <f>SUM(F$11:F711)</f>
        <v>0.99999999999999989</v>
      </c>
    </row>
    <row r="712" spans="1:7" x14ac:dyDescent="0.25">
      <c r="A712" s="1">
        <f t="shared" si="98"/>
        <v>701</v>
      </c>
      <c r="B712" s="3">
        <f t="shared" ca="1" si="95"/>
        <v>108500</v>
      </c>
      <c r="C712" s="26">
        <f t="shared" ca="1" si="96"/>
        <v>0.91402070172569372</v>
      </c>
      <c r="D712" s="26" t="str">
        <f t="shared" ca="1" si="94"/>
        <v>Win</v>
      </c>
      <c r="E712" s="3">
        <f t="shared" ca="1" si="97"/>
        <v>500</v>
      </c>
      <c r="F712" s="42">
        <f t="shared" si="93"/>
        <v>5.5129550908372633E-35</v>
      </c>
      <c r="G712" s="41">
        <f>SUM(F$11:F712)</f>
        <v>0.99999999999999989</v>
      </c>
    </row>
    <row r="713" spans="1:7" x14ac:dyDescent="0.25">
      <c r="A713" s="1">
        <f t="shared" si="98"/>
        <v>702</v>
      </c>
      <c r="B713" s="3">
        <f t="shared" ca="1" si="95"/>
        <v>109000</v>
      </c>
      <c r="C713" s="26">
        <f t="shared" ca="1" si="96"/>
        <v>0.66128266793391022</v>
      </c>
      <c r="D713" s="26" t="str">
        <f t="shared" ca="1" si="94"/>
        <v>Win</v>
      </c>
      <c r="E713" s="3">
        <f t="shared" ca="1" si="97"/>
        <v>500</v>
      </c>
      <c r="F713" s="42">
        <f t="shared" si="93"/>
        <v>2.4439517466182718E-35</v>
      </c>
      <c r="G713" s="41">
        <f>SUM(F$11:F713)</f>
        <v>0.99999999999999989</v>
      </c>
    </row>
    <row r="714" spans="1:7" x14ac:dyDescent="0.25">
      <c r="A714" s="1">
        <f t="shared" si="98"/>
        <v>703</v>
      </c>
      <c r="B714" s="3">
        <f t="shared" ca="1" si="95"/>
        <v>108500</v>
      </c>
      <c r="C714" s="26">
        <f t="shared" ca="1" si="96"/>
        <v>0.28970867351262308</v>
      </c>
      <c r="D714" s="26" t="str">
        <f t="shared" ca="1" si="94"/>
        <v>Lose</v>
      </c>
      <c r="E714" s="3">
        <f t="shared" ca="1" si="97"/>
        <v>-500</v>
      </c>
      <c r="F714" s="42">
        <f t="shared" si="93"/>
        <v>1.0782703470579E-35</v>
      </c>
      <c r="G714" s="41">
        <f>SUM(F$11:F714)</f>
        <v>0.99999999999999989</v>
      </c>
    </row>
    <row r="715" spans="1:7" x14ac:dyDescent="0.25">
      <c r="A715" s="1">
        <f t="shared" si="98"/>
        <v>704</v>
      </c>
      <c r="B715" s="3">
        <f t="shared" ca="1" si="95"/>
        <v>109000</v>
      </c>
      <c r="C715" s="26">
        <f t="shared" ca="1" si="96"/>
        <v>0.68723790889161973</v>
      </c>
      <c r="D715" s="26" t="str">
        <f t="shared" ca="1" si="94"/>
        <v>Win</v>
      </c>
      <c r="E715" s="3">
        <f t="shared" ca="1" si="97"/>
        <v>500</v>
      </c>
      <c r="F715" s="42">
        <f t="shared" si="93"/>
        <v>4.7346245787587702E-36</v>
      </c>
      <c r="G715" s="41">
        <f>SUM(F$11:F715)</f>
        <v>0.99999999999999989</v>
      </c>
    </row>
    <row r="716" spans="1:7" x14ac:dyDescent="0.25">
      <c r="A716" s="1">
        <f t="shared" si="98"/>
        <v>705</v>
      </c>
      <c r="B716" s="3">
        <f t="shared" ca="1" si="95"/>
        <v>109500</v>
      </c>
      <c r="C716" s="26">
        <f t="shared" ca="1" si="96"/>
        <v>0.75105001127354365</v>
      </c>
      <c r="D716" s="26" t="str">
        <f t="shared" ca="1" si="94"/>
        <v>Win</v>
      </c>
      <c r="E716" s="3">
        <f t="shared" ca="1" si="97"/>
        <v>500</v>
      </c>
      <c r="F716" s="42">
        <f t="shared" ref="F716:F779" si="99">_xlfn.BINOM.DIST(A716,$A$1011,$B$1,FALSE)</f>
        <v>2.0690083265579483E-36</v>
      </c>
      <c r="G716" s="41">
        <f>SUM(F$11:F716)</f>
        <v>0.99999999999999989</v>
      </c>
    </row>
    <row r="717" spans="1:7" x14ac:dyDescent="0.25">
      <c r="A717" s="1">
        <f t="shared" si="98"/>
        <v>706</v>
      </c>
      <c r="B717" s="3">
        <f t="shared" ca="1" si="95"/>
        <v>110000</v>
      </c>
      <c r="C717" s="26">
        <f t="shared" ca="1" si="96"/>
        <v>0.49961202202970056</v>
      </c>
      <c r="D717" s="26" t="str">
        <f t="shared" ref="D717:D780" ca="1" si="100">IF(C717&gt;$B$2,"Win","Lose")</f>
        <v>Win</v>
      </c>
      <c r="E717" s="3">
        <f t="shared" ca="1" si="97"/>
        <v>500</v>
      </c>
      <c r="F717" s="42">
        <f t="shared" si="99"/>
        <v>8.9981587191605018E-37</v>
      </c>
      <c r="G717" s="41">
        <f>SUM(F$11:F717)</f>
        <v>0.99999999999999989</v>
      </c>
    </row>
    <row r="718" spans="1:7" x14ac:dyDescent="0.25">
      <c r="A718" s="1">
        <f t="shared" si="98"/>
        <v>707</v>
      </c>
      <c r="B718" s="3">
        <f t="shared" ref="B718:B781" ca="1" si="101">B717+E718</f>
        <v>109500</v>
      </c>
      <c r="C718" s="26">
        <f t="shared" ref="C718:C781" ca="1" si="102">RAND()</f>
        <v>9.9029575938754055E-2</v>
      </c>
      <c r="D718" s="26" t="str">
        <f t="shared" ca="1" si="100"/>
        <v>Lose</v>
      </c>
      <c r="E718" s="3">
        <f t="shared" ref="E718:E781" ca="1" si="103">IF(D718="Win",$B$4,-$B$4)</f>
        <v>-500</v>
      </c>
      <c r="F718" s="42">
        <f t="shared" si="99"/>
        <v>3.8945354569494471E-37</v>
      </c>
      <c r="G718" s="41">
        <f>SUM(F$11:F718)</f>
        <v>0.99999999999999989</v>
      </c>
    </row>
    <row r="719" spans="1:7" x14ac:dyDescent="0.25">
      <c r="A719" s="1">
        <f t="shared" si="98"/>
        <v>708</v>
      </c>
      <c r="B719" s="3">
        <f t="shared" ca="1" si="101"/>
        <v>109000</v>
      </c>
      <c r="C719" s="26">
        <f t="shared" ca="1" si="102"/>
        <v>0.32780000179067192</v>
      </c>
      <c r="D719" s="26" t="str">
        <f t="shared" ca="1" si="100"/>
        <v>Lose</v>
      </c>
      <c r="E719" s="3">
        <f t="shared" ca="1" si="103"/>
        <v>-500</v>
      </c>
      <c r="F719" s="42">
        <f t="shared" si="99"/>
        <v>1.6775061493482948E-37</v>
      </c>
      <c r="G719" s="41">
        <f>SUM(F$11:F719)</f>
        <v>0.99999999999999989</v>
      </c>
    </row>
    <row r="720" spans="1:7" x14ac:dyDescent="0.25">
      <c r="A720" s="1">
        <f t="shared" si="98"/>
        <v>709</v>
      </c>
      <c r="B720" s="3">
        <f t="shared" ca="1" si="101"/>
        <v>108500</v>
      </c>
      <c r="C720" s="26">
        <f t="shared" ca="1" si="102"/>
        <v>0.30581763610501733</v>
      </c>
      <c r="D720" s="26" t="str">
        <f t="shared" ca="1" si="100"/>
        <v>Lose</v>
      </c>
      <c r="E720" s="3">
        <f t="shared" ca="1" si="103"/>
        <v>-500</v>
      </c>
      <c r="F720" s="42">
        <f t="shared" si="99"/>
        <v>7.1907606505557118E-38</v>
      </c>
      <c r="G720" s="41">
        <f>SUM(F$11:F720)</f>
        <v>0.99999999999999989</v>
      </c>
    </row>
    <row r="721" spans="1:7" x14ac:dyDescent="0.25">
      <c r="A721" s="1">
        <f t="shared" si="98"/>
        <v>710</v>
      </c>
      <c r="B721" s="3">
        <f t="shared" ca="1" si="101"/>
        <v>108000</v>
      </c>
      <c r="C721" s="26">
        <f t="shared" ca="1" si="102"/>
        <v>0.15346844568982165</v>
      </c>
      <c r="D721" s="26" t="str">
        <f t="shared" ca="1" si="100"/>
        <v>Lose</v>
      </c>
      <c r="E721" s="3">
        <f t="shared" ca="1" si="103"/>
        <v>-500</v>
      </c>
      <c r="F721" s="42">
        <f t="shared" si="99"/>
        <v>3.0674929236820325E-38</v>
      </c>
      <c r="G721" s="41">
        <f>SUM(F$11:F721)</f>
        <v>0.99999999999999989</v>
      </c>
    </row>
    <row r="722" spans="1:7" x14ac:dyDescent="0.25">
      <c r="A722" s="1">
        <f t="shared" si="98"/>
        <v>711</v>
      </c>
      <c r="B722" s="3">
        <f t="shared" ca="1" si="101"/>
        <v>107500</v>
      </c>
      <c r="C722" s="26">
        <f t="shared" ca="1" si="102"/>
        <v>0.10217187493589075</v>
      </c>
      <c r="D722" s="26" t="str">
        <f t="shared" ca="1" si="100"/>
        <v>Lose</v>
      </c>
      <c r="E722" s="3">
        <f t="shared" ca="1" si="103"/>
        <v>-500</v>
      </c>
      <c r="F722" s="42">
        <f t="shared" si="99"/>
        <v>1.3022251023639668E-38</v>
      </c>
      <c r="G722" s="41">
        <f>SUM(F$11:F722)</f>
        <v>0.99999999999999989</v>
      </c>
    </row>
    <row r="723" spans="1:7" x14ac:dyDescent="0.25">
      <c r="A723" s="1">
        <f t="shared" si="98"/>
        <v>712</v>
      </c>
      <c r="B723" s="3">
        <f t="shared" ca="1" si="101"/>
        <v>107000</v>
      </c>
      <c r="C723" s="26">
        <f t="shared" ca="1" si="102"/>
        <v>0.20430037189507488</v>
      </c>
      <c r="D723" s="26" t="str">
        <f t="shared" ca="1" si="100"/>
        <v>Lose</v>
      </c>
      <c r="E723" s="3">
        <f t="shared" ca="1" si="103"/>
        <v>-500</v>
      </c>
      <c r="F723" s="42">
        <f t="shared" si="99"/>
        <v>5.5014606121708847E-39</v>
      </c>
      <c r="G723" s="41">
        <f>SUM(F$11:F723)</f>
        <v>0.99999999999999989</v>
      </c>
    </row>
    <row r="724" spans="1:7" x14ac:dyDescent="0.25">
      <c r="A724" s="1">
        <f t="shared" si="98"/>
        <v>713</v>
      </c>
      <c r="B724" s="3">
        <f t="shared" ca="1" si="101"/>
        <v>106500</v>
      </c>
      <c r="C724" s="26">
        <f t="shared" ca="1" si="102"/>
        <v>0.16693145931248776</v>
      </c>
      <c r="D724" s="26" t="str">
        <f t="shared" ca="1" si="100"/>
        <v>Lose</v>
      </c>
      <c r="E724" s="3">
        <f t="shared" ca="1" si="103"/>
        <v>-500</v>
      </c>
      <c r="F724" s="42">
        <f t="shared" si="99"/>
        <v>2.3128904448454528E-39</v>
      </c>
      <c r="G724" s="41">
        <f>SUM(F$11:F724)</f>
        <v>0.99999999999999989</v>
      </c>
    </row>
    <row r="725" spans="1:7" x14ac:dyDescent="0.25">
      <c r="A725" s="1">
        <f t="shared" si="98"/>
        <v>714</v>
      </c>
      <c r="B725" s="3">
        <f t="shared" ca="1" si="101"/>
        <v>107000</v>
      </c>
      <c r="C725" s="26">
        <f t="shared" ca="1" si="102"/>
        <v>0.88881645383079388</v>
      </c>
      <c r="D725" s="26" t="str">
        <f t="shared" ca="1" si="100"/>
        <v>Win</v>
      </c>
      <c r="E725" s="3">
        <f t="shared" ca="1" si="103"/>
        <v>500</v>
      </c>
      <c r="F725" s="42">
        <f t="shared" si="99"/>
        <v>9.6763783917006762E-40</v>
      </c>
      <c r="G725" s="41">
        <f>SUM(F$11:F725)</f>
        <v>0.99999999999999989</v>
      </c>
    </row>
    <row r="726" spans="1:7" x14ac:dyDescent="0.25">
      <c r="A726" s="1">
        <f t="shared" si="98"/>
        <v>715</v>
      </c>
      <c r="B726" s="3">
        <f t="shared" ca="1" si="101"/>
        <v>106500</v>
      </c>
      <c r="C726" s="26">
        <f t="shared" ca="1" si="102"/>
        <v>0.48222514952772866</v>
      </c>
      <c r="D726" s="26" t="str">
        <f t="shared" ca="1" si="100"/>
        <v>Lose</v>
      </c>
      <c r="E726" s="3">
        <f t="shared" ca="1" si="103"/>
        <v>-500</v>
      </c>
      <c r="F726" s="42">
        <f t="shared" si="99"/>
        <v>4.0285330447080155E-40</v>
      </c>
      <c r="G726" s="41">
        <f>SUM(F$11:F726)</f>
        <v>0.99999999999999989</v>
      </c>
    </row>
    <row r="727" spans="1:7" x14ac:dyDescent="0.25">
      <c r="A727" s="1">
        <f t="shared" si="98"/>
        <v>716</v>
      </c>
      <c r="B727" s="3">
        <f t="shared" ca="1" si="101"/>
        <v>106000</v>
      </c>
      <c r="C727" s="26">
        <f t="shared" ca="1" si="102"/>
        <v>8.9760309643979075E-2</v>
      </c>
      <c r="D727" s="26" t="str">
        <f t="shared" ca="1" si="100"/>
        <v>Lose</v>
      </c>
      <c r="E727" s="3">
        <f t="shared" ca="1" si="103"/>
        <v>-500</v>
      </c>
      <c r="F727" s="42">
        <f t="shared" si="99"/>
        <v>1.6689866550231371E-40</v>
      </c>
      <c r="G727" s="41">
        <f>SUM(F$11:F727)</f>
        <v>0.99999999999999989</v>
      </c>
    </row>
    <row r="728" spans="1:7" x14ac:dyDescent="0.25">
      <c r="A728" s="1">
        <f t="shared" si="98"/>
        <v>717</v>
      </c>
      <c r="B728" s="3">
        <f t="shared" ca="1" si="101"/>
        <v>105500</v>
      </c>
      <c r="C728" s="26">
        <f t="shared" ca="1" si="102"/>
        <v>0.23080129972424035</v>
      </c>
      <c r="D728" s="26" t="str">
        <f t="shared" ca="1" si="100"/>
        <v>Lose</v>
      </c>
      <c r="E728" s="3">
        <f t="shared" ca="1" si="103"/>
        <v>-500</v>
      </c>
      <c r="F728" s="42">
        <f t="shared" si="99"/>
        <v>6.8805973618403801E-41</v>
      </c>
      <c r="G728" s="41">
        <f>SUM(F$11:F728)</f>
        <v>0.99999999999999989</v>
      </c>
    </row>
    <row r="729" spans="1:7" x14ac:dyDescent="0.25">
      <c r="A729" s="1">
        <f t="shared" si="98"/>
        <v>718</v>
      </c>
      <c r="B729" s="3">
        <f t="shared" ca="1" si="101"/>
        <v>105000</v>
      </c>
      <c r="C729" s="26">
        <f t="shared" ca="1" si="102"/>
        <v>0.10230932296755368</v>
      </c>
      <c r="D729" s="26" t="str">
        <f t="shared" ca="1" si="100"/>
        <v>Lose</v>
      </c>
      <c r="E729" s="3">
        <f t="shared" ca="1" si="103"/>
        <v>-500</v>
      </c>
      <c r="F729" s="42">
        <f t="shared" si="99"/>
        <v>2.8226838077267886E-41</v>
      </c>
      <c r="G729" s="41">
        <f>SUM(F$11:F729)</f>
        <v>0.99999999999999989</v>
      </c>
    </row>
    <row r="730" spans="1:7" x14ac:dyDescent="0.25">
      <c r="A730" s="1">
        <f t="shared" si="98"/>
        <v>719</v>
      </c>
      <c r="B730" s="3">
        <f t="shared" ca="1" si="101"/>
        <v>104500</v>
      </c>
      <c r="C730" s="26">
        <f t="shared" ca="1" si="102"/>
        <v>0.13539272025371063</v>
      </c>
      <c r="D730" s="26" t="str">
        <f t="shared" ca="1" si="100"/>
        <v>Lose</v>
      </c>
      <c r="E730" s="3">
        <f t="shared" ca="1" si="103"/>
        <v>-500</v>
      </c>
      <c r="F730" s="42">
        <f t="shared" si="99"/>
        <v>1.1522760785310349E-41</v>
      </c>
      <c r="G730" s="41">
        <f>SUM(F$11:F730)</f>
        <v>0.99999999999999989</v>
      </c>
    </row>
    <row r="731" spans="1:7" x14ac:dyDescent="0.25">
      <c r="A731" s="1">
        <f t="shared" si="98"/>
        <v>720</v>
      </c>
      <c r="B731" s="3">
        <f t="shared" ca="1" si="101"/>
        <v>105000</v>
      </c>
      <c r="C731" s="26">
        <f t="shared" ca="1" si="102"/>
        <v>0.89748900996941428</v>
      </c>
      <c r="D731" s="26" t="str">
        <f t="shared" ca="1" si="100"/>
        <v>Win</v>
      </c>
      <c r="E731" s="3">
        <f t="shared" ca="1" si="103"/>
        <v>500</v>
      </c>
      <c r="F731" s="42">
        <f t="shared" si="99"/>
        <v>4.6806316557337221E-42</v>
      </c>
      <c r="G731" s="41">
        <f>SUM(F$11:F731)</f>
        <v>0.99999999999999989</v>
      </c>
    </row>
    <row r="732" spans="1:7" x14ac:dyDescent="0.25">
      <c r="A732" s="1">
        <f t="shared" si="98"/>
        <v>721</v>
      </c>
      <c r="B732" s="3">
        <f t="shared" ca="1" si="101"/>
        <v>105500</v>
      </c>
      <c r="C732" s="26">
        <f t="shared" ca="1" si="102"/>
        <v>0.77449334376613455</v>
      </c>
      <c r="D732" s="26" t="str">
        <f t="shared" ca="1" si="100"/>
        <v>Win</v>
      </c>
      <c r="E732" s="3">
        <f t="shared" ca="1" si="103"/>
        <v>500</v>
      </c>
      <c r="F732" s="42">
        <f t="shared" si="99"/>
        <v>1.8919137265100731E-42</v>
      </c>
      <c r="G732" s="41">
        <f>SUM(F$11:F732)</f>
        <v>0.99999999999999989</v>
      </c>
    </row>
    <row r="733" spans="1:7" x14ac:dyDescent="0.25">
      <c r="A733" s="1">
        <f t="shared" si="98"/>
        <v>722</v>
      </c>
      <c r="B733" s="3">
        <f t="shared" ca="1" si="101"/>
        <v>105000</v>
      </c>
      <c r="C733" s="26">
        <f t="shared" ca="1" si="102"/>
        <v>9.5954235822933498E-2</v>
      </c>
      <c r="D733" s="26" t="str">
        <f t="shared" ca="1" si="100"/>
        <v>Lose</v>
      </c>
      <c r="E733" s="3">
        <f t="shared" ca="1" si="103"/>
        <v>-500</v>
      </c>
      <c r="F733" s="42">
        <f t="shared" si="99"/>
        <v>7.6092601092520377E-43</v>
      </c>
      <c r="G733" s="41">
        <f>SUM(F$11:F733)</f>
        <v>0.99999999999999989</v>
      </c>
    </row>
    <row r="734" spans="1:7" x14ac:dyDescent="0.25">
      <c r="A734" s="1">
        <f t="shared" si="98"/>
        <v>723</v>
      </c>
      <c r="B734" s="3">
        <f t="shared" ca="1" si="101"/>
        <v>104500</v>
      </c>
      <c r="C734" s="26">
        <f t="shared" ca="1" si="102"/>
        <v>0.27480900523443641</v>
      </c>
      <c r="D734" s="26" t="str">
        <f t="shared" ca="1" si="100"/>
        <v>Lose</v>
      </c>
      <c r="E734" s="3">
        <f t="shared" ca="1" si="103"/>
        <v>-500</v>
      </c>
      <c r="F734" s="42">
        <f t="shared" si="99"/>
        <v>3.0452505103164351E-43</v>
      </c>
      <c r="G734" s="41">
        <f>SUM(F$11:F734)</f>
        <v>0.99999999999999989</v>
      </c>
    </row>
    <row r="735" spans="1:7" x14ac:dyDescent="0.25">
      <c r="A735" s="1">
        <f t="shared" si="98"/>
        <v>724</v>
      </c>
      <c r="B735" s="3">
        <f t="shared" ca="1" si="101"/>
        <v>105000</v>
      </c>
      <c r="C735" s="26">
        <f t="shared" ca="1" si="102"/>
        <v>0.96438573750854262</v>
      </c>
      <c r="D735" s="26" t="str">
        <f t="shared" ca="1" si="100"/>
        <v>Win</v>
      </c>
      <c r="E735" s="3">
        <f t="shared" ca="1" si="103"/>
        <v>500</v>
      </c>
      <c r="F735" s="42">
        <f t="shared" si="99"/>
        <v>1.2126579647998721E-43</v>
      </c>
      <c r="G735" s="41">
        <f>SUM(F$11:F735)</f>
        <v>0.99999999999999989</v>
      </c>
    </row>
    <row r="736" spans="1:7" x14ac:dyDescent="0.25">
      <c r="A736" s="1">
        <f t="shared" si="98"/>
        <v>725</v>
      </c>
      <c r="B736" s="3">
        <f t="shared" ca="1" si="101"/>
        <v>105500</v>
      </c>
      <c r="C736" s="26">
        <f t="shared" ca="1" si="102"/>
        <v>0.96443418601544251</v>
      </c>
      <c r="D736" s="26" t="str">
        <f t="shared" ca="1" si="100"/>
        <v>Win</v>
      </c>
      <c r="E736" s="3">
        <f t="shared" ca="1" si="103"/>
        <v>500</v>
      </c>
      <c r="F736" s="42">
        <f t="shared" si="99"/>
        <v>4.8048905031733612E-44</v>
      </c>
      <c r="G736" s="41">
        <f>SUM(F$11:F736)</f>
        <v>0.99999999999999989</v>
      </c>
    </row>
    <row r="737" spans="1:7" x14ac:dyDescent="0.25">
      <c r="A737" s="1">
        <f t="shared" si="98"/>
        <v>726</v>
      </c>
      <c r="B737" s="3">
        <f t="shared" ca="1" si="101"/>
        <v>105000</v>
      </c>
      <c r="C737" s="26">
        <f t="shared" ca="1" si="102"/>
        <v>0.19509143508947724</v>
      </c>
      <c r="D737" s="26" t="str">
        <f t="shared" ca="1" si="100"/>
        <v>Lose</v>
      </c>
      <c r="E737" s="3">
        <f t="shared" ca="1" si="103"/>
        <v>-500</v>
      </c>
      <c r="F737" s="42">
        <f t="shared" si="99"/>
        <v>1.8943213950357621E-44</v>
      </c>
      <c r="G737" s="41">
        <f>SUM(F$11:F737)</f>
        <v>0.99999999999999989</v>
      </c>
    </row>
    <row r="738" spans="1:7" x14ac:dyDescent="0.25">
      <c r="A738" s="1">
        <f t="shared" si="98"/>
        <v>727</v>
      </c>
      <c r="B738" s="3">
        <f t="shared" ca="1" si="101"/>
        <v>105500</v>
      </c>
      <c r="C738" s="26">
        <f t="shared" ca="1" si="102"/>
        <v>0.6955937563738076</v>
      </c>
      <c r="D738" s="26" t="str">
        <f t="shared" ca="1" si="100"/>
        <v>Win</v>
      </c>
      <c r="E738" s="3">
        <f t="shared" ca="1" si="103"/>
        <v>500</v>
      </c>
      <c r="F738" s="42">
        <f t="shared" si="99"/>
        <v>7.4309426983215304E-45</v>
      </c>
      <c r="G738" s="41">
        <f>SUM(F$11:F738)</f>
        <v>0.99999999999999989</v>
      </c>
    </row>
    <row r="739" spans="1:7" x14ac:dyDescent="0.25">
      <c r="A739" s="1">
        <f t="shared" si="98"/>
        <v>728</v>
      </c>
      <c r="B739" s="3">
        <f t="shared" ca="1" si="101"/>
        <v>106000</v>
      </c>
      <c r="C739" s="26">
        <f t="shared" ca="1" si="102"/>
        <v>0.5634490431772724</v>
      </c>
      <c r="D739" s="26" t="str">
        <f t="shared" ca="1" si="100"/>
        <v>Win</v>
      </c>
      <c r="E739" s="3">
        <f t="shared" ca="1" si="103"/>
        <v>500</v>
      </c>
      <c r="F739" s="42">
        <f t="shared" si="99"/>
        <v>2.9003424307223649E-45</v>
      </c>
      <c r="G739" s="41">
        <f>SUM(F$11:F739)</f>
        <v>0.99999999999999989</v>
      </c>
    </row>
    <row r="740" spans="1:7" x14ac:dyDescent="0.25">
      <c r="A740" s="1">
        <f t="shared" si="98"/>
        <v>729</v>
      </c>
      <c r="B740" s="3">
        <f t="shared" ca="1" si="101"/>
        <v>106500</v>
      </c>
      <c r="C740" s="26">
        <f t="shared" ca="1" si="102"/>
        <v>0.81976674006774819</v>
      </c>
      <c r="D740" s="26" t="str">
        <f t="shared" ca="1" si="100"/>
        <v>Win</v>
      </c>
      <c r="E740" s="3">
        <f t="shared" ca="1" si="103"/>
        <v>500</v>
      </c>
      <c r="F740" s="42">
        <f t="shared" si="99"/>
        <v>1.1263276559721703E-45</v>
      </c>
      <c r="G740" s="41">
        <f>SUM(F$11:F740)</f>
        <v>0.99999999999999989</v>
      </c>
    </row>
    <row r="741" spans="1:7" x14ac:dyDescent="0.25">
      <c r="A741" s="1">
        <f t="shared" si="98"/>
        <v>730</v>
      </c>
      <c r="B741" s="3">
        <f t="shared" ca="1" si="101"/>
        <v>107000</v>
      </c>
      <c r="C741" s="26">
        <f t="shared" ca="1" si="102"/>
        <v>0.49646865767605031</v>
      </c>
      <c r="D741" s="26" t="str">
        <f t="shared" ca="1" si="100"/>
        <v>Win</v>
      </c>
      <c r="E741" s="3">
        <f t="shared" ca="1" si="103"/>
        <v>500</v>
      </c>
      <c r="F741" s="42">
        <f t="shared" si="99"/>
        <v>4.3519638057568501E-46</v>
      </c>
      <c r="G741" s="41">
        <f>SUM(F$11:F741)</f>
        <v>0.99999999999999989</v>
      </c>
    </row>
    <row r="742" spans="1:7" x14ac:dyDescent="0.25">
      <c r="A742" s="1">
        <f t="shared" si="98"/>
        <v>731</v>
      </c>
      <c r="B742" s="3">
        <f t="shared" ca="1" si="101"/>
        <v>106500</v>
      </c>
      <c r="C742" s="26">
        <f t="shared" ca="1" si="102"/>
        <v>0.4456846182294848</v>
      </c>
      <c r="D742" s="26" t="str">
        <f t="shared" ca="1" si="100"/>
        <v>Lose</v>
      </c>
      <c r="E742" s="3">
        <f t="shared" ca="1" si="103"/>
        <v>-500</v>
      </c>
      <c r="F742" s="42">
        <f t="shared" si="99"/>
        <v>1.6730378180649299E-46</v>
      </c>
      <c r="G742" s="41">
        <f>SUM(F$11:F742)</f>
        <v>0.99999999999999989</v>
      </c>
    </row>
    <row r="743" spans="1:7" x14ac:dyDescent="0.25">
      <c r="A743" s="1">
        <f t="shared" si="98"/>
        <v>732</v>
      </c>
      <c r="B743" s="3">
        <f t="shared" ca="1" si="101"/>
        <v>106000</v>
      </c>
      <c r="C743" s="26">
        <f t="shared" ca="1" si="102"/>
        <v>0.48960396405572337</v>
      </c>
      <c r="D743" s="26" t="str">
        <f t="shared" ca="1" si="100"/>
        <v>Lose</v>
      </c>
      <c r="E743" s="3">
        <f t="shared" ca="1" si="103"/>
        <v>-500</v>
      </c>
      <c r="F743" s="42">
        <f t="shared" si="99"/>
        <v>6.3991317681591355E-47</v>
      </c>
      <c r="G743" s="41">
        <f>SUM(F$11:F743)</f>
        <v>0.99999999999999989</v>
      </c>
    </row>
    <row r="744" spans="1:7" x14ac:dyDescent="0.25">
      <c r="A744" s="1">
        <f t="shared" si="98"/>
        <v>733</v>
      </c>
      <c r="B744" s="3">
        <f t="shared" ca="1" si="101"/>
        <v>106500</v>
      </c>
      <c r="C744" s="26">
        <f t="shared" ca="1" si="102"/>
        <v>0.86893092665855298</v>
      </c>
      <c r="D744" s="26" t="str">
        <f t="shared" ca="1" si="100"/>
        <v>Win</v>
      </c>
      <c r="E744" s="3">
        <f t="shared" ca="1" si="103"/>
        <v>500</v>
      </c>
      <c r="F744" s="42">
        <f t="shared" si="99"/>
        <v>2.4351514048276587E-47</v>
      </c>
      <c r="G744" s="41">
        <f>SUM(F$11:F744)</f>
        <v>0.99999999999999989</v>
      </c>
    </row>
    <row r="745" spans="1:7" x14ac:dyDescent="0.25">
      <c r="A745" s="1">
        <f t="shared" si="98"/>
        <v>734</v>
      </c>
      <c r="B745" s="3">
        <f t="shared" ca="1" si="101"/>
        <v>107000</v>
      </c>
      <c r="C745" s="26">
        <f t="shared" ca="1" si="102"/>
        <v>0.63229679390181048</v>
      </c>
      <c r="D745" s="26" t="str">
        <f t="shared" ca="1" si="100"/>
        <v>Win</v>
      </c>
      <c r="E745" s="3">
        <f t="shared" ca="1" si="103"/>
        <v>500</v>
      </c>
      <c r="F745" s="42">
        <f t="shared" si="99"/>
        <v>9.2196676526549085E-48</v>
      </c>
      <c r="G745" s="41">
        <f>SUM(F$11:F745)</f>
        <v>0.99999999999999989</v>
      </c>
    </row>
    <row r="746" spans="1:7" x14ac:dyDescent="0.25">
      <c r="A746" s="1">
        <f t="shared" si="98"/>
        <v>735</v>
      </c>
      <c r="B746" s="3">
        <f t="shared" ca="1" si="101"/>
        <v>107500</v>
      </c>
      <c r="C746" s="26">
        <f t="shared" ca="1" si="102"/>
        <v>0.63405536752463598</v>
      </c>
      <c r="D746" s="26" t="str">
        <f t="shared" ca="1" si="100"/>
        <v>Win</v>
      </c>
      <c r="E746" s="3">
        <f t="shared" ca="1" si="103"/>
        <v>500</v>
      </c>
      <c r="F746" s="42">
        <f t="shared" si="99"/>
        <v>3.4728310808251506E-48</v>
      </c>
      <c r="G746" s="41">
        <f>SUM(F$11:F746)</f>
        <v>0.99999999999999989</v>
      </c>
    </row>
    <row r="747" spans="1:7" x14ac:dyDescent="0.25">
      <c r="A747" s="1">
        <f t="shared" si="98"/>
        <v>736</v>
      </c>
      <c r="B747" s="3">
        <f t="shared" ca="1" si="101"/>
        <v>108000</v>
      </c>
      <c r="C747" s="26">
        <f t="shared" ca="1" si="102"/>
        <v>0.72062460727038569</v>
      </c>
      <c r="D747" s="26" t="str">
        <f t="shared" ca="1" si="100"/>
        <v>Win</v>
      </c>
      <c r="E747" s="3">
        <f t="shared" ca="1" si="103"/>
        <v>500</v>
      </c>
      <c r="F747" s="42">
        <f t="shared" si="99"/>
        <v>1.3014449882806074E-48</v>
      </c>
      <c r="G747" s="41">
        <f>SUM(F$11:F747)</f>
        <v>0.99999999999999989</v>
      </c>
    </row>
    <row r="748" spans="1:7" x14ac:dyDescent="0.25">
      <c r="A748" s="1">
        <f t="shared" si="98"/>
        <v>737</v>
      </c>
      <c r="B748" s="3">
        <f t="shared" ca="1" si="101"/>
        <v>108500</v>
      </c>
      <c r="C748" s="26">
        <f t="shared" ca="1" si="102"/>
        <v>0.89360722232680712</v>
      </c>
      <c r="D748" s="26" t="str">
        <f t="shared" ca="1" si="100"/>
        <v>Win</v>
      </c>
      <c r="E748" s="3">
        <f t="shared" ca="1" si="103"/>
        <v>500</v>
      </c>
      <c r="F748" s="42">
        <f t="shared" si="99"/>
        <v>4.8521738216736407E-49</v>
      </c>
      <c r="G748" s="41">
        <f>SUM(F$11:F748)</f>
        <v>0.99999999999999989</v>
      </c>
    </row>
    <row r="749" spans="1:7" x14ac:dyDescent="0.25">
      <c r="A749" s="1">
        <f t="shared" si="98"/>
        <v>738</v>
      </c>
      <c r="B749" s="3">
        <f t="shared" ca="1" si="101"/>
        <v>108000</v>
      </c>
      <c r="C749" s="26">
        <f t="shared" ca="1" si="102"/>
        <v>0.44543884240113762</v>
      </c>
      <c r="D749" s="26" t="str">
        <f t="shared" ca="1" si="100"/>
        <v>Lose</v>
      </c>
      <c r="E749" s="3">
        <f t="shared" ca="1" si="103"/>
        <v>-500</v>
      </c>
      <c r="F749" s="42">
        <f t="shared" si="99"/>
        <v>1.799740265198553E-49</v>
      </c>
      <c r="G749" s="41">
        <f>SUM(F$11:F749)</f>
        <v>0.99999999999999989</v>
      </c>
    </row>
    <row r="750" spans="1:7" x14ac:dyDescent="0.25">
      <c r="A750" s="1">
        <f t="shared" si="98"/>
        <v>739</v>
      </c>
      <c r="B750" s="3">
        <f t="shared" ca="1" si="101"/>
        <v>107500</v>
      </c>
      <c r="C750" s="26">
        <f t="shared" ca="1" si="102"/>
        <v>6.9385806418783891E-2</v>
      </c>
      <c r="D750" s="26" t="str">
        <f t="shared" ca="1" si="100"/>
        <v>Lose</v>
      </c>
      <c r="E750" s="3">
        <f t="shared" ca="1" si="103"/>
        <v>-500</v>
      </c>
      <c r="F750" s="42">
        <f t="shared" si="99"/>
        <v>6.6411116576685334E-50</v>
      </c>
      <c r="G750" s="41">
        <f>SUM(F$11:F750)</f>
        <v>0.99999999999999989</v>
      </c>
    </row>
    <row r="751" spans="1:7" x14ac:dyDescent="0.25">
      <c r="A751" s="1">
        <f t="shared" si="98"/>
        <v>740</v>
      </c>
      <c r="B751" s="3">
        <f t="shared" ca="1" si="101"/>
        <v>107000</v>
      </c>
      <c r="C751" s="26">
        <f t="shared" ca="1" si="102"/>
        <v>0.26437619897816966</v>
      </c>
      <c r="D751" s="26" t="str">
        <f t="shared" ca="1" si="100"/>
        <v>Lose</v>
      </c>
      <c r="E751" s="3">
        <f t="shared" ca="1" si="103"/>
        <v>-500</v>
      </c>
      <c r="F751" s="42">
        <f t="shared" si="99"/>
        <v>2.4379436645124598E-50</v>
      </c>
      <c r="G751" s="41">
        <f>SUM(F$11:F751)</f>
        <v>0.99999999999999989</v>
      </c>
    </row>
    <row r="752" spans="1:7" x14ac:dyDescent="0.25">
      <c r="A752" s="1">
        <f t="shared" si="98"/>
        <v>741</v>
      </c>
      <c r="B752" s="3">
        <f t="shared" ca="1" si="101"/>
        <v>106500</v>
      </c>
      <c r="C752" s="26">
        <f t="shared" ca="1" si="102"/>
        <v>0.186367520815231</v>
      </c>
      <c r="D752" s="26" t="str">
        <f t="shared" ca="1" si="100"/>
        <v>Lose</v>
      </c>
      <c r="E752" s="3">
        <f t="shared" ca="1" si="103"/>
        <v>-500</v>
      </c>
      <c r="F752" s="42">
        <f t="shared" si="99"/>
        <v>8.9033388392502622E-51</v>
      </c>
      <c r="G752" s="41">
        <f>SUM(F$11:F752)</f>
        <v>0.99999999999999989</v>
      </c>
    </row>
    <row r="753" spans="1:7" x14ac:dyDescent="0.25">
      <c r="A753" s="1">
        <f t="shared" si="98"/>
        <v>742</v>
      </c>
      <c r="B753" s="3">
        <f t="shared" ca="1" si="101"/>
        <v>106000</v>
      </c>
      <c r="C753" s="26">
        <f t="shared" ca="1" si="102"/>
        <v>0.14958283128119898</v>
      </c>
      <c r="D753" s="26" t="str">
        <f t="shared" ca="1" si="100"/>
        <v>Lose</v>
      </c>
      <c r="E753" s="3">
        <f t="shared" ca="1" si="103"/>
        <v>-500</v>
      </c>
      <c r="F753" s="42">
        <f t="shared" si="99"/>
        <v>3.2346169406365484E-51</v>
      </c>
      <c r="G753" s="41">
        <f>SUM(F$11:F753)</f>
        <v>0.99999999999999989</v>
      </c>
    </row>
    <row r="754" spans="1:7" x14ac:dyDescent="0.25">
      <c r="A754" s="1">
        <f t="shared" si="98"/>
        <v>743</v>
      </c>
      <c r="B754" s="3">
        <f t="shared" ca="1" si="101"/>
        <v>106500</v>
      </c>
      <c r="C754" s="26">
        <f t="shared" ca="1" si="102"/>
        <v>0.71395521509298121</v>
      </c>
      <c r="D754" s="26" t="str">
        <f t="shared" ca="1" si="100"/>
        <v>Win</v>
      </c>
      <c r="E754" s="3">
        <f t="shared" ca="1" si="103"/>
        <v>500</v>
      </c>
      <c r="F754" s="42">
        <f t="shared" si="99"/>
        <v>1.1690358915839488E-51</v>
      </c>
      <c r="G754" s="41">
        <f>SUM(F$11:F754)</f>
        <v>0.99999999999999989</v>
      </c>
    </row>
    <row r="755" spans="1:7" x14ac:dyDescent="0.25">
      <c r="A755" s="1">
        <f t="shared" si="98"/>
        <v>744</v>
      </c>
      <c r="B755" s="3">
        <f t="shared" ca="1" si="101"/>
        <v>106000</v>
      </c>
      <c r="C755" s="26">
        <f t="shared" ca="1" si="102"/>
        <v>0.12006505717202409</v>
      </c>
      <c r="D755" s="26" t="str">
        <f t="shared" ca="1" si="100"/>
        <v>Lose</v>
      </c>
      <c r="E755" s="3">
        <f t="shared" ca="1" si="103"/>
        <v>-500</v>
      </c>
      <c r="F755" s="42">
        <f t="shared" si="99"/>
        <v>4.203026506196657E-52</v>
      </c>
      <c r="G755" s="41">
        <f>SUM(F$11:F755)</f>
        <v>0.99999999999999989</v>
      </c>
    </row>
    <row r="756" spans="1:7" x14ac:dyDescent="0.25">
      <c r="A756" s="1">
        <f t="shared" si="98"/>
        <v>745</v>
      </c>
      <c r="B756" s="3">
        <f t="shared" ca="1" si="101"/>
        <v>106500</v>
      </c>
      <c r="C756" s="26">
        <f t="shared" ca="1" si="102"/>
        <v>0.60698930505234616</v>
      </c>
      <c r="D756" s="26" t="str">
        <f t="shared" ca="1" si="100"/>
        <v>Win</v>
      </c>
      <c r="E756" s="3">
        <f t="shared" ca="1" si="103"/>
        <v>500</v>
      </c>
      <c r="F756" s="42">
        <f t="shared" si="99"/>
        <v>1.5032109043939729E-52</v>
      </c>
      <c r="G756" s="41">
        <f>SUM(F$11:F756)</f>
        <v>0.99999999999999989</v>
      </c>
    </row>
    <row r="757" spans="1:7" x14ac:dyDescent="0.25">
      <c r="A757" s="1">
        <f t="shared" si="98"/>
        <v>746</v>
      </c>
      <c r="B757" s="3">
        <f t="shared" ca="1" si="101"/>
        <v>107000</v>
      </c>
      <c r="C757" s="26">
        <f t="shared" ca="1" si="102"/>
        <v>0.90386499887956739</v>
      </c>
      <c r="D757" s="26" t="str">
        <f t="shared" ca="1" si="100"/>
        <v>Win</v>
      </c>
      <c r="E757" s="3">
        <f t="shared" ca="1" si="103"/>
        <v>500</v>
      </c>
      <c r="F757" s="42">
        <f t="shared" si="99"/>
        <v>5.3480488624072839E-53</v>
      </c>
      <c r="G757" s="41">
        <f>SUM(F$11:F757)</f>
        <v>0.99999999999999989</v>
      </c>
    </row>
    <row r="758" spans="1:7" x14ac:dyDescent="0.25">
      <c r="A758" s="1">
        <f t="shared" si="98"/>
        <v>747</v>
      </c>
      <c r="B758" s="3">
        <f t="shared" ca="1" si="101"/>
        <v>107500</v>
      </c>
      <c r="C758" s="26">
        <f t="shared" ca="1" si="102"/>
        <v>0.98444216641229554</v>
      </c>
      <c r="D758" s="26" t="str">
        <f t="shared" ca="1" si="100"/>
        <v>Win</v>
      </c>
      <c r="E758" s="3">
        <f t="shared" ca="1" si="103"/>
        <v>500</v>
      </c>
      <c r="F758" s="42">
        <f t="shared" si="99"/>
        <v>1.8927034659351871E-53</v>
      </c>
      <c r="G758" s="41">
        <f>SUM(F$11:F758)</f>
        <v>0.99999999999999989</v>
      </c>
    </row>
    <row r="759" spans="1:7" x14ac:dyDescent="0.25">
      <c r="A759" s="1">
        <f t="shared" si="98"/>
        <v>748</v>
      </c>
      <c r="B759" s="3">
        <f t="shared" ca="1" si="101"/>
        <v>107000</v>
      </c>
      <c r="C759" s="26">
        <f t="shared" ca="1" si="102"/>
        <v>0.27464908960500445</v>
      </c>
      <c r="D759" s="26" t="str">
        <f t="shared" ca="1" si="100"/>
        <v>Lose</v>
      </c>
      <c r="E759" s="3">
        <f t="shared" ca="1" si="103"/>
        <v>-500</v>
      </c>
      <c r="F759" s="42">
        <f t="shared" si="99"/>
        <v>6.6630887321187963E-54</v>
      </c>
      <c r="G759" s="41">
        <f>SUM(F$11:F759)</f>
        <v>0.99999999999999989</v>
      </c>
    </row>
    <row r="760" spans="1:7" x14ac:dyDescent="0.25">
      <c r="A760" s="1">
        <f t="shared" si="98"/>
        <v>749</v>
      </c>
      <c r="B760" s="3">
        <f t="shared" ca="1" si="101"/>
        <v>106500</v>
      </c>
      <c r="C760" s="26">
        <f t="shared" ca="1" si="102"/>
        <v>0.27096524995520455</v>
      </c>
      <c r="D760" s="26" t="str">
        <f t="shared" ca="1" si="100"/>
        <v>Lose</v>
      </c>
      <c r="E760" s="3">
        <f t="shared" ca="1" si="103"/>
        <v>-500</v>
      </c>
      <c r="F760" s="42">
        <f t="shared" si="99"/>
        <v>2.333288367760828E-54</v>
      </c>
      <c r="G760" s="41">
        <f>SUM(F$11:F760)</f>
        <v>0.99999999999999989</v>
      </c>
    </row>
    <row r="761" spans="1:7" x14ac:dyDescent="0.25">
      <c r="A761" s="1">
        <f t="shared" si="98"/>
        <v>750</v>
      </c>
      <c r="B761" s="3">
        <f t="shared" ca="1" si="101"/>
        <v>107000</v>
      </c>
      <c r="C761" s="26">
        <f t="shared" ca="1" si="102"/>
        <v>0.61590029198316876</v>
      </c>
      <c r="D761" s="26" t="str">
        <f t="shared" ca="1" si="100"/>
        <v>Win</v>
      </c>
      <c r="E761" s="3">
        <f t="shared" ca="1" si="103"/>
        <v>500</v>
      </c>
      <c r="F761" s="42">
        <f t="shared" si="99"/>
        <v>8.1274624206006357E-55</v>
      </c>
      <c r="G761" s="41">
        <f>SUM(F$11:F761)</f>
        <v>0.99999999999999989</v>
      </c>
    </row>
    <row r="762" spans="1:7" x14ac:dyDescent="0.25">
      <c r="A762" s="1">
        <f t="shared" si="98"/>
        <v>751</v>
      </c>
      <c r="B762" s="3">
        <f t="shared" ca="1" si="101"/>
        <v>107500</v>
      </c>
      <c r="C762" s="26">
        <f t="shared" ca="1" si="102"/>
        <v>0.56488318839246809</v>
      </c>
      <c r="D762" s="26" t="str">
        <f t="shared" ca="1" si="100"/>
        <v>Win</v>
      </c>
      <c r="E762" s="3">
        <f t="shared" ca="1" si="103"/>
        <v>500</v>
      </c>
      <c r="F762" s="42">
        <f t="shared" si="99"/>
        <v>2.8159772239096851E-55</v>
      </c>
      <c r="G762" s="41">
        <f>SUM(F$11:F762)</f>
        <v>0.99999999999999989</v>
      </c>
    </row>
    <row r="763" spans="1:7" x14ac:dyDescent="0.25">
      <c r="A763" s="1">
        <f t="shared" si="98"/>
        <v>752</v>
      </c>
      <c r="B763" s="3">
        <f t="shared" ca="1" si="101"/>
        <v>108000</v>
      </c>
      <c r="C763" s="26">
        <f t="shared" ca="1" si="102"/>
        <v>0.61983802506845542</v>
      </c>
      <c r="D763" s="26" t="str">
        <f t="shared" ca="1" si="100"/>
        <v>Win</v>
      </c>
      <c r="E763" s="3">
        <f t="shared" ca="1" si="103"/>
        <v>500</v>
      </c>
      <c r="F763" s="42">
        <f t="shared" si="99"/>
        <v>9.7047586752147598E-56</v>
      </c>
      <c r="G763" s="41">
        <f>SUM(F$11:F763)</f>
        <v>0.99999999999999989</v>
      </c>
    </row>
    <row r="764" spans="1:7" x14ac:dyDescent="0.25">
      <c r="A764" s="1">
        <f t="shared" ref="A764:A827" si="104">A763+1</f>
        <v>753</v>
      </c>
      <c r="B764" s="3">
        <f t="shared" ca="1" si="101"/>
        <v>108500</v>
      </c>
      <c r="C764" s="26">
        <f t="shared" ca="1" si="102"/>
        <v>0.6530778291986119</v>
      </c>
      <c r="D764" s="26" t="str">
        <f t="shared" ca="1" si="100"/>
        <v>Win</v>
      </c>
      <c r="E764" s="3">
        <f t="shared" ca="1" si="103"/>
        <v>500</v>
      </c>
      <c r="F764" s="42">
        <f t="shared" si="99"/>
        <v>3.3267145763642478E-56</v>
      </c>
      <c r="G764" s="41">
        <f>SUM(F$11:F764)</f>
        <v>0.99999999999999989</v>
      </c>
    </row>
    <row r="765" spans="1:7" x14ac:dyDescent="0.25">
      <c r="A765" s="1">
        <f t="shared" si="104"/>
        <v>754</v>
      </c>
      <c r="B765" s="3">
        <f t="shared" ca="1" si="101"/>
        <v>108000</v>
      </c>
      <c r="C765" s="26">
        <f t="shared" ca="1" si="102"/>
        <v>3.7246653261277296E-2</v>
      </c>
      <c r="D765" s="26" t="str">
        <f t="shared" ca="1" si="100"/>
        <v>Lose</v>
      </c>
      <c r="E765" s="3">
        <f t="shared" ca="1" si="103"/>
        <v>-500</v>
      </c>
      <c r="F765" s="42">
        <f t="shared" si="99"/>
        <v>1.134266862947515E-56</v>
      </c>
      <c r="G765" s="41">
        <f>SUM(F$11:F765)</f>
        <v>0.99999999999999989</v>
      </c>
    </row>
    <row r="766" spans="1:7" x14ac:dyDescent="0.25">
      <c r="A766" s="1">
        <f t="shared" si="104"/>
        <v>755</v>
      </c>
      <c r="B766" s="3">
        <f t="shared" ca="1" si="101"/>
        <v>107500</v>
      </c>
      <c r="C766" s="26">
        <f t="shared" ca="1" si="102"/>
        <v>0.14691602823697836</v>
      </c>
      <c r="D766" s="26" t="str">
        <f t="shared" ca="1" si="100"/>
        <v>Lose</v>
      </c>
      <c r="E766" s="3">
        <f t="shared" ca="1" si="103"/>
        <v>-500</v>
      </c>
      <c r="F766" s="42">
        <f t="shared" si="99"/>
        <v>3.8466041525991672E-57</v>
      </c>
      <c r="G766" s="41">
        <f>SUM(F$11:F766)</f>
        <v>0.99999999999999989</v>
      </c>
    </row>
    <row r="767" spans="1:7" x14ac:dyDescent="0.25">
      <c r="A767" s="1">
        <f t="shared" si="104"/>
        <v>756</v>
      </c>
      <c r="B767" s="3">
        <f t="shared" ca="1" si="101"/>
        <v>108000</v>
      </c>
      <c r="C767" s="26">
        <f t="shared" ca="1" si="102"/>
        <v>0.86903671956098405</v>
      </c>
      <c r="D767" s="26" t="str">
        <f t="shared" ca="1" si="100"/>
        <v>Win</v>
      </c>
      <c r="E767" s="3">
        <f t="shared" ca="1" si="103"/>
        <v>500</v>
      </c>
      <c r="F767" s="42">
        <f t="shared" si="99"/>
        <v>1.2974656863924936E-57</v>
      </c>
      <c r="G767" s="41">
        <f>SUM(F$11:F767)</f>
        <v>0.99999999999999989</v>
      </c>
    </row>
    <row r="768" spans="1:7" x14ac:dyDescent="0.25">
      <c r="A768" s="1">
        <f t="shared" si="104"/>
        <v>757</v>
      </c>
      <c r="B768" s="3">
        <f t="shared" ca="1" si="101"/>
        <v>108500</v>
      </c>
      <c r="C768" s="26">
        <f t="shared" ca="1" si="102"/>
        <v>0.66006870450789312</v>
      </c>
      <c r="D768" s="26" t="str">
        <f t="shared" ca="1" si="100"/>
        <v>Win</v>
      </c>
      <c r="E768" s="3">
        <f t="shared" ca="1" si="103"/>
        <v>500</v>
      </c>
      <c r="F768" s="42">
        <f t="shared" si="99"/>
        <v>4.3527520021211439E-58</v>
      </c>
      <c r="G768" s="41">
        <f>SUM(F$11:F768)</f>
        <v>0.99999999999999989</v>
      </c>
    </row>
    <row r="769" spans="1:7" x14ac:dyDescent="0.25">
      <c r="A769" s="1">
        <f t="shared" si="104"/>
        <v>758</v>
      </c>
      <c r="B769" s="3">
        <f t="shared" ca="1" si="101"/>
        <v>109000</v>
      </c>
      <c r="C769" s="26">
        <f t="shared" ca="1" si="102"/>
        <v>0.67004374824884216</v>
      </c>
      <c r="D769" s="26" t="str">
        <f t="shared" ca="1" si="100"/>
        <v>Win</v>
      </c>
      <c r="E769" s="3">
        <f t="shared" ca="1" si="103"/>
        <v>500</v>
      </c>
      <c r="F769" s="42">
        <f t="shared" si="99"/>
        <v>1.4523627042778884E-58</v>
      </c>
      <c r="G769" s="41">
        <f>SUM(F$11:F769)</f>
        <v>0.99999999999999989</v>
      </c>
    </row>
    <row r="770" spans="1:7" x14ac:dyDescent="0.25">
      <c r="A770" s="1">
        <f t="shared" si="104"/>
        <v>759</v>
      </c>
      <c r="B770" s="3">
        <f t="shared" ca="1" si="101"/>
        <v>109500</v>
      </c>
      <c r="C770" s="26">
        <f t="shared" ca="1" si="102"/>
        <v>0.54243672315347213</v>
      </c>
      <c r="D770" s="26" t="str">
        <f t="shared" ca="1" si="100"/>
        <v>Win</v>
      </c>
      <c r="E770" s="3">
        <f t="shared" ca="1" si="103"/>
        <v>500</v>
      </c>
      <c r="F770" s="42">
        <f t="shared" si="99"/>
        <v>4.8197307133975833E-59</v>
      </c>
      <c r="G770" s="41">
        <f>SUM(F$11:F770)</f>
        <v>0.99999999999999989</v>
      </c>
    </row>
    <row r="771" spans="1:7" x14ac:dyDescent="0.25">
      <c r="A771" s="1">
        <f t="shared" si="104"/>
        <v>760</v>
      </c>
      <c r="B771" s="3">
        <f t="shared" ca="1" si="101"/>
        <v>109000</v>
      </c>
      <c r="C771" s="26">
        <f t="shared" ca="1" si="102"/>
        <v>1.9340010191305712E-2</v>
      </c>
      <c r="D771" s="26" t="str">
        <f t="shared" ca="1" si="100"/>
        <v>Lose</v>
      </c>
      <c r="E771" s="3">
        <f t="shared" ca="1" si="103"/>
        <v>-500</v>
      </c>
      <c r="F771" s="42">
        <f t="shared" si="99"/>
        <v>1.590744097700594E-59</v>
      </c>
      <c r="G771" s="41">
        <f>SUM(F$11:F771)</f>
        <v>0.99999999999999989</v>
      </c>
    </row>
    <row r="772" spans="1:7" x14ac:dyDescent="0.25">
      <c r="A772" s="1">
        <f t="shared" si="104"/>
        <v>761</v>
      </c>
      <c r="B772" s="3">
        <f t="shared" ca="1" si="101"/>
        <v>108500</v>
      </c>
      <c r="C772" s="26">
        <f t="shared" ca="1" si="102"/>
        <v>0.12976256293669175</v>
      </c>
      <c r="D772" s="26" t="str">
        <f t="shared" ca="1" si="100"/>
        <v>Lose</v>
      </c>
      <c r="E772" s="3">
        <f t="shared" ca="1" si="103"/>
        <v>-500</v>
      </c>
      <c r="F772" s="42">
        <f t="shared" si="99"/>
        <v>5.2215687617943653E-60</v>
      </c>
      <c r="G772" s="41">
        <f>SUM(F$11:F772)</f>
        <v>0.99999999999999989</v>
      </c>
    </row>
    <row r="773" spans="1:7" x14ac:dyDescent="0.25">
      <c r="A773" s="1">
        <f t="shared" si="104"/>
        <v>762</v>
      </c>
      <c r="B773" s="3">
        <f t="shared" ca="1" si="101"/>
        <v>109000</v>
      </c>
      <c r="C773" s="26">
        <f t="shared" ca="1" si="102"/>
        <v>0.9691257623036289</v>
      </c>
      <c r="D773" s="26" t="str">
        <f t="shared" ca="1" si="100"/>
        <v>Win</v>
      </c>
      <c r="E773" s="3">
        <f t="shared" ca="1" si="103"/>
        <v>500</v>
      </c>
      <c r="F773" s="42">
        <f t="shared" si="99"/>
        <v>1.7045825067629514E-60</v>
      </c>
      <c r="G773" s="41">
        <f>SUM(F$11:F773)</f>
        <v>0.99999999999999989</v>
      </c>
    </row>
    <row r="774" spans="1:7" x14ac:dyDescent="0.25">
      <c r="A774" s="1">
        <f t="shared" si="104"/>
        <v>763</v>
      </c>
      <c r="B774" s="3">
        <f t="shared" ca="1" si="101"/>
        <v>109500</v>
      </c>
      <c r="C774" s="26">
        <f t="shared" ca="1" si="102"/>
        <v>0.94212115525748541</v>
      </c>
      <c r="D774" s="26" t="str">
        <f t="shared" ca="1" si="100"/>
        <v>Win</v>
      </c>
      <c r="E774" s="3">
        <f t="shared" ca="1" si="103"/>
        <v>500</v>
      </c>
      <c r="F774" s="42">
        <f t="shared" si="99"/>
        <v>5.5340686514265834E-61</v>
      </c>
      <c r="G774" s="41">
        <f>SUM(F$11:F774)</f>
        <v>0.99999999999999989</v>
      </c>
    </row>
    <row r="775" spans="1:7" x14ac:dyDescent="0.25">
      <c r="A775" s="1">
        <f t="shared" si="104"/>
        <v>764</v>
      </c>
      <c r="B775" s="3">
        <f t="shared" ca="1" si="101"/>
        <v>110000</v>
      </c>
      <c r="C775" s="26">
        <f t="shared" ca="1" si="102"/>
        <v>0.7470017690122035</v>
      </c>
      <c r="D775" s="26" t="str">
        <f t="shared" ca="1" si="100"/>
        <v>Win</v>
      </c>
      <c r="E775" s="3">
        <f t="shared" ca="1" si="103"/>
        <v>500</v>
      </c>
      <c r="F775" s="42">
        <f t="shared" si="99"/>
        <v>1.7867904634520568E-61</v>
      </c>
      <c r="G775" s="41">
        <f>SUM(F$11:F775)</f>
        <v>0.99999999999999989</v>
      </c>
    </row>
    <row r="776" spans="1:7" x14ac:dyDescent="0.25">
      <c r="A776" s="1">
        <f t="shared" si="104"/>
        <v>765</v>
      </c>
      <c r="B776" s="3">
        <f t="shared" ca="1" si="101"/>
        <v>110500</v>
      </c>
      <c r="C776" s="26">
        <f t="shared" ca="1" si="102"/>
        <v>0.66156522603742896</v>
      </c>
      <c r="D776" s="26" t="str">
        <f t="shared" ca="1" si="100"/>
        <v>Win</v>
      </c>
      <c r="E776" s="3">
        <f t="shared" ca="1" si="103"/>
        <v>500</v>
      </c>
      <c r="F776" s="42">
        <f t="shared" si="99"/>
        <v>5.7371775425127303E-62</v>
      </c>
      <c r="G776" s="41">
        <f>SUM(F$11:F776)</f>
        <v>0.99999999999999989</v>
      </c>
    </row>
    <row r="777" spans="1:7" x14ac:dyDescent="0.25">
      <c r="A777" s="1">
        <f t="shared" si="104"/>
        <v>766</v>
      </c>
      <c r="B777" s="3">
        <f t="shared" ca="1" si="101"/>
        <v>110000</v>
      </c>
      <c r="C777" s="26">
        <f t="shared" ca="1" si="102"/>
        <v>0.40309636631044354</v>
      </c>
      <c r="D777" s="26" t="str">
        <f t="shared" ca="1" si="100"/>
        <v>Lose</v>
      </c>
      <c r="E777" s="3">
        <f t="shared" ca="1" si="103"/>
        <v>-500</v>
      </c>
      <c r="F777" s="42">
        <f t="shared" si="99"/>
        <v>1.831940982762807E-62</v>
      </c>
      <c r="G777" s="41">
        <f>SUM(F$11:F777)</f>
        <v>0.99999999999999989</v>
      </c>
    </row>
    <row r="778" spans="1:7" x14ac:dyDescent="0.25">
      <c r="A778" s="1">
        <f t="shared" si="104"/>
        <v>767</v>
      </c>
      <c r="B778" s="3">
        <f t="shared" ca="1" si="101"/>
        <v>109500</v>
      </c>
      <c r="C778" s="26">
        <f t="shared" ca="1" si="102"/>
        <v>3.7145192053265386E-2</v>
      </c>
      <c r="D778" s="26" t="str">
        <f t="shared" ca="1" si="100"/>
        <v>Lose</v>
      </c>
      <c r="E778" s="3">
        <f t="shared" ca="1" si="103"/>
        <v>-500</v>
      </c>
      <c r="F778" s="42">
        <f t="shared" si="99"/>
        <v>5.817093815898424E-63</v>
      </c>
      <c r="G778" s="41">
        <f>SUM(F$11:F778)</f>
        <v>0.99999999999999989</v>
      </c>
    </row>
    <row r="779" spans="1:7" x14ac:dyDescent="0.25">
      <c r="A779" s="1">
        <f t="shared" si="104"/>
        <v>768</v>
      </c>
      <c r="B779" s="3">
        <f t="shared" ca="1" si="101"/>
        <v>109000</v>
      </c>
      <c r="C779" s="26">
        <f t="shared" ca="1" si="102"/>
        <v>8.811705166152517E-2</v>
      </c>
      <c r="D779" s="26" t="str">
        <f t="shared" ca="1" si="100"/>
        <v>Lose</v>
      </c>
      <c r="E779" s="3">
        <f t="shared" ca="1" si="103"/>
        <v>-500</v>
      </c>
      <c r="F779" s="42">
        <f t="shared" si="99"/>
        <v>1.8368549589263686E-63</v>
      </c>
      <c r="G779" s="41">
        <f>SUM(F$11:F779)</f>
        <v>0.99999999999999989</v>
      </c>
    </row>
    <row r="780" spans="1:7" x14ac:dyDescent="0.25">
      <c r="A780" s="1">
        <f t="shared" si="104"/>
        <v>769</v>
      </c>
      <c r="B780" s="3">
        <f t="shared" ca="1" si="101"/>
        <v>108500</v>
      </c>
      <c r="C780" s="26">
        <f t="shared" ca="1" si="102"/>
        <v>0.3006604931161746</v>
      </c>
      <c r="D780" s="26" t="str">
        <f t="shared" ca="1" si="100"/>
        <v>Lose</v>
      </c>
      <c r="E780" s="3">
        <f t="shared" ca="1" si="103"/>
        <v>-500</v>
      </c>
      <c r="F780" s="42">
        <f t="shared" ref="F780:F843" si="105">_xlfn.BINOM.DIST(A780,$A$1011,$B$1,FALSE)</f>
        <v>5.7678054918970896E-64</v>
      </c>
      <c r="G780" s="41">
        <f>SUM(F$11:F780)</f>
        <v>0.99999999999999989</v>
      </c>
    </row>
    <row r="781" spans="1:7" x14ac:dyDescent="0.25">
      <c r="A781" s="1">
        <f t="shared" si="104"/>
        <v>770</v>
      </c>
      <c r="B781" s="3">
        <f t="shared" ca="1" si="101"/>
        <v>109000</v>
      </c>
      <c r="C781" s="26">
        <f t="shared" ca="1" si="102"/>
        <v>0.97193122219574246</v>
      </c>
      <c r="D781" s="26" t="str">
        <f t="shared" ref="D781:D844" ca="1" si="106">IF(C781&gt;$B$2,"Win","Lose")</f>
        <v>Win</v>
      </c>
      <c r="E781" s="3">
        <f t="shared" ca="1" si="103"/>
        <v>500</v>
      </c>
      <c r="F781" s="42">
        <f t="shared" si="105"/>
        <v>1.8009678372658488E-64</v>
      </c>
      <c r="G781" s="41">
        <f>SUM(F$11:F781)</f>
        <v>0.99999999999999989</v>
      </c>
    </row>
    <row r="782" spans="1:7" x14ac:dyDescent="0.25">
      <c r="A782" s="1">
        <f t="shared" si="104"/>
        <v>771</v>
      </c>
      <c r="B782" s="3">
        <f t="shared" ref="B782:B845" ca="1" si="107">B781+E782</f>
        <v>108500</v>
      </c>
      <c r="C782" s="26">
        <f t="shared" ref="C782:C845" ca="1" si="108">RAND()</f>
        <v>0.18746208872848591</v>
      </c>
      <c r="D782" s="26" t="str">
        <f t="shared" ca="1" si="106"/>
        <v>Lose</v>
      </c>
      <c r="E782" s="3">
        <f t="shared" ref="E782:E845" ca="1" si="109">IF(D782="Win",$B$4,-$B$4)</f>
        <v>-500</v>
      </c>
      <c r="F782" s="42">
        <f t="shared" si="105"/>
        <v>5.5918242227504219E-65</v>
      </c>
      <c r="G782" s="41">
        <f>SUM(F$11:F782)</f>
        <v>0.99999999999999989</v>
      </c>
    </row>
    <row r="783" spans="1:7" x14ac:dyDescent="0.25">
      <c r="A783" s="1">
        <f t="shared" si="104"/>
        <v>772</v>
      </c>
      <c r="B783" s="3">
        <f t="shared" ca="1" si="107"/>
        <v>108000</v>
      </c>
      <c r="C783" s="26">
        <f t="shared" ca="1" si="108"/>
        <v>8.2156440980245216E-2</v>
      </c>
      <c r="D783" s="26" t="str">
        <f t="shared" ca="1" si="106"/>
        <v>Lose</v>
      </c>
      <c r="E783" s="3">
        <f t="shared" ca="1" si="109"/>
        <v>-500</v>
      </c>
      <c r="F783" s="42">
        <f t="shared" si="105"/>
        <v>1.7264173389421488E-65</v>
      </c>
      <c r="G783" s="41">
        <f>SUM(F$11:F783)</f>
        <v>0.99999999999999989</v>
      </c>
    </row>
    <row r="784" spans="1:7" x14ac:dyDescent="0.25">
      <c r="A784" s="1">
        <f t="shared" si="104"/>
        <v>773</v>
      </c>
      <c r="B784" s="3">
        <f t="shared" ca="1" si="107"/>
        <v>107500</v>
      </c>
      <c r="C784" s="26">
        <f t="shared" ca="1" si="108"/>
        <v>0.31348493400652844</v>
      </c>
      <c r="D784" s="26" t="str">
        <f t="shared" ca="1" si="106"/>
        <v>Lose</v>
      </c>
      <c r="E784" s="3">
        <f t="shared" ca="1" si="109"/>
        <v>-500</v>
      </c>
      <c r="F784" s="42">
        <f t="shared" si="105"/>
        <v>5.2999922953821811E-66</v>
      </c>
      <c r="G784" s="41">
        <f>SUM(F$11:F784)</f>
        <v>0.99999999999999989</v>
      </c>
    </row>
    <row r="785" spans="1:7" x14ac:dyDescent="0.25">
      <c r="A785" s="1">
        <f t="shared" si="104"/>
        <v>774</v>
      </c>
      <c r="B785" s="3">
        <f t="shared" ca="1" si="107"/>
        <v>107000</v>
      </c>
      <c r="C785" s="26">
        <f t="shared" ca="1" si="108"/>
        <v>0.33501497203096486</v>
      </c>
      <c r="D785" s="26" t="str">
        <f t="shared" ca="1" si="106"/>
        <v>Lose</v>
      </c>
      <c r="E785" s="3">
        <f t="shared" ca="1" si="109"/>
        <v>-500</v>
      </c>
      <c r="F785" s="42">
        <f t="shared" si="105"/>
        <v>1.6178350156525392E-66</v>
      </c>
      <c r="G785" s="41">
        <f>SUM(F$11:F785)</f>
        <v>0.99999999999999989</v>
      </c>
    </row>
    <row r="786" spans="1:7" x14ac:dyDescent="0.25">
      <c r="A786" s="1">
        <f t="shared" si="104"/>
        <v>775</v>
      </c>
      <c r="B786" s="3">
        <f t="shared" ca="1" si="107"/>
        <v>106500</v>
      </c>
      <c r="C786" s="26">
        <f t="shared" ca="1" si="108"/>
        <v>0.16923413992875236</v>
      </c>
      <c r="D786" s="26" t="str">
        <f t="shared" ca="1" si="106"/>
        <v>Lose</v>
      </c>
      <c r="E786" s="3">
        <f t="shared" ca="1" si="109"/>
        <v>-500</v>
      </c>
      <c r="F786" s="42">
        <f t="shared" si="105"/>
        <v>4.9103795629786931E-67</v>
      </c>
      <c r="G786" s="41">
        <f>SUM(F$11:F786)</f>
        <v>0.99999999999999989</v>
      </c>
    </row>
    <row r="787" spans="1:7" x14ac:dyDescent="0.25">
      <c r="A787" s="1">
        <f t="shared" si="104"/>
        <v>776</v>
      </c>
      <c r="B787" s="3">
        <f t="shared" ca="1" si="107"/>
        <v>106000</v>
      </c>
      <c r="C787" s="26">
        <f t="shared" ca="1" si="108"/>
        <v>5.3445944234386755E-2</v>
      </c>
      <c r="D787" s="26" t="str">
        <f t="shared" ca="1" si="106"/>
        <v>Lose</v>
      </c>
      <c r="E787" s="3">
        <f t="shared" ca="1" si="109"/>
        <v>-500</v>
      </c>
      <c r="F787" s="42">
        <f t="shared" si="105"/>
        <v>1.4818694899321865E-67</v>
      </c>
      <c r="G787" s="41">
        <f>SUM(F$11:F787)</f>
        <v>0.99999999999999989</v>
      </c>
    </row>
    <row r="788" spans="1:7" x14ac:dyDescent="0.25">
      <c r="A788" s="1">
        <f t="shared" si="104"/>
        <v>777</v>
      </c>
      <c r="B788" s="3">
        <f t="shared" ca="1" si="107"/>
        <v>106500</v>
      </c>
      <c r="C788" s="26">
        <f t="shared" ca="1" si="108"/>
        <v>0.52548063385962018</v>
      </c>
      <c r="D788" s="26" t="str">
        <f t="shared" ca="1" si="106"/>
        <v>Win</v>
      </c>
      <c r="E788" s="3">
        <f t="shared" ca="1" si="109"/>
        <v>500</v>
      </c>
      <c r="F788" s="42">
        <f t="shared" si="105"/>
        <v>4.4464258274853086E-68</v>
      </c>
      <c r="G788" s="41">
        <f>SUM(F$11:F788)</f>
        <v>0.99999999999999989</v>
      </c>
    </row>
    <row r="789" spans="1:7" x14ac:dyDescent="0.25">
      <c r="A789" s="1">
        <f t="shared" si="104"/>
        <v>778</v>
      </c>
      <c r="B789" s="3">
        <f t="shared" ca="1" si="107"/>
        <v>106000</v>
      </c>
      <c r="C789" s="26">
        <f t="shared" ca="1" si="108"/>
        <v>0.29877229095697189</v>
      </c>
      <c r="D789" s="26" t="str">
        <f t="shared" ca="1" si="106"/>
        <v>Lose</v>
      </c>
      <c r="E789" s="3">
        <f t="shared" ca="1" si="109"/>
        <v>-500</v>
      </c>
      <c r="F789" s="42">
        <f t="shared" si="105"/>
        <v>1.3265096515394984E-68</v>
      </c>
      <c r="G789" s="41">
        <f>SUM(F$11:F789)</f>
        <v>0.99999999999999989</v>
      </c>
    </row>
    <row r="790" spans="1:7" x14ac:dyDescent="0.25">
      <c r="A790" s="1">
        <f t="shared" si="104"/>
        <v>779</v>
      </c>
      <c r="B790" s="3">
        <f t="shared" ca="1" si="107"/>
        <v>105500</v>
      </c>
      <c r="C790" s="26">
        <f t="shared" ca="1" si="108"/>
        <v>0.44636560239320078</v>
      </c>
      <c r="D790" s="26" t="str">
        <f t="shared" ca="1" si="106"/>
        <v>Lose</v>
      </c>
      <c r="E790" s="3">
        <f t="shared" ca="1" si="109"/>
        <v>-500</v>
      </c>
      <c r="F790" s="42">
        <f t="shared" si="105"/>
        <v>3.9345949214667445E-69</v>
      </c>
      <c r="G790" s="41">
        <f>SUM(F$11:F790)</f>
        <v>0.99999999999999989</v>
      </c>
    </row>
    <row r="791" spans="1:7" x14ac:dyDescent="0.25">
      <c r="A791" s="1">
        <f t="shared" si="104"/>
        <v>780</v>
      </c>
      <c r="B791" s="3">
        <f t="shared" ca="1" si="107"/>
        <v>105000</v>
      </c>
      <c r="C791" s="26">
        <f t="shared" ca="1" si="108"/>
        <v>0.36797102855177455</v>
      </c>
      <c r="D791" s="26" t="str">
        <f t="shared" ca="1" si="106"/>
        <v>Lose</v>
      </c>
      <c r="E791" s="3">
        <f t="shared" ca="1" si="109"/>
        <v>-500</v>
      </c>
      <c r="F791" s="42">
        <f t="shared" si="105"/>
        <v>1.1603040125549826E-69</v>
      </c>
      <c r="G791" s="41">
        <f>SUM(F$11:F791)</f>
        <v>0.99999999999999989</v>
      </c>
    </row>
    <row r="792" spans="1:7" x14ac:dyDescent="0.25">
      <c r="A792" s="1">
        <f t="shared" si="104"/>
        <v>781</v>
      </c>
      <c r="B792" s="3">
        <f t="shared" ca="1" si="107"/>
        <v>105500</v>
      </c>
      <c r="C792" s="26">
        <f t="shared" ca="1" si="108"/>
        <v>0.97078142235549469</v>
      </c>
      <c r="D792" s="26" t="str">
        <f t="shared" ca="1" si="106"/>
        <v>Win</v>
      </c>
      <c r="E792" s="3">
        <f t="shared" ca="1" si="109"/>
        <v>500</v>
      </c>
      <c r="F792" s="42">
        <f t="shared" si="105"/>
        <v>3.4018686197356531E-70</v>
      </c>
      <c r="G792" s="41">
        <f>SUM(F$11:F792)</f>
        <v>0.99999999999999989</v>
      </c>
    </row>
    <row r="793" spans="1:7" x14ac:dyDescent="0.25">
      <c r="A793" s="1">
        <f t="shared" si="104"/>
        <v>782</v>
      </c>
      <c r="B793" s="3">
        <f t="shared" ca="1" si="107"/>
        <v>105000</v>
      </c>
      <c r="C793" s="26">
        <f t="shared" ca="1" si="108"/>
        <v>0.16671130603985707</v>
      </c>
      <c r="D793" s="26" t="str">
        <f t="shared" ca="1" si="106"/>
        <v>Lose</v>
      </c>
      <c r="E793" s="3">
        <f t="shared" ca="1" si="109"/>
        <v>-500</v>
      </c>
      <c r="F793" s="42">
        <f t="shared" si="105"/>
        <v>9.9158282305510673E-71</v>
      </c>
      <c r="G793" s="41">
        <f>SUM(F$11:F793)</f>
        <v>0.99999999999999989</v>
      </c>
    </row>
    <row r="794" spans="1:7" x14ac:dyDescent="0.25">
      <c r="A794" s="1">
        <f t="shared" si="104"/>
        <v>783</v>
      </c>
      <c r="B794" s="3">
        <f t="shared" ca="1" si="107"/>
        <v>104500</v>
      </c>
      <c r="C794" s="26">
        <f t="shared" ca="1" si="108"/>
        <v>0.35014182554454365</v>
      </c>
      <c r="D794" s="26" t="str">
        <f t="shared" ca="1" si="106"/>
        <v>Lose</v>
      </c>
      <c r="E794" s="3">
        <f t="shared" ca="1" si="109"/>
        <v>-500</v>
      </c>
      <c r="F794" s="42">
        <f t="shared" si="105"/>
        <v>2.8734114803677147E-71</v>
      </c>
      <c r="G794" s="41">
        <f>SUM(F$11:F794)</f>
        <v>0.99999999999999989</v>
      </c>
    </row>
    <row r="795" spans="1:7" x14ac:dyDescent="0.25">
      <c r="A795" s="1">
        <f t="shared" si="104"/>
        <v>784</v>
      </c>
      <c r="B795" s="3">
        <f t="shared" ca="1" si="107"/>
        <v>104000</v>
      </c>
      <c r="C795" s="26">
        <f t="shared" ca="1" si="108"/>
        <v>0.27439995817625495</v>
      </c>
      <c r="D795" s="26" t="str">
        <f t="shared" ca="1" si="106"/>
        <v>Lose</v>
      </c>
      <c r="E795" s="3">
        <f t="shared" ca="1" si="109"/>
        <v>-500</v>
      </c>
      <c r="F795" s="42">
        <f t="shared" si="105"/>
        <v>8.2778125919488235E-72</v>
      </c>
      <c r="G795" s="41">
        <f>SUM(F$11:F795)</f>
        <v>0.99999999999999989</v>
      </c>
    </row>
    <row r="796" spans="1:7" x14ac:dyDescent="0.25">
      <c r="A796" s="1">
        <f t="shared" si="104"/>
        <v>785</v>
      </c>
      <c r="B796" s="3">
        <f t="shared" ca="1" si="107"/>
        <v>104500</v>
      </c>
      <c r="C796" s="26">
        <f t="shared" ca="1" si="108"/>
        <v>0.83301686685233389</v>
      </c>
      <c r="D796" s="26" t="str">
        <f t="shared" ca="1" si="106"/>
        <v>Win</v>
      </c>
      <c r="E796" s="3">
        <f t="shared" ca="1" si="109"/>
        <v>500</v>
      </c>
      <c r="F796" s="42">
        <f t="shared" si="105"/>
        <v>2.3706846097207549E-72</v>
      </c>
      <c r="G796" s="41">
        <f>SUM(F$11:F796)</f>
        <v>0.99999999999999989</v>
      </c>
    </row>
    <row r="797" spans="1:7" x14ac:dyDescent="0.25">
      <c r="A797" s="1">
        <f t="shared" si="104"/>
        <v>786</v>
      </c>
      <c r="B797" s="3">
        <f t="shared" ca="1" si="107"/>
        <v>105000</v>
      </c>
      <c r="C797" s="26">
        <f t="shared" ca="1" si="108"/>
        <v>0.55351725931633422</v>
      </c>
      <c r="D797" s="26" t="str">
        <f t="shared" ca="1" si="106"/>
        <v>Win</v>
      </c>
      <c r="E797" s="3">
        <f t="shared" ca="1" si="109"/>
        <v>500</v>
      </c>
      <c r="F797" s="42">
        <f t="shared" si="105"/>
        <v>6.7493786014405022E-73</v>
      </c>
      <c r="G797" s="41">
        <f>SUM(F$11:F797)</f>
        <v>0.99999999999999989</v>
      </c>
    </row>
    <row r="798" spans="1:7" x14ac:dyDescent="0.25">
      <c r="A798" s="1">
        <f t="shared" si="104"/>
        <v>787</v>
      </c>
      <c r="B798" s="3">
        <f t="shared" ca="1" si="107"/>
        <v>104500</v>
      </c>
      <c r="C798" s="26">
        <f t="shared" ca="1" si="108"/>
        <v>9.5324938163185324E-2</v>
      </c>
      <c r="D798" s="26" t="str">
        <f t="shared" ca="1" si="106"/>
        <v>Lose</v>
      </c>
      <c r="E798" s="3">
        <f t="shared" ca="1" si="109"/>
        <v>-500</v>
      </c>
      <c r="F798" s="42">
        <f t="shared" si="105"/>
        <v>1.9101915840603859E-73</v>
      </c>
      <c r="G798" s="41">
        <f>SUM(F$11:F798)</f>
        <v>0.99999999999999989</v>
      </c>
    </row>
    <row r="799" spans="1:7" x14ac:dyDescent="0.25">
      <c r="A799" s="1">
        <f t="shared" si="104"/>
        <v>788</v>
      </c>
      <c r="B799" s="3">
        <f t="shared" ca="1" si="107"/>
        <v>105000</v>
      </c>
      <c r="C799" s="26">
        <f t="shared" ca="1" si="108"/>
        <v>0.86015375805951944</v>
      </c>
      <c r="D799" s="26" t="str">
        <f t="shared" ca="1" si="106"/>
        <v>Win</v>
      </c>
      <c r="E799" s="3">
        <f t="shared" ca="1" si="109"/>
        <v>500</v>
      </c>
      <c r="F799" s="42">
        <f t="shared" si="105"/>
        <v>5.3740834915693105E-74</v>
      </c>
      <c r="G799" s="41">
        <f>SUM(F$11:F799)</f>
        <v>0.99999999999999989</v>
      </c>
    </row>
    <row r="800" spans="1:7" x14ac:dyDescent="0.25">
      <c r="A800" s="1">
        <f t="shared" si="104"/>
        <v>789</v>
      </c>
      <c r="B800" s="3">
        <f t="shared" ca="1" si="107"/>
        <v>105500</v>
      </c>
      <c r="C800" s="26">
        <f t="shared" ca="1" si="108"/>
        <v>0.88320079127120055</v>
      </c>
      <c r="D800" s="26" t="str">
        <f t="shared" ca="1" si="106"/>
        <v>Win</v>
      </c>
      <c r="E800" s="3">
        <f t="shared" ca="1" si="109"/>
        <v>500</v>
      </c>
      <c r="F800" s="42">
        <f t="shared" si="105"/>
        <v>1.5029251884547573E-74</v>
      </c>
      <c r="G800" s="41">
        <f>SUM(F$11:F800)</f>
        <v>0.99999999999999989</v>
      </c>
    </row>
    <row r="801" spans="1:7" x14ac:dyDescent="0.25">
      <c r="A801" s="1">
        <f t="shared" si="104"/>
        <v>790</v>
      </c>
      <c r="B801" s="3">
        <f t="shared" ca="1" si="107"/>
        <v>105000</v>
      </c>
      <c r="C801" s="26">
        <f t="shared" ca="1" si="108"/>
        <v>0.27079759936564418</v>
      </c>
      <c r="D801" s="26" t="str">
        <f t="shared" ca="1" si="106"/>
        <v>Lose</v>
      </c>
      <c r="E801" s="3">
        <f t="shared" ca="1" si="109"/>
        <v>-500</v>
      </c>
      <c r="F801" s="42">
        <f t="shared" si="105"/>
        <v>4.1779844879775635E-75</v>
      </c>
      <c r="G801" s="41">
        <f>SUM(F$11:F801)</f>
        <v>0.99999999999999989</v>
      </c>
    </row>
    <row r="802" spans="1:7" x14ac:dyDescent="0.25">
      <c r="A802" s="1">
        <f t="shared" si="104"/>
        <v>791</v>
      </c>
      <c r="B802" s="3">
        <f t="shared" ca="1" si="107"/>
        <v>105500</v>
      </c>
      <c r="C802" s="26">
        <f t="shared" ca="1" si="108"/>
        <v>0.50359754763579756</v>
      </c>
      <c r="D802" s="26" t="str">
        <f t="shared" ca="1" si="106"/>
        <v>Win</v>
      </c>
      <c r="E802" s="3">
        <f t="shared" ca="1" si="109"/>
        <v>500</v>
      </c>
      <c r="F802" s="42">
        <f t="shared" si="105"/>
        <v>1.1544728673660766E-75</v>
      </c>
      <c r="G802" s="41">
        <f>SUM(F$11:F802)</f>
        <v>0.99999999999999989</v>
      </c>
    </row>
    <row r="803" spans="1:7" x14ac:dyDescent="0.25">
      <c r="A803" s="1">
        <f t="shared" si="104"/>
        <v>792</v>
      </c>
      <c r="B803" s="3">
        <f t="shared" ca="1" si="107"/>
        <v>105000</v>
      </c>
      <c r="C803" s="26">
        <f t="shared" ca="1" si="108"/>
        <v>7.6846621435890716E-2</v>
      </c>
      <c r="D803" s="26" t="str">
        <f t="shared" ca="1" si="106"/>
        <v>Lose</v>
      </c>
      <c r="E803" s="3">
        <f t="shared" ca="1" si="109"/>
        <v>-500</v>
      </c>
      <c r="F803" s="42">
        <f t="shared" si="105"/>
        <v>3.1708736067962181E-76</v>
      </c>
      <c r="G803" s="41">
        <f>SUM(F$11:F803)</f>
        <v>0.99999999999999989</v>
      </c>
    </row>
    <row r="804" spans="1:7" x14ac:dyDescent="0.25">
      <c r="A804" s="1">
        <f t="shared" si="104"/>
        <v>793</v>
      </c>
      <c r="B804" s="3">
        <f t="shared" ca="1" si="107"/>
        <v>105500</v>
      </c>
      <c r="C804" s="26">
        <f t="shared" ca="1" si="108"/>
        <v>0.96666413673639107</v>
      </c>
      <c r="D804" s="26" t="str">
        <f t="shared" ca="1" si="106"/>
        <v>Win</v>
      </c>
      <c r="E804" s="3">
        <f t="shared" ca="1" si="109"/>
        <v>500</v>
      </c>
      <c r="F804" s="42">
        <f t="shared" si="105"/>
        <v>8.6565167719833158E-77</v>
      </c>
      <c r="G804" s="41">
        <f>SUM(F$11:F804)</f>
        <v>0.99999999999999989</v>
      </c>
    </row>
    <row r="805" spans="1:7" x14ac:dyDescent="0.25">
      <c r="A805" s="1">
        <f t="shared" si="104"/>
        <v>794</v>
      </c>
      <c r="B805" s="3">
        <f t="shared" ca="1" si="107"/>
        <v>105000</v>
      </c>
      <c r="C805" s="26">
        <f t="shared" ca="1" si="108"/>
        <v>0.20267478359892854</v>
      </c>
      <c r="D805" s="26" t="str">
        <f t="shared" ca="1" si="106"/>
        <v>Lose</v>
      </c>
      <c r="E805" s="3">
        <f t="shared" ca="1" si="109"/>
        <v>-500</v>
      </c>
      <c r="F805" s="42">
        <f t="shared" si="105"/>
        <v>2.3489139865785764E-77</v>
      </c>
      <c r="G805" s="41">
        <f>SUM(F$11:F805)</f>
        <v>0.99999999999999989</v>
      </c>
    </row>
    <row r="806" spans="1:7" x14ac:dyDescent="0.25">
      <c r="A806" s="1">
        <f t="shared" si="104"/>
        <v>795</v>
      </c>
      <c r="B806" s="3">
        <f t="shared" ca="1" si="107"/>
        <v>104500</v>
      </c>
      <c r="C806" s="26">
        <f t="shared" ca="1" si="108"/>
        <v>0.21072104187074026</v>
      </c>
      <c r="D806" s="26" t="str">
        <f t="shared" ca="1" si="106"/>
        <v>Lose</v>
      </c>
      <c r="E806" s="3">
        <f t="shared" ca="1" si="109"/>
        <v>-500</v>
      </c>
      <c r="F806" s="42">
        <f t="shared" si="105"/>
        <v>6.3349224343457817E-78</v>
      </c>
      <c r="G806" s="41">
        <f>SUM(F$11:F806)</f>
        <v>0.99999999999999989</v>
      </c>
    </row>
    <row r="807" spans="1:7" x14ac:dyDescent="0.25">
      <c r="A807" s="1">
        <f t="shared" si="104"/>
        <v>796</v>
      </c>
      <c r="B807" s="3">
        <f t="shared" ca="1" si="107"/>
        <v>105000</v>
      </c>
      <c r="C807" s="26">
        <f t="shared" ca="1" si="108"/>
        <v>0.81680596990402643</v>
      </c>
      <c r="D807" s="26" t="str">
        <f t="shared" ca="1" si="106"/>
        <v>Win</v>
      </c>
      <c r="E807" s="3">
        <f t="shared" ca="1" si="109"/>
        <v>500</v>
      </c>
      <c r="F807" s="42">
        <f t="shared" si="105"/>
        <v>1.6980723528634889E-78</v>
      </c>
      <c r="G807" s="41">
        <f>SUM(F$11:F807)</f>
        <v>0.99999999999999989</v>
      </c>
    </row>
    <row r="808" spans="1:7" x14ac:dyDescent="0.25">
      <c r="A808" s="1">
        <f t="shared" si="104"/>
        <v>797</v>
      </c>
      <c r="B808" s="3">
        <f t="shared" ca="1" si="107"/>
        <v>105500</v>
      </c>
      <c r="C808" s="26">
        <f t="shared" ca="1" si="108"/>
        <v>0.9098957512437631</v>
      </c>
      <c r="D808" s="26" t="str">
        <f t="shared" ca="1" si="106"/>
        <v>Win</v>
      </c>
      <c r="E808" s="3">
        <f t="shared" ca="1" si="109"/>
        <v>500</v>
      </c>
      <c r="F808" s="42">
        <f t="shared" si="105"/>
        <v>4.5237868433131803E-79</v>
      </c>
      <c r="G808" s="41">
        <f>SUM(F$11:F808)</f>
        <v>0.99999999999999989</v>
      </c>
    </row>
    <row r="809" spans="1:7" x14ac:dyDescent="0.25">
      <c r="A809" s="1">
        <f t="shared" si="104"/>
        <v>798</v>
      </c>
      <c r="B809" s="3">
        <f t="shared" ca="1" si="107"/>
        <v>106000</v>
      </c>
      <c r="C809" s="26">
        <f t="shared" ca="1" si="108"/>
        <v>0.83741308795627534</v>
      </c>
      <c r="D809" s="26" t="str">
        <f t="shared" ca="1" si="106"/>
        <v>Win</v>
      </c>
      <c r="E809" s="3">
        <f t="shared" ca="1" si="109"/>
        <v>500</v>
      </c>
      <c r="F809" s="42">
        <f t="shared" si="105"/>
        <v>1.1977588151200221E-79</v>
      </c>
      <c r="G809" s="41">
        <f>SUM(F$11:F809)</f>
        <v>0.99999999999999989</v>
      </c>
    </row>
    <row r="810" spans="1:7" x14ac:dyDescent="0.25">
      <c r="A810" s="1">
        <f t="shared" si="104"/>
        <v>799</v>
      </c>
      <c r="B810" s="3">
        <f t="shared" ca="1" si="107"/>
        <v>105500</v>
      </c>
      <c r="C810" s="26">
        <f t="shared" ca="1" si="108"/>
        <v>0.38007550310612781</v>
      </c>
      <c r="D810" s="26" t="str">
        <f t="shared" ca="1" si="106"/>
        <v>Lose</v>
      </c>
      <c r="E810" s="3">
        <f t="shared" ca="1" si="109"/>
        <v>-500</v>
      </c>
      <c r="F810" s="42">
        <f t="shared" si="105"/>
        <v>3.1517231522481708E-80</v>
      </c>
      <c r="G810" s="41">
        <f>SUM(F$11:F810)</f>
        <v>0.99999999999999989</v>
      </c>
    </row>
    <row r="811" spans="1:7" x14ac:dyDescent="0.25">
      <c r="A811" s="1">
        <f t="shared" si="104"/>
        <v>800</v>
      </c>
      <c r="B811" s="3">
        <f t="shared" ca="1" si="107"/>
        <v>105000</v>
      </c>
      <c r="C811" s="26">
        <f t="shared" ca="1" si="108"/>
        <v>1.0795484806571887E-2</v>
      </c>
      <c r="D811" s="26" t="str">
        <f t="shared" ca="1" si="106"/>
        <v>Lose</v>
      </c>
      <c r="E811" s="3">
        <f t="shared" ca="1" si="109"/>
        <v>-500</v>
      </c>
      <c r="F811" s="42">
        <f t="shared" si="105"/>
        <v>8.241916845330599E-81</v>
      </c>
      <c r="G811" s="41">
        <f>SUM(F$11:F811)</f>
        <v>0.99999999999999989</v>
      </c>
    </row>
    <row r="812" spans="1:7" x14ac:dyDescent="0.25">
      <c r="A812" s="1">
        <f t="shared" si="104"/>
        <v>801</v>
      </c>
      <c r="B812" s="3">
        <f t="shared" ca="1" si="107"/>
        <v>104500</v>
      </c>
      <c r="C812" s="26">
        <f t="shared" ca="1" si="108"/>
        <v>0.26351624982465915</v>
      </c>
      <c r="D812" s="26" t="str">
        <f t="shared" ca="1" si="106"/>
        <v>Lose</v>
      </c>
      <c r="E812" s="3">
        <f t="shared" ca="1" si="109"/>
        <v>-500</v>
      </c>
      <c r="F812" s="42">
        <f t="shared" si="105"/>
        <v>2.1419030248508254E-81</v>
      </c>
      <c r="G812" s="41">
        <f>SUM(F$11:F812)</f>
        <v>0.99999999999999989</v>
      </c>
    </row>
    <row r="813" spans="1:7" x14ac:dyDescent="0.25">
      <c r="A813" s="1">
        <f t="shared" si="104"/>
        <v>802</v>
      </c>
      <c r="B813" s="3">
        <f t="shared" ca="1" si="107"/>
        <v>104000</v>
      </c>
      <c r="C813" s="26">
        <f t="shared" ca="1" si="108"/>
        <v>0.29678829758214742</v>
      </c>
      <c r="D813" s="26" t="str">
        <f t="shared" ca="1" si="106"/>
        <v>Lose</v>
      </c>
      <c r="E813" s="3">
        <f t="shared" ca="1" si="109"/>
        <v>-500</v>
      </c>
      <c r="F813" s="42">
        <f t="shared" si="105"/>
        <v>5.5316234411958953E-82</v>
      </c>
      <c r="G813" s="41">
        <f>SUM(F$11:F813)</f>
        <v>0.99999999999999989</v>
      </c>
    </row>
    <row r="814" spans="1:7" x14ac:dyDescent="0.25">
      <c r="A814" s="1">
        <f t="shared" si="104"/>
        <v>803</v>
      </c>
      <c r="B814" s="3">
        <f t="shared" ca="1" si="107"/>
        <v>104500</v>
      </c>
      <c r="C814" s="26">
        <f t="shared" ca="1" si="108"/>
        <v>0.69425152052990691</v>
      </c>
      <c r="D814" s="26" t="str">
        <f t="shared" ca="1" si="106"/>
        <v>Win</v>
      </c>
      <c r="E814" s="3">
        <f t="shared" ca="1" si="109"/>
        <v>500</v>
      </c>
      <c r="F814" s="42">
        <f t="shared" si="105"/>
        <v>1.4196338605025808E-82</v>
      </c>
      <c r="G814" s="41">
        <f>SUM(F$11:F814)</f>
        <v>0.99999999999999989</v>
      </c>
    </row>
    <row r="815" spans="1:7" x14ac:dyDescent="0.25">
      <c r="A815" s="1">
        <f t="shared" si="104"/>
        <v>804</v>
      </c>
      <c r="B815" s="3">
        <f t="shared" ca="1" si="107"/>
        <v>104000</v>
      </c>
      <c r="C815" s="26">
        <f t="shared" ca="1" si="108"/>
        <v>0.31749178398000888</v>
      </c>
      <c r="D815" s="26" t="str">
        <f t="shared" ca="1" si="106"/>
        <v>Lose</v>
      </c>
      <c r="E815" s="3">
        <f t="shared" ca="1" si="109"/>
        <v>-500</v>
      </c>
      <c r="F815" s="42">
        <f t="shared" si="105"/>
        <v>3.6204339010226606E-83</v>
      </c>
      <c r="G815" s="41">
        <f>SUM(F$11:F815)</f>
        <v>0.99999999999999989</v>
      </c>
    </row>
    <row r="816" spans="1:7" x14ac:dyDescent="0.25">
      <c r="A816" s="1">
        <f t="shared" si="104"/>
        <v>805</v>
      </c>
      <c r="B816" s="3">
        <f t="shared" ca="1" si="107"/>
        <v>104500</v>
      </c>
      <c r="C816" s="26">
        <f t="shared" ca="1" si="108"/>
        <v>0.98121654605289998</v>
      </c>
      <c r="D816" s="26" t="str">
        <f t="shared" ca="1" si="106"/>
        <v>Win</v>
      </c>
      <c r="E816" s="3">
        <f t="shared" ca="1" si="109"/>
        <v>500</v>
      </c>
      <c r="F816" s="42">
        <f t="shared" si="105"/>
        <v>9.1747641715359424E-84</v>
      </c>
      <c r="G816" s="41">
        <f>SUM(F$11:F816)</f>
        <v>0.99999999999999989</v>
      </c>
    </row>
    <row r="817" spans="1:7" x14ac:dyDescent="0.25">
      <c r="A817" s="1">
        <f t="shared" si="104"/>
        <v>806</v>
      </c>
      <c r="B817" s="3">
        <f t="shared" ca="1" si="107"/>
        <v>105000</v>
      </c>
      <c r="C817" s="26">
        <f t="shared" ca="1" si="108"/>
        <v>0.73086814722161697</v>
      </c>
      <c r="D817" s="26" t="str">
        <f t="shared" ca="1" si="106"/>
        <v>Win</v>
      </c>
      <c r="E817" s="3">
        <f t="shared" ca="1" si="109"/>
        <v>500</v>
      </c>
      <c r="F817" s="42">
        <f t="shared" si="105"/>
        <v>2.3103010504363636E-84</v>
      </c>
      <c r="G817" s="41">
        <f>SUM(F$11:F817)</f>
        <v>0.99999999999999989</v>
      </c>
    </row>
    <row r="818" spans="1:7" x14ac:dyDescent="0.25">
      <c r="A818" s="1">
        <f t="shared" si="104"/>
        <v>807</v>
      </c>
      <c r="B818" s="3">
        <f t="shared" ca="1" si="107"/>
        <v>104500</v>
      </c>
      <c r="C818" s="26">
        <f t="shared" ca="1" si="108"/>
        <v>0.42843921775110205</v>
      </c>
      <c r="D818" s="26" t="str">
        <f t="shared" ca="1" si="106"/>
        <v>Lose</v>
      </c>
      <c r="E818" s="3">
        <f t="shared" ca="1" si="109"/>
        <v>-500</v>
      </c>
      <c r="F818" s="42">
        <f t="shared" si="105"/>
        <v>5.7805726912516021E-85</v>
      </c>
      <c r="G818" s="41">
        <f>SUM(F$11:F818)</f>
        <v>0.99999999999999989</v>
      </c>
    </row>
    <row r="819" spans="1:7" x14ac:dyDescent="0.25">
      <c r="A819" s="1">
        <f t="shared" si="104"/>
        <v>808</v>
      </c>
      <c r="B819" s="3">
        <f t="shared" ca="1" si="107"/>
        <v>105000</v>
      </c>
      <c r="C819" s="26">
        <f t="shared" ca="1" si="108"/>
        <v>0.73339753830081289</v>
      </c>
      <c r="D819" s="26" t="str">
        <f t="shared" ca="1" si="106"/>
        <v>Win</v>
      </c>
      <c r="E819" s="3">
        <f t="shared" ca="1" si="109"/>
        <v>500</v>
      </c>
      <c r="F819" s="42">
        <f t="shared" si="105"/>
        <v>1.4371129773688837E-85</v>
      </c>
      <c r="G819" s="41">
        <f>SUM(F$11:F819)</f>
        <v>0.99999999999999989</v>
      </c>
    </row>
    <row r="820" spans="1:7" x14ac:dyDescent="0.25">
      <c r="A820" s="1">
        <f t="shared" si="104"/>
        <v>809</v>
      </c>
      <c r="B820" s="3">
        <f t="shared" ca="1" si="107"/>
        <v>105500</v>
      </c>
      <c r="C820" s="26">
        <f t="shared" ca="1" si="108"/>
        <v>0.59351186177406168</v>
      </c>
      <c r="D820" s="26" t="str">
        <f t="shared" ca="1" si="106"/>
        <v>Win</v>
      </c>
      <c r="E820" s="3">
        <f t="shared" ca="1" si="109"/>
        <v>500</v>
      </c>
      <c r="F820" s="42">
        <f t="shared" si="105"/>
        <v>3.5499130381160648E-86</v>
      </c>
      <c r="G820" s="41">
        <f>SUM(F$11:F820)</f>
        <v>0.99999999999999989</v>
      </c>
    </row>
    <row r="821" spans="1:7" x14ac:dyDescent="0.25">
      <c r="A821" s="1">
        <f t="shared" si="104"/>
        <v>810</v>
      </c>
      <c r="B821" s="3">
        <f t="shared" ca="1" si="107"/>
        <v>105000</v>
      </c>
      <c r="C821" s="26">
        <f t="shared" ca="1" si="108"/>
        <v>0.24385712056179509</v>
      </c>
      <c r="D821" s="26" t="str">
        <f t="shared" ca="1" si="106"/>
        <v>Lose</v>
      </c>
      <c r="E821" s="3">
        <f t="shared" ca="1" si="109"/>
        <v>-500</v>
      </c>
      <c r="F821" s="42">
        <f t="shared" si="105"/>
        <v>8.7124471918090219E-87</v>
      </c>
      <c r="G821" s="41">
        <f>SUM(F$11:F821)</f>
        <v>0.99999999999999989</v>
      </c>
    </row>
    <row r="822" spans="1:7" x14ac:dyDescent="0.25">
      <c r="A822" s="1">
        <f t="shared" si="104"/>
        <v>811</v>
      </c>
      <c r="B822" s="3">
        <f t="shared" ca="1" si="107"/>
        <v>104500</v>
      </c>
      <c r="C822" s="26">
        <f t="shared" ca="1" si="108"/>
        <v>1.8370718408005859E-2</v>
      </c>
      <c r="D822" s="26" t="str">
        <f t="shared" ca="1" si="106"/>
        <v>Lose</v>
      </c>
      <c r="E822" s="3">
        <f t="shared" ca="1" si="109"/>
        <v>-500</v>
      </c>
      <c r="F822" s="42">
        <f t="shared" si="105"/>
        <v>2.1244523840214397E-87</v>
      </c>
      <c r="G822" s="41">
        <f>SUM(F$11:F822)</f>
        <v>0.99999999999999989</v>
      </c>
    </row>
    <row r="823" spans="1:7" x14ac:dyDescent="0.25">
      <c r="A823" s="1">
        <f t="shared" si="104"/>
        <v>812</v>
      </c>
      <c r="B823" s="3">
        <f t="shared" ca="1" si="107"/>
        <v>105000</v>
      </c>
      <c r="C823" s="26">
        <f t="shared" ca="1" si="108"/>
        <v>0.75698435584665391</v>
      </c>
      <c r="D823" s="26" t="str">
        <f t="shared" ca="1" si="106"/>
        <v>Win</v>
      </c>
      <c r="E823" s="3">
        <f t="shared" ca="1" si="109"/>
        <v>500</v>
      </c>
      <c r="F823" s="42">
        <f t="shared" si="105"/>
        <v>5.1466765179408608E-88</v>
      </c>
      <c r="G823" s="41">
        <f>SUM(F$11:F823)</f>
        <v>0.99999999999999989</v>
      </c>
    </row>
    <row r="824" spans="1:7" x14ac:dyDescent="0.25">
      <c r="A824" s="1">
        <f t="shared" si="104"/>
        <v>813</v>
      </c>
      <c r="B824" s="3">
        <f t="shared" ca="1" si="107"/>
        <v>104500</v>
      </c>
      <c r="C824" s="26">
        <f t="shared" ca="1" si="108"/>
        <v>0.17408526603513019</v>
      </c>
      <c r="D824" s="26" t="str">
        <f t="shared" ca="1" si="106"/>
        <v>Lose</v>
      </c>
      <c r="E824" s="3">
        <f t="shared" ca="1" si="109"/>
        <v>-500</v>
      </c>
      <c r="F824" s="42">
        <f t="shared" si="105"/>
        <v>1.2387060886615849E-88</v>
      </c>
      <c r="G824" s="41">
        <f>SUM(F$11:F824)</f>
        <v>0.99999999999999989</v>
      </c>
    </row>
    <row r="825" spans="1:7" x14ac:dyDescent="0.25">
      <c r="A825" s="1">
        <f t="shared" si="104"/>
        <v>814</v>
      </c>
      <c r="B825" s="3">
        <f t="shared" ca="1" si="107"/>
        <v>104000</v>
      </c>
      <c r="C825" s="26">
        <f t="shared" ca="1" si="108"/>
        <v>0.14838168900489335</v>
      </c>
      <c r="D825" s="26" t="str">
        <f t="shared" ca="1" si="106"/>
        <v>Lose</v>
      </c>
      <c r="E825" s="3">
        <f t="shared" ca="1" si="109"/>
        <v>-500</v>
      </c>
      <c r="F825" s="42">
        <f t="shared" si="105"/>
        <v>2.9618261965515797E-89</v>
      </c>
      <c r="G825" s="41">
        <f>SUM(F$11:F825)</f>
        <v>0.99999999999999989</v>
      </c>
    </row>
    <row r="826" spans="1:7" x14ac:dyDescent="0.25">
      <c r="A826" s="1">
        <f t="shared" si="104"/>
        <v>815</v>
      </c>
      <c r="B826" s="3">
        <f t="shared" ca="1" si="107"/>
        <v>103500</v>
      </c>
      <c r="C826" s="26">
        <f t="shared" ca="1" si="108"/>
        <v>0.1155660424327053</v>
      </c>
      <c r="D826" s="26" t="str">
        <f t="shared" ca="1" si="106"/>
        <v>Lose</v>
      </c>
      <c r="E826" s="3">
        <f t="shared" ca="1" si="109"/>
        <v>-500</v>
      </c>
      <c r="F826" s="42">
        <f t="shared" si="105"/>
        <v>7.0354033555749113E-90</v>
      </c>
      <c r="G826" s="41">
        <f>SUM(F$11:F826)</f>
        <v>0.99999999999999989</v>
      </c>
    </row>
    <row r="827" spans="1:7" x14ac:dyDescent="0.25">
      <c r="A827" s="1">
        <f t="shared" si="104"/>
        <v>816</v>
      </c>
      <c r="B827" s="3">
        <f t="shared" ca="1" si="107"/>
        <v>104000</v>
      </c>
      <c r="C827" s="26">
        <f t="shared" ca="1" si="108"/>
        <v>0.80311344589670142</v>
      </c>
      <c r="D827" s="26" t="str">
        <f t="shared" ca="1" si="106"/>
        <v>Win</v>
      </c>
      <c r="E827" s="3">
        <f t="shared" ca="1" si="109"/>
        <v>500</v>
      </c>
      <c r="F827" s="42">
        <f t="shared" si="105"/>
        <v>1.6601398224251504E-90</v>
      </c>
      <c r="G827" s="41">
        <f>SUM(F$11:F827)</f>
        <v>0.99999999999999989</v>
      </c>
    </row>
    <row r="828" spans="1:7" x14ac:dyDescent="0.25">
      <c r="A828" s="1">
        <f t="shared" ref="A828:A891" si="110">A827+1</f>
        <v>817</v>
      </c>
      <c r="B828" s="3">
        <f t="shared" ca="1" si="107"/>
        <v>103500</v>
      </c>
      <c r="C828" s="26">
        <f t="shared" ca="1" si="108"/>
        <v>0.36283794793648172</v>
      </c>
      <c r="D828" s="26" t="str">
        <f t="shared" ca="1" si="106"/>
        <v>Lose</v>
      </c>
      <c r="E828" s="3">
        <f t="shared" ca="1" si="109"/>
        <v>-500</v>
      </c>
      <c r="F828" s="42">
        <f t="shared" si="105"/>
        <v>3.891477554427188E-91</v>
      </c>
      <c r="G828" s="41">
        <f>SUM(F$11:F828)</f>
        <v>0.99999999999999989</v>
      </c>
    </row>
    <row r="829" spans="1:7" x14ac:dyDescent="0.25">
      <c r="A829" s="1">
        <f t="shared" si="110"/>
        <v>818</v>
      </c>
      <c r="B829" s="3">
        <f t="shared" ca="1" si="107"/>
        <v>103000</v>
      </c>
      <c r="C829" s="26">
        <f t="shared" ca="1" si="108"/>
        <v>0.25705999686174241</v>
      </c>
      <c r="D829" s="26" t="str">
        <f t="shared" ca="1" si="106"/>
        <v>Lose</v>
      </c>
      <c r="E829" s="3">
        <f t="shared" ca="1" si="109"/>
        <v>-500</v>
      </c>
      <c r="F829" s="42">
        <f t="shared" si="105"/>
        <v>9.0612145141130022E-92</v>
      </c>
      <c r="G829" s="41">
        <f>SUM(F$11:F829)</f>
        <v>0.99999999999999989</v>
      </c>
    </row>
    <row r="830" spans="1:7" x14ac:dyDescent="0.25">
      <c r="A830" s="1">
        <f t="shared" si="110"/>
        <v>819</v>
      </c>
      <c r="B830" s="3">
        <f t="shared" ca="1" si="107"/>
        <v>103500</v>
      </c>
      <c r="C830" s="26">
        <f t="shared" ca="1" si="108"/>
        <v>0.69562257644181869</v>
      </c>
      <c r="D830" s="26" t="str">
        <f t="shared" ca="1" si="106"/>
        <v>Win</v>
      </c>
      <c r="E830" s="3">
        <f t="shared" ca="1" si="109"/>
        <v>500</v>
      </c>
      <c r="F830" s="42">
        <f t="shared" si="105"/>
        <v>2.0957911121078252E-92</v>
      </c>
      <c r="G830" s="41">
        <f>SUM(F$11:F830)</f>
        <v>0.99999999999999989</v>
      </c>
    </row>
    <row r="831" spans="1:7" x14ac:dyDescent="0.25">
      <c r="A831" s="1">
        <f t="shared" si="110"/>
        <v>820</v>
      </c>
      <c r="B831" s="3">
        <f t="shared" ca="1" si="107"/>
        <v>103000</v>
      </c>
      <c r="C831" s="26">
        <f t="shared" ca="1" si="108"/>
        <v>0.41782526888868277</v>
      </c>
      <c r="D831" s="26" t="str">
        <f t="shared" ca="1" si="106"/>
        <v>Lose</v>
      </c>
      <c r="E831" s="3">
        <f t="shared" ca="1" si="109"/>
        <v>-500</v>
      </c>
      <c r="F831" s="42">
        <f t="shared" si="105"/>
        <v>4.8148949118634896E-93</v>
      </c>
      <c r="G831" s="41">
        <f>SUM(F$11:F831)</f>
        <v>0.99999999999999989</v>
      </c>
    </row>
    <row r="832" spans="1:7" x14ac:dyDescent="0.25">
      <c r="A832" s="1">
        <f t="shared" si="110"/>
        <v>821</v>
      </c>
      <c r="B832" s="3">
        <f t="shared" ca="1" si="107"/>
        <v>103500</v>
      </c>
      <c r="C832" s="26">
        <f t="shared" ca="1" si="108"/>
        <v>0.80446093697627774</v>
      </c>
      <c r="D832" s="26" t="str">
        <f t="shared" ca="1" si="106"/>
        <v>Win</v>
      </c>
      <c r="E832" s="3">
        <f t="shared" ca="1" si="109"/>
        <v>500</v>
      </c>
      <c r="F832" s="42">
        <f t="shared" si="105"/>
        <v>1.0987281635364126E-93</v>
      </c>
      <c r="G832" s="41">
        <f>SUM(F$11:F832)</f>
        <v>0.99999999999999989</v>
      </c>
    </row>
    <row r="833" spans="1:7" x14ac:dyDescent="0.25">
      <c r="A833" s="1">
        <f t="shared" si="110"/>
        <v>822</v>
      </c>
      <c r="B833" s="3">
        <f t="shared" ca="1" si="107"/>
        <v>104000</v>
      </c>
      <c r="C833" s="26">
        <f t="shared" ca="1" si="108"/>
        <v>0.93302281697125755</v>
      </c>
      <c r="D833" s="26" t="str">
        <f t="shared" ca="1" si="106"/>
        <v>Win</v>
      </c>
      <c r="E833" s="3">
        <f t="shared" ca="1" si="109"/>
        <v>500</v>
      </c>
      <c r="F833" s="42">
        <f t="shared" si="105"/>
        <v>2.4902650094154478E-94</v>
      </c>
      <c r="G833" s="41">
        <f>SUM(F$11:F833)</f>
        <v>0.99999999999999989</v>
      </c>
    </row>
    <row r="834" spans="1:7" x14ac:dyDescent="0.25">
      <c r="A834" s="1">
        <f t="shared" si="110"/>
        <v>823</v>
      </c>
      <c r="B834" s="3">
        <f t="shared" ca="1" si="107"/>
        <v>104500</v>
      </c>
      <c r="C834" s="26">
        <f t="shared" ca="1" si="108"/>
        <v>0.69351060805704634</v>
      </c>
      <c r="D834" s="26" t="str">
        <f t="shared" ca="1" si="106"/>
        <v>Win</v>
      </c>
      <c r="E834" s="3">
        <f t="shared" ca="1" si="109"/>
        <v>500</v>
      </c>
      <c r="F834" s="42">
        <f t="shared" si="105"/>
        <v>5.6058287885225252E-95</v>
      </c>
      <c r="G834" s="41">
        <f>SUM(F$11:F834)</f>
        <v>0.99999999999999989</v>
      </c>
    </row>
    <row r="835" spans="1:7" x14ac:dyDescent="0.25">
      <c r="A835" s="1">
        <f t="shared" si="110"/>
        <v>824</v>
      </c>
      <c r="B835" s="3">
        <f t="shared" ca="1" si="107"/>
        <v>104000</v>
      </c>
      <c r="C835" s="26">
        <f t="shared" ca="1" si="108"/>
        <v>8.6425414380237986E-2</v>
      </c>
      <c r="D835" s="26" t="str">
        <f t="shared" ca="1" si="106"/>
        <v>Lose</v>
      </c>
      <c r="E835" s="3">
        <f t="shared" ca="1" si="109"/>
        <v>-500</v>
      </c>
      <c r="F835" s="42">
        <f t="shared" si="105"/>
        <v>1.2533142578262389E-95</v>
      </c>
      <c r="G835" s="41">
        <f>SUM(F$11:F835)</f>
        <v>0.99999999999999989</v>
      </c>
    </row>
    <row r="836" spans="1:7" x14ac:dyDescent="0.25">
      <c r="A836" s="1">
        <f t="shared" si="110"/>
        <v>825</v>
      </c>
      <c r="B836" s="3">
        <f t="shared" ca="1" si="107"/>
        <v>103500</v>
      </c>
      <c r="C836" s="26">
        <f t="shared" ca="1" si="108"/>
        <v>0.29206838935241342</v>
      </c>
      <c r="D836" s="26" t="str">
        <f t="shared" ca="1" si="106"/>
        <v>Lose</v>
      </c>
      <c r="E836" s="3">
        <f t="shared" ca="1" si="109"/>
        <v>-500</v>
      </c>
      <c r="F836" s="42">
        <f t="shared" si="105"/>
        <v>2.7828692092140837E-96</v>
      </c>
      <c r="G836" s="41">
        <f>SUM(F$11:F836)</f>
        <v>0.99999999999999989</v>
      </c>
    </row>
    <row r="837" spans="1:7" x14ac:dyDescent="0.25">
      <c r="A837" s="1">
        <f t="shared" si="110"/>
        <v>826</v>
      </c>
      <c r="B837" s="3">
        <f t="shared" ca="1" si="107"/>
        <v>104000</v>
      </c>
      <c r="C837" s="26">
        <f t="shared" ca="1" si="108"/>
        <v>0.95824404816748832</v>
      </c>
      <c r="D837" s="26" t="str">
        <f t="shared" ca="1" si="106"/>
        <v>Win</v>
      </c>
      <c r="E837" s="3">
        <f t="shared" ca="1" si="109"/>
        <v>500</v>
      </c>
      <c r="F837" s="42">
        <f t="shared" si="105"/>
        <v>6.1365587024355266E-97</v>
      </c>
      <c r="G837" s="41">
        <f>SUM(F$11:F837)</f>
        <v>0.99999999999999989</v>
      </c>
    </row>
    <row r="838" spans="1:7" x14ac:dyDescent="0.25">
      <c r="A838" s="1">
        <f t="shared" si="110"/>
        <v>827</v>
      </c>
      <c r="B838" s="3">
        <f t="shared" ca="1" si="107"/>
        <v>104500</v>
      </c>
      <c r="C838" s="26">
        <f t="shared" ca="1" si="108"/>
        <v>0.5766383870959888</v>
      </c>
      <c r="D838" s="26" t="str">
        <f t="shared" ca="1" si="106"/>
        <v>Win</v>
      </c>
      <c r="E838" s="3">
        <f t="shared" ca="1" si="109"/>
        <v>500</v>
      </c>
      <c r="F838" s="42">
        <f t="shared" si="105"/>
        <v>1.3438250357922707E-97</v>
      </c>
      <c r="G838" s="41">
        <f>SUM(F$11:F838)</f>
        <v>0.99999999999999989</v>
      </c>
    </row>
    <row r="839" spans="1:7" x14ac:dyDescent="0.25">
      <c r="A839" s="1">
        <f t="shared" si="110"/>
        <v>828</v>
      </c>
      <c r="B839" s="3">
        <f t="shared" ca="1" si="107"/>
        <v>104000</v>
      </c>
      <c r="C839" s="26">
        <f t="shared" ca="1" si="108"/>
        <v>0.44844372800653909</v>
      </c>
      <c r="D839" s="26" t="str">
        <f t="shared" ca="1" si="106"/>
        <v>Lose</v>
      </c>
      <c r="E839" s="3">
        <f t="shared" ca="1" si="109"/>
        <v>-500</v>
      </c>
      <c r="F839" s="42">
        <f t="shared" si="105"/>
        <v>2.922352432908229E-98</v>
      </c>
      <c r="G839" s="41">
        <f>SUM(F$11:F839)</f>
        <v>0.99999999999999989</v>
      </c>
    </row>
    <row r="840" spans="1:7" x14ac:dyDescent="0.25">
      <c r="A840" s="1">
        <f t="shared" si="110"/>
        <v>829</v>
      </c>
      <c r="B840" s="3">
        <f t="shared" ca="1" si="107"/>
        <v>104500</v>
      </c>
      <c r="C840" s="26">
        <f t="shared" ca="1" si="108"/>
        <v>0.80011797365741721</v>
      </c>
      <c r="D840" s="26" t="str">
        <f t="shared" ca="1" si="106"/>
        <v>Win</v>
      </c>
      <c r="E840" s="3">
        <f t="shared" ca="1" si="109"/>
        <v>500</v>
      </c>
      <c r="F840" s="42">
        <f t="shared" si="105"/>
        <v>6.3107445758281995E-99</v>
      </c>
      <c r="G840" s="41">
        <f>SUM(F$11:F840)</f>
        <v>0.99999999999999989</v>
      </c>
    </row>
    <row r="841" spans="1:7" x14ac:dyDescent="0.25">
      <c r="A841" s="1">
        <f t="shared" si="110"/>
        <v>830</v>
      </c>
      <c r="B841" s="3">
        <f t="shared" ca="1" si="107"/>
        <v>105000</v>
      </c>
      <c r="C841" s="26">
        <f t="shared" ca="1" si="108"/>
        <v>0.51689656574675746</v>
      </c>
      <c r="D841" s="26" t="str">
        <f t="shared" ca="1" si="106"/>
        <v>Win</v>
      </c>
      <c r="E841" s="3">
        <f t="shared" ca="1" si="109"/>
        <v>500</v>
      </c>
      <c r="F841" s="42">
        <f t="shared" si="105"/>
        <v>1.3532334262551419E-99</v>
      </c>
      <c r="G841" s="41">
        <f>SUM(F$11:F841)</f>
        <v>0.99999999999999989</v>
      </c>
    </row>
    <row r="842" spans="1:7" x14ac:dyDescent="0.25">
      <c r="A842" s="1">
        <f t="shared" si="110"/>
        <v>831</v>
      </c>
      <c r="B842" s="3">
        <f t="shared" ca="1" si="107"/>
        <v>104500</v>
      </c>
      <c r="C842" s="26">
        <f t="shared" ca="1" si="108"/>
        <v>0.14951940282768506</v>
      </c>
      <c r="D842" s="26" t="str">
        <f t="shared" ca="1" si="106"/>
        <v>Lose</v>
      </c>
      <c r="E842" s="3">
        <f t="shared" ca="1" si="109"/>
        <v>-500</v>
      </c>
      <c r="F842" s="42">
        <f t="shared" si="105"/>
        <v>2.8813413408069642E-100</v>
      </c>
      <c r="G842" s="41">
        <f>SUM(F$11:F842)</f>
        <v>0.99999999999999989</v>
      </c>
    </row>
    <row r="843" spans="1:7" x14ac:dyDescent="0.25">
      <c r="A843" s="1">
        <f t="shared" si="110"/>
        <v>832</v>
      </c>
      <c r="B843" s="3">
        <f t="shared" ca="1" si="107"/>
        <v>104000</v>
      </c>
      <c r="C843" s="26">
        <f t="shared" ca="1" si="108"/>
        <v>0.13234469870478716</v>
      </c>
      <c r="D843" s="26" t="str">
        <f t="shared" ca="1" si="106"/>
        <v>Lose</v>
      </c>
      <c r="E843" s="3">
        <f t="shared" ca="1" si="109"/>
        <v>-500</v>
      </c>
      <c r="F843" s="42">
        <f t="shared" si="105"/>
        <v>6.091611316821276E-101</v>
      </c>
      <c r="G843" s="41">
        <f>SUM(F$11:F843)</f>
        <v>0.99999999999999989</v>
      </c>
    </row>
    <row r="844" spans="1:7" x14ac:dyDescent="0.25">
      <c r="A844" s="1">
        <f t="shared" si="110"/>
        <v>833</v>
      </c>
      <c r="B844" s="3">
        <f t="shared" ca="1" si="107"/>
        <v>104500</v>
      </c>
      <c r="C844" s="26">
        <f t="shared" ca="1" si="108"/>
        <v>0.54505914569958869</v>
      </c>
      <c r="D844" s="26" t="str">
        <f t="shared" ca="1" si="106"/>
        <v>Win</v>
      </c>
      <c r="E844" s="3">
        <f t="shared" ca="1" si="109"/>
        <v>500</v>
      </c>
      <c r="F844" s="42">
        <f t="shared" ref="F844:F907" si="111">_xlfn.BINOM.DIST(A844,$A$1011,$B$1,FALSE)</f>
        <v>1.2787055825396949E-101</v>
      </c>
      <c r="G844" s="41">
        <f>SUM(F$11:F844)</f>
        <v>0.99999999999999989</v>
      </c>
    </row>
    <row r="845" spans="1:7" x14ac:dyDescent="0.25">
      <c r="A845" s="1">
        <f t="shared" si="110"/>
        <v>834</v>
      </c>
      <c r="B845" s="3">
        <f t="shared" ca="1" si="107"/>
        <v>104000</v>
      </c>
      <c r="C845" s="26">
        <f t="shared" ca="1" si="108"/>
        <v>0.203000985268872</v>
      </c>
      <c r="D845" s="26" t="str">
        <f t="shared" ref="D845:D908" ca="1" si="112">IF(C845&gt;$B$2,"Win","Lose")</f>
        <v>Lose</v>
      </c>
      <c r="E845" s="3">
        <f t="shared" ca="1" si="109"/>
        <v>-500</v>
      </c>
      <c r="F845" s="42">
        <f t="shared" si="111"/>
        <v>2.664986895338553E-102</v>
      </c>
      <c r="G845" s="41">
        <f>SUM(F$11:F845)</f>
        <v>0.99999999999999989</v>
      </c>
    </row>
    <row r="846" spans="1:7" x14ac:dyDescent="0.25">
      <c r="A846" s="1">
        <f t="shared" si="110"/>
        <v>835</v>
      </c>
      <c r="B846" s="3">
        <f t="shared" ref="B846:B909" ca="1" si="113">B845+E846</f>
        <v>103500</v>
      </c>
      <c r="C846" s="26">
        <f t="shared" ref="C846:C909" ca="1" si="114">RAND()</f>
        <v>0.25652926454129421</v>
      </c>
      <c r="D846" s="26" t="str">
        <f t="shared" ca="1" si="112"/>
        <v>Lose</v>
      </c>
      <c r="E846" s="3">
        <f t="shared" ref="E846:E909" ca="1" si="115">IF(D846="Win",$B$4,-$B$4)</f>
        <v>-500</v>
      </c>
      <c r="F846" s="42">
        <f t="shared" si="111"/>
        <v>5.5143050362794048E-103</v>
      </c>
      <c r="G846" s="41">
        <f>SUM(F$11:F846)</f>
        <v>0.99999999999999989</v>
      </c>
    </row>
    <row r="847" spans="1:7" x14ac:dyDescent="0.25">
      <c r="A847" s="1">
        <f t="shared" si="110"/>
        <v>836</v>
      </c>
      <c r="B847" s="3">
        <f t="shared" ca="1" si="113"/>
        <v>104000</v>
      </c>
      <c r="C847" s="26">
        <f t="shared" ca="1" si="114"/>
        <v>0.55990533794924091</v>
      </c>
      <c r="D847" s="26" t="str">
        <f t="shared" ca="1" si="112"/>
        <v>Win</v>
      </c>
      <c r="E847" s="3">
        <f t="shared" ca="1" si="115"/>
        <v>500</v>
      </c>
      <c r="F847" s="42">
        <f t="shared" si="111"/>
        <v>1.1327721140584558E-103</v>
      </c>
      <c r="G847" s="41">
        <f>SUM(F$11:F847)</f>
        <v>0.99999999999999989</v>
      </c>
    </row>
    <row r="848" spans="1:7" x14ac:dyDescent="0.25">
      <c r="A848" s="1">
        <f t="shared" si="110"/>
        <v>837</v>
      </c>
      <c r="B848" s="3">
        <f t="shared" ca="1" si="113"/>
        <v>104500</v>
      </c>
      <c r="C848" s="26">
        <f t="shared" ca="1" si="114"/>
        <v>0.94245835396237088</v>
      </c>
      <c r="D848" s="26" t="str">
        <f t="shared" ca="1" si="112"/>
        <v>Win</v>
      </c>
      <c r="E848" s="3">
        <f t="shared" ca="1" si="115"/>
        <v>500</v>
      </c>
      <c r="F848" s="42">
        <f t="shared" si="111"/>
        <v>2.3101226347706389E-104</v>
      </c>
      <c r="G848" s="41">
        <f>SUM(F$11:F848)</f>
        <v>0.99999999999999989</v>
      </c>
    </row>
    <row r="849" spans="1:7" x14ac:dyDescent="0.25">
      <c r="A849" s="1">
        <f t="shared" si="110"/>
        <v>838</v>
      </c>
      <c r="B849" s="3">
        <f t="shared" ca="1" si="113"/>
        <v>105000</v>
      </c>
      <c r="C849" s="26">
        <f t="shared" ca="1" si="114"/>
        <v>0.74414560469979163</v>
      </c>
      <c r="D849" s="26" t="str">
        <f t="shared" ca="1" si="112"/>
        <v>Win</v>
      </c>
      <c r="E849" s="3">
        <f t="shared" ca="1" si="115"/>
        <v>500</v>
      </c>
      <c r="F849" s="42">
        <f t="shared" si="111"/>
        <v>4.6768422051650248E-105</v>
      </c>
      <c r="G849" s="41">
        <f>SUM(F$11:F849)</f>
        <v>0.99999999999999989</v>
      </c>
    </row>
    <row r="850" spans="1:7" x14ac:dyDescent="0.25">
      <c r="A850" s="1">
        <f t="shared" si="110"/>
        <v>839</v>
      </c>
      <c r="B850" s="3">
        <f t="shared" ca="1" si="113"/>
        <v>105500</v>
      </c>
      <c r="C850" s="26">
        <f t="shared" ca="1" si="114"/>
        <v>0.96449102470901549</v>
      </c>
      <c r="D850" s="26" t="str">
        <f t="shared" ca="1" si="112"/>
        <v>Win</v>
      </c>
      <c r="E850" s="3">
        <f t="shared" ca="1" si="115"/>
        <v>500</v>
      </c>
      <c r="F850" s="42">
        <f t="shared" si="111"/>
        <v>9.3989614212921824E-106</v>
      </c>
      <c r="G850" s="41">
        <f>SUM(F$11:F850)</f>
        <v>0.99999999999999989</v>
      </c>
    </row>
    <row r="851" spans="1:7" x14ac:dyDescent="0.25">
      <c r="A851" s="1">
        <f t="shared" si="110"/>
        <v>840</v>
      </c>
      <c r="B851" s="3">
        <f t="shared" ca="1" si="113"/>
        <v>105000</v>
      </c>
      <c r="C851" s="26">
        <f t="shared" ca="1" si="114"/>
        <v>0.41732147047835466</v>
      </c>
      <c r="D851" s="26" t="str">
        <f t="shared" ca="1" si="112"/>
        <v>Lose</v>
      </c>
      <c r="E851" s="3">
        <f t="shared" ca="1" si="115"/>
        <v>-500</v>
      </c>
      <c r="F851" s="42">
        <f t="shared" si="111"/>
        <v>1.8749968957781309E-106</v>
      </c>
      <c r="G851" s="41">
        <f>SUM(F$11:F851)</f>
        <v>0.99999999999999989</v>
      </c>
    </row>
    <row r="852" spans="1:7" x14ac:dyDescent="0.25">
      <c r="A852" s="1">
        <f t="shared" si="110"/>
        <v>841</v>
      </c>
      <c r="B852" s="3">
        <f t="shared" ca="1" si="113"/>
        <v>104500</v>
      </c>
      <c r="C852" s="26">
        <f t="shared" ca="1" si="114"/>
        <v>0.46496689815015424</v>
      </c>
      <c r="D852" s="26" t="str">
        <f t="shared" ca="1" si="112"/>
        <v>Lose</v>
      </c>
      <c r="E852" s="3">
        <f t="shared" ca="1" si="115"/>
        <v>-500</v>
      </c>
      <c r="F852" s="42">
        <f t="shared" si="111"/>
        <v>3.7127750417505755E-107</v>
      </c>
      <c r="G852" s="41">
        <f>SUM(F$11:F852)</f>
        <v>0.99999999999999989</v>
      </c>
    </row>
    <row r="853" spans="1:7" x14ac:dyDescent="0.25">
      <c r="A853" s="1">
        <f t="shared" si="110"/>
        <v>842</v>
      </c>
      <c r="B853" s="3">
        <f t="shared" ca="1" si="113"/>
        <v>105000</v>
      </c>
      <c r="C853" s="26">
        <f t="shared" ca="1" si="114"/>
        <v>0.89559263839106407</v>
      </c>
      <c r="D853" s="26" t="str">
        <f t="shared" ca="1" si="112"/>
        <v>Win</v>
      </c>
      <c r="E853" s="3">
        <f t="shared" ca="1" si="115"/>
        <v>500</v>
      </c>
      <c r="F853" s="42">
        <f t="shared" si="111"/>
        <v>7.2972254625903442E-108</v>
      </c>
      <c r="G853" s="41">
        <f>SUM(F$11:F853)</f>
        <v>0.99999999999999989</v>
      </c>
    </row>
    <row r="854" spans="1:7" x14ac:dyDescent="0.25">
      <c r="A854" s="1">
        <f t="shared" si="110"/>
        <v>843</v>
      </c>
      <c r="B854" s="3">
        <f t="shared" ca="1" si="113"/>
        <v>104500</v>
      </c>
      <c r="C854" s="26">
        <f t="shared" ca="1" si="114"/>
        <v>8.0678287616656963E-2</v>
      </c>
      <c r="D854" s="26" t="str">
        <f t="shared" ca="1" si="112"/>
        <v>Lose</v>
      </c>
      <c r="E854" s="3">
        <f t="shared" ca="1" si="115"/>
        <v>-500</v>
      </c>
      <c r="F854" s="42">
        <f t="shared" si="111"/>
        <v>1.4235127890564551E-108</v>
      </c>
      <c r="G854" s="41">
        <f>SUM(F$11:F854)</f>
        <v>0.99999999999999989</v>
      </c>
    </row>
    <row r="855" spans="1:7" x14ac:dyDescent="0.25">
      <c r="A855" s="1">
        <f t="shared" si="110"/>
        <v>844</v>
      </c>
      <c r="B855" s="3">
        <f t="shared" ca="1" si="113"/>
        <v>104000</v>
      </c>
      <c r="C855" s="26">
        <f t="shared" ca="1" si="114"/>
        <v>0.40133532349571155</v>
      </c>
      <c r="D855" s="26" t="str">
        <f t="shared" ca="1" si="112"/>
        <v>Lose</v>
      </c>
      <c r="E855" s="3">
        <f t="shared" ca="1" si="115"/>
        <v>-500</v>
      </c>
      <c r="F855" s="42">
        <f t="shared" si="111"/>
        <v>2.7560854294358139E-109</v>
      </c>
      <c r="G855" s="41">
        <f>SUM(F$11:F855)</f>
        <v>0.99999999999999989</v>
      </c>
    </row>
    <row r="856" spans="1:7" x14ac:dyDescent="0.25">
      <c r="A856" s="1">
        <f t="shared" si="110"/>
        <v>845</v>
      </c>
      <c r="B856" s="3">
        <f t="shared" ca="1" si="113"/>
        <v>103500</v>
      </c>
      <c r="C856" s="26">
        <f t="shared" ca="1" si="114"/>
        <v>0.3494895232630234</v>
      </c>
      <c r="D856" s="26" t="str">
        <f t="shared" ca="1" si="112"/>
        <v>Lose</v>
      </c>
      <c r="E856" s="3">
        <f t="shared" ca="1" si="115"/>
        <v>-500</v>
      </c>
      <c r="F856" s="42">
        <f t="shared" si="111"/>
        <v>5.2958376226516023E-110</v>
      </c>
      <c r="G856" s="41">
        <f>SUM(F$11:F856)</f>
        <v>0.99999999999999989</v>
      </c>
    </row>
    <row r="857" spans="1:7" x14ac:dyDescent="0.25">
      <c r="A857" s="1">
        <f t="shared" si="110"/>
        <v>846</v>
      </c>
      <c r="B857" s="3">
        <f t="shared" ca="1" si="113"/>
        <v>103000</v>
      </c>
      <c r="C857" s="26">
        <f t="shared" ca="1" si="114"/>
        <v>0.27962458776943877</v>
      </c>
      <c r="D857" s="26" t="str">
        <f t="shared" ca="1" si="112"/>
        <v>Lose</v>
      </c>
      <c r="E857" s="3">
        <f t="shared" ca="1" si="115"/>
        <v>-500</v>
      </c>
      <c r="F857" s="42">
        <f t="shared" si="111"/>
        <v>1.0098807450923999E-110</v>
      </c>
      <c r="G857" s="41">
        <f>SUM(F$11:F857)</f>
        <v>0.99999999999999989</v>
      </c>
    </row>
    <row r="858" spans="1:7" x14ac:dyDescent="0.25">
      <c r="A858" s="1">
        <f t="shared" si="110"/>
        <v>847</v>
      </c>
      <c r="B858" s="3">
        <f t="shared" ca="1" si="113"/>
        <v>102500</v>
      </c>
      <c r="C858" s="26">
        <f t="shared" ca="1" si="114"/>
        <v>0.18099912602326729</v>
      </c>
      <c r="D858" s="26" t="str">
        <f t="shared" ca="1" si="112"/>
        <v>Lose</v>
      </c>
      <c r="E858" s="3">
        <f t="shared" ca="1" si="115"/>
        <v>-500</v>
      </c>
      <c r="F858" s="42">
        <f t="shared" si="111"/>
        <v>1.9110915769838407E-111</v>
      </c>
      <c r="G858" s="41">
        <f>SUM(F$11:F858)</f>
        <v>0.99999999999999989</v>
      </c>
    </row>
    <row r="859" spans="1:7" x14ac:dyDescent="0.25">
      <c r="A859" s="1">
        <f t="shared" si="110"/>
        <v>848</v>
      </c>
      <c r="B859" s="3">
        <f t="shared" ca="1" si="113"/>
        <v>103000</v>
      </c>
      <c r="C859" s="26">
        <f t="shared" ca="1" si="114"/>
        <v>0.78532353322362913</v>
      </c>
      <c r="D859" s="26" t="str">
        <f t="shared" ca="1" si="112"/>
        <v>Win</v>
      </c>
      <c r="E859" s="3">
        <f t="shared" ca="1" si="115"/>
        <v>500</v>
      </c>
      <c r="F859" s="42">
        <f t="shared" si="111"/>
        <v>3.5888158392387444E-112</v>
      </c>
      <c r="G859" s="41">
        <f>SUM(F$11:F859)</f>
        <v>0.99999999999999989</v>
      </c>
    </row>
    <row r="860" spans="1:7" x14ac:dyDescent="0.25">
      <c r="A860" s="1">
        <f t="shared" si="110"/>
        <v>849</v>
      </c>
      <c r="B860" s="3">
        <f t="shared" ca="1" si="113"/>
        <v>102500</v>
      </c>
      <c r="C860" s="26">
        <f t="shared" ca="1" si="114"/>
        <v>3.1587717997344389E-2</v>
      </c>
      <c r="D860" s="26" t="str">
        <f t="shared" ca="1" si="112"/>
        <v>Lose</v>
      </c>
      <c r="E860" s="3">
        <f t="shared" ca="1" si="115"/>
        <v>-500</v>
      </c>
      <c r="F860" s="42">
        <f t="shared" si="111"/>
        <v>6.6874595288046838E-113</v>
      </c>
      <c r="G860" s="41">
        <f>SUM(F$11:F860)</f>
        <v>0.99999999999999989</v>
      </c>
    </row>
    <row r="861" spans="1:7" x14ac:dyDescent="0.25">
      <c r="A861" s="1">
        <f t="shared" si="110"/>
        <v>850</v>
      </c>
      <c r="B861" s="3">
        <f t="shared" ca="1" si="113"/>
        <v>102000</v>
      </c>
      <c r="C861" s="26">
        <f t="shared" ca="1" si="114"/>
        <v>3.451643606386634E-2</v>
      </c>
      <c r="D861" s="26" t="str">
        <f t="shared" ca="1" si="112"/>
        <v>Lose</v>
      </c>
      <c r="E861" s="3">
        <f t="shared" ca="1" si="115"/>
        <v>-500</v>
      </c>
      <c r="F861" s="42">
        <f t="shared" si="111"/>
        <v>1.2364976189993263E-113</v>
      </c>
      <c r="G861" s="41">
        <f>SUM(F$11:F861)</f>
        <v>0.99999999999999989</v>
      </c>
    </row>
    <row r="862" spans="1:7" x14ac:dyDescent="0.25">
      <c r="A862" s="1">
        <f t="shared" si="110"/>
        <v>851</v>
      </c>
      <c r="B862" s="3">
        <f t="shared" ca="1" si="113"/>
        <v>101500</v>
      </c>
      <c r="C862" s="26">
        <f t="shared" ca="1" si="114"/>
        <v>0.18475472586194042</v>
      </c>
      <c r="D862" s="26" t="str">
        <f t="shared" ca="1" si="112"/>
        <v>Lose</v>
      </c>
      <c r="E862" s="3">
        <f t="shared" ca="1" si="115"/>
        <v>-500</v>
      </c>
      <c r="F862" s="42">
        <f t="shared" si="111"/>
        <v>2.2684493118166601E-114</v>
      </c>
      <c r="G862" s="41">
        <f>SUM(F$11:F862)</f>
        <v>0.99999999999999989</v>
      </c>
    </row>
    <row r="863" spans="1:7" x14ac:dyDescent="0.25">
      <c r="A863" s="1">
        <f t="shared" si="110"/>
        <v>852</v>
      </c>
      <c r="B863" s="3">
        <f t="shared" ca="1" si="113"/>
        <v>102000</v>
      </c>
      <c r="C863" s="26">
        <f t="shared" ca="1" si="114"/>
        <v>0.66653650273298548</v>
      </c>
      <c r="D863" s="26" t="str">
        <f t="shared" ca="1" si="112"/>
        <v>Win</v>
      </c>
      <c r="E863" s="3">
        <f t="shared" ca="1" si="115"/>
        <v>500</v>
      </c>
      <c r="F863" s="42">
        <f t="shared" si="111"/>
        <v>4.1290472167519766E-115</v>
      </c>
      <c r="G863" s="41">
        <f>SUM(F$11:F863)</f>
        <v>0.99999999999999989</v>
      </c>
    </row>
    <row r="864" spans="1:7" x14ac:dyDescent="0.25">
      <c r="A864" s="1">
        <f t="shared" si="110"/>
        <v>853</v>
      </c>
      <c r="B864" s="3">
        <f t="shared" ca="1" si="113"/>
        <v>102500</v>
      </c>
      <c r="C864" s="26">
        <f t="shared" ca="1" si="114"/>
        <v>0.95859139589974207</v>
      </c>
      <c r="D864" s="26" t="str">
        <f t="shared" ca="1" si="112"/>
        <v>Win</v>
      </c>
      <c r="E864" s="3">
        <f t="shared" ca="1" si="115"/>
        <v>500</v>
      </c>
      <c r="F864" s="42">
        <f t="shared" si="111"/>
        <v>7.4565275957711161E-116</v>
      </c>
      <c r="G864" s="41">
        <f>SUM(F$11:F864)</f>
        <v>0.99999999999999989</v>
      </c>
    </row>
    <row r="865" spans="1:7" x14ac:dyDescent="0.25">
      <c r="A865" s="1">
        <f t="shared" si="110"/>
        <v>854</v>
      </c>
      <c r="B865" s="3">
        <f t="shared" ca="1" si="113"/>
        <v>102000</v>
      </c>
      <c r="C865" s="26">
        <f t="shared" ca="1" si="114"/>
        <v>3.8633093744138147E-2</v>
      </c>
      <c r="D865" s="26" t="str">
        <f t="shared" ca="1" si="112"/>
        <v>Lose</v>
      </c>
      <c r="E865" s="3">
        <f t="shared" ca="1" si="115"/>
        <v>-500</v>
      </c>
      <c r="F865" s="42">
        <f t="shared" si="111"/>
        <v>1.3358884334342881E-116</v>
      </c>
      <c r="G865" s="41">
        <f>SUM(F$11:F865)</f>
        <v>0.99999999999999989</v>
      </c>
    </row>
    <row r="866" spans="1:7" x14ac:dyDescent="0.25">
      <c r="A866" s="1">
        <f t="shared" si="110"/>
        <v>855</v>
      </c>
      <c r="B866" s="3">
        <f t="shared" ca="1" si="113"/>
        <v>101500</v>
      </c>
      <c r="C866" s="26">
        <f t="shared" ca="1" si="114"/>
        <v>0.43304490893142533</v>
      </c>
      <c r="D866" s="26" t="str">
        <f t="shared" ca="1" si="112"/>
        <v>Lose</v>
      </c>
      <c r="E866" s="3">
        <f t="shared" ca="1" si="115"/>
        <v>-500</v>
      </c>
      <c r="F866" s="42">
        <f t="shared" si="111"/>
        <v>2.3742750388715657E-117</v>
      </c>
      <c r="G866" s="41">
        <f>SUM(F$11:F866)</f>
        <v>0.99999999999999989</v>
      </c>
    </row>
    <row r="867" spans="1:7" x14ac:dyDescent="0.25">
      <c r="A867" s="1">
        <f t="shared" si="110"/>
        <v>856</v>
      </c>
      <c r="B867" s="3">
        <f t="shared" ca="1" si="113"/>
        <v>102000</v>
      </c>
      <c r="C867" s="26">
        <f t="shared" ca="1" si="114"/>
        <v>0.76756928405225988</v>
      </c>
      <c r="D867" s="26" t="str">
        <f t="shared" ca="1" si="112"/>
        <v>Win</v>
      </c>
      <c r="E867" s="3">
        <f t="shared" ca="1" si="115"/>
        <v>500</v>
      </c>
      <c r="F867" s="42">
        <f t="shared" si="111"/>
        <v>4.1860013142416544E-118</v>
      </c>
      <c r="G867" s="41">
        <f>SUM(F$11:F867)</f>
        <v>0.99999999999999989</v>
      </c>
    </row>
    <row r="868" spans="1:7" x14ac:dyDescent="0.25">
      <c r="A868" s="1">
        <f t="shared" si="110"/>
        <v>857</v>
      </c>
      <c r="B868" s="3">
        <f t="shared" ca="1" si="113"/>
        <v>102500</v>
      </c>
      <c r="C868" s="26">
        <f t="shared" ca="1" si="114"/>
        <v>0.91868043695805923</v>
      </c>
      <c r="D868" s="26" t="str">
        <f t="shared" ca="1" si="112"/>
        <v>Win</v>
      </c>
      <c r="E868" s="3">
        <f t="shared" ca="1" si="115"/>
        <v>500</v>
      </c>
      <c r="F868" s="42">
        <f t="shared" si="111"/>
        <v>7.3207424217824207E-119</v>
      </c>
      <c r="G868" s="41">
        <f>SUM(F$11:F868)</f>
        <v>0.99999999999999989</v>
      </c>
    </row>
    <row r="869" spans="1:7" x14ac:dyDescent="0.25">
      <c r="A869" s="1">
        <f t="shared" si="110"/>
        <v>858</v>
      </c>
      <c r="B869" s="3">
        <f t="shared" ca="1" si="113"/>
        <v>103000</v>
      </c>
      <c r="C869" s="26">
        <f t="shared" ca="1" si="114"/>
        <v>0.52699335050698326</v>
      </c>
      <c r="D869" s="26" t="str">
        <f t="shared" ca="1" si="112"/>
        <v>Win</v>
      </c>
      <c r="E869" s="3">
        <f t="shared" ca="1" si="115"/>
        <v>500</v>
      </c>
      <c r="F869" s="42">
        <f t="shared" si="111"/>
        <v>1.2699247058194344E-119</v>
      </c>
      <c r="G869" s="41">
        <f>SUM(F$11:F869)</f>
        <v>0.99999999999999989</v>
      </c>
    </row>
    <row r="870" spans="1:7" x14ac:dyDescent="0.25">
      <c r="A870" s="1">
        <f t="shared" si="110"/>
        <v>859</v>
      </c>
      <c r="B870" s="3">
        <f t="shared" ca="1" si="113"/>
        <v>102500</v>
      </c>
      <c r="C870" s="26">
        <f t="shared" ca="1" si="114"/>
        <v>4.6554390113425881E-2</v>
      </c>
      <c r="D870" s="26" t="str">
        <f t="shared" ca="1" si="112"/>
        <v>Lose</v>
      </c>
      <c r="E870" s="3">
        <f t="shared" ca="1" si="115"/>
        <v>-500</v>
      </c>
      <c r="F870" s="42">
        <f t="shared" si="111"/>
        <v>2.184978907496497E-120</v>
      </c>
      <c r="G870" s="41">
        <f>SUM(F$11:F870)</f>
        <v>0.99999999999999989</v>
      </c>
    </row>
    <row r="871" spans="1:7" x14ac:dyDescent="0.25">
      <c r="A871" s="1">
        <f t="shared" si="110"/>
        <v>860</v>
      </c>
      <c r="B871" s="3">
        <f t="shared" ca="1" si="113"/>
        <v>102000</v>
      </c>
      <c r="C871" s="26">
        <f t="shared" ca="1" si="114"/>
        <v>0.27123727578536871</v>
      </c>
      <c r="D871" s="26" t="str">
        <f t="shared" ca="1" si="112"/>
        <v>Lose</v>
      </c>
      <c r="E871" s="3">
        <f t="shared" ca="1" si="115"/>
        <v>-500</v>
      </c>
      <c r="F871" s="42">
        <f t="shared" si="111"/>
        <v>3.7285674712408292E-121</v>
      </c>
      <c r="G871" s="41">
        <f>SUM(F$11:F871)</f>
        <v>0.99999999999999989</v>
      </c>
    </row>
    <row r="872" spans="1:7" x14ac:dyDescent="0.25">
      <c r="A872" s="1">
        <f t="shared" si="110"/>
        <v>861</v>
      </c>
      <c r="B872" s="3">
        <f t="shared" ca="1" si="113"/>
        <v>101500</v>
      </c>
      <c r="C872" s="26">
        <f t="shared" ca="1" si="114"/>
        <v>3.8035773027587538E-2</v>
      </c>
      <c r="D872" s="26" t="str">
        <f t="shared" ca="1" si="112"/>
        <v>Lose</v>
      </c>
      <c r="E872" s="3">
        <f t="shared" ca="1" si="115"/>
        <v>-500</v>
      </c>
      <c r="F872" s="42">
        <f t="shared" si="111"/>
        <v>6.3101689408749079E-122</v>
      </c>
      <c r="G872" s="41">
        <f>SUM(F$11:F872)</f>
        <v>0.99999999999999989</v>
      </c>
    </row>
    <row r="873" spans="1:7" x14ac:dyDescent="0.25">
      <c r="A873" s="1">
        <f t="shared" si="110"/>
        <v>862</v>
      </c>
      <c r="B873" s="3">
        <f t="shared" ca="1" si="113"/>
        <v>102000</v>
      </c>
      <c r="C873" s="26">
        <f t="shared" ca="1" si="114"/>
        <v>0.9354198493341277</v>
      </c>
      <c r="D873" s="26" t="str">
        <f t="shared" ca="1" si="112"/>
        <v>Win</v>
      </c>
      <c r="E873" s="3">
        <f t="shared" ca="1" si="115"/>
        <v>500</v>
      </c>
      <c r="F873" s="42">
        <f t="shared" si="111"/>
        <v>1.0590650035954628E-122</v>
      </c>
      <c r="G873" s="41">
        <f>SUM(F$11:F873)</f>
        <v>0.99999999999999989</v>
      </c>
    </row>
    <row r="874" spans="1:7" x14ac:dyDescent="0.25">
      <c r="A874" s="1">
        <f t="shared" si="110"/>
        <v>863</v>
      </c>
      <c r="B874" s="3">
        <f t="shared" ca="1" si="113"/>
        <v>101500</v>
      </c>
      <c r="C874" s="26">
        <f t="shared" ca="1" si="114"/>
        <v>0.43341147725849727</v>
      </c>
      <c r="D874" s="26" t="str">
        <f t="shared" ca="1" si="112"/>
        <v>Lose</v>
      </c>
      <c r="E874" s="3">
        <f t="shared" ca="1" si="115"/>
        <v>-500</v>
      </c>
      <c r="F874" s="42">
        <f t="shared" si="111"/>
        <v>1.7626456110164036E-123</v>
      </c>
      <c r="G874" s="41">
        <f>SUM(F$11:F874)</f>
        <v>0.99999999999999989</v>
      </c>
    </row>
    <row r="875" spans="1:7" x14ac:dyDescent="0.25">
      <c r="A875" s="1">
        <f t="shared" si="110"/>
        <v>864</v>
      </c>
      <c r="B875" s="3">
        <f t="shared" ca="1" si="113"/>
        <v>102000</v>
      </c>
      <c r="C875" s="26">
        <f t="shared" ca="1" si="114"/>
        <v>0.784968910945121</v>
      </c>
      <c r="D875" s="26" t="str">
        <f t="shared" ca="1" si="112"/>
        <v>Win</v>
      </c>
      <c r="E875" s="3">
        <f t="shared" ca="1" si="115"/>
        <v>500</v>
      </c>
      <c r="F875" s="42">
        <f t="shared" si="111"/>
        <v>2.9090147591108156E-124</v>
      </c>
      <c r="G875" s="41">
        <f>SUM(F$11:F875)</f>
        <v>0.99999999999999989</v>
      </c>
    </row>
    <row r="876" spans="1:7" x14ac:dyDescent="0.25">
      <c r="A876" s="1">
        <f t="shared" si="110"/>
        <v>865</v>
      </c>
      <c r="B876" s="3">
        <f t="shared" ca="1" si="113"/>
        <v>102500</v>
      </c>
      <c r="C876" s="26">
        <f t="shared" ca="1" si="114"/>
        <v>0.96218356188447418</v>
      </c>
      <c r="D876" s="26" t="str">
        <f t="shared" ca="1" si="112"/>
        <v>Win</v>
      </c>
      <c r="E876" s="3">
        <f t="shared" ca="1" si="115"/>
        <v>500</v>
      </c>
      <c r="F876" s="42">
        <f t="shared" si="111"/>
        <v>4.7603931506884252E-125</v>
      </c>
      <c r="G876" s="41">
        <f>SUM(F$11:F876)</f>
        <v>0.99999999999999989</v>
      </c>
    </row>
    <row r="877" spans="1:7" x14ac:dyDescent="0.25">
      <c r="A877" s="1">
        <f t="shared" si="110"/>
        <v>866</v>
      </c>
      <c r="B877" s="3">
        <f t="shared" ca="1" si="113"/>
        <v>103000</v>
      </c>
      <c r="C877" s="26">
        <f t="shared" ca="1" si="114"/>
        <v>0.518869706129646</v>
      </c>
      <c r="D877" s="26" t="str">
        <f t="shared" ca="1" si="112"/>
        <v>Win</v>
      </c>
      <c r="E877" s="3">
        <f t="shared" ca="1" si="115"/>
        <v>500</v>
      </c>
      <c r="F877" s="42">
        <f t="shared" si="111"/>
        <v>7.7238315601853459E-126</v>
      </c>
      <c r="G877" s="41">
        <f>SUM(F$11:F877)</f>
        <v>0.99999999999999989</v>
      </c>
    </row>
    <row r="878" spans="1:7" x14ac:dyDescent="0.25">
      <c r="A878" s="1">
        <f t="shared" si="110"/>
        <v>867</v>
      </c>
      <c r="B878" s="3">
        <f t="shared" ca="1" si="113"/>
        <v>102500</v>
      </c>
      <c r="C878" s="26">
        <f t="shared" ca="1" si="114"/>
        <v>0.34724039890338387</v>
      </c>
      <c r="D878" s="26" t="str">
        <f t="shared" ca="1" si="112"/>
        <v>Lose</v>
      </c>
      <c r="E878" s="3">
        <f t="shared" ca="1" si="115"/>
        <v>-500</v>
      </c>
      <c r="F878" s="42">
        <f t="shared" si="111"/>
        <v>1.2424891105220134E-126</v>
      </c>
      <c r="G878" s="41">
        <f>SUM(F$11:F878)</f>
        <v>0.99999999999999989</v>
      </c>
    </row>
    <row r="879" spans="1:7" x14ac:dyDescent="0.25">
      <c r="A879" s="1">
        <f t="shared" si="110"/>
        <v>868</v>
      </c>
      <c r="B879" s="3">
        <f t="shared" ca="1" si="113"/>
        <v>102000</v>
      </c>
      <c r="C879" s="26">
        <f t="shared" ca="1" si="114"/>
        <v>0.21770214893176132</v>
      </c>
      <c r="D879" s="26" t="str">
        <f t="shared" ca="1" si="112"/>
        <v>Lose</v>
      </c>
      <c r="E879" s="3">
        <f t="shared" ca="1" si="115"/>
        <v>-500</v>
      </c>
      <c r="F879" s="42">
        <f t="shared" si="111"/>
        <v>1.9815206519021219E-127</v>
      </c>
      <c r="G879" s="41">
        <f>SUM(F$11:F879)</f>
        <v>0.99999999999999989</v>
      </c>
    </row>
    <row r="880" spans="1:7" x14ac:dyDescent="0.25">
      <c r="A880" s="1">
        <f t="shared" si="110"/>
        <v>869</v>
      </c>
      <c r="B880" s="3">
        <f t="shared" ca="1" si="113"/>
        <v>102500</v>
      </c>
      <c r="C880" s="26">
        <f t="shared" ca="1" si="114"/>
        <v>0.59664242152305103</v>
      </c>
      <c r="D880" s="26" t="str">
        <f t="shared" ca="1" si="112"/>
        <v>Win</v>
      </c>
      <c r="E880" s="3">
        <f t="shared" ca="1" si="115"/>
        <v>500</v>
      </c>
      <c r="F880" s="42">
        <f t="shared" si="111"/>
        <v>3.1327580443403661E-128</v>
      </c>
      <c r="G880" s="41">
        <f>SUM(F$11:F880)</f>
        <v>0.99999999999999989</v>
      </c>
    </row>
    <row r="881" spans="1:7" x14ac:dyDescent="0.25">
      <c r="A881" s="1">
        <f t="shared" si="110"/>
        <v>870</v>
      </c>
      <c r="B881" s="3">
        <f t="shared" ca="1" si="113"/>
        <v>103000</v>
      </c>
      <c r="C881" s="26">
        <f t="shared" ca="1" si="114"/>
        <v>0.82656430746339904</v>
      </c>
      <c r="D881" s="26" t="str">
        <f t="shared" ca="1" si="112"/>
        <v>Win</v>
      </c>
      <c r="E881" s="3">
        <f t="shared" ca="1" si="115"/>
        <v>500</v>
      </c>
      <c r="F881" s="42">
        <f t="shared" si="111"/>
        <v>4.9096778077031438E-129</v>
      </c>
      <c r="G881" s="41">
        <f>SUM(F$11:F881)</f>
        <v>0.99999999999999989</v>
      </c>
    </row>
    <row r="882" spans="1:7" x14ac:dyDescent="0.25">
      <c r="A882" s="1">
        <f t="shared" si="110"/>
        <v>871</v>
      </c>
      <c r="B882" s="3">
        <f t="shared" ca="1" si="113"/>
        <v>103500</v>
      </c>
      <c r="C882" s="26">
        <f t="shared" ca="1" si="114"/>
        <v>0.91018559011270928</v>
      </c>
      <c r="D882" s="26" t="str">
        <f t="shared" ca="1" si="112"/>
        <v>Win</v>
      </c>
      <c r="E882" s="3">
        <f t="shared" ca="1" si="115"/>
        <v>500</v>
      </c>
      <c r="F882" s="42">
        <f t="shared" si="111"/>
        <v>7.62697435860029E-130</v>
      </c>
      <c r="G882" s="41">
        <f>SUM(F$11:F882)</f>
        <v>0.99999999999999989</v>
      </c>
    </row>
    <row r="883" spans="1:7" x14ac:dyDescent="0.25">
      <c r="A883" s="1">
        <f t="shared" si="110"/>
        <v>872</v>
      </c>
      <c r="B883" s="3">
        <f t="shared" ca="1" si="113"/>
        <v>103000</v>
      </c>
      <c r="C883" s="26">
        <f t="shared" ca="1" si="114"/>
        <v>0.18678807854811386</v>
      </c>
      <c r="D883" s="26" t="str">
        <f t="shared" ca="1" si="112"/>
        <v>Lose</v>
      </c>
      <c r="E883" s="3">
        <f t="shared" ca="1" si="115"/>
        <v>-500</v>
      </c>
      <c r="F883" s="42">
        <f t="shared" si="111"/>
        <v>1.1743555585384522E-130</v>
      </c>
      <c r="G883" s="41">
        <f>SUM(F$11:F883)</f>
        <v>0.99999999999999989</v>
      </c>
    </row>
    <row r="884" spans="1:7" x14ac:dyDescent="0.25">
      <c r="A884" s="1">
        <f t="shared" si="110"/>
        <v>873</v>
      </c>
      <c r="B884" s="3">
        <f t="shared" ca="1" si="113"/>
        <v>103500</v>
      </c>
      <c r="C884" s="26">
        <f t="shared" ca="1" si="114"/>
        <v>0.65462252003370924</v>
      </c>
      <c r="D884" s="26" t="str">
        <f t="shared" ca="1" si="112"/>
        <v>Win</v>
      </c>
      <c r="E884" s="3">
        <f t="shared" ca="1" si="115"/>
        <v>500</v>
      </c>
      <c r="F884" s="42">
        <f t="shared" si="111"/>
        <v>1.7921296692473921E-131</v>
      </c>
      <c r="G884" s="41">
        <f>SUM(F$11:F884)</f>
        <v>0.99999999999999989</v>
      </c>
    </row>
    <row r="885" spans="1:7" x14ac:dyDescent="0.25">
      <c r="A885" s="1">
        <f t="shared" si="110"/>
        <v>874</v>
      </c>
      <c r="B885" s="3">
        <f t="shared" ca="1" si="113"/>
        <v>103000</v>
      </c>
      <c r="C885" s="26">
        <f t="shared" ca="1" si="114"/>
        <v>9.5293359708967351E-2</v>
      </c>
      <c r="D885" s="26" t="str">
        <f t="shared" ca="1" si="112"/>
        <v>Lose</v>
      </c>
      <c r="E885" s="3">
        <f t="shared" ca="1" si="115"/>
        <v>-500</v>
      </c>
      <c r="F885" s="42">
        <f t="shared" si="111"/>
        <v>2.7104151374668173E-132</v>
      </c>
      <c r="G885" s="41">
        <f>SUM(F$11:F885)</f>
        <v>0.99999999999999989</v>
      </c>
    </row>
    <row r="886" spans="1:7" x14ac:dyDescent="0.25">
      <c r="A886" s="1">
        <f t="shared" si="110"/>
        <v>875</v>
      </c>
      <c r="B886" s="3">
        <f t="shared" ca="1" si="113"/>
        <v>103500</v>
      </c>
      <c r="C886" s="26">
        <f t="shared" ca="1" si="114"/>
        <v>0.97942991414202474</v>
      </c>
      <c r="D886" s="26" t="str">
        <f t="shared" ca="1" si="112"/>
        <v>Win</v>
      </c>
      <c r="E886" s="3">
        <f t="shared" ca="1" si="115"/>
        <v>500</v>
      </c>
      <c r="F886" s="42">
        <f t="shared" si="111"/>
        <v>4.0623038305216389E-133</v>
      </c>
      <c r="G886" s="41">
        <f>SUM(F$11:F886)</f>
        <v>0.99999999999999989</v>
      </c>
    </row>
    <row r="887" spans="1:7" x14ac:dyDescent="0.25">
      <c r="A887" s="1">
        <f t="shared" si="110"/>
        <v>876</v>
      </c>
      <c r="B887" s="3">
        <f t="shared" ca="1" si="113"/>
        <v>104000</v>
      </c>
      <c r="C887" s="26">
        <f t="shared" ca="1" si="114"/>
        <v>0.73986958936006686</v>
      </c>
      <c r="D887" s="26" t="str">
        <f t="shared" ca="1" si="112"/>
        <v>Win</v>
      </c>
      <c r="E887" s="3">
        <f t="shared" ca="1" si="115"/>
        <v>500</v>
      </c>
      <c r="F887" s="42">
        <f t="shared" si="111"/>
        <v>6.0332650544163308E-134</v>
      </c>
      <c r="G887" s="41">
        <f>SUM(F$11:F887)</f>
        <v>0.99999999999999989</v>
      </c>
    </row>
    <row r="888" spans="1:7" x14ac:dyDescent="0.25">
      <c r="A888" s="1">
        <f t="shared" si="110"/>
        <v>877</v>
      </c>
      <c r="B888" s="3">
        <f t="shared" ca="1" si="113"/>
        <v>103500</v>
      </c>
      <c r="C888" s="26">
        <f t="shared" ca="1" si="114"/>
        <v>8.9444722245146435E-2</v>
      </c>
      <c r="D888" s="26" t="str">
        <f t="shared" ca="1" si="112"/>
        <v>Lose</v>
      </c>
      <c r="E888" s="3">
        <f t="shared" ca="1" si="115"/>
        <v>-500</v>
      </c>
      <c r="F888" s="42">
        <f t="shared" si="111"/>
        <v>8.8786838722275638E-135</v>
      </c>
      <c r="G888" s="41">
        <f>SUM(F$11:F888)</f>
        <v>0.99999999999999989</v>
      </c>
    </row>
    <row r="889" spans="1:7" x14ac:dyDescent="0.25">
      <c r="A889" s="1">
        <f t="shared" si="110"/>
        <v>878</v>
      </c>
      <c r="B889" s="3">
        <f t="shared" ca="1" si="113"/>
        <v>103000</v>
      </c>
      <c r="C889" s="26">
        <f t="shared" ca="1" si="114"/>
        <v>0.26949852190735435</v>
      </c>
      <c r="D889" s="26" t="str">
        <f t="shared" ca="1" si="112"/>
        <v>Lose</v>
      </c>
      <c r="E889" s="3">
        <f t="shared" ca="1" si="115"/>
        <v>-500</v>
      </c>
      <c r="F889" s="42">
        <f t="shared" si="111"/>
        <v>1.2945930902906027E-135</v>
      </c>
      <c r="G889" s="41">
        <f>SUM(F$11:F889)</f>
        <v>0.99999999999999989</v>
      </c>
    </row>
    <row r="890" spans="1:7" x14ac:dyDescent="0.25">
      <c r="A890" s="1">
        <f t="shared" si="110"/>
        <v>879</v>
      </c>
      <c r="B890" s="3">
        <f t="shared" ca="1" si="113"/>
        <v>102500</v>
      </c>
      <c r="C890" s="26">
        <f t="shared" ca="1" si="114"/>
        <v>0.33763678107846407</v>
      </c>
      <c r="D890" s="26" t="str">
        <f t="shared" ca="1" si="112"/>
        <v>Lose</v>
      </c>
      <c r="E890" s="3">
        <f t="shared" ca="1" si="115"/>
        <v>-500</v>
      </c>
      <c r="F890" s="42">
        <f t="shared" si="111"/>
        <v>1.8701581592691167E-136</v>
      </c>
      <c r="G890" s="41">
        <f>SUM(F$11:F890)</f>
        <v>0.99999999999999989</v>
      </c>
    </row>
    <row r="891" spans="1:7" x14ac:dyDescent="0.25">
      <c r="A891" s="1">
        <f t="shared" si="110"/>
        <v>880</v>
      </c>
      <c r="B891" s="3">
        <f t="shared" ca="1" si="113"/>
        <v>103000</v>
      </c>
      <c r="C891" s="26">
        <f t="shared" ca="1" si="114"/>
        <v>0.56966173932482478</v>
      </c>
      <c r="D891" s="26" t="str">
        <f t="shared" ca="1" si="112"/>
        <v>Win</v>
      </c>
      <c r="E891" s="3">
        <f t="shared" ca="1" si="115"/>
        <v>500</v>
      </c>
      <c r="F891" s="42">
        <f t="shared" si="111"/>
        <v>2.6764253248723712E-137</v>
      </c>
      <c r="G891" s="41">
        <f>SUM(F$11:F891)</f>
        <v>0.99999999999999989</v>
      </c>
    </row>
    <row r="892" spans="1:7" x14ac:dyDescent="0.25">
      <c r="A892" s="1">
        <f t="shared" ref="A892:A945" si="116">A891+1</f>
        <v>881</v>
      </c>
      <c r="B892" s="3">
        <f t="shared" ca="1" si="113"/>
        <v>102500</v>
      </c>
      <c r="C892" s="26">
        <f t="shared" ca="1" si="114"/>
        <v>0.315186097827722</v>
      </c>
      <c r="D892" s="26" t="str">
        <f t="shared" ca="1" si="112"/>
        <v>Lose</v>
      </c>
      <c r="E892" s="3">
        <f t="shared" ca="1" si="115"/>
        <v>-500</v>
      </c>
      <c r="F892" s="42">
        <f t="shared" si="111"/>
        <v>3.7943253233150613E-138</v>
      </c>
      <c r="G892" s="41">
        <f>SUM(F$11:F892)</f>
        <v>0.99999999999999989</v>
      </c>
    </row>
    <row r="893" spans="1:7" x14ac:dyDescent="0.25">
      <c r="A893" s="1">
        <f t="shared" si="116"/>
        <v>882</v>
      </c>
      <c r="B893" s="3">
        <f t="shared" ca="1" si="113"/>
        <v>103000</v>
      </c>
      <c r="C893" s="26">
        <f t="shared" ca="1" si="114"/>
        <v>0.86866501459007606</v>
      </c>
      <c r="D893" s="26" t="str">
        <f t="shared" ca="1" si="112"/>
        <v>Win</v>
      </c>
      <c r="E893" s="3">
        <f t="shared" ca="1" si="115"/>
        <v>500</v>
      </c>
      <c r="F893" s="42">
        <f t="shared" si="111"/>
        <v>5.3282799729740333E-139</v>
      </c>
      <c r="G893" s="41">
        <f>SUM(F$11:F893)</f>
        <v>0.99999999999999989</v>
      </c>
    </row>
    <row r="894" spans="1:7" x14ac:dyDescent="0.25">
      <c r="A894" s="1">
        <f t="shared" si="116"/>
        <v>883</v>
      </c>
      <c r="B894" s="3">
        <f t="shared" ca="1" si="113"/>
        <v>102500</v>
      </c>
      <c r="C894" s="26">
        <f t="shared" ca="1" si="114"/>
        <v>0.38938590906679071</v>
      </c>
      <c r="D894" s="26" t="str">
        <f t="shared" ca="1" si="112"/>
        <v>Lose</v>
      </c>
      <c r="E894" s="3">
        <f t="shared" ca="1" si="115"/>
        <v>-500</v>
      </c>
      <c r="F894" s="42">
        <f t="shared" si="111"/>
        <v>7.4110959570475528E-140</v>
      </c>
      <c r="G894" s="41">
        <f>SUM(F$11:F894)</f>
        <v>0.99999999999999989</v>
      </c>
    </row>
    <row r="895" spans="1:7" x14ac:dyDescent="0.25">
      <c r="A895" s="1">
        <f t="shared" si="116"/>
        <v>884</v>
      </c>
      <c r="B895" s="3">
        <f t="shared" ca="1" si="113"/>
        <v>102000</v>
      </c>
      <c r="C895" s="26">
        <f t="shared" ca="1" si="114"/>
        <v>0.39241941257941015</v>
      </c>
      <c r="D895" s="26" t="str">
        <f t="shared" ca="1" si="112"/>
        <v>Lose</v>
      </c>
      <c r="E895" s="3">
        <f t="shared" ca="1" si="115"/>
        <v>-500</v>
      </c>
      <c r="F895" s="42">
        <f t="shared" si="111"/>
        <v>1.0209162797974936E-140</v>
      </c>
      <c r="G895" s="41">
        <f>SUM(F$11:F895)</f>
        <v>0.99999999999999989</v>
      </c>
    </row>
    <row r="896" spans="1:7" x14ac:dyDescent="0.25">
      <c r="A896" s="1">
        <f t="shared" si="116"/>
        <v>885</v>
      </c>
      <c r="B896" s="3">
        <f t="shared" ca="1" si="113"/>
        <v>102500</v>
      </c>
      <c r="C896" s="26">
        <f t="shared" ca="1" si="114"/>
        <v>0.54668667922169656</v>
      </c>
      <c r="D896" s="26" t="str">
        <f t="shared" ca="1" si="112"/>
        <v>Win</v>
      </c>
      <c r="E896" s="3">
        <f t="shared" ca="1" si="115"/>
        <v>500</v>
      </c>
      <c r="F896" s="42">
        <f t="shared" si="111"/>
        <v>1.3927685256038849E-141</v>
      </c>
      <c r="G896" s="41">
        <f>SUM(F$11:F896)</f>
        <v>0.99999999999999989</v>
      </c>
    </row>
    <row r="897" spans="1:7" x14ac:dyDescent="0.25">
      <c r="A897" s="1">
        <f t="shared" si="116"/>
        <v>886</v>
      </c>
      <c r="B897" s="3">
        <f t="shared" ca="1" si="113"/>
        <v>103000</v>
      </c>
      <c r="C897" s="26">
        <f t="shared" ca="1" si="114"/>
        <v>0.6086409531467909</v>
      </c>
      <c r="D897" s="26" t="str">
        <f t="shared" ca="1" si="112"/>
        <v>Win</v>
      </c>
      <c r="E897" s="3">
        <f t="shared" ca="1" si="115"/>
        <v>500</v>
      </c>
      <c r="F897" s="42">
        <f t="shared" si="111"/>
        <v>1.8815560424441076E-142</v>
      </c>
      <c r="G897" s="41">
        <f>SUM(F$11:F897)</f>
        <v>0.99999999999999989</v>
      </c>
    </row>
    <row r="898" spans="1:7" x14ac:dyDescent="0.25">
      <c r="A898" s="1">
        <f t="shared" si="116"/>
        <v>887</v>
      </c>
      <c r="B898" s="3">
        <f t="shared" ca="1" si="113"/>
        <v>103500</v>
      </c>
      <c r="C898" s="26">
        <f t="shared" ca="1" si="114"/>
        <v>0.98932440415073097</v>
      </c>
      <c r="D898" s="26" t="str">
        <f t="shared" ca="1" si="112"/>
        <v>Win</v>
      </c>
      <c r="E898" s="3">
        <f t="shared" ca="1" si="115"/>
        <v>500</v>
      </c>
      <c r="F898" s="42">
        <f t="shared" si="111"/>
        <v>2.5169378162507261E-143</v>
      </c>
      <c r="G898" s="41">
        <f>SUM(F$11:F898)</f>
        <v>0.99999999999999989</v>
      </c>
    </row>
    <row r="899" spans="1:7" x14ac:dyDescent="0.25">
      <c r="A899" s="1">
        <f t="shared" si="116"/>
        <v>888</v>
      </c>
      <c r="B899" s="3">
        <f t="shared" ca="1" si="113"/>
        <v>104000</v>
      </c>
      <c r="C899" s="26">
        <f t="shared" ca="1" si="114"/>
        <v>0.9563076380965253</v>
      </c>
      <c r="D899" s="26" t="str">
        <f t="shared" ca="1" si="112"/>
        <v>Win</v>
      </c>
      <c r="E899" s="3">
        <f t="shared" ca="1" si="115"/>
        <v>500</v>
      </c>
      <c r="F899" s="42">
        <f t="shared" si="111"/>
        <v>3.3335890409664719E-144</v>
      </c>
      <c r="G899" s="41">
        <f>SUM(F$11:F899)</f>
        <v>0.99999999999999989</v>
      </c>
    </row>
    <row r="900" spans="1:7" x14ac:dyDescent="0.25">
      <c r="A900" s="1">
        <f t="shared" si="116"/>
        <v>889</v>
      </c>
      <c r="B900" s="3">
        <f t="shared" ca="1" si="113"/>
        <v>103500</v>
      </c>
      <c r="C900" s="26">
        <f t="shared" ca="1" si="114"/>
        <v>0.38795361883324675</v>
      </c>
      <c r="D900" s="26" t="str">
        <f t="shared" ca="1" si="112"/>
        <v>Lose</v>
      </c>
      <c r="E900" s="3">
        <f t="shared" ca="1" si="115"/>
        <v>-500</v>
      </c>
      <c r="F900" s="42">
        <f t="shared" si="111"/>
        <v>4.3712175115358383E-145</v>
      </c>
      <c r="G900" s="41">
        <f>SUM(F$11:F900)</f>
        <v>0.99999999999999989</v>
      </c>
    </row>
    <row r="901" spans="1:7" x14ac:dyDescent="0.25">
      <c r="A901" s="1">
        <f t="shared" si="116"/>
        <v>890</v>
      </c>
      <c r="B901" s="3">
        <f t="shared" ca="1" si="113"/>
        <v>103000</v>
      </c>
      <c r="C901" s="26">
        <f t="shared" ca="1" si="114"/>
        <v>0.16222529575147615</v>
      </c>
      <c r="D901" s="26" t="str">
        <f t="shared" ca="1" si="112"/>
        <v>Lose</v>
      </c>
      <c r="E901" s="3">
        <f t="shared" ca="1" si="115"/>
        <v>-500</v>
      </c>
      <c r="F901" s="42">
        <f t="shared" si="111"/>
        <v>5.6742633186892944E-146</v>
      </c>
      <c r="G901" s="41">
        <f>SUM(F$11:F901)</f>
        <v>0.99999999999999989</v>
      </c>
    </row>
    <row r="902" spans="1:7" x14ac:dyDescent="0.25">
      <c r="A902" s="1">
        <f t="shared" si="116"/>
        <v>891</v>
      </c>
      <c r="B902" s="3">
        <f t="shared" ca="1" si="113"/>
        <v>102500</v>
      </c>
      <c r="C902" s="26">
        <f t="shared" ca="1" si="114"/>
        <v>0.11968293467727431</v>
      </c>
      <c r="D902" s="26" t="str">
        <f t="shared" ca="1" si="112"/>
        <v>Lose</v>
      </c>
      <c r="E902" s="3">
        <f t="shared" ca="1" si="115"/>
        <v>-500</v>
      </c>
      <c r="F902" s="42">
        <f t="shared" si="111"/>
        <v>7.2911924729944149E-147</v>
      </c>
      <c r="G902" s="41">
        <f>SUM(F$11:F902)</f>
        <v>0.99999999999999989</v>
      </c>
    </row>
    <row r="903" spans="1:7" x14ac:dyDescent="0.25">
      <c r="A903" s="1">
        <f t="shared" si="116"/>
        <v>892</v>
      </c>
      <c r="B903" s="3">
        <f t="shared" ca="1" si="113"/>
        <v>102000</v>
      </c>
      <c r="C903" s="26">
        <f t="shared" ca="1" si="114"/>
        <v>0.1784941974274431</v>
      </c>
      <c r="D903" s="26" t="str">
        <f t="shared" ca="1" si="112"/>
        <v>Lose</v>
      </c>
      <c r="E903" s="3">
        <f t="shared" ca="1" si="115"/>
        <v>-500</v>
      </c>
      <c r="F903" s="42">
        <f t="shared" si="111"/>
        <v>9.2732998438216453E-148</v>
      </c>
      <c r="G903" s="41">
        <f>SUM(F$11:F903)</f>
        <v>0.99999999999999989</v>
      </c>
    </row>
    <row r="904" spans="1:7" x14ac:dyDescent="0.25">
      <c r="A904" s="1">
        <f t="shared" si="116"/>
        <v>893</v>
      </c>
      <c r="B904" s="3">
        <f t="shared" ca="1" si="113"/>
        <v>102500</v>
      </c>
      <c r="C904" s="26">
        <f t="shared" ca="1" si="114"/>
        <v>0.53399447653430188</v>
      </c>
      <c r="D904" s="26" t="str">
        <f t="shared" ca="1" si="112"/>
        <v>Win</v>
      </c>
      <c r="E904" s="3">
        <f t="shared" ca="1" si="115"/>
        <v>500</v>
      </c>
      <c r="F904" s="42">
        <f t="shared" si="111"/>
        <v>1.1672951879646421E-148</v>
      </c>
      <c r="G904" s="41">
        <f>SUM(F$11:F904)</f>
        <v>0.99999999999999989</v>
      </c>
    </row>
    <row r="905" spans="1:7" x14ac:dyDescent="0.25">
      <c r="A905" s="1">
        <f t="shared" si="116"/>
        <v>894</v>
      </c>
      <c r="B905" s="3">
        <f t="shared" ca="1" si="113"/>
        <v>102000</v>
      </c>
      <c r="C905" s="26">
        <f t="shared" ca="1" si="114"/>
        <v>0.17969326822924614</v>
      </c>
      <c r="D905" s="26" t="str">
        <f t="shared" ca="1" si="112"/>
        <v>Lose</v>
      </c>
      <c r="E905" s="3">
        <f t="shared" ca="1" si="115"/>
        <v>-500</v>
      </c>
      <c r="F905" s="42">
        <f t="shared" si="111"/>
        <v>1.4541226865551378E-149</v>
      </c>
      <c r="G905" s="41">
        <f>SUM(F$11:F905)</f>
        <v>0.99999999999999989</v>
      </c>
    </row>
    <row r="906" spans="1:7" x14ac:dyDescent="0.25">
      <c r="A906" s="1">
        <f t="shared" si="116"/>
        <v>895</v>
      </c>
      <c r="B906" s="3">
        <f t="shared" ca="1" si="113"/>
        <v>102500</v>
      </c>
      <c r="C906" s="26">
        <f t="shared" ca="1" si="114"/>
        <v>0.88756206966172979</v>
      </c>
      <c r="D906" s="26" t="str">
        <f t="shared" ca="1" si="112"/>
        <v>Win</v>
      </c>
      <c r="E906" s="3">
        <f t="shared" ca="1" si="115"/>
        <v>500</v>
      </c>
      <c r="F906" s="42">
        <f t="shared" si="111"/>
        <v>1.792495096002058E-150</v>
      </c>
      <c r="G906" s="41">
        <f>SUM(F$11:F906)</f>
        <v>0.99999999999999989</v>
      </c>
    </row>
    <row r="907" spans="1:7" x14ac:dyDescent="0.25">
      <c r="A907" s="1">
        <f t="shared" si="116"/>
        <v>896</v>
      </c>
      <c r="B907" s="3">
        <f t="shared" ca="1" si="113"/>
        <v>102000</v>
      </c>
      <c r="C907" s="26">
        <f t="shared" ca="1" si="114"/>
        <v>0.2485372006590012</v>
      </c>
      <c r="D907" s="26" t="str">
        <f t="shared" ca="1" si="112"/>
        <v>Lose</v>
      </c>
      <c r="E907" s="3">
        <f t="shared" ca="1" si="115"/>
        <v>-500</v>
      </c>
      <c r="F907" s="42">
        <f t="shared" si="111"/>
        <v>2.1863181575917309E-151</v>
      </c>
      <c r="G907" s="41">
        <f>SUM(F$11:F907)</f>
        <v>0.99999999999999989</v>
      </c>
    </row>
    <row r="908" spans="1:7" x14ac:dyDescent="0.25">
      <c r="A908" s="1">
        <f t="shared" si="116"/>
        <v>897</v>
      </c>
      <c r="B908" s="3">
        <f t="shared" ca="1" si="113"/>
        <v>102500</v>
      </c>
      <c r="C908" s="26">
        <f t="shared" ca="1" si="114"/>
        <v>0.51642260035146637</v>
      </c>
      <c r="D908" s="26" t="str">
        <f t="shared" ca="1" si="112"/>
        <v>Win</v>
      </c>
      <c r="E908" s="3">
        <f t="shared" ca="1" si="115"/>
        <v>500</v>
      </c>
      <c r="F908" s="42">
        <f t="shared" ref="F908:F971" si="117">_xlfn.BINOM.DIST(A908,$A$1011,$B$1,FALSE)</f>
        <v>2.6383253720715649E-152</v>
      </c>
      <c r="G908" s="41">
        <f>SUM(F$11:F908)</f>
        <v>0.99999999999999989</v>
      </c>
    </row>
    <row r="909" spans="1:7" x14ac:dyDescent="0.25">
      <c r="A909" s="1">
        <f t="shared" si="116"/>
        <v>898</v>
      </c>
      <c r="B909" s="3">
        <f t="shared" ca="1" si="113"/>
        <v>103000</v>
      </c>
      <c r="C909" s="26">
        <f t="shared" ca="1" si="114"/>
        <v>0.81607296979573896</v>
      </c>
      <c r="D909" s="26" t="str">
        <f t="shared" ref="D909:D972" ca="1" si="118">IF(C909&gt;$B$2,"Win","Lose")</f>
        <v>Win</v>
      </c>
      <c r="E909" s="3">
        <f t="shared" ca="1" si="115"/>
        <v>500</v>
      </c>
      <c r="F909" s="42">
        <f t="shared" si="117"/>
        <v>3.1496575563595659E-153</v>
      </c>
      <c r="G909" s="41">
        <f>SUM(F$11:F909)</f>
        <v>0.99999999999999989</v>
      </c>
    </row>
    <row r="910" spans="1:7" x14ac:dyDescent="0.25">
      <c r="A910" s="1">
        <f t="shared" si="116"/>
        <v>899</v>
      </c>
      <c r="B910" s="3">
        <f t="shared" ref="B910:B973" ca="1" si="119">B909+E910</f>
        <v>102500</v>
      </c>
      <c r="C910" s="26">
        <f t="shared" ref="C910:C973" ca="1" si="120">RAND()</f>
        <v>0.40025422530969601</v>
      </c>
      <c r="D910" s="26" t="str">
        <f t="shared" ca="1" si="118"/>
        <v>Lose</v>
      </c>
      <c r="E910" s="3">
        <f t="shared" ref="E910:E973" ca="1" si="121">IF(D910="Win",$B$4,-$B$4)</f>
        <v>-500</v>
      </c>
      <c r="F910" s="42">
        <f t="shared" si="117"/>
        <v>3.7194430564984922E-154</v>
      </c>
      <c r="G910" s="41">
        <f>SUM(F$11:F910)</f>
        <v>0.99999999999999989</v>
      </c>
    </row>
    <row r="911" spans="1:7" x14ac:dyDescent="0.25">
      <c r="A911" s="1">
        <f t="shared" si="116"/>
        <v>900</v>
      </c>
      <c r="B911" s="3">
        <f t="shared" ca="1" si="119"/>
        <v>103000</v>
      </c>
      <c r="C911" s="26">
        <f t="shared" ca="1" si="120"/>
        <v>0.65317558176651125</v>
      </c>
      <c r="D911" s="26" t="str">
        <f t="shared" ca="1" si="118"/>
        <v>Win</v>
      </c>
      <c r="E911" s="3">
        <f t="shared" ca="1" si="121"/>
        <v>500</v>
      </c>
      <c r="F911" s="42">
        <f t="shared" si="117"/>
        <v>4.3444106993250645E-155</v>
      </c>
      <c r="G911" s="41">
        <f>SUM(F$11:F911)</f>
        <v>0.99999999999999989</v>
      </c>
    </row>
    <row r="912" spans="1:7" x14ac:dyDescent="0.25">
      <c r="A912" s="1">
        <f t="shared" si="116"/>
        <v>901</v>
      </c>
      <c r="B912" s="3">
        <f t="shared" ca="1" si="119"/>
        <v>103500</v>
      </c>
      <c r="C912" s="26">
        <f t="shared" ca="1" si="120"/>
        <v>0.65255872044743446</v>
      </c>
      <c r="D912" s="26" t="str">
        <f t="shared" ca="1" si="118"/>
        <v>Win</v>
      </c>
      <c r="E912" s="3">
        <f t="shared" ca="1" si="121"/>
        <v>500</v>
      </c>
      <c r="F912" s="42">
        <f t="shared" si="117"/>
        <v>5.0185722364175341E-156</v>
      </c>
      <c r="G912" s="41">
        <f>SUM(F$11:F912)</f>
        <v>0.99999999999999989</v>
      </c>
    </row>
    <row r="913" spans="1:7" x14ac:dyDescent="0.25">
      <c r="A913" s="1">
        <f t="shared" si="116"/>
        <v>902</v>
      </c>
      <c r="B913" s="3">
        <f t="shared" ca="1" si="119"/>
        <v>103000</v>
      </c>
      <c r="C913" s="26">
        <f t="shared" ca="1" si="120"/>
        <v>0.44385812681901016</v>
      </c>
      <c r="D913" s="26" t="str">
        <f t="shared" ca="1" si="118"/>
        <v>Lose</v>
      </c>
      <c r="E913" s="3">
        <f t="shared" ca="1" si="121"/>
        <v>-500</v>
      </c>
      <c r="F913" s="42">
        <f t="shared" si="117"/>
        <v>5.7330130824178292E-157</v>
      </c>
      <c r="G913" s="41">
        <f>SUM(F$11:F913)</f>
        <v>0.99999999999999989</v>
      </c>
    </row>
    <row r="914" spans="1:7" x14ac:dyDescent="0.25">
      <c r="A914" s="1">
        <f t="shared" si="116"/>
        <v>903</v>
      </c>
      <c r="B914" s="3">
        <f t="shared" ca="1" si="119"/>
        <v>103500</v>
      </c>
      <c r="C914" s="26">
        <f t="shared" ca="1" si="120"/>
        <v>0.7107413859653291</v>
      </c>
      <c r="D914" s="26" t="str">
        <f t="shared" ca="1" si="118"/>
        <v>Win</v>
      </c>
      <c r="E914" s="3">
        <f t="shared" ca="1" si="121"/>
        <v>500</v>
      </c>
      <c r="F914" s="42">
        <f t="shared" si="117"/>
        <v>6.4758287309705913E-158</v>
      </c>
      <c r="G914" s="41">
        <f>SUM(F$11:F914)</f>
        <v>0.99999999999999989</v>
      </c>
    </row>
    <row r="915" spans="1:7" x14ac:dyDescent="0.25">
      <c r="A915" s="1">
        <f t="shared" si="116"/>
        <v>904</v>
      </c>
      <c r="B915" s="3">
        <f t="shared" ca="1" si="119"/>
        <v>104000</v>
      </c>
      <c r="C915" s="26">
        <f t="shared" ca="1" si="120"/>
        <v>0.74993818439091509</v>
      </c>
      <c r="D915" s="26" t="str">
        <f t="shared" ca="1" si="118"/>
        <v>Win</v>
      </c>
      <c r="E915" s="3">
        <f t="shared" ca="1" si="121"/>
        <v>500</v>
      </c>
      <c r="F915" s="42">
        <f t="shared" si="117"/>
        <v>7.232238742122856E-159</v>
      </c>
      <c r="G915" s="41">
        <f>SUM(F$11:F915)</f>
        <v>0.99999999999999989</v>
      </c>
    </row>
    <row r="916" spans="1:7" x14ac:dyDescent="0.25">
      <c r="A916" s="1">
        <f t="shared" si="116"/>
        <v>905</v>
      </c>
      <c r="B916" s="3">
        <f t="shared" ca="1" si="119"/>
        <v>103500</v>
      </c>
      <c r="C916" s="26">
        <f t="shared" ca="1" si="120"/>
        <v>0.20668971635276601</v>
      </c>
      <c r="D916" s="26" t="str">
        <f t="shared" ca="1" si="118"/>
        <v>Lose</v>
      </c>
      <c r="E916" s="3">
        <f t="shared" ca="1" si="121"/>
        <v>-500</v>
      </c>
      <c r="F916" s="42">
        <f t="shared" si="117"/>
        <v>7.9849004129971076E-160</v>
      </c>
      <c r="G916" s="41">
        <f>SUM(F$11:F916)</f>
        <v>0.99999999999999989</v>
      </c>
    </row>
    <row r="917" spans="1:7" x14ac:dyDescent="0.25">
      <c r="A917" s="1">
        <f t="shared" si="116"/>
        <v>906</v>
      </c>
      <c r="B917" s="3">
        <f t="shared" ca="1" si="119"/>
        <v>103000</v>
      </c>
      <c r="C917" s="26">
        <f t="shared" ca="1" si="120"/>
        <v>0.38928061130438807</v>
      </c>
      <c r="D917" s="26" t="str">
        <f t="shared" ca="1" si="118"/>
        <v>Lose</v>
      </c>
      <c r="E917" s="3">
        <f t="shared" ca="1" si="121"/>
        <v>-500</v>
      </c>
      <c r="F917" s="42">
        <f t="shared" si="117"/>
        <v>8.7144304412699563E-161</v>
      </c>
      <c r="G917" s="41">
        <f>SUM(F$11:F917)</f>
        <v>0.99999999999999989</v>
      </c>
    </row>
    <row r="918" spans="1:7" x14ac:dyDescent="0.25">
      <c r="A918" s="1">
        <f t="shared" si="116"/>
        <v>907</v>
      </c>
      <c r="B918" s="3">
        <f t="shared" ca="1" si="119"/>
        <v>102500</v>
      </c>
      <c r="C918" s="26">
        <f t="shared" ca="1" si="120"/>
        <v>0.30306354925984125</v>
      </c>
      <c r="D918" s="26" t="str">
        <f t="shared" ca="1" si="118"/>
        <v>Lose</v>
      </c>
      <c r="E918" s="3">
        <f t="shared" ca="1" si="121"/>
        <v>-500</v>
      </c>
      <c r="F918" s="42">
        <f t="shared" si="117"/>
        <v>9.4001258995667839E-162</v>
      </c>
      <c r="G918" s="41">
        <f>SUM(F$11:F918)</f>
        <v>0.99999999999999989</v>
      </c>
    </row>
    <row r="919" spans="1:7" x14ac:dyDescent="0.25">
      <c r="A919" s="1">
        <f t="shared" si="116"/>
        <v>908</v>
      </c>
      <c r="B919" s="3">
        <f t="shared" ca="1" si="119"/>
        <v>102000</v>
      </c>
      <c r="C919" s="26">
        <f t="shared" ca="1" si="120"/>
        <v>0.35780319956617657</v>
      </c>
      <c r="D919" s="26" t="str">
        <f t="shared" ca="1" si="118"/>
        <v>Lose</v>
      </c>
      <c r="E919" s="3">
        <f t="shared" ca="1" si="121"/>
        <v>-500</v>
      </c>
      <c r="F919" s="42">
        <f t="shared" si="117"/>
        <v>1.0020857039837245E-162</v>
      </c>
      <c r="G919" s="41">
        <f>SUM(F$11:F919)</f>
        <v>0.99999999999999989</v>
      </c>
    </row>
    <row r="920" spans="1:7" x14ac:dyDescent="0.25">
      <c r="A920" s="1">
        <f t="shared" si="116"/>
        <v>909</v>
      </c>
      <c r="B920" s="3">
        <f t="shared" ca="1" si="119"/>
        <v>102500</v>
      </c>
      <c r="C920" s="26">
        <f t="shared" ca="1" si="120"/>
        <v>0.5516181881715303</v>
      </c>
      <c r="D920" s="26" t="str">
        <f t="shared" ca="1" si="118"/>
        <v>Win</v>
      </c>
      <c r="E920" s="3">
        <f t="shared" ca="1" si="121"/>
        <v>500</v>
      </c>
      <c r="F920" s="42">
        <f t="shared" si="117"/>
        <v>1.0556085680814627E-163</v>
      </c>
      <c r="G920" s="41">
        <f>SUM(F$11:F920)</f>
        <v>0.99999999999999989</v>
      </c>
    </row>
    <row r="921" spans="1:7" x14ac:dyDescent="0.25">
      <c r="A921" s="1">
        <f t="shared" si="116"/>
        <v>910</v>
      </c>
      <c r="B921" s="3">
        <f t="shared" ca="1" si="119"/>
        <v>102000</v>
      </c>
      <c r="C921" s="26">
        <f t="shared" ca="1" si="120"/>
        <v>0.20538309572792512</v>
      </c>
      <c r="D921" s="26" t="str">
        <f t="shared" ca="1" si="118"/>
        <v>Lose</v>
      </c>
      <c r="E921" s="3">
        <f t="shared" ca="1" si="121"/>
        <v>-500</v>
      </c>
      <c r="F921" s="42">
        <f t="shared" si="117"/>
        <v>1.0986946320847296E-164</v>
      </c>
      <c r="G921" s="41">
        <f>SUM(F$11:F921)</f>
        <v>0.99999999999999989</v>
      </c>
    </row>
    <row r="922" spans="1:7" x14ac:dyDescent="0.25">
      <c r="A922" s="1">
        <f t="shared" si="116"/>
        <v>911</v>
      </c>
      <c r="B922" s="3">
        <f t="shared" ca="1" si="119"/>
        <v>102500</v>
      </c>
      <c r="C922" s="26">
        <f t="shared" ca="1" si="120"/>
        <v>0.65612478671031926</v>
      </c>
      <c r="D922" s="26" t="str">
        <f t="shared" ca="1" si="118"/>
        <v>Win</v>
      </c>
      <c r="E922" s="3">
        <f t="shared" ca="1" si="121"/>
        <v>500</v>
      </c>
      <c r="F922" s="42">
        <f t="shared" si="117"/>
        <v>1.1297314817242962E-165</v>
      </c>
      <c r="G922" s="41">
        <f>SUM(F$11:F922)</f>
        <v>0.99999999999999989</v>
      </c>
    </row>
    <row r="923" spans="1:7" x14ac:dyDescent="0.25">
      <c r="A923" s="1">
        <f t="shared" si="116"/>
        <v>912</v>
      </c>
      <c r="B923" s="3">
        <f t="shared" ca="1" si="119"/>
        <v>103000</v>
      </c>
      <c r="C923" s="26">
        <f t="shared" ca="1" si="120"/>
        <v>0.9449527258633722</v>
      </c>
      <c r="D923" s="26" t="str">
        <f t="shared" ca="1" si="118"/>
        <v>Win</v>
      </c>
      <c r="E923" s="3">
        <f t="shared" ca="1" si="121"/>
        <v>500</v>
      </c>
      <c r="F923" s="42">
        <f t="shared" si="117"/>
        <v>1.1474783377072176E-166</v>
      </c>
      <c r="G923" s="41">
        <f>SUM(F$11:F923)</f>
        <v>0.99999999999999989</v>
      </c>
    </row>
    <row r="924" spans="1:7" x14ac:dyDescent="0.25">
      <c r="A924" s="1">
        <f t="shared" si="116"/>
        <v>913</v>
      </c>
      <c r="B924" s="3">
        <f t="shared" ca="1" si="119"/>
        <v>103500</v>
      </c>
      <c r="C924" s="26">
        <f t="shared" ca="1" si="120"/>
        <v>0.50897045156434795</v>
      </c>
      <c r="D924" s="26" t="str">
        <f t="shared" ca="1" si="118"/>
        <v>Win</v>
      </c>
      <c r="E924" s="3">
        <f t="shared" ca="1" si="121"/>
        <v>500</v>
      </c>
      <c r="F924" s="42">
        <f t="shared" si="117"/>
        <v>1.1511462055190011E-167</v>
      </c>
      <c r="G924" s="41">
        <f>SUM(F$11:F924)</f>
        <v>0.99999999999999989</v>
      </c>
    </row>
    <row r="925" spans="1:7" x14ac:dyDescent="0.25">
      <c r="A925" s="1">
        <f t="shared" si="116"/>
        <v>914</v>
      </c>
      <c r="B925" s="3">
        <f t="shared" ca="1" si="119"/>
        <v>103000</v>
      </c>
      <c r="C925" s="26">
        <f t="shared" ca="1" si="120"/>
        <v>0.46124236910708916</v>
      </c>
      <c r="D925" s="26" t="str">
        <f t="shared" ca="1" si="118"/>
        <v>Lose</v>
      </c>
      <c r="E925" s="3">
        <f t="shared" ca="1" si="121"/>
        <v>-500</v>
      </c>
      <c r="F925" s="42">
        <f t="shared" si="117"/>
        <v>1.1404536493297258E-168</v>
      </c>
      <c r="G925" s="41">
        <f>SUM(F$11:F925)</f>
        <v>0.99999999999999989</v>
      </c>
    </row>
    <row r="926" spans="1:7" x14ac:dyDescent="0.25">
      <c r="A926" s="1">
        <f t="shared" si="116"/>
        <v>915</v>
      </c>
      <c r="B926" s="3">
        <f t="shared" ca="1" si="119"/>
        <v>103500</v>
      </c>
      <c r="C926" s="26">
        <f t="shared" ca="1" si="120"/>
        <v>0.86534188622050512</v>
      </c>
      <c r="D926" s="26" t="str">
        <f t="shared" ca="1" si="118"/>
        <v>Win</v>
      </c>
      <c r="E926" s="3">
        <f t="shared" ca="1" si="121"/>
        <v>500</v>
      </c>
      <c r="F926" s="42">
        <f t="shared" si="117"/>
        <v>1.1156528841218516E-169</v>
      </c>
      <c r="G926" s="41">
        <f>SUM(F$11:F926)</f>
        <v>0.99999999999999989</v>
      </c>
    </row>
    <row r="927" spans="1:7" x14ac:dyDescent="0.25">
      <c r="A927" s="1">
        <f t="shared" si="116"/>
        <v>916</v>
      </c>
      <c r="B927" s="3">
        <f t="shared" ca="1" si="119"/>
        <v>104000</v>
      </c>
      <c r="C927" s="26">
        <f t="shared" ca="1" si="120"/>
        <v>0.67383321896975534</v>
      </c>
      <c r="D927" s="26" t="str">
        <f t="shared" ca="1" si="118"/>
        <v>Win</v>
      </c>
      <c r="E927" s="3">
        <f t="shared" ca="1" si="121"/>
        <v>500</v>
      </c>
      <c r="F927" s="42">
        <f t="shared" si="117"/>
        <v>1.0775232271340981E-170</v>
      </c>
      <c r="G927" s="41">
        <f>SUM(F$11:F927)</f>
        <v>0.99999999999999989</v>
      </c>
    </row>
    <row r="928" spans="1:7" x14ac:dyDescent="0.25">
      <c r="A928" s="1">
        <f t="shared" si="116"/>
        <v>917</v>
      </c>
      <c r="B928" s="3">
        <f t="shared" ca="1" si="119"/>
        <v>103500</v>
      </c>
      <c r="C928" s="26">
        <f t="shared" ca="1" si="120"/>
        <v>3.1371906570893726E-2</v>
      </c>
      <c r="D928" s="26" t="str">
        <f t="shared" ca="1" si="118"/>
        <v>Lose</v>
      </c>
      <c r="E928" s="3">
        <f t="shared" ca="1" si="121"/>
        <v>-500</v>
      </c>
      <c r="F928" s="42">
        <f t="shared" si="117"/>
        <v>1.0273316949773671E-171</v>
      </c>
      <c r="G928" s="41">
        <f>SUM(F$11:F928)</f>
        <v>0.99999999999999989</v>
      </c>
    </row>
    <row r="929" spans="1:7" x14ac:dyDescent="0.25">
      <c r="A929" s="1">
        <f t="shared" si="116"/>
        <v>918</v>
      </c>
      <c r="B929" s="3">
        <f t="shared" ca="1" si="119"/>
        <v>104000</v>
      </c>
      <c r="C929" s="26">
        <f t="shared" ca="1" si="120"/>
        <v>0.67354189841016665</v>
      </c>
      <c r="D929" s="26" t="str">
        <f t="shared" ca="1" si="118"/>
        <v>Win</v>
      </c>
      <c r="E929" s="3">
        <f t="shared" ca="1" si="121"/>
        <v>500</v>
      </c>
      <c r="F929" s="42">
        <f t="shared" si="117"/>
        <v>9.6676338642996786E-173</v>
      </c>
      <c r="G929" s="41">
        <f>SUM(F$11:F929)</f>
        <v>0.99999999999999989</v>
      </c>
    </row>
    <row r="930" spans="1:7" x14ac:dyDescent="0.25">
      <c r="A930" s="1">
        <f t="shared" si="116"/>
        <v>919</v>
      </c>
      <c r="B930" s="3">
        <f t="shared" ca="1" si="119"/>
        <v>104500</v>
      </c>
      <c r="C930" s="26">
        <f t="shared" ca="1" si="120"/>
        <v>0.58280289873054569</v>
      </c>
      <c r="D930" s="26" t="str">
        <f t="shared" ca="1" si="118"/>
        <v>Win</v>
      </c>
      <c r="E930" s="3">
        <f t="shared" ca="1" si="121"/>
        <v>500</v>
      </c>
      <c r="F930" s="42">
        <f t="shared" si="117"/>
        <v>8.9782693745427141E-174</v>
      </c>
      <c r="G930" s="41">
        <f>SUM(F$11:F930)</f>
        <v>0.99999999999999989</v>
      </c>
    </row>
    <row r="931" spans="1:7" x14ac:dyDescent="0.25">
      <c r="A931" s="1">
        <f t="shared" si="116"/>
        <v>920</v>
      </c>
      <c r="B931" s="3">
        <f t="shared" ca="1" si="119"/>
        <v>105000</v>
      </c>
      <c r="C931" s="26">
        <f t="shared" ca="1" si="120"/>
        <v>0.82536142166089255</v>
      </c>
      <c r="D931" s="26" t="str">
        <f t="shared" ca="1" si="118"/>
        <v>Win</v>
      </c>
      <c r="E931" s="3">
        <f t="shared" ca="1" si="121"/>
        <v>500</v>
      </c>
      <c r="F931" s="42">
        <f t="shared" si="117"/>
        <v>8.2274247529354481E-175</v>
      </c>
      <c r="G931" s="41">
        <f>SUM(F$11:F931)</f>
        <v>0.99999999999999989</v>
      </c>
    </row>
    <row r="932" spans="1:7" x14ac:dyDescent="0.25">
      <c r="A932" s="1">
        <f t="shared" si="116"/>
        <v>921</v>
      </c>
      <c r="B932" s="3">
        <f t="shared" ca="1" si="119"/>
        <v>104500</v>
      </c>
      <c r="C932" s="26">
        <f t="shared" ca="1" si="120"/>
        <v>0.14446954893850317</v>
      </c>
      <c r="D932" s="26" t="str">
        <f t="shared" ca="1" si="118"/>
        <v>Lose</v>
      </c>
      <c r="E932" s="3">
        <f t="shared" ca="1" si="121"/>
        <v>-500</v>
      </c>
      <c r="F932" s="42">
        <f t="shared" si="117"/>
        <v>7.4382089104519826E-176</v>
      </c>
      <c r="G932" s="41">
        <f>SUM(F$11:F932)</f>
        <v>0.99999999999999989</v>
      </c>
    </row>
    <row r="933" spans="1:7" x14ac:dyDescent="0.25">
      <c r="A933" s="1">
        <f t="shared" si="116"/>
        <v>922</v>
      </c>
      <c r="B933" s="3">
        <f t="shared" ca="1" si="119"/>
        <v>105000</v>
      </c>
      <c r="C933" s="26">
        <f t="shared" ca="1" si="120"/>
        <v>0.52509188132954876</v>
      </c>
      <c r="D933" s="26" t="str">
        <f t="shared" ca="1" si="118"/>
        <v>Win</v>
      </c>
      <c r="E933" s="3">
        <f t="shared" ca="1" si="121"/>
        <v>500</v>
      </c>
      <c r="F933" s="42">
        <f t="shared" si="117"/>
        <v>6.6334374474764411E-177</v>
      </c>
      <c r="G933" s="41">
        <f>SUM(F$11:F933)</f>
        <v>0.99999999999999989</v>
      </c>
    </row>
    <row r="934" spans="1:7" x14ac:dyDescent="0.25">
      <c r="A934" s="1">
        <f t="shared" si="116"/>
        <v>923</v>
      </c>
      <c r="B934" s="3">
        <f t="shared" ca="1" si="119"/>
        <v>105500</v>
      </c>
      <c r="C934" s="26">
        <f t="shared" ca="1" si="120"/>
        <v>0.75945266885700324</v>
      </c>
      <c r="D934" s="26" t="str">
        <f t="shared" ca="1" si="118"/>
        <v>Win</v>
      </c>
      <c r="E934" s="3">
        <f t="shared" ca="1" si="121"/>
        <v>500</v>
      </c>
      <c r="F934" s="42">
        <f t="shared" si="117"/>
        <v>5.8345267574818641E-178</v>
      </c>
      <c r="G934" s="41">
        <f>SUM(F$11:F934)</f>
        <v>0.99999999999999989</v>
      </c>
    </row>
    <row r="935" spans="1:7" x14ac:dyDescent="0.25">
      <c r="A935" s="1">
        <f t="shared" si="116"/>
        <v>924</v>
      </c>
      <c r="B935" s="3">
        <f t="shared" ca="1" si="119"/>
        <v>105000</v>
      </c>
      <c r="C935" s="26">
        <f t="shared" ca="1" si="120"/>
        <v>0.24460086450086505</v>
      </c>
      <c r="D935" s="26" t="str">
        <f t="shared" ca="1" si="118"/>
        <v>Lose</v>
      </c>
      <c r="E935" s="3">
        <f t="shared" ca="1" si="121"/>
        <v>-500</v>
      </c>
      <c r="F935" s="42">
        <f t="shared" si="117"/>
        <v>5.0605589223053883E-179</v>
      </c>
      <c r="G935" s="41">
        <f>SUM(F$11:F935)</f>
        <v>0.99999999999999989</v>
      </c>
    </row>
    <row r="936" spans="1:7" x14ac:dyDescent="0.25">
      <c r="A936" s="1">
        <f t="shared" si="116"/>
        <v>925</v>
      </c>
      <c r="B936" s="3">
        <f t="shared" ca="1" si="119"/>
        <v>105500</v>
      </c>
      <c r="C936" s="26">
        <f t="shared" ca="1" si="120"/>
        <v>0.55131000158349908</v>
      </c>
      <c r="D936" s="26" t="str">
        <f t="shared" ca="1" si="118"/>
        <v>Win</v>
      </c>
      <c r="E936" s="3">
        <f t="shared" ca="1" si="121"/>
        <v>500</v>
      </c>
      <c r="F936" s="42">
        <f t="shared" si="117"/>
        <v>4.3275733883855739E-180</v>
      </c>
      <c r="G936" s="41">
        <f>SUM(F$11:F936)</f>
        <v>0.99999999999999989</v>
      </c>
    </row>
    <row r="937" spans="1:7" x14ac:dyDescent="0.25">
      <c r="A937" s="1">
        <f t="shared" si="116"/>
        <v>926</v>
      </c>
      <c r="B937" s="3">
        <f t="shared" ca="1" si="119"/>
        <v>105000</v>
      </c>
      <c r="C937" s="26">
        <f t="shared" ca="1" si="120"/>
        <v>0.17355671325593558</v>
      </c>
      <c r="D937" s="26" t="str">
        <f t="shared" ca="1" si="118"/>
        <v>Lose</v>
      </c>
      <c r="E937" s="3">
        <f t="shared" ca="1" si="121"/>
        <v>-500</v>
      </c>
      <c r="F937" s="42">
        <f t="shared" si="117"/>
        <v>3.6481174704838145E-181</v>
      </c>
      <c r="G937" s="41">
        <f>SUM(F$11:F937)</f>
        <v>0.99999999999999989</v>
      </c>
    </row>
    <row r="938" spans="1:7" x14ac:dyDescent="0.25">
      <c r="A938" s="1">
        <f t="shared" si="116"/>
        <v>927</v>
      </c>
      <c r="B938" s="3">
        <f t="shared" ca="1" si="119"/>
        <v>104500</v>
      </c>
      <c r="C938" s="26">
        <f t="shared" ca="1" si="120"/>
        <v>0.13463675434875244</v>
      </c>
      <c r="D938" s="26" t="str">
        <f t="shared" ca="1" si="118"/>
        <v>Lose</v>
      </c>
      <c r="E938" s="3">
        <f t="shared" ca="1" si="121"/>
        <v>-500</v>
      </c>
      <c r="F938" s="42">
        <f t="shared" si="117"/>
        <v>3.0310625307898817E-182</v>
      </c>
      <c r="G938" s="41">
        <f>SUM(F$11:F938)</f>
        <v>0.99999999999999989</v>
      </c>
    </row>
    <row r="939" spans="1:7" x14ac:dyDescent="0.25">
      <c r="A939" s="1">
        <f t="shared" si="116"/>
        <v>928</v>
      </c>
      <c r="B939" s="3">
        <f t="shared" ca="1" si="119"/>
        <v>105000</v>
      </c>
      <c r="C939" s="26">
        <f t="shared" ca="1" si="120"/>
        <v>0.99039319738737841</v>
      </c>
      <c r="D939" s="26" t="str">
        <f t="shared" ca="1" si="118"/>
        <v>Win</v>
      </c>
      <c r="E939" s="3">
        <f t="shared" ca="1" si="121"/>
        <v>500</v>
      </c>
      <c r="F939" s="42">
        <f t="shared" si="117"/>
        <v>2.4816691155283719E-183</v>
      </c>
      <c r="G939" s="41">
        <f>SUM(F$11:F939)</f>
        <v>0.99999999999999989</v>
      </c>
    </row>
    <row r="940" spans="1:7" x14ac:dyDescent="0.25">
      <c r="A940" s="1">
        <f t="shared" si="116"/>
        <v>929</v>
      </c>
      <c r="B940" s="3">
        <f t="shared" ca="1" si="119"/>
        <v>105500</v>
      </c>
      <c r="C940" s="26">
        <f t="shared" ca="1" si="120"/>
        <v>0.76984025642878107</v>
      </c>
      <c r="D940" s="26" t="str">
        <f t="shared" ca="1" si="118"/>
        <v>Win</v>
      </c>
      <c r="E940" s="3">
        <f t="shared" ca="1" si="121"/>
        <v>500</v>
      </c>
      <c r="F940" s="42">
        <f t="shared" si="117"/>
        <v>2.0018648518752594E-184</v>
      </c>
      <c r="G940" s="41">
        <f>SUM(F$11:F940)</f>
        <v>0.99999999999999989</v>
      </c>
    </row>
    <row r="941" spans="1:7" x14ac:dyDescent="0.25">
      <c r="A941" s="1">
        <f t="shared" si="116"/>
        <v>930</v>
      </c>
      <c r="B941" s="3">
        <f t="shared" ca="1" si="119"/>
        <v>106000</v>
      </c>
      <c r="C941" s="26">
        <f t="shared" ca="1" si="120"/>
        <v>0.84826300352588369</v>
      </c>
      <c r="D941" s="26" t="str">
        <f t="shared" ca="1" si="118"/>
        <v>Win</v>
      </c>
      <c r="E941" s="3">
        <f t="shared" ca="1" si="121"/>
        <v>500</v>
      </c>
      <c r="F941" s="42">
        <f t="shared" si="117"/>
        <v>1.5906852377966783E-185</v>
      </c>
      <c r="G941" s="41">
        <f>SUM(F$11:F941)</f>
        <v>0.99999999999999989</v>
      </c>
    </row>
    <row r="942" spans="1:7" x14ac:dyDescent="0.25">
      <c r="A942" s="1">
        <f t="shared" si="116"/>
        <v>931</v>
      </c>
      <c r="B942" s="3">
        <f t="shared" ca="1" si="119"/>
        <v>106500</v>
      </c>
      <c r="C942" s="26">
        <f t="shared" ca="1" si="120"/>
        <v>0.72094533476825695</v>
      </c>
      <c r="D942" s="26" t="str">
        <f t="shared" ca="1" si="118"/>
        <v>Win</v>
      </c>
      <c r="E942" s="3">
        <f t="shared" ca="1" si="121"/>
        <v>500</v>
      </c>
      <c r="F942" s="42">
        <f t="shared" si="117"/>
        <v>1.244820425466206E-186</v>
      </c>
      <c r="G942" s="41">
        <f>SUM(F$11:F942)</f>
        <v>0.99999999999999989</v>
      </c>
    </row>
    <row r="943" spans="1:7" x14ac:dyDescent="0.25">
      <c r="A943" s="1">
        <f t="shared" si="116"/>
        <v>932</v>
      </c>
      <c r="B943" s="3">
        <f t="shared" ca="1" si="119"/>
        <v>107000</v>
      </c>
      <c r="C943" s="26">
        <f t="shared" ca="1" si="120"/>
        <v>0.6556401050555587</v>
      </c>
      <c r="D943" s="26" t="str">
        <f t="shared" ca="1" si="118"/>
        <v>Win</v>
      </c>
      <c r="E943" s="3">
        <f t="shared" ca="1" si="121"/>
        <v>500</v>
      </c>
      <c r="F943" s="42">
        <f t="shared" si="117"/>
        <v>9.5921062389760518E-188</v>
      </c>
      <c r="G943" s="41">
        <f>SUM(F$11:F943)</f>
        <v>0.99999999999999989</v>
      </c>
    </row>
    <row r="944" spans="1:7" x14ac:dyDescent="0.25">
      <c r="A944" s="1">
        <f t="shared" si="116"/>
        <v>933</v>
      </c>
      <c r="B944" s="3">
        <f t="shared" ca="1" si="119"/>
        <v>106500</v>
      </c>
      <c r="C944" s="26">
        <f t="shared" ca="1" si="120"/>
        <v>5.2263770304728951E-2</v>
      </c>
      <c r="D944" s="26" t="str">
        <f t="shared" ca="1" si="118"/>
        <v>Lose</v>
      </c>
      <c r="E944" s="3">
        <f t="shared" ca="1" si="121"/>
        <v>-500</v>
      </c>
      <c r="F944" s="42">
        <f t="shared" si="117"/>
        <v>7.2763795605067294E-189</v>
      </c>
      <c r="G944" s="41">
        <f>SUM(F$11:F944)</f>
        <v>0.99999999999999989</v>
      </c>
    </row>
    <row r="945" spans="1:7" x14ac:dyDescent="0.25">
      <c r="A945" s="1">
        <f t="shared" si="116"/>
        <v>934</v>
      </c>
      <c r="B945" s="3">
        <f t="shared" ca="1" si="119"/>
        <v>107000</v>
      </c>
      <c r="C945" s="26">
        <f t="shared" ca="1" si="120"/>
        <v>0.51877332472155679</v>
      </c>
      <c r="D945" s="26" t="str">
        <f t="shared" ca="1" si="118"/>
        <v>Win</v>
      </c>
      <c r="E945" s="3">
        <f t="shared" ca="1" si="121"/>
        <v>500</v>
      </c>
      <c r="F945" s="42">
        <f t="shared" si="117"/>
        <v>5.432720569473298E-190</v>
      </c>
      <c r="G945" s="41">
        <f>SUM(F$11:F945)</f>
        <v>0.99999999999999989</v>
      </c>
    </row>
    <row r="946" spans="1:7" x14ac:dyDescent="0.25">
      <c r="A946" s="1">
        <f>A945+1</f>
        <v>935</v>
      </c>
      <c r="B946" s="3">
        <f t="shared" ca="1" si="119"/>
        <v>107500</v>
      </c>
      <c r="C946" s="26">
        <f t="shared" ca="1" si="120"/>
        <v>0.96488058434561608</v>
      </c>
      <c r="D946" s="26" t="str">
        <f t="shared" ca="1" si="118"/>
        <v>Win</v>
      </c>
      <c r="E946" s="3">
        <f t="shared" ca="1" si="121"/>
        <v>500</v>
      </c>
      <c r="F946" s="42">
        <f t="shared" si="117"/>
        <v>3.9913865408376591E-191</v>
      </c>
      <c r="G946" s="41">
        <f>SUM(F$11:F946)</f>
        <v>0.99999999999999989</v>
      </c>
    </row>
    <row r="947" spans="1:7" x14ac:dyDescent="0.25">
      <c r="A947" s="1">
        <f t="shared" ref="A947:A1010" si="122">A946+1</f>
        <v>936</v>
      </c>
      <c r="B947" s="3">
        <f t="shared" ca="1" si="119"/>
        <v>107000</v>
      </c>
      <c r="C947" s="26">
        <f t="shared" ca="1" si="120"/>
        <v>0.1310463815712154</v>
      </c>
      <c r="D947" s="26" t="str">
        <f t="shared" ca="1" si="118"/>
        <v>Lose</v>
      </c>
      <c r="E947" s="3">
        <f t="shared" ca="1" si="121"/>
        <v>-500</v>
      </c>
      <c r="F947" s="42">
        <f t="shared" si="117"/>
        <v>2.8849307480542765E-192</v>
      </c>
      <c r="G947" s="41">
        <f>SUM(F$11:F947)</f>
        <v>0.99999999999999989</v>
      </c>
    </row>
    <row r="948" spans="1:7" x14ac:dyDescent="0.25">
      <c r="A948" s="1">
        <f t="shared" si="122"/>
        <v>937</v>
      </c>
      <c r="B948" s="3">
        <f t="shared" ca="1" si="119"/>
        <v>106500</v>
      </c>
      <c r="C948" s="26">
        <f t="shared" ca="1" si="120"/>
        <v>0.20152630777340774</v>
      </c>
      <c r="D948" s="26" t="str">
        <f t="shared" ca="1" si="118"/>
        <v>Lose</v>
      </c>
      <c r="E948" s="3">
        <f t="shared" ca="1" si="121"/>
        <v>-500</v>
      </c>
      <c r="F948" s="42">
        <f t="shared" si="117"/>
        <v>2.0509254375994338E-193</v>
      </c>
      <c r="G948" s="41">
        <f>SUM(F$11:F948)</f>
        <v>0.99999999999999989</v>
      </c>
    </row>
    <row r="949" spans="1:7" x14ac:dyDescent="0.25">
      <c r="A949" s="1">
        <f t="shared" si="122"/>
        <v>938</v>
      </c>
      <c r="B949" s="3">
        <f t="shared" ca="1" si="119"/>
        <v>107000</v>
      </c>
      <c r="C949" s="26">
        <f t="shared" ca="1" si="120"/>
        <v>0.97141440196043061</v>
      </c>
      <c r="D949" s="26" t="str">
        <f t="shared" ca="1" si="118"/>
        <v>Win</v>
      </c>
      <c r="E949" s="3">
        <f t="shared" ca="1" si="121"/>
        <v>500</v>
      </c>
      <c r="F949" s="42">
        <f t="shared" si="117"/>
        <v>1.4337112029516496E-194</v>
      </c>
      <c r="G949" s="41">
        <f>SUM(F$11:F949)</f>
        <v>0.99999999999999989</v>
      </c>
    </row>
    <row r="950" spans="1:7" x14ac:dyDescent="0.25">
      <c r="A950" s="1">
        <f t="shared" si="122"/>
        <v>939</v>
      </c>
      <c r="B950" s="3">
        <f t="shared" ca="1" si="119"/>
        <v>106500</v>
      </c>
      <c r="C950" s="26">
        <f t="shared" ca="1" si="120"/>
        <v>0.17752451663248003</v>
      </c>
      <c r="D950" s="26" t="str">
        <f t="shared" ca="1" si="118"/>
        <v>Lose</v>
      </c>
      <c r="E950" s="3">
        <f t="shared" ca="1" si="121"/>
        <v>-500</v>
      </c>
      <c r="F950" s="42">
        <f t="shared" si="117"/>
        <v>9.8528500222399497E-196</v>
      </c>
      <c r="G950" s="41">
        <f>SUM(F$11:F950)</f>
        <v>0.99999999999999989</v>
      </c>
    </row>
    <row r="951" spans="1:7" x14ac:dyDescent="0.25">
      <c r="A951" s="1">
        <f t="shared" si="122"/>
        <v>940</v>
      </c>
      <c r="B951" s="3">
        <f t="shared" ca="1" si="119"/>
        <v>107000</v>
      </c>
      <c r="C951" s="26">
        <f t="shared" ca="1" si="120"/>
        <v>0.72656643285600497</v>
      </c>
      <c r="D951" s="26" t="str">
        <f t="shared" ca="1" si="118"/>
        <v>Win</v>
      </c>
      <c r="E951" s="3">
        <f t="shared" ca="1" si="121"/>
        <v>500</v>
      </c>
      <c r="F951" s="42">
        <f t="shared" si="117"/>
        <v>6.6548450758119936E-197</v>
      </c>
      <c r="G951" s="41">
        <f>SUM(F$11:F951)</f>
        <v>0.99999999999999989</v>
      </c>
    </row>
    <row r="952" spans="1:7" x14ac:dyDescent="0.25">
      <c r="A952" s="1">
        <f t="shared" si="122"/>
        <v>941</v>
      </c>
      <c r="B952" s="3">
        <f t="shared" ca="1" si="119"/>
        <v>107500</v>
      </c>
      <c r="C952" s="26">
        <f t="shared" ca="1" si="120"/>
        <v>0.52900975891386959</v>
      </c>
      <c r="D952" s="26" t="str">
        <f t="shared" ca="1" si="118"/>
        <v>Win</v>
      </c>
      <c r="E952" s="3">
        <f t="shared" ca="1" si="121"/>
        <v>500</v>
      </c>
      <c r="F952" s="42">
        <f t="shared" si="117"/>
        <v>4.4164536060174076E-198</v>
      </c>
      <c r="G952" s="41">
        <f>SUM(F$11:F952)</f>
        <v>0.99999999999999989</v>
      </c>
    </row>
    <row r="953" spans="1:7" x14ac:dyDescent="0.25">
      <c r="A953" s="1">
        <f t="shared" si="122"/>
        <v>942</v>
      </c>
      <c r="B953" s="3">
        <f t="shared" ca="1" si="119"/>
        <v>108000</v>
      </c>
      <c r="C953" s="26">
        <f t="shared" ca="1" si="120"/>
        <v>0.99070161143553903</v>
      </c>
      <c r="D953" s="26" t="str">
        <f t="shared" ca="1" si="118"/>
        <v>Win</v>
      </c>
      <c r="E953" s="3">
        <f t="shared" ca="1" si="121"/>
        <v>500</v>
      </c>
      <c r="F953" s="42">
        <f t="shared" si="117"/>
        <v>2.8790478141392466E-199</v>
      </c>
      <c r="G953" s="41">
        <f>SUM(F$11:F953)</f>
        <v>0.99999999999999989</v>
      </c>
    </row>
    <row r="954" spans="1:7" x14ac:dyDescent="0.25">
      <c r="A954" s="1">
        <f t="shared" si="122"/>
        <v>943</v>
      </c>
      <c r="B954" s="3">
        <f t="shared" ca="1" si="119"/>
        <v>108500</v>
      </c>
      <c r="C954" s="26">
        <f t="shared" ca="1" si="120"/>
        <v>0.87941985891835528</v>
      </c>
      <c r="D954" s="26" t="str">
        <f t="shared" ca="1" si="118"/>
        <v>Win</v>
      </c>
      <c r="E954" s="3">
        <f t="shared" ca="1" si="121"/>
        <v>500</v>
      </c>
      <c r="F954" s="42">
        <f t="shared" si="117"/>
        <v>1.8430591542891904E-200</v>
      </c>
      <c r="G954" s="41">
        <f>SUM(F$11:F954)</f>
        <v>0.99999999999999989</v>
      </c>
    </row>
    <row r="955" spans="1:7" x14ac:dyDescent="0.25">
      <c r="A955" s="1">
        <f t="shared" si="122"/>
        <v>944</v>
      </c>
      <c r="B955" s="3">
        <f t="shared" ca="1" si="119"/>
        <v>108000</v>
      </c>
      <c r="C955" s="26">
        <f t="shared" ca="1" si="120"/>
        <v>0.30692632676377607</v>
      </c>
      <c r="D955" s="26" t="str">
        <f t="shared" ca="1" si="118"/>
        <v>Lose</v>
      </c>
      <c r="E955" s="3">
        <f t="shared" ca="1" si="121"/>
        <v>-500</v>
      </c>
      <c r="F955" s="42">
        <f t="shared" si="117"/>
        <v>1.158287132808595E-201</v>
      </c>
      <c r="G955" s="41">
        <f>SUM(F$11:F955)</f>
        <v>0.99999999999999989</v>
      </c>
    </row>
    <row r="956" spans="1:7" x14ac:dyDescent="0.25">
      <c r="A956" s="1">
        <f t="shared" si="122"/>
        <v>945</v>
      </c>
      <c r="B956" s="3">
        <f t="shared" ca="1" si="119"/>
        <v>108500</v>
      </c>
      <c r="C956" s="26">
        <f t="shared" ca="1" si="120"/>
        <v>0.6531946645092882</v>
      </c>
      <c r="D956" s="26" t="str">
        <f t="shared" ca="1" si="118"/>
        <v>Win</v>
      </c>
      <c r="E956" s="3">
        <f t="shared" ca="1" si="121"/>
        <v>500</v>
      </c>
      <c r="F956" s="42">
        <f t="shared" si="117"/>
        <v>7.1440839030364797E-203</v>
      </c>
      <c r="G956" s="41">
        <f>SUM(F$11:F956)</f>
        <v>0.99999999999999989</v>
      </c>
    </row>
    <row r="957" spans="1:7" x14ac:dyDescent="0.25">
      <c r="A957" s="1">
        <f t="shared" si="122"/>
        <v>946</v>
      </c>
      <c r="B957" s="3">
        <f t="shared" ca="1" si="119"/>
        <v>108000</v>
      </c>
      <c r="C957" s="26">
        <f t="shared" ca="1" si="120"/>
        <v>0.16639168216150235</v>
      </c>
      <c r="D957" s="26" t="str">
        <f t="shared" ca="1" si="118"/>
        <v>Lose</v>
      </c>
      <c r="E957" s="3">
        <f t="shared" ca="1" si="121"/>
        <v>-500</v>
      </c>
      <c r="F957" s="42">
        <f t="shared" si="117"/>
        <v>4.3230692816193618E-204</v>
      </c>
      <c r="G957" s="41">
        <f>SUM(F$11:F957)</f>
        <v>0.99999999999999989</v>
      </c>
    </row>
    <row r="958" spans="1:7" x14ac:dyDescent="0.25">
      <c r="A958" s="1">
        <f t="shared" si="122"/>
        <v>947</v>
      </c>
      <c r="B958" s="3">
        <f t="shared" ca="1" si="119"/>
        <v>108500</v>
      </c>
      <c r="C958" s="26">
        <f t="shared" ca="1" si="120"/>
        <v>0.59450096914929007</v>
      </c>
      <c r="D958" s="26" t="str">
        <f t="shared" ca="1" si="118"/>
        <v>Win</v>
      </c>
      <c r="E958" s="3">
        <f t="shared" ca="1" si="121"/>
        <v>500</v>
      </c>
      <c r="F958" s="42">
        <f t="shared" si="117"/>
        <v>2.5657248026160473E-205</v>
      </c>
      <c r="G958" s="41">
        <f>SUM(F$11:F958)</f>
        <v>0.99999999999999989</v>
      </c>
    </row>
    <row r="959" spans="1:7" x14ac:dyDescent="0.25">
      <c r="A959" s="1">
        <f t="shared" si="122"/>
        <v>948</v>
      </c>
      <c r="B959" s="3">
        <f t="shared" ca="1" si="119"/>
        <v>108000</v>
      </c>
      <c r="C959" s="26">
        <f t="shared" ca="1" si="120"/>
        <v>3.8929286897971704E-2</v>
      </c>
      <c r="D959" s="26" t="str">
        <f t="shared" ca="1" si="118"/>
        <v>Lose</v>
      </c>
      <c r="E959" s="3">
        <f t="shared" ca="1" si="121"/>
        <v>-500</v>
      </c>
      <c r="F959" s="42">
        <f t="shared" si="117"/>
        <v>1.492972130687811E-206</v>
      </c>
      <c r="G959" s="41">
        <f>SUM(F$11:F959)</f>
        <v>0.99999999999999989</v>
      </c>
    </row>
    <row r="960" spans="1:7" x14ac:dyDescent="0.25">
      <c r="A960" s="1">
        <f t="shared" si="122"/>
        <v>949</v>
      </c>
      <c r="B960" s="3">
        <f t="shared" ca="1" si="119"/>
        <v>107500</v>
      </c>
      <c r="C960" s="26">
        <f t="shared" ca="1" si="120"/>
        <v>4.4709517590198478E-2</v>
      </c>
      <c r="D960" s="26" t="str">
        <f t="shared" ca="1" si="118"/>
        <v>Lose</v>
      </c>
      <c r="E960" s="3">
        <f t="shared" ca="1" si="121"/>
        <v>-500</v>
      </c>
      <c r="F960" s="42">
        <f t="shared" si="117"/>
        <v>8.5145740749332898E-208</v>
      </c>
      <c r="G960" s="41">
        <f>SUM(F$11:F960)</f>
        <v>0.99999999999999989</v>
      </c>
    </row>
    <row r="961" spans="1:7" x14ac:dyDescent="0.25">
      <c r="A961" s="1">
        <f t="shared" si="122"/>
        <v>950</v>
      </c>
      <c r="B961" s="3">
        <f t="shared" ca="1" si="119"/>
        <v>107000</v>
      </c>
      <c r="C961" s="26">
        <f t="shared" ca="1" si="120"/>
        <v>0.40554231153910358</v>
      </c>
      <c r="D961" s="26" t="str">
        <f t="shared" ca="1" si="118"/>
        <v>Lose</v>
      </c>
      <c r="E961" s="3">
        <f t="shared" ca="1" si="121"/>
        <v>-500</v>
      </c>
      <c r="F961" s="42">
        <f t="shared" si="117"/>
        <v>4.7575525604511719E-209</v>
      </c>
      <c r="G961" s="41">
        <f>SUM(F$11:F961)</f>
        <v>0.99999999999999989</v>
      </c>
    </row>
    <row r="962" spans="1:7" x14ac:dyDescent="0.25">
      <c r="A962" s="1">
        <f t="shared" si="122"/>
        <v>951</v>
      </c>
      <c r="B962" s="3">
        <f t="shared" ca="1" si="119"/>
        <v>107500</v>
      </c>
      <c r="C962" s="26">
        <f t="shared" ca="1" si="120"/>
        <v>0.92766780590911002</v>
      </c>
      <c r="D962" s="26" t="str">
        <f t="shared" ca="1" si="118"/>
        <v>Win</v>
      </c>
      <c r="E962" s="3">
        <f t="shared" ca="1" si="121"/>
        <v>500</v>
      </c>
      <c r="F962" s="42">
        <f t="shared" si="117"/>
        <v>2.6034376336720967E-210</v>
      </c>
      <c r="G962" s="41">
        <f>SUM(F$11:F962)</f>
        <v>0.99999999999999989</v>
      </c>
    </row>
    <row r="963" spans="1:7" x14ac:dyDescent="0.25">
      <c r="A963" s="1">
        <f t="shared" si="122"/>
        <v>952</v>
      </c>
      <c r="B963" s="3">
        <f t="shared" ca="1" si="119"/>
        <v>107000</v>
      </c>
      <c r="C963" s="26">
        <f t="shared" ca="1" si="120"/>
        <v>0.48743800485614663</v>
      </c>
      <c r="D963" s="26" t="str">
        <f t="shared" ca="1" si="118"/>
        <v>Lose</v>
      </c>
      <c r="E963" s="3">
        <f t="shared" ca="1" si="121"/>
        <v>-500</v>
      </c>
      <c r="F963" s="42">
        <f t="shared" si="117"/>
        <v>1.3946987323243957E-211</v>
      </c>
      <c r="G963" s="41">
        <f>SUM(F$11:F963)</f>
        <v>0.99999999999999989</v>
      </c>
    </row>
    <row r="964" spans="1:7" x14ac:dyDescent="0.25">
      <c r="A964" s="1">
        <f t="shared" si="122"/>
        <v>953</v>
      </c>
      <c r="B964" s="3">
        <f t="shared" ca="1" si="119"/>
        <v>107500</v>
      </c>
      <c r="C964" s="26">
        <f t="shared" ca="1" si="120"/>
        <v>0.77662595086025343</v>
      </c>
      <c r="D964" s="26" t="str">
        <f t="shared" ca="1" si="118"/>
        <v>Win</v>
      </c>
      <c r="E964" s="3">
        <f t="shared" ca="1" si="121"/>
        <v>500</v>
      </c>
      <c r="F964" s="42">
        <f t="shared" si="117"/>
        <v>7.3114386293123642E-213</v>
      </c>
      <c r="G964" s="41">
        <f>SUM(F$11:F964)</f>
        <v>0.99999999999999989</v>
      </c>
    </row>
    <row r="965" spans="1:7" x14ac:dyDescent="0.25">
      <c r="A965" s="1">
        <f t="shared" si="122"/>
        <v>954</v>
      </c>
      <c r="B965" s="3">
        <f t="shared" ca="1" si="119"/>
        <v>107000</v>
      </c>
      <c r="C965" s="26">
        <f t="shared" ca="1" si="120"/>
        <v>0.17420255147359842</v>
      </c>
      <c r="D965" s="26" t="str">
        <f t="shared" ca="1" si="118"/>
        <v>Lose</v>
      </c>
      <c r="E965" s="3">
        <f t="shared" ca="1" si="121"/>
        <v>-500</v>
      </c>
      <c r="F965" s="42">
        <f t="shared" si="117"/>
        <v>3.7490947662822922E-214</v>
      </c>
      <c r="G965" s="41">
        <f>SUM(F$11:F965)</f>
        <v>0.99999999999999989</v>
      </c>
    </row>
    <row r="966" spans="1:7" x14ac:dyDescent="0.25">
      <c r="A966" s="1">
        <f t="shared" si="122"/>
        <v>955</v>
      </c>
      <c r="B966" s="3">
        <f t="shared" ca="1" si="119"/>
        <v>106500</v>
      </c>
      <c r="C966" s="26">
        <f t="shared" ca="1" si="120"/>
        <v>1.0972447843601851E-2</v>
      </c>
      <c r="D966" s="26" t="str">
        <f t="shared" ca="1" si="118"/>
        <v>Lose</v>
      </c>
      <c r="E966" s="3">
        <f t="shared" ca="1" si="121"/>
        <v>-500</v>
      </c>
      <c r="F966" s="42">
        <f t="shared" si="117"/>
        <v>1.8795547220211975E-215</v>
      </c>
      <c r="G966" s="41">
        <f>SUM(F$11:F966)</f>
        <v>0.99999999999999989</v>
      </c>
    </row>
    <row r="967" spans="1:7" x14ac:dyDescent="0.25">
      <c r="A967" s="1">
        <f t="shared" si="122"/>
        <v>956</v>
      </c>
      <c r="B967" s="3">
        <f t="shared" ca="1" si="119"/>
        <v>107000</v>
      </c>
      <c r="C967" s="26">
        <f t="shared" ca="1" si="120"/>
        <v>0.66216606332394323</v>
      </c>
      <c r="D967" s="26" t="str">
        <f t="shared" ca="1" si="118"/>
        <v>Win</v>
      </c>
      <c r="E967" s="3">
        <f t="shared" ca="1" si="121"/>
        <v>500</v>
      </c>
      <c r="F967" s="42">
        <f t="shared" si="117"/>
        <v>9.2083897340927444E-217</v>
      </c>
      <c r="G967" s="41">
        <f>SUM(F$11:F967)</f>
        <v>0.99999999999999989</v>
      </c>
    </row>
    <row r="968" spans="1:7" x14ac:dyDescent="0.25">
      <c r="A968" s="1">
        <f t="shared" si="122"/>
        <v>957</v>
      </c>
      <c r="B968" s="3">
        <f t="shared" ca="1" si="119"/>
        <v>106500</v>
      </c>
      <c r="C968" s="26">
        <f t="shared" ca="1" si="120"/>
        <v>0.3737180001940521</v>
      </c>
      <c r="D968" s="26" t="str">
        <f t="shared" ca="1" si="118"/>
        <v>Lose</v>
      </c>
      <c r="E968" s="3">
        <f t="shared" ca="1" si="121"/>
        <v>-500</v>
      </c>
      <c r="F968" s="42">
        <f t="shared" si="117"/>
        <v>4.4065482189886514E-218</v>
      </c>
      <c r="G968" s="41">
        <f>SUM(F$11:F968)</f>
        <v>0.99999999999999989</v>
      </c>
    </row>
    <row r="969" spans="1:7" x14ac:dyDescent="0.25">
      <c r="A969" s="1">
        <f t="shared" si="122"/>
        <v>958</v>
      </c>
      <c r="B969" s="3">
        <f t="shared" ca="1" si="119"/>
        <v>106000</v>
      </c>
      <c r="C969" s="26">
        <f t="shared" ca="1" si="120"/>
        <v>0.44689878225697666</v>
      </c>
      <c r="D969" s="26" t="str">
        <f t="shared" ca="1" si="118"/>
        <v>Lose</v>
      </c>
      <c r="E969" s="3">
        <f t="shared" ca="1" si="121"/>
        <v>-500</v>
      </c>
      <c r="F969" s="42">
        <f t="shared" si="117"/>
        <v>2.0586170687750289E-219</v>
      </c>
      <c r="G969" s="41">
        <f>SUM(F$11:F969)</f>
        <v>0.99999999999999989</v>
      </c>
    </row>
    <row r="970" spans="1:7" x14ac:dyDescent="0.25">
      <c r="A970" s="1">
        <f t="shared" si="122"/>
        <v>959</v>
      </c>
      <c r="B970" s="3">
        <f t="shared" ca="1" si="119"/>
        <v>105500</v>
      </c>
      <c r="C970" s="26">
        <f t="shared" ca="1" si="120"/>
        <v>0.10614092893536953</v>
      </c>
      <c r="D970" s="26" t="str">
        <f t="shared" ca="1" si="118"/>
        <v>Lose</v>
      </c>
      <c r="E970" s="3">
        <f t="shared" ca="1" si="121"/>
        <v>-500</v>
      </c>
      <c r="F970" s="42">
        <f t="shared" si="117"/>
        <v>9.383834694550355E-221</v>
      </c>
      <c r="G970" s="41">
        <f>SUM(F$11:F970)</f>
        <v>0.99999999999999989</v>
      </c>
    </row>
    <row r="971" spans="1:7" x14ac:dyDescent="0.25">
      <c r="A971" s="1">
        <f t="shared" si="122"/>
        <v>960</v>
      </c>
      <c r="B971" s="3">
        <f t="shared" ca="1" si="119"/>
        <v>106000</v>
      </c>
      <c r="C971" s="26">
        <f t="shared" ca="1" si="120"/>
        <v>0.83562335030868573</v>
      </c>
      <c r="D971" s="26" t="str">
        <f t="shared" ca="1" si="118"/>
        <v>Win</v>
      </c>
      <c r="E971" s="3">
        <f t="shared" ca="1" si="121"/>
        <v>500</v>
      </c>
      <c r="F971" s="42">
        <f t="shared" si="117"/>
        <v>4.1712581518499768E-222</v>
      </c>
      <c r="G971" s="41">
        <f>SUM(F$11:F971)</f>
        <v>0.99999999999999989</v>
      </c>
    </row>
    <row r="972" spans="1:7" x14ac:dyDescent="0.25">
      <c r="A972" s="1">
        <f t="shared" si="122"/>
        <v>961</v>
      </c>
      <c r="B972" s="3">
        <f t="shared" ca="1" si="119"/>
        <v>105500</v>
      </c>
      <c r="C972" s="26">
        <f t="shared" ca="1" si="120"/>
        <v>2.469602981876029E-2</v>
      </c>
      <c r="D972" s="26" t="str">
        <f t="shared" ca="1" si="118"/>
        <v>Lose</v>
      </c>
      <c r="E972" s="3">
        <f t="shared" ca="1" si="121"/>
        <v>-500</v>
      </c>
      <c r="F972" s="42">
        <f t="shared" ref="F972:F1011" si="123">_xlfn.BINOM.DIST(A972,$A$1011,$B$1,FALSE)</f>
        <v>1.8070816177396442E-223</v>
      </c>
      <c r="G972" s="41">
        <f>SUM(F$11:F972)</f>
        <v>0.99999999999999989</v>
      </c>
    </row>
    <row r="973" spans="1:7" x14ac:dyDescent="0.25">
      <c r="A973" s="1">
        <f t="shared" si="122"/>
        <v>962</v>
      </c>
      <c r="B973" s="3">
        <f t="shared" ca="1" si="119"/>
        <v>106000</v>
      </c>
      <c r="C973" s="26">
        <f t="shared" ca="1" si="120"/>
        <v>0.98149979054447867</v>
      </c>
      <c r="D973" s="26" t="str">
        <f t="shared" ref="D973:D1011" ca="1" si="124">IF(C973&gt;$B$2,"Win","Lose")</f>
        <v>Win</v>
      </c>
      <c r="E973" s="3">
        <f t="shared" ca="1" si="121"/>
        <v>500</v>
      </c>
      <c r="F973" s="42">
        <f t="shared" si="123"/>
        <v>7.6250272342573741E-225</v>
      </c>
      <c r="G973" s="41">
        <f>SUM(F$11:F973)</f>
        <v>0.99999999999999989</v>
      </c>
    </row>
    <row r="974" spans="1:7" x14ac:dyDescent="0.25">
      <c r="A974" s="1">
        <f t="shared" si="122"/>
        <v>963</v>
      </c>
      <c r="B974" s="3">
        <f t="shared" ref="B974:B1011" ca="1" si="125">B973+E974</f>
        <v>106500</v>
      </c>
      <c r="C974" s="26">
        <f t="shared" ref="C974:C1011" ca="1" si="126">RAND()</f>
        <v>0.78864275355049362</v>
      </c>
      <c r="D974" s="26" t="str">
        <f t="shared" ca="1" si="124"/>
        <v>Win</v>
      </c>
      <c r="E974" s="3">
        <f t="shared" ref="E974:E1011" ca="1" si="127">IF(D974="Win",$B$4,-$B$4)</f>
        <v>500</v>
      </c>
      <c r="F974" s="42">
        <f t="shared" si="123"/>
        <v>3.1316470171852673E-226</v>
      </c>
      <c r="G974" s="41">
        <f>SUM(F$11:F974)</f>
        <v>0.99999999999999989</v>
      </c>
    </row>
    <row r="975" spans="1:7" x14ac:dyDescent="0.25">
      <c r="A975" s="1">
        <f t="shared" si="122"/>
        <v>964</v>
      </c>
      <c r="B975" s="3">
        <f t="shared" ca="1" si="125"/>
        <v>106000</v>
      </c>
      <c r="C975" s="26">
        <f t="shared" ca="1" si="126"/>
        <v>0.30801490353195582</v>
      </c>
      <c r="D975" s="26" t="str">
        <f t="shared" ca="1" si="124"/>
        <v>Lose</v>
      </c>
      <c r="E975" s="3">
        <f t="shared" ca="1" si="127"/>
        <v>-500</v>
      </c>
      <c r="F975" s="42">
        <f t="shared" si="123"/>
        <v>1.2510411384171978E-227</v>
      </c>
      <c r="G975" s="41">
        <f>SUM(F$11:F975)</f>
        <v>0.99999999999999989</v>
      </c>
    </row>
    <row r="976" spans="1:7" x14ac:dyDescent="0.25">
      <c r="A976" s="1">
        <f t="shared" si="122"/>
        <v>965</v>
      </c>
      <c r="B976" s="3">
        <f t="shared" ca="1" si="125"/>
        <v>106500</v>
      </c>
      <c r="C976" s="26">
        <f t="shared" ca="1" si="126"/>
        <v>0.86760758957524087</v>
      </c>
      <c r="D976" s="26" t="str">
        <f t="shared" ca="1" si="124"/>
        <v>Win</v>
      </c>
      <c r="E976" s="3">
        <f t="shared" ca="1" si="127"/>
        <v>500</v>
      </c>
      <c r="F976" s="42">
        <f t="shared" si="123"/>
        <v>4.8575902085952544E-229</v>
      </c>
      <c r="G976" s="41">
        <f>SUM(F$11:F976)</f>
        <v>0.99999999999999989</v>
      </c>
    </row>
    <row r="977" spans="1:7" x14ac:dyDescent="0.25">
      <c r="A977" s="1">
        <f t="shared" si="122"/>
        <v>966</v>
      </c>
      <c r="B977" s="3">
        <f t="shared" ca="1" si="125"/>
        <v>106000</v>
      </c>
      <c r="C977" s="26">
        <f t="shared" ca="1" si="126"/>
        <v>0.39007807577013964</v>
      </c>
      <c r="D977" s="26" t="str">
        <f t="shared" ca="1" si="124"/>
        <v>Lose</v>
      </c>
      <c r="E977" s="3">
        <f t="shared" ca="1" si="127"/>
        <v>-500</v>
      </c>
      <c r="F977" s="42">
        <f t="shared" si="123"/>
        <v>1.8318330422831875E-230</v>
      </c>
      <c r="G977" s="41">
        <f>SUM(F$11:F977)</f>
        <v>0.99999999999999989</v>
      </c>
    </row>
    <row r="978" spans="1:7" x14ac:dyDescent="0.25">
      <c r="A978" s="1">
        <f t="shared" si="122"/>
        <v>967</v>
      </c>
      <c r="B978" s="3">
        <f t="shared" ca="1" si="125"/>
        <v>105500</v>
      </c>
      <c r="C978" s="26">
        <f t="shared" ca="1" si="126"/>
        <v>0.17600858171549327</v>
      </c>
      <c r="D978" s="26" t="str">
        <f t="shared" ca="1" si="124"/>
        <v>Lose</v>
      </c>
      <c r="E978" s="3">
        <f t="shared" ca="1" si="127"/>
        <v>-500</v>
      </c>
      <c r="F978" s="42">
        <f t="shared" si="123"/>
        <v>6.7036669170773747E-232</v>
      </c>
      <c r="G978" s="41">
        <f>SUM(F$11:F978)</f>
        <v>0.99999999999999989</v>
      </c>
    </row>
    <row r="979" spans="1:7" x14ac:dyDescent="0.25">
      <c r="A979" s="1">
        <f t="shared" si="122"/>
        <v>968</v>
      </c>
      <c r="B979" s="3">
        <f t="shared" ca="1" si="125"/>
        <v>105000</v>
      </c>
      <c r="C979" s="26">
        <f t="shared" ca="1" si="126"/>
        <v>0.47502835370659258</v>
      </c>
      <c r="D979" s="26" t="str">
        <f t="shared" ca="1" si="124"/>
        <v>Lose</v>
      </c>
      <c r="E979" s="3">
        <f t="shared" ca="1" si="127"/>
        <v>-500</v>
      </c>
      <c r="F979" s="42">
        <f t="shared" si="123"/>
        <v>2.3786202187216536E-233</v>
      </c>
      <c r="G979" s="41">
        <f>SUM(F$11:F979)</f>
        <v>0.99999999999999989</v>
      </c>
    </row>
    <row r="980" spans="1:7" x14ac:dyDescent="0.25">
      <c r="A980" s="1">
        <f t="shared" si="122"/>
        <v>969</v>
      </c>
      <c r="B980" s="3">
        <f t="shared" ca="1" si="125"/>
        <v>105500</v>
      </c>
      <c r="C980" s="26">
        <f t="shared" ca="1" si="126"/>
        <v>0.55756311805381953</v>
      </c>
      <c r="D980" s="26" t="str">
        <f t="shared" ca="1" si="124"/>
        <v>Win</v>
      </c>
      <c r="E980" s="3">
        <f t="shared" ca="1" si="127"/>
        <v>500</v>
      </c>
      <c r="F980" s="42">
        <f t="shared" si="123"/>
        <v>8.1757085928139429E-235</v>
      </c>
      <c r="G980" s="41">
        <f>SUM(F$11:F980)</f>
        <v>0.99999999999999989</v>
      </c>
    </row>
    <row r="981" spans="1:7" x14ac:dyDescent="0.25">
      <c r="A981" s="1">
        <f t="shared" si="122"/>
        <v>970</v>
      </c>
      <c r="B981" s="3">
        <f t="shared" ca="1" si="125"/>
        <v>106000</v>
      </c>
      <c r="C981" s="26">
        <f t="shared" ca="1" si="126"/>
        <v>0.65609367118918627</v>
      </c>
      <c r="D981" s="26" t="str">
        <f t="shared" ca="1" si="124"/>
        <v>Win</v>
      </c>
      <c r="E981" s="3">
        <f t="shared" ca="1" si="127"/>
        <v>500</v>
      </c>
      <c r="F981" s="42">
        <f t="shared" si="123"/>
        <v>2.7195024795368791E-236</v>
      </c>
      <c r="G981" s="41">
        <f>SUM(F$11:F981)</f>
        <v>0.99999999999999989</v>
      </c>
    </row>
    <row r="982" spans="1:7" x14ac:dyDescent="0.25">
      <c r="A982" s="1">
        <f t="shared" si="122"/>
        <v>971</v>
      </c>
      <c r="B982" s="3">
        <f t="shared" ca="1" si="125"/>
        <v>105500</v>
      </c>
      <c r="C982" s="26">
        <f t="shared" ca="1" si="126"/>
        <v>0.27135110324180467</v>
      </c>
      <c r="D982" s="26" t="str">
        <f t="shared" ca="1" si="124"/>
        <v>Lose</v>
      </c>
      <c r="E982" s="3">
        <f t="shared" ca="1" si="127"/>
        <v>-500</v>
      </c>
      <c r="F982" s="42">
        <f t="shared" si="123"/>
        <v>8.7451161094004492E-238</v>
      </c>
      <c r="G982" s="41">
        <f>SUM(F$11:F982)</f>
        <v>0.99999999999999989</v>
      </c>
    </row>
    <row r="983" spans="1:7" x14ac:dyDescent="0.25">
      <c r="A983" s="1">
        <f t="shared" si="122"/>
        <v>972</v>
      </c>
      <c r="B983" s="3">
        <f t="shared" ca="1" si="125"/>
        <v>106000</v>
      </c>
      <c r="C983" s="26">
        <f t="shared" ca="1" si="126"/>
        <v>0.61938854869179683</v>
      </c>
      <c r="D983" s="26" t="str">
        <f t="shared" ca="1" si="124"/>
        <v>Win</v>
      </c>
      <c r="E983" s="3">
        <f t="shared" ca="1" si="127"/>
        <v>500</v>
      </c>
      <c r="F983" s="42">
        <f t="shared" si="123"/>
        <v>2.7156350730247908E-239</v>
      </c>
      <c r="G983" s="41">
        <f>SUM(F$11:F983)</f>
        <v>0.99999999999999989</v>
      </c>
    </row>
    <row r="984" spans="1:7" x14ac:dyDescent="0.25">
      <c r="A984" s="1">
        <f t="shared" si="122"/>
        <v>973</v>
      </c>
      <c r="B984" s="3">
        <f t="shared" ca="1" si="125"/>
        <v>105500</v>
      </c>
      <c r="C984" s="26">
        <f t="shared" ca="1" si="126"/>
        <v>1.1972907888777584E-3</v>
      </c>
      <c r="D984" s="26" t="str">
        <f t="shared" ca="1" si="124"/>
        <v>Lose</v>
      </c>
      <c r="E984" s="3">
        <f t="shared" ca="1" si="127"/>
        <v>-500</v>
      </c>
      <c r="F984" s="42">
        <f t="shared" si="123"/>
        <v>8.1337476860518336E-241</v>
      </c>
      <c r="G984" s="41">
        <f>SUM(F$11:F984)</f>
        <v>0.99999999999999989</v>
      </c>
    </row>
    <row r="985" spans="1:7" x14ac:dyDescent="0.25">
      <c r="A985" s="1">
        <f t="shared" si="122"/>
        <v>974</v>
      </c>
      <c r="B985" s="3">
        <f t="shared" ca="1" si="125"/>
        <v>106000</v>
      </c>
      <c r="C985" s="26">
        <f t="shared" ca="1" si="126"/>
        <v>0.64952912418207964</v>
      </c>
      <c r="D985" s="26" t="str">
        <f t="shared" ca="1" si="124"/>
        <v>Win</v>
      </c>
      <c r="E985" s="3">
        <f t="shared" ca="1" si="127"/>
        <v>500</v>
      </c>
      <c r="F985" s="42">
        <f t="shared" si="123"/>
        <v>2.3467649842210477E-242</v>
      </c>
      <c r="G985" s="41">
        <f>SUM(F$11:F985)</f>
        <v>0.99999999999999989</v>
      </c>
    </row>
    <row r="986" spans="1:7" x14ac:dyDescent="0.25">
      <c r="A986" s="1">
        <f t="shared" si="122"/>
        <v>975</v>
      </c>
      <c r="B986" s="3">
        <f t="shared" ca="1" si="125"/>
        <v>105500</v>
      </c>
      <c r="C986" s="26">
        <f t="shared" ca="1" si="126"/>
        <v>0.43303425249673722</v>
      </c>
      <c r="D986" s="26" t="str">
        <f t="shared" ca="1" si="124"/>
        <v>Lose</v>
      </c>
      <c r="E986" s="3">
        <f t="shared" ca="1" si="127"/>
        <v>-500</v>
      </c>
      <c r="F986" s="42">
        <f t="shared" si="123"/>
        <v>6.5134701602866506E-244</v>
      </c>
      <c r="G986" s="41">
        <f>SUM(F$11:F986)</f>
        <v>0.99999999999999989</v>
      </c>
    </row>
    <row r="987" spans="1:7" x14ac:dyDescent="0.25">
      <c r="A987" s="1">
        <f t="shared" si="122"/>
        <v>976</v>
      </c>
      <c r="B987" s="3">
        <f t="shared" ca="1" si="125"/>
        <v>105000</v>
      </c>
      <c r="C987" s="26">
        <f t="shared" ca="1" si="126"/>
        <v>0.19964492510713361</v>
      </c>
      <c r="D987" s="26" t="str">
        <f t="shared" ca="1" si="124"/>
        <v>Lose</v>
      </c>
      <c r="E987" s="3">
        <f t="shared" ca="1" si="127"/>
        <v>-500</v>
      </c>
      <c r="F987" s="42">
        <f t="shared" si="123"/>
        <v>1.7365077062492123E-245</v>
      </c>
      <c r="G987" s="41">
        <f>SUM(F$11:F987)</f>
        <v>0.99999999999999989</v>
      </c>
    </row>
    <row r="988" spans="1:7" x14ac:dyDescent="0.25">
      <c r="A988" s="1">
        <f t="shared" si="122"/>
        <v>977</v>
      </c>
      <c r="B988" s="3">
        <f t="shared" ca="1" si="125"/>
        <v>104500</v>
      </c>
      <c r="C988" s="26">
        <f t="shared" ca="1" si="126"/>
        <v>0.30175625936829087</v>
      </c>
      <c r="D988" s="26" t="str">
        <f t="shared" ca="1" si="124"/>
        <v>Lose</v>
      </c>
      <c r="E988" s="3">
        <f t="shared" ca="1" si="127"/>
        <v>-500</v>
      </c>
      <c r="F988" s="42">
        <f t="shared" si="123"/>
        <v>4.4398417321850936E-247</v>
      </c>
      <c r="G988" s="41">
        <f>SUM(F$11:F988)</f>
        <v>0.99999999999999989</v>
      </c>
    </row>
    <row r="989" spans="1:7" x14ac:dyDescent="0.25">
      <c r="A989" s="1">
        <f t="shared" si="122"/>
        <v>978</v>
      </c>
      <c r="B989" s="3">
        <f t="shared" ca="1" si="125"/>
        <v>104000</v>
      </c>
      <c r="C989" s="26">
        <f t="shared" ca="1" si="126"/>
        <v>0.3522865452452697</v>
      </c>
      <c r="D989" s="26" t="str">
        <f t="shared" ca="1" si="124"/>
        <v>Lose</v>
      </c>
      <c r="E989" s="3">
        <f t="shared" ca="1" si="127"/>
        <v>-500</v>
      </c>
      <c r="F989" s="42">
        <f t="shared" si="123"/>
        <v>1.0867522957834769E-248</v>
      </c>
      <c r="G989" s="41">
        <f>SUM(F$11:F989)</f>
        <v>0.99999999999999989</v>
      </c>
    </row>
    <row r="990" spans="1:7" x14ac:dyDescent="0.25">
      <c r="A990" s="1">
        <f t="shared" si="122"/>
        <v>979</v>
      </c>
      <c r="B990" s="3">
        <f t="shared" ca="1" si="125"/>
        <v>103500</v>
      </c>
      <c r="C990" s="26">
        <f t="shared" ca="1" si="126"/>
        <v>0.41894050405824124</v>
      </c>
      <c r="D990" s="26" t="str">
        <f t="shared" ca="1" si="124"/>
        <v>Lose</v>
      </c>
      <c r="E990" s="3">
        <f t="shared" ca="1" si="127"/>
        <v>-500</v>
      </c>
      <c r="F990" s="42">
        <f t="shared" si="123"/>
        <v>2.5418191738114476E-250</v>
      </c>
      <c r="G990" s="41">
        <f>SUM(F$11:F990)</f>
        <v>0.99999999999999989</v>
      </c>
    </row>
    <row r="991" spans="1:7" x14ac:dyDescent="0.25">
      <c r="A991" s="1">
        <f t="shared" si="122"/>
        <v>980</v>
      </c>
      <c r="B991" s="3">
        <f t="shared" ca="1" si="125"/>
        <v>103000</v>
      </c>
      <c r="C991" s="26">
        <f t="shared" ca="1" si="126"/>
        <v>1.7464958149837284E-2</v>
      </c>
      <c r="D991" s="26" t="str">
        <f t="shared" ca="1" si="124"/>
        <v>Lose</v>
      </c>
      <c r="E991" s="3">
        <f t="shared" ca="1" si="127"/>
        <v>-500</v>
      </c>
      <c r="F991" s="42">
        <f t="shared" si="123"/>
        <v>5.6690719182673714E-252</v>
      </c>
      <c r="G991" s="41">
        <f>SUM(F$11:F991)</f>
        <v>0.99999999999999989</v>
      </c>
    </row>
    <row r="992" spans="1:7" x14ac:dyDescent="0.25">
      <c r="A992" s="1">
        <f t="shared" si="122"/>
        <v>981</v>
      </c>
      <c r="B992" s="3">
        <f t="shared" ca="1" si="125"/>
        <v>103500</v>
      </c>
      <c r="C992" s="26">
        <f t="shared" ca="1" si="126"/>
        <v>0.63758472178953618</v>
      </c>
      <c r="D992" s="26" t="str">
        <f t="shared" ca="1" si="124"/>
        <v>Win</v>
      </c>
      <c r="E992" s="3">
        <f t="shared" ca="1" si="127"/>
        <v>500</v>
      </c>
      <c r="F992" s="42">
        <f t="shared" si="123"/>
        <v>1.2029485440996012E-253</v>
      </c>
      <c r="G992" s="41">
        <f>SUM(F$11:F992)</f>
        <v>0.99999999999999989</v>
      </c>
    </row>
    <row r="993" spans="1:7" x14ac:dyDescent="0.25">
      <c r="A993" s="1">
        <f t="shared" si="122"/>
        <v>982</v>
      </c>
      <c r="B993" s="3">
        <f t="shared" ca="1" si="125"/>
        <v>104000</v>
      </c>
      <c r="C993" s="26">
        <f t="shared" ca="1" si="126"/>
        <v>0.5216252479974185</v>
      </c>
      <c r="D993" s="26" t="str">
        <f t="shared" ca="1" si="124"/>
        <v>Win</v>
      </c>
      <c r="E993" s="3">
        <f t="shared" ca="1" si="127"/>
        <v>500</v>
      </c>
      <c r="F993" s="42">
        <f t="shared" si="123"/>
        <v>2.422497068108731E-255</v>
      </c>
      <c r="G993" s="41">
        <f>SUM(F$11:F993)</f>
        <v>0.99999999999999989</v>
      </c>
    </row>
    <row r="994" spans="1:7" x14ac:dyDescent="0.25">
      <c r="A994" s="1">
        <f t="shared" si="122"/>
        <v>983</v>
      </c>
      <c r="B994" s="3">
        <f t="shared" ca="1" si="125"/>
        <v>104500</v>
      </c>
      <c r="C994" s="26">
        <f t="shared" ca="1" si="126"/>
        <v>0.53374353135723018</v>
      </c>
      <c r="D994" s="26" t="str">
        <f t="shared" ca="1" si="124"/>
        <v>Win</v>
      </c>
      <c r="E994" s="3">
        <f t="shared" ca="1" si="127"/>
        <v>500</v>
      </c>
      <c r="F994" s="42">
        <f t="shared" si="123"/>
        <v>4.6169624608630165E-257</v>
      </c>
      <c r="G994" s="41">
        <f>SUM(F$11:F994)</f>
        <v>0.99999999999999989</v>
      </c>
    </row>
    <row r="995" spans="1:7" x14ac:dyDescent="0.25">
      <c r="A995" s="1">
        <f t="shared" si="122"/>
        <v>984</v>
      </c>
      <c r="B995" s="3">
        <f t="shared" ca="1" si="125"/>
        <v>105000</v>
      </c>
      <c r="C995" s="26">
        <f t="shared" ca="1" si="126"/>
        <v>0.5333058731449597</v>
      </c>
      <c r="D995" s="26" t="str">
        <f t="shared" ca="1" si="124"/>
        <v>Win</v>
      </c>
      <c r="E995" s="3">
        <f t="shared" ca="1" si="127"/>
        <v>500</v>
      </c>
      <c r="F995" s="42">
        <f t="shared" si="123"/>
        <v>8.3020293130251394E-259</v>
      </c>
      <c r="G995" s="41">
        <f>SUM(F$11:F995)</f>
        <v>0.99999999999999989</v>
      </c>
    </row>
    <row r="996" spans="1:7" x14ac:dyDescent="0.25">
      <c r="A996" s="1">
        <f t="shared" si="122"/>
        <v>985</v>
      </c>
      <c r="B996" s="3">
        <f t="shared" ca="1" si="125"/>
        <v>104500</v>
      </c>
      <c r="C996" s="26">
        <f t="shared" ca="1" si="126"/>
        <v>0.43536843606899578</v>
      </c>
      <c r="D996" s="26" t="str">
        <f t="shared" ca="1" si="124"/>
        <v>Lose</v>
      </c>
      <c r="E996" s="3">
        <f t="shared" ca="1" si="127"/>
        <v>-500</v>
      </c>
      <c r="F996" s="42">
        <f t="shared" si="123"/>
        <v>1.4035959638304671E-260</v>
      </c>
      <c r="G996" s="41">
        <f>SUM(F$11:F996)</f>
        <v>0.99999999999999989</v>
      </c>
    </row>
    <row r="997" spans="1:7" x14ac:dyDescent="0.25">
      <c r="A997" s="1">
        <f t="shared" si="122"/>
        <v>986</v>
      </c>
      <c r="B997" s="3">
        <f t="shared" ca="1" si="125"/>
        <v>104000</v>
      </c>
      <c r="C997" s="26">
        <f t="shared" ca="1" si="126"/>
        <v>0.25384290890241357</v>
      </c>
      <c r="D997" s="26" t="str">
        <f t="shared" ca="1" si="124"/>
        <v>Lose</v>
      </c>
      <c r="E997" s="3">
        <f t="shared" ca="1" si="127"/>
        <v>-500</v>
      </c>
      <c r="F997" s="42">
        <f t="shared" si="123"/>
        <v>2.2224425887537705E-262</v>
      </c>
      <c r="G997" s="41">
        <f>SUM(F$11:F997)</f>
        <v>0.99999999999999989</v>
      </c>
    </row>
    <row r="998" spans="1:7" x14ac:dyDescent="0.25">
      <c r="A998" s="1">
        <f t="shared" si="122"/>
        <v>987</v>
      </c>
      <c r="B998" s="3">
        <f t="shared" ca="1" si="125"/>
        <v>104500</v>
      </c>
      <c r="C998" s="26">
        <f t="shared" ca="1" si="126"/>
        <v>0.4953176183018555</v>
      </c>
      <c r="D998" s="26" t="str">
        <f t="shared" ca="1" si="124"/>
        <v>Win</v>
      </c>
      <c r="E998" s="3">
        <f t="shared" ca="1" si="127"/>
        <v>500</v>
      </c>
      <c r="F998" s="42">
        <f t="shared" si="123"/>
        <v>3.2810702569526904E-264</v>
      </c>
      <c r="G998" s="41">
        <f>SUM(F$11:F998)</f>
        <v>0.99999999999999989</v>
      </c>
    </row>
    <row r="999" spans="1:7" x14ac:dyDescent="0.25">
      <c r="A999" s="1">
        <f t="shared" si="122"/>
        <v>988</v>
      </c>
      <c r="B999" s="3">
        <f t="shared" ca="1" si="125"/>
        <v>104000</v>
      </c>
      <c r="C999" s="26">
        <f t="shared" ca="1" si="126"/>
        <v>0.30074218552629373</v>
      </c>
      <c r="D999" s="26" t="str">
        <f t="shared" ca="1" si="124"/>
        <v>Lose</v>
      </c>
      <c r="E999" s="3">
        <f t="shared" ca="1" si="127"/>
        <v>-500</v>
      </c>
      <c r="F999" s="42">
        <f t="shared" si="123"/>
        <v>4.493409857803029E-266</v>
      </c>
      <c r="G999" s="41">
        <f>SUM(F$11:F999)</f>
        <v>0.99999999999999989</v>
      </c>
    </row>
    <row r="1000" spans="1:7" x14ac:dyDescent="0.25">
      <c r="A1000" s="1">
        <f t="shared" si="122"/>
        <v>989</v>
      </c>
      <c r="B1000" s="3">
        <f t="shared" ca="1" si="125"/>
        <v>104500</v>
      </c>
      <c r="C1000" s="26">
        <f t="shared" ca="1" si="126"/>
        <v>0.60398418104437723</v>
      </c>
      <c r="D1000" s="26" t="str">
        <f t="shared" ca="1" si="124"/>
        <v>Win</v>
      </c>
      <c r="E1000" s="3">
        <f t="shared" ca="1" si="127"/>
        <v>500</v>
      </c>
      <c r="F1000" s="42">
        <f t="shared" si="123"/>
        <v>5.674597785798204E-268</v>
      </c>
      <c r="G1000" s="41">
        <f>SUM(F$11:F1000)</f>
        <v>0.99999999999999989</v>
      </c>
    </row>
    <row r="1001" spans="1:7" x14ac:dyDescent="0.25">
      <c r="A1001" s="1">
        <f t="shared" si="122"/>
        <v>990</v>
      </c>
      <c r="B1001" s="3">
        <f t="shared" ca="1" si="125"/>
        <v>105000</v>
      </c>
      <c r="C1001" s="26">
        <f t="shared" ca="1" si="126"/>
        <v>0.96725956611429464</v>
      </c>
      <c r="D1001" s="26" t="str">
        <f t="shared" ca="1" si="124"/>
        <v>Win</v>
      </c>
      <c r="E1001" s="3">
        <f t="shared" ca="1" si="127"/>
        <v>500</v>
      </c>
      <c r="F1001" s="42">
        <f t="shared" si="123"/>
        <v>6.5624600243923825E-270</v>
      </c>
      <c r="G1001" s="41">
        <f>SUM(F$11:F1001)</f>
        <v>0.99999999999999989</v>
      </c>
    </row>
    <row r="1002" spans="1:7" x14ac:dyDescent="0.25">
      <c r="A1002" s="1">
        <f t="shared" si="122"/>
        <v>991</v>
      </c>
      <c r="B1002" s="3">
        <f t="shared" ca="1" si="125"/>
        <v>105500</v>
      </c>
      <c r="C1002" s="26">
        <f t="shared" ca="1" si="126"/>
        <v>0.56022275648553899</v>
      </c>
      <c r="D1002" s="26" t="str">
        <f t="shared" ca="1" si="124"/>
        <v>Win</v>
      </c>
      <c r="E1002" s="3">
        <f t="shared" ca="1" si="127"/>
        <v>500</v>
      </c>
      <c r="F1002" s="42">
        <f t="shared" si="123"/>
        <v>6.8923466554918482E-272</v>
      </c>
      <c r="G1002" s="41">
        <f>SUM(F$11:F1002)</f>
        <v>0.99999999999999989</v>
      </c>
    </row>
    <row r="1003" spans="1:7" x14ac:dyDescent="0.25">
      <c r="A1003" s="1">
        <f t="shared" si="122"/>
        <v>992</v>
      </c>
      <c r="B1003" s="3">
        <f t="shared" ca="1" si="125"/>
        <v>106000</v>
      </c>
      <c r="C1003" s="26">
        <f t="shared" ca="1" si="126"/>
        <v>0.81631390772054124</v>
      </c>
      <c r="D1003" s="26" t="str">
        <f t="shared" ca="1" si="124"/>
        <v>Win</v>
      </c>
      <c r="E1003" s="3">
        <f t="shared" ca="1" si="127"/>
        <v>500</v>
      </c>
      <c r="F1003" s="42">
        <f t="shared" si="123"/>
        <v>6.5083671718048859E-274</v>
      </c>
      <c r="G1003" s="41">
        <f>SUM(F$11:F1003)</f>
        <v>0.99999999999999989</v>
      </c>
    </row>
    <row r="1004" spans="1:7" x14ac:dyDescent="0.25">
      <c r="A1004" s="1">
        <f t="shared" si="122"/>
        <v>993</v>
      </c>
      <c r="B1004" s="3">
        <f t="shared" ca="1" si="125"/>
        <v>106500</v>
      </c>
      <c r="C1004" s="26">
        <f t="shared" ca="1" si="126"/>
        <v>0.65757301511160604</v>
      </c>
      <c r="D1004" s="26" t="str">
        <f t="shared" ca="1" si="124"/>
        <v>Win</v>
      </c>
      <c r="E1004" s="3">
        <f t="shared" ca="1" si="127"/>
        <v>500</v>
      </c>
      <c r="F1004" s="42">
        <f t="shared" si="123"/>
        <v>5.4574137453935605E-276</v>
      </c>
      <c r="G1004" s="41">
        <f>SUM(F$11:F1004)</f>
        <v>0.99999999999999989</v>
      </c>
    </row>
    <row r="1005" spans="1:7" x14ac:dyDescent="0.25">
      <c r="A1005" s="1">
        <f t="shared" si="122"/>
        <v>994</v>
      </c>
      <c r="B1005" s="3">
        <f t="shared" ca="1" si="125"/>
        <v>106000</v>
      </c>
      <c r="C1005" s="26">
        <f t="shared" ca="1" si="126"/>
        <v>0.46063032126348558</v>
      </c>
      <c r="D1005" s="26" t="str">
        <f t="shared" ca="1" si="124"/>
        <v>Lose</v>
      </c>
      <c r="E1005" s="3">
        <f t="shared" ca="1" si="127"/>
        <v>-500</v>
      </c>
      <c r="F1005" s="42">
        <f t="shared" si="123"/>
        <v>4.0001164273506731E-278</v>
      </c>
      <c r="G1005" s="41">
        <f>SUM(F$11:F1005)</f>
        <v>0.99999999999999989</v>
      </c>
    </row>
    <row r="1006" spans="1:7" x14ac:dyDescent="0.25">
      <c r="A1006" s="1">
        <f t="shared" si="122"/>
        <v>995</v>
      </c>
      <c r="B1006" s="3">
        <f t="shared" ca="1" si="125"/>
        <v>106500</v>
      </c>
      <c r="C1006" s="26">
        <f t="shared" ca="1" si="126"/>
        <v>0.56754810692372171</v>
      </c>
      <c r="D1006" s="26" t="str">
        <f t="shared" ca="1" si="124"/>
        <v>Win</v>
      </c>
      <c r="E1006" s="3">
        <f t="shared" ca="1" si="127"/>
        <v>500</v>
      </c>
      <c r="F1006" s="42">
        <f t="shared" si="123"/>
        <v>2.5105848154432834E-280</v>
      </c>
      <c r="G1006" s="41">
        <f>SUM(F$11:F1006)</f>
        <v>0.99999999999999989</v>
      </c>
    </row>
    <row r="1007" spans="1:7" x14ac:dyDescent="0.25">
      <c r="A1007" s="1">
        <f t="shared" si="122"/>
        <v>996</v>
      </c>
      <c r="B1007" s="3">
        <f t="shared" ca="1" si="125"/>
        <v>106000</v>
      </c>
      <c r="C1007" s="26">
        <f t="shared" ca="1" si="126"/>
        <v>0.39002228171183273</v>
      </c>
      <c r="D1007" s="26" t="str">
        <f t="shared" ca="1" si="124"/>
        <v>Lose</v>
      </c>
      <c r="E1007" s="3">
        <f t="shared" ca="1" si="127"/>
        <v>-500</v>
      </c>
      <c r="F1007" s="42">
        <f t="shared" si="123"/>
        <v>1.3117759362717137E-282</v>
      </c>
      <c r="G1007" s="41">
        <f>SUM(F$11:F1007)</f>
        <v>0.99999999999999989</v>
      </c>
    </row>
    <row r="1008" spans="1:7" x14ac:dyDescent="0.25">
      <c r="A1008" s="1">
        <f t="shared" si="122"/>
        <v>997</v>
      </c>
      <c r="B1008" s="3">
        <f t="shared" ca="1" si="125"/>
        <v>106500</v>
      </c>
      <c r="C1008" s="26">
        <f t="shared" ca="1" si="126"/>
        <v>0.68689092508785199</v>
      </c>
      <c r="D1008" s="26" t="str">
        <f t="shared" ca="1" si="124"/>
        <v>Win</v>
      </c>
      <c r="E1008" s="3">
        <f t="shared" ca="1" si="127"/>
        <v>500</v>
      </c>
      <c r="F1008" s="42">
        <f t="shared" si="123"/>
        <v>5.4777043579603055E-285</v>
      </c>
      <c r="G1008" s="41">
        <f>SUM(F$11:F1008)</f>
        <v>0.99999999999999989</v>
      </c>
    </row>
    <row r="1009" spans="1:7" x14ac:dyDescent="0.25">
      <c r="A1009" s="1">
        <f t="shared" si="122"/>
        <v>998</v>
      </c>
      <c r="B1009" s="3">
        <f t="shared" ca="1" si="125"/>
        <v>106000</v>
      </c>
      <c r="C1009" s="26">
        <f t="shared" ca="1" si="126"/>
        <v>0.3352163539385159</v>
      </c>
      <c r="D1009" s="26" t="str">
        <f t="shared" ca="1" si="124"/>
        <v>Lose</v>
      </c>
      <c r="E1009" s="3">
        <f t="shared" ca="1" si="127"/>
        <v>-500</v>
      </c>
      <c r="F1009" s="42">
        <f t="shared" si="123"/>
        <v>1.7138128640300126E-287</v>
      </c>
      <c r="G1009" s="41">
        <f>SUM(F$11:F1009)</f>
        <v>0.99999999999999989</v>
      </c>
    </row>
    <row r="1010" spans="1:7" x14ac:dyDescent="0.25">
      <c r="A1010" s="1">
        <f t="shared" si="122"/>
        <v>999</v>
      </c>
      <c r="B1010" s="3">
        <f t="shared" ca="1" si="125"/>
        <v>105500</v>
      </c>
      <c r="C1010" s="26">
        <f t="shared" ca="1" si="126"/>
        <v>0.11575704557533806</v>
      </c>
      <c r="D1010" s="26" t="str">
        <f t="shared" ca="1" si="124"/>
        <v>Lose</v>
      </c>
      <c r="E1010" s="3">
        <f t="shared" ca="1" si="127"/>
        <v>-500</v>
      </c>
      <c r="F1010" s="42">
        <f t="shared" si="123"/>
        <v>3.5710999189201318E-290</v>
      </c>
      <c r="G1010" s="41">
        <f>SUM(F$11:F1010)</f>
        <v>0.99999999999999989</v>
      </c>
    </row>
    <row r="1011" spans="1:7" x14ac:dyDescent="0.25">
      <c r="A1011" s="1">
        <f t="shared" ref="A1011" si="128">A1010+1</f>
        <v>1000</v>
      </c>
      <c r="B1011" s="3">
        <f t="shared" ca="1" si="125"/>
        <v>105000</v>
      </c>
      <c r="C1011" s="26">
        <f t="shared" ca="1" si="126"/>
        <v>0.29007177289520025</v>
      </c>
      <c r="D1011" s="26" t="str">
        <f t="shared" ca="1" si="124"/>
        <v>Lose</v>
      </c>
      <c r="E1011" s="3">
        <f t="shared" ca="1" si="127"/>
        <v>-500</v>
      </c>
      <c r="F1011" s="42">
        <f t="shared" si="123"/>
        <v>3.7168590992837119E-293</v>
      </c>
      <c r="G1011" s="41">
        <f>SUM(F$11:F1011)</f>
        <v>0.99999999999999989</v>
      </c>
    </row>
    <row r="1012" spans="1:7" x14ac:dyDescent="0.25">
      <c r="A1012" s="1"/>
    </row>
    <row r="1013" spans="1:7" x14ac:dyDescent="0.25">
      <c r="A1013" s="1"/>
    </row>
    <row r="1014" spans="1:7" x14ac:dyDescent="0.25">
      <c r="A1014" s="1"/>
    </row>
    <row r="1015" spans="1:7" x14ac:dyDescent="0.25">
      <c r="A1015" s="1"/>
    </row>
    <row r="1016" spans="1:7" x14ac:dyDescent="0.25">
      <c r="A1016" s="1"/>
    </row>
    <row r="1017" spans="1:7" x14ac:dyDescent="0.25">
      <c r="A1017" s="1"/>
    </row>
    <row r="1018" spans="1:7" x14ac:dyDescent="0.25">
      <c r="A1018" s="1"/>
    </row>
    <row r="1019" spans="1:7" x14ac:dyDescent="0.25">
      <c r="A1019" s="1"/>
    </row>
    <row r="1020" spans="1:7" x14ac:dyDescent="0.25">
      <c r="A1020" s="1"/>
    </row>
    <row r="1021" spans="1:7" x14ac:dyDescent="0.25">
      <c r="A1021" s="1"/>
    </row>
    <row r="1022" spans="1:7" x14ac:dyDescent="0.25">
      <c r="A1022" s="1"/>
    </row>
    <row r="1023" spans="1:7" x14ac:dyDescent="0.25">
      <c r="A1023" s="1"/>
    </row>
    <row r="1024" spans="1:7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8"/>
  <sheetViews>
    <sheetView workbookViewId="0">
      <selection activeCell="G4" sqref="G4"/>
    </sheetView>
  </sheetViews>
  <sheetFormatPr defaultRowHeight="15" x14ac:dyDescent="0.25"/>
  <cols>
    <col min="2" max="2" width="32.28515625" customWidth="1"/>
    <col min="3" max="4" width="10" style="2" customWidth="1"/>
  </cols>
  <sheetData>
    <row r="2" spans="2:7" x14ac:dyDescent="0.25">
      <c r="B2" t="s">
        <v>34</v>
      </c>
      <c r="C2" s="4">
        <v>7</v>
      </c>
      <c r="D2" s="4">
        <v>7</v>
      </c>
      <c r="E2" s="4">
        <v>7</v>
      </c>
      <c r="F2" s="4">
        <v>7</v>
      </c>
      <c r="G2" s="4">
        <v>7</v>
      </c>
    </row>
    <row r="3" spans="2:7" x14ac:dyDescent="0.25">
      <c r="B3" t="s">
        <v>30</v>
      </c>
      <c r="C3" s="2">
        <v>10</v>
      </c>
      <c r="D3" s="2">
        <v>9</v>
      </c>
      <c r="E3" s="2">
        <v>8</v>
      </c>
      <c r="F3" s="2">
        <v>6</v>
      </c>
      <c r="G3" s="2">
        <v>2</v>
      </c>
    </row>
    <row r="4" spans="2:7" x14ac:dyDescent="0.25">
      <c r="E4" s="2"/>
      <c r="F4" s="2"/>
      <c r="G4" s="2"/>
    </row>
    <row r="5" spans="2:7" x14ac:dyDescent="0.25">
      <c r="B5" t="s">
        <v>29</v>
      </c>
      <c r="C5" s="34">
        <v>4.5248868778280547E-3</v>
      </c>
      <c r="D5" s="34">
        <v>4.5248868778280547E-3</v>
      </c>
      <c r="E5" s="34">
        <v>4.5248868778280547E-3</v>
      </c>
      <c r="F5" s="34">
        <v>4.5248868778280547E-3</v>
      </c>
      <c r="G5" s="34">
        <v>4.5248868778280547E-3</v>
      </c>
    </row>
    <row r="6" spans="2:7" x14ac:dyDescent="0.25">
      <c r="B6" t="s">
        <v>31</v>
      </c>
      <c r="C6" s="2">
        <f>ROUNDUP(1/C5, 0)</f>
        <v>221</v>
      </c>
      <c r="D6" s="2">
        <f>ROUNDUP(1/D5, 0)</f>
        <v>221</v>
      </c>
      <c r="E6" s="2">
        <f>ROUNDUP(1/E5, 0)</f>
        <v>221</v>
      </c>
      <c r="F6" s="2">
        <f>ROUNDUP(1/F5, 0)</f>
        <v>221</v>
      </c>
      <c r="G6" s="2">
        <f>ROUNDUP(1/G5, 0)</f>
        <v>221</v>
      </c>
    </row>
    <row r="7" spans="2:7" x14ac:dyDescent="0.25">
      <c r="B7" t="s">
        <v>33</v>
      </c>
      <c r="C7" s="2">
        <f>C6/C3</f>
        <v>22.1</v>
      </c>
      <c r="D7" s="36">
        <f>D6/D3</f>
        <v>24.555555555555557</v>
      </c>
      <c r="E7" s="36">
        <f>E6/E3</f>
        <v>27.625</v>
      </c>
      <c r="F7" s="36">
        <f>F6/F3</f>
        <v>36.833333333333336</v>
      </c>
      <c r="G7" s="36">
        <f>G6/G3</f>
        <v>110.5</v>
      </c>
    </row>
    <row r="8" spans="2:7" x14ac:dyDescent="0.25">
      <c r="B8" t="s">
        <v>32</v>
      </c>
      <c r="C8" s="35">
        <f>C7*C2</f>
        <v>154.70000000000002</v>
      </c>
      <c r="D8" s="35">
        <f>D7*D2</f>
        <v>171.88888888888891</v>
      </c>
      <c r="E8" s="35">
        <f>E7*E2</f>
        <v>193.375</v>
      </c>
      <c r="F8" s="35">
        <f>F7*F2</f>
        <v>257.83333333333337</v>
      </c>
      <c r="G8" s="35">
        <f>G7*G2</f>
        <v>773.5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BluffEconomics</vt:lpstr>
      <vt:lpstr>Bankroll</vt:lpstr>
      <vt:lpstr>CostFunction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Nick Jathar</cp:lastModifiedBy>
  <dcterms:created xsi:type="dcterms:W3CDTF">2023-09-24T16:07:34Z</dcterms:created>
  <dcterms:modified xsi:type="dcterms:W3CDTF">2023-10-12T20:00:37Z</dcterms:modified>
</cp:coreProperties>
</file>